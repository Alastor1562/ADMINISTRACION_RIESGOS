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oceguera\Documents\"/>
    </mc:Choice>
  </mc:AlternateContent>
  <xr:revisionPtr revIDLastSave="0" documentId="13_ncr:1_{0BA38421-03FF-4F4B-B43C-684DF4CE7316}" xr6:coauthVersionLast="47" xr6:coauthVersionMax="47" xr10:uidLastSave="{00000000-0000-0000-0000-000000000000}"/>
  <bookViews>
    <workbookView xWindow="-120" yWindow="-120" windowWidth="29040" windowHeight="15720" tabRatio="711" activeTab="9" xr2:uid="{00000000-000D-0000-FFFF-FFFF00000000}"/>
  </bookViews>
  <sheets>
    <sheet name="AMXB" sheetId="2" r:id="rId1"/>
    <sheet name="CEMEX" sheetId="3" r:id="rId2"/>
    <sheet name="GAPB" sheetId="4" r:id="rId3"/>
    <sheet name="LACOMER" sheetId="5" r:id="rId4"/>
    <sheet name="PENOLES" sheetId="6" r:id="rId5"/>
    <sheet name="BANREGIO" sheetId="7" r:id="rId6"/>
    <sheet name="VOLARIS" sheetId="8" r:id="rId7"/>
    <sheet name="FIBRAPL" sheetId="11" r:id="rId8"/>
    <sheet name="NAFTRAC" sheetId="9" r:id="rId9"/>
    <sheet name="Instrucciones" sheetId="10" r:id="rId10"/>
    <sheet name="Procedimiento" sheetId="16" r:id="rId11"/>
    <sheet name="solucion" sheetId="12" r:id="rId12"/>
    <sheet name="solucion (2)" sheetId="15" r:id="rId13"/>
    <sheet name="Hoja3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10" l="1"/>
  <c r="H27" i="10"/>
  <c r="I25" i="10"/>
  <c r="H25" i="10"/>
  <c r="E12" i="10"/>
  <c r="D12" i="10"/>
  <c r="I23" i="10"/>
  <c r="H23" i="10"/>
  <c r="M4" i="2"/>
  <c r="D6" i="10"/>
  <c r="E6" i="10"/>
  <c r="G13" i="14"/>
  <c r="H3" i="14"/>
  <c r="H2" i="14"/>
  <c r="T12" i="15"/>
  <c r="Q501" i="15"/>
  <c r="P501" i="15"/>
  <c r="O501" i="15"/>
  <c r="N501" i="15"/>
  <c r="M501" i="15"/>
  <c r="L501" i="15"/>
  <c r="K501" i="15"/>
  <c r="J501" i="15"/>
  <c r="R501" i="15" s="1"/>
  <c r="Q500" i="15"/>
  <c r="P500" i="15"/>
  <c r="O500" i="15"/>
  <c r="N500" i="15"/>
  <c r="M500" i="15"/>
  <c r="L500" i="15"/>
  <c r="K500" i="15"/>
  <c r="J500" i="15"/>
  <c r="R500" i="15" s="1"/>
  <c r="R499" i="15"/>
  <c r="Q499" i="15"/>
  <c r="P499" i="15"/>
  <c r="O499" i="15"/>
  <c r="N499" i="15"/>
  <c r="M499" i="15"/>
  <c r="L499" i="15"/>
  <c r="K499" i="15"/>
  <c r="J499" i="15"/>
  <c r="Q498" i="15"/>
  <c r="P498" i="15"/>
  <c r="O498" i="15"/>
  <c r="N498" i="15"/>
  <c r="M498" i="15"/>
  <c r="L498" i="15"/>
  <c r="K498" i="15"/>
  <c r="J498" i="15"/>
  <c r="R498" i="15" s="1"/>
  <c r="Q497" i="15"/>
  <c r="P497" i="15"/>
  <c r="R497" i="15" s="1"/>
  <c r="O497" i="15"/>
  <c r="N497" i="15"/>
  <c r="M497" i="15"/>
  <c r="L497" i="15"/>
  <c r="K497" i="15"/>
  <c r="J497" i="15"/>
  <c r="Q496" i="15"/>
  <c r="P496" i="15"/>
  <c r="O496" i="15"/>
  <c r="N496" i="15"/>
  <c r="M496" i="15"/>
  <c r="L496" i="15"/>
  <c r="K496" i="15"/>
  <c r="R496" i="15" s="1"/>
  <c r="J496" i="15"/>
  <c r="Q495" i="15"/>
  <c r="P495" i="15"/>
  <c r="O495" i="15"/>
  <c r="N495" i="15"/>
  <c r="M495" i="15"/>
  <c r="L495" i="15"/>
  <c r="K495" i="15"/>
  <c r="J495" i="15"/>
  <c r="R495" i="15" s="1"/>
  <c r="Q494" i="15"/>
  <c r="P494" i="15"/>
  <c r="R494" i="15" s="1"/>
  <c r="O494" i="15"/>
  <c r="N494" i="15"/>
  <c r="M494" i="15"/>
  <c r="L494" i="15"/>
  <c r="K494" i="15"/>
  <c r="J494" i="15"/>
  <c r="Q493" i="15"/>
  <c r="P493" i="15"/>
  <c r="O493" i="15"/>
  <c r="N493" i="15"/>
  <c r="M493" i="15"/>
  <c r="L493" i="15"/>
  <c r="R493" i="15" s="1"/>
  <c r="K493" i="15"/>
  <c r="J493" i="15"/>
  <c r="Q492" i="15"/>
  <c r="P492" i="15"/>
  <c r="O492" i="15"/>
  <c r="N492" i="15"/>
  <c r="M492" i="15"/>
  <c r="L492" i="15"/>
  <c r="K492" i="15"/>
  <c r="J492" i="15"/>
  <c r="R492" i="15" s="1"/>
  <c r="Q491" i="15"/>
  <c r="P491" i="15"/>
  <c r="O491" i="15"/>
  <c r="N491" i="15"/>
  <c r="M491" i="15"/>
  <c r="L491" i="15"/>
  <c r="K491" i="15"/>
  <c r="J491" i="15"/>
  <c r="R491" i="15" s="1"/>
  <c r="Q490" i="15"/>
  <c r="P490" i="15"/>
  <c r="O490" i="15"/>
  <c r="N490" i="15"/>
  <c r="M490" i="15"/>
  <c r="L490" i="15"/>
  <c r="R490" i="15" s="1"/>
  <c r="K490" i="15"/>
  <c r="J490" i="15"/>
  <c r="Q489" i="15"/>
  <c r="P489" i="15"/>
  <c r="O489" i="15"/>
  <c r="N489" i="15"/>
  <c r="M489" i="15"/>
  <c r="L489" i="15"/>
  <c r="K489" i="15"/>
  <c r="J489" i="15"/>
  <c r="R489" i="15" s="1"/>
  <c r="Q488" i="15"/>
  <c r="R488" i="15" s="1"/>
  <c r="P488" i="15"/>
  <c r="O488" i="15"/>
  <c r="N488" i="15"/>
  <c r="M488" i="15"/>
  <c r="L488" i="15"/>
  <c r="K488" i="15"/>
  <c r="J488" i="15"/>
  <c r="Q487" i="15"/>
  <c r="P487" i="15"/>
  <c r="O487" i="15"/>
  <c r="N487" i="15"/>
  <c r="M487" i="15"/>
  <c r="L487" i="15"/>
  <c r="K487" i="15"/>
  <c r="J487" i="15"/>
  <c r="R487" i="15" s="1"/>
  <c r="Q486" i="15"/>
  <c r="P486" i="15"/>
  <c r="O486" i="15"/>
  <c r="N486" i="15"/>
  <c r="M486" i="15"/>
  <c r="L486" i="15"/>
  <c r="K486" i="15"/>
  <c r="J486" i="15"/>
  <c r="R486" i="15" s="1"/>
  <c r="Q485" i="15"/>
  <c r="P485" i="15"/>
  <c r="O485" i="15"/>
  <c r="N485" i="15"/>
  <c r="M485" i="15"/>
  <c r="L485" i="15"/>
  <c r="K485" i="15"/>
  <c r="J485" i="15"/>
  <c r="R485" i="15" s="1"/>
  <c r="Q484" i="15"/>
  <c r="P484" i="15"/>
  <c r="O484" i="15"/>
  <c r="N484" i="15"/>
  <c r="M484" i="15"/>
  <c r="L484" i="15"/>
  <c r="R484" i="15" s="1"/>
  <c r="K484" i="15"/>
  <c r="J484" i="15"/>
  <c r="Q483" i="15"/>
  <c r="P483" i="15"/>
  <c r="O483" i="15"/>
  <c r="N483" i="15"/>
  <c r="M483" i="15"/>
  <c r="L483" i="15"/>
  <c r="K483" i="15"/>
  <c r="J483" i="15"/>
  <c r="R483" i="15" s="1"/>
  <c r="Q482" i="15"/>
  <c r="P482" i="15"/>
  <c r="O482" i="15"/>
  <c r="N482" i="15"/>
  <c r="M482" i="15"/>
  <c r="L482" i="15"/>
  <c r="K482" i="15"/>
  <c r="J482" i="15"/>
  <c r="R482" i="15" s="1"/>
  <c r="Q481" i="15"/>
  <c r="P481" i="15"/>
  <c r="O481" i="15"/>
  <c r="N481" i="15"/>
  <c r="M481" i="15"/>
  <c r="L481" i="15"/>
  <c r="K481" i="15"/>
  <c r="J481" i="15"/>
  <c r="R481" i="15" s="1"/>
  <c r="Q480" i="15"/>
  <c r="P480" i="15"/>
  <c r="O480" i="15"/>
  <c r="N480" i="15"/>
  <c r="M480" i="15"/>
  <c r="L480" i="15"/>
  <c r="K480" i="15"/>
  <c r="J480" i="15"/>
  <c r="R480" i="15" s="1"/>
  <c r="R479" i="15"/>
  <c r="Q479" i="15"/>
  <c r="P479" i="15"/>
  <c r="O479" i="15"/>
  <c r="N479" i="15"/>
  <c r="M479" i="15"/>
  <c r="L479" i="15"/>
  <c r="K479" i="15"/>
  <c r="J479" i="15"/>
  <c r="Q478" i="15"/>
  <c r="P478" i="15"/>
  <c r="O478" i="15"/>
  <c r="N478" i="15"/>
  <c r="M478" i="15"/>
  <c r="L478" i="15"/>
  <c r="K478" i="15"/>
  <c r="J478" i="15"/>
  <c r="R478" i="15" s="1"/>
  <c r="Q477" i="15"/>
  <c r="P477" i="15"/>
  <c r="R477" i="15" s="1"/>
  <c r="O477" i="15"/>
  <c r="N477" i="15"/>
  <c r="M477" i="15"/>
  <c r="L477" i="15"/>
  <c r="K477" i="15"/>
  <c r="J477" i="15"/>
  <c r="Q476" i="15"/>
  <c r="P476" i="15"/>
  <c r="O476" i="15"/>
  <c r="N476" i="15"/>
  <c r="M476" i="15"/>
  <c r="L476" i="15"/>
  <c r="K476" i="15"/>
  <c r="R476" i="15" s="1"/>
  <c r="J476" i="15"/>
  <c r="Q475" i="15"/>
  <c r="P475" i="15"/>
  <c r="O475" i="15"/>
  <c r="N475" i="15"/>
  <c r="M475" i="15"/>
  <c r="L475" i="15"/>
  <c r="K475" i="15"/>
  <c r="J475" i="15"/>
  <c r="R475" i="15" s="1"/>
  <c r="Q474" i="15"/>
  <c r="P474" i="15"/>
  <c r="R474" i="15" s="1"/>
  <c r="O474" i="15"/>
  <c r="N474" i="15"/>
  <c r="M474" i="15"/>
  <c r="L474" i="15"/>
  <c r="K474" i="15"/>
  <c r="J474" i="15"/>
  <c r="Q473" i="15"/>
  <c r="P473" i="15"/>
  <c r="O473" i="15"/>
  <c r="N473" i="15"/>
  <c r="M473" i="15"/>
  <c r="L473" i="15"/>
  <c r="R473" i="15" s="1"/>
  <c r="K473" i="15"/>
  <c r="J473" i="15"/>
  <c r="Q472" i="15"/>
  <c r="P472" i="15"/>
  <c r="O472" i="15"/>
  <c r="N472" i="15"/>
  <c r="M472" i="15"/>
  <c r="L472" i="15"/>
  <c r="K472" i="15"/>
  <c r="J472" i="15"/>
  <c r="R472" i="15" s="1"/>
  <c r="Q471" i="15"/>
  <c r="P471" i="15"/>
  <c r="O471" i="15"/>
  <c r="N471" i="15"/>
  <c r="M471" i="15"/>
  <c r="L471" i="15"/>
  <c r="K471" i="15"/>
  <c r="J471" i="15"/>
  <c r="R471" i="15" s="1"/>
  <c r="Q470" i="15"/>
  <c r="P470" i="15"/>
  <c r="O470" i="15"/>
  <c r="N470" i="15"/>
  <c r="M470" i="15"/>
  <c r="L470" i="15"/>
  <c r="R470" i="15" s="1"/>
  <c r="K470" i="15"/>
  <c r="J470" i="15"/>
  <c r="Q469" i="15"/>
  <c r="P469" i="15"/>
  <c r="O469" i="15"/>
  <c r="N469" i="15"/>
  <c r="M469" i="15"/>
  <c r="L469" i="15"/>
  <c r="K469" i="15"/>
  <c r="J469" i="15"/>
  <c r="R469" i="15" s="1"/>
  <c r="Q468" i="15"/>
  <c r="R468" i="15" s="1"/>
  <c r="P468" i="15"/>
  <c r="O468" i="15"/>
  <c r="N468" i="15"/>
  <c r="M468" i="15"/>
  <c r="L468" i="15"/>
  <c r="K468" i="15"/>
  <c r="J468" i="15"/>
  <c r="Q467" i="15"/>
  <c r="P467" i="15"/>
  <c r="O467" i="15"/>
  <c r="N467" i="15"/>
  <c r="M467" i="15"/>
  <c r="L467" i="15"/>
  <c r="K467" i="15"/>
  <c r="J467" i="15"/>
  <c r="R467" i="15" s="1"/>
  <c r="Q466" i="15"/>
  <c r="P466" i="15"/>
  <c r="O466" i="15"/>
  <c r="N466" i="15"/>
  <c r="M466" i="15"/>
  <c r="L466" i="15"/>
  <c r="K466" i="15"/>
  <c r="J466" i="15"/>
  <c r="R466" i="15" s="1"/>
  <c r="Q465" i="15"/>
  <c r="P465" i="15"/>
  <c r="O465" i="15"/>
  <c r="N465" i="15"/>
  <c r="M465" i="15"/>
  <c r="L465" i="15"/>
  <c r="K465" i="15"/>
  <c r="J465" i="15"/>
  <c r="R465" i="15" s="1"/>
  <c r="Q464" i="15"/>
  <c r="P464" i="15"/>
  <c r="O464" i="15"/>
  <c r="N464" i="15"/>
  <c r="M464" i="15"/>
  <c r="L464" i="15"/>
  <c r="R464" i="15" s="1"/>
  <c r="K464" i="15"/>
  <c r="J464" i="15"/>
  <c r="Q463" i="15"/>
  <c r="P463" i="15"/>
  <c r="O463" i="15"/>
  <c r="N463" i="15"/>
  <c r="M463" i="15"/>
  <c r="L463" i="15"/>
  <c r="K463" i="15"/>
  <c r="J463" i="15"/>
  <c r="R463" i="15" s="1"/>
  <c r="Q462" i="15"/>
  <c r="P462" i="15"/>
  <c r="O462" i="15"/>
  <c r="N462" i="15"/>
  <c r="M462" i="15"/>
  <c r="L462" i="15"/>
  <c r="K462" i="15"/>
  <c r="J462" i="15"/>
  <c r="R462" i="15" s="1"/>
  <c r="Q461" i="15"/>
  <c r="P461" i="15"/>
  <c r="O461" i="15"/>
  <c r="N461" i="15"/>
  <c r="M461" i="15"/>
  <c r="L461" i="15"/>
  <c r="K461" i="15"/>
  <c r="J461" i="15"/>
  <c r="R461" i="15" s="1"/>
  <c r="Q460" i="15"/>
  <c r="P460" i="15"/>
  <c r="O460" i="15"/>
  <c r="N460" i="15"/>
  <c r="M460" i="15"/>
  <c r="L460" i="15"/>
  <c r="K460" i="15"/>
  <c r="J460" i="15"/>
  <c r="R460" i="15" s="1"/>
  <c r="R459" i="15"/>
  <c r="Q459" i="15"/>
  <c r="P459" i="15"/>
  <c r="O459" i="15"/>
  <c r="N459" i="15"/>
  <c r="M459" i="15"/>
  <c r="L459" i="15"/>
  <c r="K459" i="15"/>
  <c r="J459" i="15"/>
  <c r="Q458" i="15"/>
  <c r="P458" i="15"/>
  <c r="O458" i="15"/>
  <c r="N458" i="15"/>
  <c r="M458" i="15"/>
  <c r="L458" i="15"/>
  <c r="K458" i="15"/>
  <c r="J458" i="15"/>
  <c r="R458" i="15" s="1"/>
  <c r="Q457" i="15"/>
  <c r="P457" i="15"/>
  <c r="R457" i="15" s="1"/>
  <c r="O457" i="15"/>
  <c r="N457" i="15"/>
  <c r="M457" i="15"/>
  <c r="L457" i="15"/>
  <c r="K457" i="15"/>
  <c r="J457" i="15"/>
  <c r="Q456" i="15"/>
  <c r="P456" i="15"/>
  <c r="O456" i="15"/>
  <c r="N456" i="15"/>
  <c r="M456" i="15"/>
  <c r="L456" i="15"/>
  <c r="K456" i="15"/>
  <c r="R456" i="15" s="1"/>
  <c r="J456" i="15"/>
  <c r="Q455" i="15"/>
  <c r="P455" i="15"/>
  <c r="O455" i="15"/>
  <c r="N455" i="15"/>
  <c r="M455" i="15"/>
  <c r="L455" i="15"/>
  <c r="K455" i="15"/>
  <c r="J455" i="15"/>
  <c r="R455" i="15" s="1"/>
  <c r="Q454" i="15"/>
  <c r="P454" i="15"/>
  <c r="R454" i="15" s="1"/>
  <c r="O454" i="15"/>
  <c r="N454" i="15"/>
  <c r="M454" i="15"/>
  <c r="L454" i="15"/>
  <c r="K454" i="15"/>
  <c r="J454" i="15"/>
  <c r="Q453" i="15"/>
  <c r="P453" i="15"/>
  <c r="O453" i="15"/>
  <c r="N453" i="15"/>
  <c r="M453" i="15"/>
  <c r="L453" i="15"/>
  <c r="R453" i="15" s="1"/>
  <c r="K453" i="15"/>
  <c r="J453" i="15"/>
  <c r="Q452" i="15"/>
  <c r="P452" i="15"/>
  <c r="O452" i="15"/>
  <c r="N452" i="15"/>
  <c r="M452" i="15"/>
  <c r="L452" i="15"/>
  <c r="K452" i="15"/>
  <c r="J452" i="15"/>
  <c r="R452" i="15" s="1"/>
  <c r="Q451" i="15"/>
  <c r="P451" i="15"/>
  <c r="O451" i="15"/>
  <c r="N451" i="15"/>
  <c r="M451" i="15"/>
  <c r="L451" i="15"/>
  <c r="K451" i="15"/>
  <c r="J451" i="15"/>
  <c r="R451" i="15" s="1"/>
  <c r="Q450" i="15"/>
  <c r="P450" i="15"/>
  <c r="O450" i="15"/>
  <c r="N450" i="15"/>
  <c r="M450" i="15"/>
  <c r="L450" i="15"/>
  <c r="R450" i="15" s="1"/>
  <c r="K450" i="15"/>
  <c r="J450" i="15"/>
  <c r="Q449" i="15"/>
  <c r="P449" i="15"/>
  <c r="O449" i="15"/>
  <c r="N449" i="15"/>
  <c r="M449" i="15"/>
  <c r="L449" i="15"/>
  <c r="K449" i="15"/>
  <c r="J449" i="15"/>
  <c r="R449" i="15" s="1"/>
  <c r="Q448" i="15"/>
  <c r="R448" i="15" s="1"/>
  <c r="P448" i="15"/>
  <c r="O448" i="15"/>
  <c r="N448" i="15"/>
  <c r="M448" i="15"/>
  <c r="L448" i="15"/>
  <c r="K448" i="15"/>
  <c r="J448" i="15"/>
  <c r="Q447" i="15"/>
  <c r="P447" i="15"/>
  <c r="O447" i="15"/>
  <c r="N447" i="15"/>
  <c r="M447" i="15"/>
  <c r="L447" i="15"/>
  <c r="K447" i="15"/>
  <c r="J447" i="15"/>
  <c r="R447" i="15" s="1"/>
  <c r="Q446" i="15"/>
  <c r="P446" i="15"/>
  <c r="O446" i="15"/>
  <c r="N446" i="15"/>
  <c r="M446" i="15"/>
  <c r="L446" i="15"/>
  <c r="K446" i="15"/>
  <c r="J446" i="15"/>
  <c r="R446" i="15" s="1"/>
  <c r="Q445" i="15"/>
  <c r="P445" i="15"/>
  <c r="O445" i="15"/>
  <c r="N445" i="15"/>
  <c r="M445" i="15"/>
  <c r="L445" i="15"/>
  <c r="K445" i="15"/>
  <c r="J445" i="15"/>
  <c r="R445" i="15" s="1"/>
  <c r="Q444" i="15"/>
  <c r="P444" i="15"/>
  <c r="O444" i="15"/>
  <c r="N444" i="15"/>
  <c r="M444" i="15"/>
  <c r="L444" i="15"/>
  <c r="R444" i="15" s="1"/>
  <c r="K444" i="15"/>
  <c r="J444" i="15"/>
  <c r="Q443" i="15"/>
  <c r="P443" i="15"/>
  <c r="O443" i="15"/>
  <c r="N443" i="15"/>
  <c r="M443" i="15"/>
  <c r="L443" i="15"/>
  <c r="K443" i="15"/>
  <c r="J443" i="15"/>
  <c r="R443" i="15" s="1"/>
  <c r="Q442" i="15"/>
  <c r="P442" i="15"/>
  <c r="O442" i="15"/>
  <c r="N442" i="15"/>
  <c r="M442" i="15"/>
  <c r="L442" i="15"/>
  <c r="K442" i="15"/>
  <c r="J442" i="15"/>
  <c r="R442" i="15" s="1"/>
  <c r="Q441" i="15"/>
  <c r="P441" i="15"/>
  <c r="O441" i="15"/>
  <c r="N441" i="15"/>
  <c r="M441" i="15"/>
  <c r="L441" i="15"/>
  <c r="K441" i="15"/>
  <c r="J441" i="15"/>
  <c r="R441" i="15" s="1"/>
  <c r="Q440" i="15"/>
  <c r="P440" i="15"/>
  <c r="O440" i="15"/>
  <c r="N440" i="15"/>
  <c r="M440" i="15"/>
  <c r="L440" i="15"/>
  <c r="K440" i="15"/>
  <c r="J440" i="15"/>
  <c r="R440" i="15" s="1"/>
  <c r="R439" i="15"/>
  <c r="Q439" i="15"/>
  <c r="P439" i="15"/>
  <c r="O439" i="15"/>
  <c r="N439" i="15"/>
  <c r="M439" i="15"/>
  <c r="L439" i="15"/>
  <c r="K439" i="15"/>
  <c r="J439" i="15"/>
  <c r="Q438" i="15"/>
  <c r="P438" i="15"/>
  <c r="O438" i="15"/>
  <c r="N438" i="15"/>
  <c r="M438" i="15"/>
  <c r="L438" i="15"/>
  <c r="K438" i="15"/>
  <c r="J438" i="15"/>
  <c r="R438" i="15" s="1"/>
  <c r="Q437" i="15"/>
  <c r="P437" i="15"/>
  <c r="R437" i="15" s="1"/>
  <c r="O437" i="15"/>
  <c r="N437" i="15"/>
  <c r="M437" i="15"/>
  <c r="L437" i="15"/>
  <c r="K437" i="15"/>
  <c r="J437" i="15"/>
  <c r="Q436" i="15"/>
  <c r="P436" i="15"/>
  <c r="O436" i="15"/>
  <c r="N436" i="15"/>
  <c r="M436" i="15"/>
  <c r="L436" i="15"/>
  <c r="K436" i="15"/>
  <c r="R436" i="15" s="1"/>
  <c r="J436" i="15"/>
  <c r="Q435" i="15"/>
  <c r="P435" i="15"/>
  <c r="O435" i="15"/>
  <c r="N435" i="15"/>
  <c r="M435" i="15"/>
  <c r="L435" i="15"/>
  <c r="K435" i="15"/>
  <c r="J435" i="15"/>
  <c r="R435" i="15" s="1"/>
  <c r="Q434" i="15"/>
  <c r="P434" i="15"/>
  <c r="R434" i="15" s="1"/>
  <c r="O434" i="15"/>
  <c r="N434" i="15"/>
  <c r="M434" i="15"/>
  <c r="L434" i="15"/>
  <c r="K434" i="15"/>
  <c r="J434" i="15"/>
  <c r="Q433" i="15"/>
  <c r="P433" i="15"/>
  <c r="O433" i="15"/>
  <c r="N433" i="15"/>
  <c r="M433" i="15"/>
  <c r="L433" i="15"/>
  <c r="R433" i="15" s="1"/>
  <c r="K433" i="15"/>
  <c r="J433" i="15"/>
  <c r="Q432" i="15"/>
  <c r="P432" i="15"/>
  <c r="O432" i="15"/>
  <c r="N432" i="15"/>
  <c r="M432" i="15"/>
  <c r="L432" i="15"/>
  <c r="K432" i="15"/>
  <c r="J432" i="15"/>
  <c r="R432" i="15" s="1"/>
  <c r="Q431" i="15"/>
  <c r="P431" i="15"/>
  <c r="O431" i="15"/>
  <c r="N431" i="15"/>
  <c r="M431" i="15"/>
  <c r="L431" i="15"/>
  <c r="K431" i="15"/>
  <c r="J431" i="15"/>
  <c r="R431" i="15" s="1"/>
  <c r="Q430" i="15"/>
  <c r="P430" i="15"/>
  <c r="O430" i="15"/>
  <c r="N430" i="15"/>
  <c r="M430" i="15"/>
  <c r="L430" i="15"/>
  <c r="R430" i="15" s="1"/>
  <c r="K430" i="15"/>
  <c r="J430" i="15"/>
  <c r="Q429" i="15"/>
  <c r="P429" i="15"/>
  <c r="O429" i="15"/>
  <c r="N429" i="15"/>
  <c r="M429" i="15"/>
  <c r="L429" i="15"/>
  <c r="K429" i="15"/>
  <c r="J429" i="15"/>
  <c r="R429" i="15" s="1"/>
  <c r="Q428" i="15"/>
  <c r="R428" i="15" s="1"/>
  <c r="P428" i="15"/>
  <c r="O428" i="15"/>
  <c r="N428" i="15"/>
  <c r="M428" i="15"/>
  <c r="L428" i="15"/>
  <c r="K428" i="15"/>
  <c r="J428" i="15"/>
  <c r="Q427" i="15"/>
  <c r="P427" i="15"/>
  <c r="O427" i="15"/>
  <c r="N427" i="15"/>
  <c r="M427" i="15"/>
  <c r="L427" i="15"/>
  <c r="K427" i="15"/>
  <c r="J427" i="15"/>
  <c r="R427" i="15" s="1"/>
  <c r="Q426" i="15"/>
  <c r="P426" i="15"/>
  <c r="O426" i="15"/>
  <c r="N426" i="15"/>
  <c r="M426" i="15"/>
  <c r="L426" i="15"/>
  <c r="K426" i="15"/>
  <c r="J426" i="15"/>
  <c r="R426" i="15" s="1"/>
  <c r="Q425" i="15"/>
  <c r="P425" i="15"/>
  <c r="O425" i="15"/>
  <c r="N425" i="15"/>
  <c r="M425" i="15"/>
  <c r="L425" i="15"/>
  <c r="K425" i="15"/>
  <c r="J425" i="15"/>
  <c r="R425" i="15" s="1"/>
  <c r="Q424" i="15"/>
  <c r="P424" i="15"/>
  <c r="O424" i="15"/>
  <c r="N424" i="15"/>
  <c r="M424" i="15"/>
  <c r="L424" i="15"/>
  <c r="R424" i="15" s="1"/>
  <c r="K424" i="15"/>
  <c r="J424" i="15"/>
  <c r="Q423" i="15"/>
  <c r="P423" i="15"/>
  <c r="O423" i="15"/>
  <c r="N423" i="15"/>
  <c r="M423" i="15"/>
  <c r="L423" i="15"/>
  <c r="K423" i="15"/>
  <c r="J423" i="15"/>
  <c r="R423" i="15" s="1"/>
  <c r="Q422" i="15"/>
  <c r="P422" i="15"/>
  <c r="O422" i="15"/>
  <c r="N422" i="15"/>
  <c r="M422" i="15"/>
  <c r="L422" i="15"/>
  <c r="K422" i="15"/>
  <c r="J422" i="15"/>
  <c r="R422" i="15" s="1"/>
  <c r="Q421" i="15"/>
  <c r="P421" i="15"/>
  <c r="O421" i="15"/>
  <c r="N421" i="15"/>
  <c r="M421" i="15"/>
  <c r="L421" i="15"/>
  <c r="K421" i="15"/>
  <c r="J421" i="15"/>
  <c r="R421" i="15" s="1"/>
  <c r="Q420" i="15"/>
  <c r="P420" i="15"/>
  <c r="O420" i="15"/>
  <c r="N420" i="15"/>
  <c r="M420" i="15"/>
  <c r="L420" i="15"/>
  <c r="K420" i="15"/>
  <c r="J420" i="15"/>
  <c r="R420" i="15" s="1"/>
  <c r="R419" i="15"/>
  <c r="Q419" i="15"/>
  <c r="P419" i="15"/>
  <c r="O419" i="15"/>
  <c r="N419" i="15"/>
  <c r="M419" i="15"/>
  <c r="L419" i="15"/>
  <c r="K419" i="15"/>
  <c r="J419" i="15"/>
  <c r="Q418" i="15"/>
  <c r="P418" i="15"/>
  <c r="O418" i="15"/>
  <c r="N418" i="15"/>
  <c r="M418" i="15"/>
  <c r="L418" i="15"/>
  <c r="K418" i="15"/>
  <c r="J418" i="15"/>
  <c r="R418" i="15" s="1"/>
  <c r="Q417" i="15"/>
  <c r="P417" i="15"/>
  <c r="R417" i="15" s="1"/>
  <c r="O417" i="15"/>
  <c r="N417" i="15"/>
  <c r="M417" i="15"/>
  <c r="L417" i="15"/>
  <c r="K417" i="15"/>
  <c r="J417" i="15"/>
  <c r="Q416" i="15"/>
  <c r="P416" i="15"/>
  <c r="O416" i="15"/>
  <c r="N416" i="15"/>
  <c r="M416" i="15"/>
  <c r="L416" i="15"/>
  <c r="K416" i="15"/>
  <c r="R416" i="15" s="1"/>
  <c r="J416" i="15"/>
  <c r="Q415" i="15"/>
  <c r="P415" i="15"/>
  <c r="O415" i="15"/>
  <c r="N415" i="15"/>
  <c r="M415" i="15"/>
  <c r="L415" i="15"/>
  <c r="K415" i="15"/>
  <c r="J415" i="15"/>
  <c r="R415" i="15" s="1"/>
  <c r="Q414" i="15"/>
  <c r="P414" i="15"/>
  <c r="R414" i="15" s="1"/>
  <c r="O414" i="15"/>
  <c r="N414" i="15"/>
  <c r="M414" i="15"/>
  <c r="L414" i="15"/>
  <c r="K414" i="15"/>
  <c r="J414" i="15"/>
  <c r="Q413" i="15"/>
  <c r="P413" i="15"/>
  <c r="O413" i="15"/>
  <c r="N413" i="15"/>
  <c r="M413" i="15"/>
  <c r="L413" i="15"/>
  <c r="R413" i="15" s="1"/>
  <c r="K413" i="15"/>
  <c r="J413" i="15"/>
  <c r="Q412" i="15"/>
  <c r="P412" i="15"/>
  <c r="O412" i="15"/>
  <c r="N412" i="15"/>
  <c r="M412" i="15"/>
  <c r="L412" i="15"/>
  <c r="K412" i="15"/>
  <c r="J412" i="15"/>
  <c r="R412" i="15" s="1"/>
  <c r="Q411" i="15"/>
  <c r="P411" i="15"/>
  <c r="O411" i="15"/>
  <c r="N411" i="15"/>
  <c r="M411" i="15"/>
  <c r="L411" i="15"/>
  <c r="K411" i="15"/>
  <c r="J411" i="15"/>
  <c r="R411" i="15" s="1"/>
  <c r="Q410" i="15"/>
  <c r="P410" i="15"/>
  <c r="O410" i="15"/>
  <c r="N410" i="15"/>
  <c r="M410" i="15"/>
  <c r="L410" i="15"/>
  <c r="R410" i="15" s="1"/>
  <c r="K410" i="15"/>
  <c r="J410" i="15"/>
  <c r="Q409" i="15"/>
  <c r="P409" i="15"/>
  <c r="O409" i="15"/>
  <c r="N409" i="15"/>
  <c r="M409" i="15"/>
  <c r="L409" i="15"/>
  <c r="K409" i="15"/>
  <c r="J409" i="15"/>
  <c r="R409" i="15" s="1"/>
  <c r="Q408" i="15"/>
  <c r="R408" i="15" s="1"/>
  <c r="P408" i="15"/>
  <c r="O408" i="15"/>
  <c r="N408" i="15"/>
  <c r="M408" i="15"/>
  <c r="L408" i="15"/>
  <c r="K408" i="15"/>
  <c r="J408" i="15"/>
  <c r="Q407" i="15"/>
  <c r="P407" i="15"/>
  <c r="O407" i="15"/>
  <c r="N407" i="15"/>
  <c r="M407" i="15"/>
  <c r="L407" i="15"/>
  <c r="K407" i="15"/>
  <c r="J407" i="15"/>
  <c r="R407" i="15" s="1"/>
  <c r="Q406" i="15"/>
  <c r="P406" i="15"/>
  <c r="O406" i="15"/>
  <c r="N406" i="15"/>
  <c r="M406" i="15"/>
  <c r="L406" i="15"/>
  <c r="K406" i="15"/>
  <c r="J406" i="15"/>
  <c r="R406" i="15" s="1"/>
  <c r="Q405" i="15"/>
  <c r="P405" i="15"/>
  <c r="O405" i="15"/>
  <c r="N405" i="15"/>
  <c r="M405" i="15"/>
  <c r="L405" i="15"/>
  <c r="K405" i="15"/>
  <c r="J405" i="15"/>
  <c r="R405" i="15" s="1"/>
  <c r="Q404" i="15"/>
  <c r="P404" i="15"/>
  <c r="O404" i="15"/>
  <c r="N404" i="15"/>
  <c r="M404" i="15"/>
  <c r="L404" i="15"/>
  <c r="R404" i="15" s="1"/>
  <c r="K404" i="15"/>
  <c r="J404" i="15"/>
  <c r="Q403" i="15"/>
  <c r="P403" i="15"/>
  <c r="O403" i="15"/>
  <c r="N403" i="15"/>
  <c r="M403" i="15"/>
  <c r="L403" i="15"/>
  <c r="K403" i="15"/>
  <c r="J403" i="15"/>
  <c r="R403" i="15" s="1"/>
  <c r="Q402" i="15"/>
  <c r="P402" i="15"/>
  <c r="O402" i="15"/>
  <c r="N402" i="15"/>
  <c r="M402" i="15"/>
  <c r="L402" i="15"/>
  <c r="K402" i="15"/>
  <c r="J402" i="15"/>
  <c r="R402" i="15" s="1"/>
  <c r="Q401" i="15"/>
  <c r="P401" i="15"/>
  <c r="O401" i="15"/>
  <c r="N401" i="15"/>
  <c r="M401" i="15"/>
  <c r="L401" i="15"/>
  <c r="K401" i="15"/>
  <c r="J401" i="15"/>
  <c r="R401" i="15" s="1"/>
  <c r="Q400" i="15"/>
  <c r="P400" i="15"/>
  <c r="O400" i="15"/>
  <c r="N400" i="15"/>
  <c r="M400" i="15"/>
  <c r="L400" i="15"/>
  <c r="K400" i="15"/>
  <c r="J400" i="15"/>
  <c r="R400" i="15" s="1"/>
  <c r="R399" i="15"/>
  <c r="Q399" i="15"/>
  <c r="P399" i="15"/>
  <c r="O399" i="15"/>
  <c r="N399" i="15"/>
  <c r="M399" i="15"/>
  <c r="L399" i="15"/>
  <c r="K399" i="15"/>
  <c r="J399" i="15"/>
  <c r="Q398" i="15"/>
  <c r="P398" i="15"/>
  <c r="O398" i="15"/>
  <c r="N398" i="15"/>
  <c r="M398" i="15"/>
  <c r="L398" i="15"/>
  <c r="K398" i="15"/>
  <c r="J398" i="15"/>
  <c r="R398" i="15" s="1"/>
  <c r="Q397" i="15"/>
  <c r="P397" i="15"/>
  <c r="R397" i="15" s="1"/>
  <c r="O397" i="15"/>
  <c r="N397" i="15"/>
  <c r="M397" i="15"/>
  <c r="L397" i="15"/>
  <c r="K397" i="15"/>
  <c r="J397" i="15"/>
  <c r="Q396" i="15"/>
  <c r="P396" i="15"/>
  <c r="O396" i="15"/>
  <c r="N396" i="15"/>
  <c r="M396" i="15"/>
  <c r="L396" i="15"/>
  <c r="K396" i="15"/>
  <c r="R396" i="15" s="1"/>
  <c r="J396" i="15"/>
  <c r="Q395" i="15"/>
  <c r="P395" i="15"/>
  <c r="O395" i="15"/>
  <c r="N395" i="15"/>
  <c r="M395" i="15"/>
  <c r="L395" i="15"/>
  <c r="K395" i="15"/>
  <c r="J395" i="15"/>
  <c r="R395" i="15" s="1"/>
  <c r="Q394" i="15"/>
  <c r="P394" i="15"/>
  <c r="R394" i="15" s="1"/>
  <c r="O394" i="15"/>
  <c r="N394" i="15"/>
  <c r="M394" i="15"/>
  <c r="L394" i="15"/>
  <c r="K394" i="15"/>
  <c r="J394" i="15"/>
  <c r="Q393" i="15"/>
  <c r="P393" i="15"/>
  <c r="O393" i="15"/>
  <c r="N393" i="15"/>
  <c r="M393" i="15"/>
  <c r="L393" i="15"/>
  <c r="R393" i="15" s="1"/>
  <c r="K393" i="15"/>
  <c r="J393" i="15"/>
  <c r="Q392" i="15"/>
  <c r="P392" i="15"/>
  <c r="O392" i="15"/>
  <c r="N392" i="15"/>
  <c r="M392" i="15"/>
  <c r="L392" i="15"/>
  <c r="K392" i="15"/>
  <c r="J392" i="15"/>
  <c r="R392" i="15" s="1"/>
  <c r="Q391" i="15"/>
  <c r="P391" i="15"/>
  <c r="O391" i="15"/>
  <c r="N391" i="15"/>
  <c r="M391" i="15"/>
  <c r="L391" i="15"/>
  <c r="K391" i="15"/>
  <c r="J391" i="15"/>
  <c r="R391" i="15" s="1"/>
  <c r="Q390" i="15"/>
  <c r="P390" i="15"/>
  <c r="O390" i="15"/>
  <c r="N390" i="15"/>
  <c r="M390" i="15"/>
  <c r="L390" i="15"/>
  <c r="R390" i="15" s="1"/>
  <c r="K390" i="15"/>
  <c r="J390" i="15"/>
  <c r="Q389" i="15"/>
  <c r="P389" i="15"/>
  <c r="O389" i="15"/>
  <c r="N389" i="15"/>
  <c r="M389" i="15"/>
  <c r="L389" i="15"/>
  <c r="K389" i="15"/>
  <c r="J389" i="15"/>
  <c r="R389" i="15" s="1"/>
  <c r="Q388" i="15"/>
  <c r="R388" i="15" s="1"/>
  <c r="P388" i="15"/>
  <c r="O388" i="15"/>
  <c r="N388" i="15"/>
  <c r="M388" i="15"/>
  <c r="L388" i="15"/>
  <c r="K388" i="15"/>
  <c r="J388" i="15"/>
  <c r="Q387" i="15"/>
  <c r="P387" i="15"/>
  <c r="O387" i="15"/>
  <c r="N387" i="15"/>
  <c r="M387" i="15"/>
  <c r="L387" i="15"/>
  <c r="K387" i="15"/>
  <c r="J387" i="15"/>
  <c r="R387" i="15" s="1"/>
  <c r="Q386" i="15"/>
  <c r="P386" i="15"/>
  <c r="O386" i="15"/>
  <c r="N386" i="15"/>
  <c r="M386" i="15"/>
  <c r="L386" i="15"/>
  <c r="K386" i="15"/>
  <c r="J386" i="15"/>
  <c r="R386" i="15" s="1"/>
  <c r="Q385" i="15"/>
  <c r="P385" i="15"/>
  <c r="O385" i="15"/>
  <c r="N385" i="15"/>
  <c r="M385" i="15"/>
  <c r="L385" i="15"/>
  <c r="K385" i="15"/>
  <c r="J385" i="15"/>
  <c r="R385" i="15" s="1"/>
  <c r="Q384" i="15"/>
  <c r="P384" i="15"/>
  <c r="O384" i="15"/>
  <c r="N384" i="15"/>
  <c r="M384" i="15"/>
  <c r="L384" i="15"/>
  <c r="R384" i="15" s="1"/>
  <c r="K384" i="15"/>
  <c r="J384" i="15"/>
  <c r="Q383" i="15"/>
  <c r="P383" i="15"/>
  <c r="O383" i="15"/>
  <c r="R383" i="15" s="1"/>
  <c r="N383" i="15"/>
  <c r="M383" i="15"/>
  <c r="L383" i="15"/>
  <c r="K383" i="15"/>
  <c r="J383" i="15"/>
  <c r="Q382" i="15"/>
  <c r="P382" i="15"/>
  <c r="O382" i="15"/>
  <c r="N382" i="15"/>
  <c r="M382" i="15"/>
  <c r="L382" i="15"/>
  <c r="K382" i="15"/>
  <c r="J382" i="15"/>
  <c r="R382" i="15" s="1"/>
  <c r="Q381" i="15"/>
  <c r="P381" i="15"/>
  <c r="O381" i="15"/>
  <c r="N381" i="15"/>
  <c r="M381" i="15"/>
  <c r="L381" i="15"/>
  <c r="K381" i="15"/>
  <c r="J381" i="15"/>
  <c r="R381" i="15" s="1"/>
  <c r="Q380" i="15"/>
  <c r="P380" i="15"/>
  <c r="O380" i="15"/>
  <c r="N380" i="15"/>
  <c r="M380" i="15"/>
  <c r="L380" i="15"/>
  <c r="K380" i="15"/>
  <c r="J380" i="15"/>
  <c r="R380" i="15" s="1"/>
  <c r="R379" i="15"/>
  <c r="Q379" i="15"/>
  <c r="P379" i="15"/>
  <c r="O379" i="15"/>
  <c r="N379" i="15"/>
  <c r="M379" i="15"/>
  <c r="L379" i="15"/>
  <c r="K379" i="15"/>
  <c r="J379" i="15"/>
  <c r="Q378" i="15"/>
  <c r="P378" i="15"/>
  <c r="O378" i="15"/>
  <c r="N378" i="15"/>
  <c r="M378" i="15"/>
  <c r="L378" i="15"/>
  <c r="K378" i="15"/>
  <c r="J378" i="15"/>
  <c r="R378" i="15" s="1"/>
  <c r="Q377" i="15"/>
  <c r="P377" i="15"/>
  <c r="R377" i="15" s="1"/>
  <c r="O377" i="15"/>
  <c r="N377" i="15"/>
  <c r="M377" i="15"/>
  <c r="L377" i="15"/>
  <c r="K377" i="15"/>
  <c r="J377" i="15"/>
  <c r="Q376" i="15"/>
  <c r="P376" i="15"/>
  <c r="O376" i="15"/>
  <c r="N376" i="15"/>
  <c r="M376" i="15"/>
  <c r="L376" i="15"/>
  <c r="K376" i="15"/>
  <c r="R376" i="15" s="1"/>
  <c r="J376" i="15"/>
  <c r="Q375" i="15"/>
  <c r="P375" i="15"/>
  <c r="O375" i="15"/>
  <c r="N375" i="15"/>
  <c r="M375" i="15"/>
  <c r="L375" i="15"/>
  <c r="K375" i="15"/>
  <c r="J375" i="15"/>
  <c r="R375" i="15" s="1"/>
  <c r="Q374" i="15"/>
  <c r="P374" i="15"/>
  <c r="R374" i="15" s="1"/>
  <c r="O374" i="15"/>
  <c r="N374" i="15"/>
  <c r="M374" i="15"/>
  <c r="L374" i="15"/>
  <c r="K374" i="15"/>
  <c r="J374" i="15"/>
  <c r="Q373" i="15"/>
  <c r="P373" i="15"/>
  <c r="O373" i="15"/>
  <c r="N373" i="15"/>
  <c r="M373" i="15"/>
  <c r="L373" i="15"/>
  <c r="R373" i="15" s="1"/>
  <c r="K373" i="15"/>
  <c r="J373" i="15"/>
  <c r="Q372" i="15"/>
  <c r="P372" i="15"/>
  <c r="O372" i="15"/>
  <c r="N372" i="15"/>
  <c r="M372" i="15"/>
  <c r="L372" i="15"/>
  <c r="K372" i="15"/>
  <c r="J372" i="15"/>
  <c r="R372" i="15" s="1"/>
  <c r="Q371" i="15"/>
  <c r="P371" i="15"/>
  <c r="O371" i="15"/>
  <c r="N371" i="15"/>
  <c r="M371" i="15"/>
  <c r="L371" i="15"/>
  <c r="K371" i="15"/>
  <c r="J371" i="15"/>
  <c r="R371" i="15" s="1"/>
  <c r="Q370" i="15"/>
  <c r="P370" i="15"/>
  <c r="O370" i="15"/>
  <c r="N370" i="15"/>
  <c r="M370" i="15"/>
  <c r="L370" i="15"/>
  <c r="R370" i="15" s="1"/>
  <c r="K370" i="15"/>
  <c r="J370" i="15"/>
  <c r="Q369" i="15"/>
  <c r="P369" i="15"/>
  <c r="O369" i="15"/>
  <c r="N369" i="15"/>
  <c r="M369" i="15"/>
  <c r="L369" i="15"/>
  <c r="K369" i="15"/>
  <c r="J369" i="15"/>
  <c r="R369" i="15" s="1"/>
  <c r="Q368" i="15"/>
  <c r="R368" i="15" s="1"/>
  <c r="P368" i="15"/>
  <c r="O368" i="15"/>
  <c r="N368" i="15"/>
  <c r="M368" i="15"/>
  <c r="L368" i="15"/>
  <c r="K368" i="15"/>
  <c r="J368" i="15"/>
  <c r="Q367" i="15"/>
  <c r="P367" i="15"/>
  <c r="O367" i="15"/>
  <c r="N367" i="15"/>
  <c r="M367" i="15"/>
  <c r="L367" i="15"/>
  <c r="K367" i="15"/>
  <c r="J367" i="15"/>
  <c r="R367" i="15" s="1"/>
  <c r="Q366" i="15"/>
  <c r="P366" i="15"/>
  <c r="O366" i="15"/>
  <c r="N366" i="15"/>
  <c r="M366" i="15"/>
  <c r="L366" i="15"/>
  <c r="K366" i="15"/>
  <c r="J366" i="15"/>
  <c r="R366" i="15" s="1"/>
  <c r="Q365" i="15"/>
  <c r="P365" i="15"/>
  <c r="O365" i="15"/>
  <c r="N365" i="15"/>
  <c r="M365" i="15"/>
  <c r="L365" i="15"/>
  <c r="K365" i="15"/>
  <c r="J365" i="15"/>
  <c r="R365" i="15" s="1"/>
  <c r="Q364" i="15"/>
  <c r="P364" i="15"/>
  <c r="O364" i="15"/>
  <c r="N364" i="15"/>
  <c r="M364" i="15"/>
  <c r="L364" i="15"/>
  <c r="R364" i="15" s="1"/>
  <c r="K364" i="15"/>
  <c r="J364" i="15"/>
  <c r="Q363" i="15"/>
  <c r="P363" i="15"/>
  <c r="O363" i="15"/>
  <c r="R363" i="15" s="1"/>
  <c r="N363" i="15"/>
  <c r="M363" i="15"/>
  <c r="L363" i="15"/>
  <c r="K363" i="15"/>
  <c r="J363" i="15"/>
  <c r="Q362" i="15"/>
  <c r="P362" i="15"/>
  <c r="O362" i="15"/>
  <c r="N362" i="15"/>
  <c r="M362" i="15"/>
  <c r="L362" i="15"/>
  <c r="K362" i="15"/>
  <c r="J362" i="15"/>
  <c r="R362" i="15" s="1"/>
  <c r="Q361" i="15"/>
  <c r="P361" i="15"/>
  <c r="O361" i="15"/>
  <c r="N361" i="15"/>
  <c r="M361" i="15"/>
  <c r="L361" i="15"/>
  <c r="K361" i="15"/>
  <c r="J361" i="15"/>
  <c r="R361" i="15" s="1"/>
  <c r="Q360" i="15"/>
  <c r="P360" i="15"/>
  <c r="O360" i="15"/>
  <c r="N360" i="15"/>
  <c r="M360" i="15"/>
  <c r="L360" i="15"/>
  <c r="K360" i="15"/>
  <c r="J360" i="15"/>
  <c r="R360" i="15" s="1"/>
  <c r="R359" i="15"/>
  <c r="Q359" i="15"/>
  <c r="P359" i="15"/>
  <c r="O359" i="15"/>
  <c r="N359" i="15"/>
  <c r="M359" i="15"/>
  <c r="L359" i="15"/>
  <c r="K359" i="15"/>
  <c r="J359" i="15"/>
  <c r="Q358" i="15"/>
  <c r="P358" i="15"/>
  <c r="O358" i="15"/>
  <c r="N358" i="15"/>
  <c r="M358" i="15"/>
  <c r="L358" i="15"/>
  <c r="K358" i="15"/>
  <c r="J358" i="15"/>
  <c r="R358" i="15" s="1"/>
  <c r="Q357" i="15"/>
  <c r="P357" i="15"/>
  <c r="R357" i="15" s="1"/>
  <c r="O357" i="15"/>
  <c r="N357" i="15"/>
  <c r="M357" i="15"/>
  <c r="L357" i="15"/>
  <c r="K357" i="15"/>
  <c r="J357" i="15"/>
  <c r="Q356" i="15"/>
  <c r="P356" i="15"/>
  <c r="O356" i="15"/>
  <c r="N356" i="15"/>
  <c r="M356" i="15"/>
  <c r="L356" i="15"/>
  <c r="K356" i="15"/>
  <c r="R356" i="15" s="1"/>
  <c r="J356" i="15"/>
  <c r="Q355" i="15"/>
  <c r="P355" i="15"/>
  <c r="O355" i="15"/>
  <c r="N355" i="15"/>
  <c r="M355" i="15"/>
  <c r="L355" i="15"/>
  <c r="K355" i="15"/>
  <c r="J355" i="15"/>
  <c r="R355" i="15" s="1"/>
  <c r="Q354" i="15"/>
  <c r="P354" i="15"/>
  <c r="R354" i="15" s="1"/>
  <c r="O354" i="15"/>
  <c r="N354" i="15"/>
  <c r="M354" i="15"/>
  <c r="L354" i="15"/>
  <c r="K354" i="15"/>
  <c r="J354" i="15"/>
  <c r="Q353" i="15"/>
  <c r="P353" i="15"/>
  <c r="O353" i="15"/>
  <c r="N353" i="15"/>
  <c r="M353" i="15"/>
  <c r="L353" i="15"/>
  <c r="R353" i="15" s="1"/>
  <c r="K353" i="15"/>
  <c r="J353" i="15"/>
  <c r="Q352" i="15"/>
  <c r="P352" i="15"/>
  <c r="O352" i="15"/>
  <c r="N352" i="15"/>
  <c r="M352" i="15"/>
  <c r="L352" i="15"/>
  <c r="K352" i="15"/>
  <c r="J352" i="15"/>
  <c r="R352" i="15" s="1"/>
  <c r="Q351" i="15"/>
  <c r="P351" i="15"/>
  <c r="O351" i="15"/>
  <c r="N351" i="15"/>
  <c r="M351" i="15"/>
  <c r="L351" i="15"/>
  <c r="K351" i="15"/>
  <c r="J351" i="15"/>
  <c r="R351" i="15" s="1"/>
  <c r="Q350" i="15"/>
  <c r="P350" i="15"/>
  <c r="O350" i="15"/>
  <c r="N350" i="15"/>
  <c r="M350" i="15"/>
  <c r="L350" i="15"/>
  <c r="R350" i="15" s="1"/>
  <c r="K350" i="15"/>
  <c r="J350" i="15"/>
  <c r="Q349" i="15"/>
  <c r="P349" i="15"/>
  <c r="O349" i="15"/>
  <c r="N349" i="15"/>
  <c r="M349" i="15"/>
  <c r="L349" i="15"/>
  <c r="K349" i="15"/>
  <c r="J349" i="15"/>
  <c r="R349" i="15" s="1"/>
  <c r="Q348" i="15"/>
  <c r="R348" i="15" s="1"/>
  <c r="P348" i="15"/>
  <c r="O348" i="15"/>
  <c r="N348" i="15"/>
  <c r="M348" i="15"/>
  <c r="L348" i="15"/>
  <c r="K348" i="15"/>
  <c r="J348" i="15"/>
  <c r="Q347" i="15"/>
  <c r="P347" i="15"/>
  <c r="O347" i="15"/>
  <c r="N347" i="15"/>
  <c r="M347" i="15"/>
  <c r="L347" i="15"/>
  <c r="K347" i="15"/>
  <c r="J347" i="15"/>
  <c r="R347" i="15" s="1"/>
  <c r="Q346" i="15"/>
  <c r="P346" i="15"/>
  <c r="O346" i="15"/>
  <c r="N346" i="15"/>
  <c r="M346" i="15"/>
  <c r="L346" i="15"/>
  <c r="K346" i="15"/>
  <c r="J346" i="15"/>
  <c r="R346" i="15" s="1"/>
  <c r="Q345" i="15"/>
  <c r="P345" i="15"/>
  <c r="O345" i="15"/>
  <c r="N345" i="15"/>
  <c r="M345" i="15"/>
  <c r="L345" i="15"/>
  <c r="K345" i="15"/>
  <c r="J345" i="15"/>
  <c r="R345" i="15" s="1"/>
  <c r="Q344" i="15"/>
  <c r="P344" i="15"/>
  <c r="O344" i="15"/>
  <c r="N344" i="15"/>
  <c r="M344" i="15"/>
  <c r="L344" i="15"/>
  <c r="R344" i="15" s="1"/>
  <c r="K344" i="15"/>
  <c r="J344" i="15"/>
  <c r="Q343" i="15"/>
  <c r="P343" i="15"/>
  <c r="O343" i="15"/>
  <c r="N343" i="15"/>
  <c r="M343" i="15"/>
  <c r="L343" i="15"/>
  <c r="K343" i="15"/>
  <c r="R343" i="15" s="1"/>
  <c r="J343" i="15"/>
  <c r="Q342" i="15"/>
  <c r="P342" i="15"/>
  <c r="O342" i="15"/>
  <c r="N342" i="15"/>
  <c r="M342" i="15"/>
  <c r="L342" i="15"/>
  <c r="K342" i="15"/>
  <c r="J342" i="15"/>
  <c r="R342" i="15" s="1"/>
  <c r="Q341" i="15"/>
  <c r="P341" i="15"/>
  <c r="O341" i="15"/>
  <c r="N341" i="15"/>
  <c r="M341" i="15"/>
  <c r="L341" i="15"/>
  <c r="K341" i="15"/>
  <c r="J341" i="15"/>
  <c r="R341" i="15" s="1"/>
  <c r="Q340" i="15"/>
  <c r="P340" i="15"/>
  <c r="O340" i="15"/>
  <c r="N340" i="15"/>
  <c r="M340" i="15"/>
  <c r="L340" i="15"/>
  <c r="K340" i="15"/>
  <c r="J340" i="15"/>
  <c r="R340" i="15" s="1"/>
  <c r="R339" i="15"/>
  <c r="Q339" i="15"/>
  <c r="P339" i="15"/>
  <c r="O339" i="15"/>
  <c r="N339" i="15"/>
  <c r="M339" i="15"/>
  <c r="L339" i="15"/>
  <c r="K339" i="15"/>
  <c r="J339" i="15"/>
  <c r="Q338" i="15"/>
  <c r="P338" i="15"/>
  <c r="O338" i="15"/>
  <c r="N338" i="15"/>
  <c r="M338" i="15"/>
  <c r="L338" i="15"/>
  <c r="K338" i="15"/>
  <c r="J338" i="15"/>
  <c r="R338" i="15" s="1"/>
  <c r="Q337" i="15"/>
  <c r="P337" i="15"/>
  <c r="R337" i="15" s="1"/>
  <c r="O337" i="15"/>
  <c r="N337" i="15"/>
  <c r="M337" i="15"/>
  <c r="L337" i="15"/>
  <c r="K337" i="15"/>
  <c r="J337" i="15"/>
  <c r="Q336" i="15"/>
  <c r="P336" i="15"/>
  <c r="O336" i="15"/>
  <c r="N336" i="15"/>
  <c r="M336" i="15"/>
  <c r="L336" i="15"/>
  <c r="K336" i="15"/>
  <c r="R336" i="15" s="1"/>
  <c r="J336" i="15"/>
  <c r="Q335" i="15"/>
  <c r="P335" i="15"/>
  <c r="O335" i="15"/>
  <c r="N335" i="15"/>
  <c r="M335" i="15"/>
  <c r="L335" i="15"/>
  <c r="K335" i="15"/>
  <c r="J335" i="15"/>
  <c r="R335" i="15" s="1"/>
  <c r="Q334" i="15"/>
  <c r="P334" i="15"/>
  <c r="R334" i="15" s="1"/>
  <c r="O334" i="15"/>
  <c r="N334" i="15"/>
  <c r="M334" i="15"/>
  <c r="L334" i="15"/>
  <c r="K334" i="15"/>
  <c r="J334" i="15"/>
  <c r="Q333" i="15"/>
  <c r="P333" i="15"/>
  <c r="O333" i="15"/>
  <c r="N333" i="15"/>
  <c r="M333" i="15"/>
  <c r="L333" i="15"/>
  <c r="R333" i="15" s="1"/>
  <c r="K333" i="15"/>
  <c r="J333" i="15"/>
  <c r="Q332" i="15"/>
  <c r="P332" i="15"/>
  <c r="O332" i="15"/>
  <c r="N332" i="15"/>
  <c r="M332" i="15"/>
  <c r="L332" i="15"/>
  <c r="K332" i="15"/>
  <c r="J332" i="15"/>
  <c r="R332" i="15" s="1"/>
  <c r="Q331" i="15"/>
  <c r="P331" i="15"/>
  <c r="O331" i="15"/>
  <c r="N331" i="15"/>
  <c r="M331" i="15"/>
  <c r="L331" i="15"/>
  <c r="K331" i="15"/>
  <c r="J331" i="15"/>
  <c r="R331" i="15" s="1"/>
  <c r="Q330" i="15"/>
  <c r="P330" i="15"/>
  <c r="O330" i="15"/>
  <c r="N330" i="15"/>
  <c r="M330" i="15"/>
  <c r="L330" i="15"/>
  <c r="R330" i="15" s="1"/>
  <c r="K330" i="15"/>
  <c r="J330" i="15"/>
  <c r="Q329" i="15"/>
  <c r="P329" i="15"/>
  <c r="O329" i="15"/>
  <c r="N329" i="15"/>
  <c r="M329" i="15"/>
  <c r="L329" i="15"/>
  <c r="K329" i="15"/>
  <c r="J329" i="15"/>
  <c r="R329" i="15" s="1"/>
  <c r="Q328" i="15"/>
  <c r="R328" i="15" s="1"/>
  <c r="P328" i="15"/>
  <c r="O328" i="15"/>
  <c r="N328" i="15"/>
  <c r="M328" i="15"/>
  <c r="L328" i="15"/>
  <c r="K328" i="15"/>
  <c r="J328" i="15"/>
  <c r="Q327" i="15"/>
  <c r="P327" i="15"/>
  <c r="O327" i="15"/>
  <c r="N327" i="15"/>
  <c r="M327" i="15"/>
  <c r="L327" i="15"/>
  <c r="K327" i="15"/>
  <c r="J327" i="15"/>
  <c r="R327" i="15" s="1"/>
  <c r="Q326" i="15"/>
  <c r="P326" i="15"/>
  <c r="O326" i="15"/>
  <c r="N326" i="15"/>
  <c r="M326" i="15"/>
  <c r="L326" i="15"/>
  <c r="K326" i="15"/>
  <c r="J326" i="15"/>
  <c r="R326" i="15" s="1"/>
  <c r="Q325" i="15"/>
  <c r="P325" i="15"/>
  <c r="O325" i="15"/>
  <c r="N325" i="15"/>
  <c r="M325" i="15"/>
  <c r="L325" i="15"/>
  <c r="K325" i="15"/>
  <c r="J325" i="15"/>
  <c r="R325" i="15" s="1"/>
  <c r="Q324" i="15"/>
  <c r="P324" i="15"/>
  <c r="O324" i="15"/>
  <c r="N324" i="15"/>
  <c r="M324" i="15"/>
  <c r="L324" i="15"/>
  <c r="R324" i="15" s="1"/>
  <c r="K324" i="15"/>
  <c r="J324" i="15"/>
  <c r="Q323" i="15"/>
  <c r="P323" i="15"/>
  <c r="O323" i="15"/>
  <c r="N323" i="15"/>
  <c r="M323" i="15"/>
  <c r="L323" i="15"/>
  <c r="K323" i="15"/>
  <c r="R323" i="15" s="1"/>
  <c r="J323" i="15"/>
  <c r="Q322" i="15"/>
  <c r="P322" i="15"/>
  <c r="O322" i="15"/>
  <c r="N322" i="15"/>
  <c r="M322" i="15"/>
  <c r="L322" i="15"/>
  <c r="K322" i="15"/>
  <c r="J322" i="15"/>
  <c r="R322" i="15" s="1"/>
  <c r="Q321" i="15"/>
  <c r="P321" i="15"/>
  <c r="O321" i="15"/>
  <c r="N321" i="15"/>
  <c r="M321" i="15"/>
  <c r="L321" i="15"/>
  <c r="K321" i="15"/>
  <c r="J321" i="15"/>
  <c r="R321" i="15" s="1"/>
  <c r="Q320" i="15"/>
  <c r="P320" i="15"/>
  <c r="O320" i="15"/>
  <c r="N320" i="15"/>
  <c r="M320" i="15"/>
  <c r="L320" i="15"/>
  <c r="K320" i="15"/>
  <c r="J320" i="15"/>
  <c r="R320" i="15" s="1"/>
  <c r="R319" i="15"/>
  <c r="Q319" i="15"/>
  <c r="P319" i="15"/>
  <c r="O319" i="15"/>
  <c r="N319" i="15"/>
  <c r="M319" i="15"/>
  <c r="L319" i="15"/>
  <c r="K319" i="15"/>
  <c r="J319" i="15"/>
  <c r="Q318" i="15"/>
  <c r="P318" i="15"/>
  <c r="O318" i="15"/>
  <c r="N318" i="15"/>
  <c r="M318" i="15"/>
  <c r="L318" i="15"/>
  <c r="K318" i="15"/>
  <c r="J318" i="15"/>
  <c r="R318" i="15" s="1"/>
  <c r="Q317" i="15"/>
  <c r="P317" i="15"/>
  <c r="R317" i="15" s="1"/>
  <c r="O317" i="15"/>
  <c r="N317" i="15"/>
  <c r="M317" i="15"/>
  <c r="L317" i="15"/>
  <c r="K317" i="15"/>
  <c r="J317" i="15"/>
  <c r="Q316" i="15"/>
  <c r="P316" i="15"/>
  <c r="O316" i="15"/>
  <c r="N316" i="15"/>
  <c r="M316" i="15"/>
  <c r="L316" i="15"/>
  <c r="K316" i="15"/>
  <c r="R316" i="15" s="1"/>
  <c r="J316" i="15"/>
  <c r="Q315" i="15"/>
  <c r="P315" i="15"/>
  <c r="O315" i="15"/>
  <c r="N315" i="15"/>
  <c r="M315" i="15"/>
  <c r="L315" i="15"/>
  <c r="K315" i="15"/>
  <c r="J315" i="15"/>
  <c r="R315" i="15" s="1"/>
  <c r="Q314" i="15"/>
  <c r="P314" i="15"/>
  <c r="R314" i="15" s="1"/>
  <c r="O314" i="15"/>
  <c r="N314" i="15"/>
  <c r="M314" i="15"/>
  <c r="L314" i="15"/>
  <c r="K314" i="15"/>
  <c r="J314" i="15"/>
  <c r="Q313" i="15"/>
  <c r="P313" i="15"/>
  <c r="O313" i="15"/>
  <c r="N313" i="15"/>
  <c r="M313" i="15"/>
  <c r="L313" i="15"/>
  <c r="R313" i="15" s="1"/>
  <c r="K313" i="15"/>
  <c r="J313" i="15"/>
  <c r="Q312" i="15"/>
  <c r="P312" i="15"/>
  <c r="O312" i="15"/>
  <c r="N312" i="15"/>
  <c r="M312" i="15"/>
  <c r="L312" i="15"/>
  <c r="K312" i="15"/>
  <c r="J312" i="15"/>
  <c r="R312" i="15" s="1"/>
  <c r="Q311" i="15"/>
  <c r="P311" i="15"/>
  <c r="O311" i="15"/>
  <c r="N311" i="15"/>
  <c r="M311" i="15"/>
  <c r="L311" i="15"/>
  <c r="K311" i="15"/>
  <c r="J311" i="15"/>
  <c r="R311" i="15" s="1"/>
  <c r="Q310" i="15"/>
  <c r="P310" i="15"/>
  <c r="O310" i="15"/>
  <c r="N310" i="15"/>
  <c r="M310" i="15"/>
  <c r="L310" i="15"/>
  <c r="R310" i="15" s="1"/>
  <c r="K310" i="15"/>
  <c r="J310" i="15"/>
  <c r="Q309" i="15"/>
  <c r="P309" i="15"/>
  <c r="O309" i="15"/>
  <c r="N309" i="15"/>
  <c r="M309" i="15"/>
  <c r="L309" i="15"/>
  <c r="K309" i="15"/>
  <c r="J309" i="15"/>
  <c r="R309" i="15" s="1"/>
  <c r="Q308" i="15"/>
  <c r="R308" i="15" s="1"/>
  <c r="P308" i="15"/>
  <c r="O308" i="15"/>
  <c r="N308" i="15"/>
  <c r="M308" i="15"/>
  <c r="L308" i="15"/>
  <c r="K308" i="15"/>
  <c r="J308" i="15"/>
  <c r="Q307" i="15"/>
  <c r="P307" i="15"/>
  <c r="O307" i="15"/>
  <c r="N307" i="15"/>
  <c r="M307" i="15"/>
  <c r="L307" i="15"/>
  <c r="K307" i="15"/>
  <c r="J307" i="15"/>
  <c r="R307" i="15" s="1"/>
  <c r="Q306" i="15"/>
  <c r="P306" i="15"/>
  <c r="O306" i="15"/>
  <c r="N306" i="15"/>
  <c r="M306" i="15"/>
  <c r="L306" i="15"/>
  <c r="K306" i="15"/>
  <c r="J306" i="15"/>
  <c r="R306" i="15" s="1"/>
  <c r="Q305" i="15"/>
  <c r="P305" i="15"/>
  <c r="O305" i="15"/>
  <c r="N305" i="15"/>
  <c r="M305" i="15"/>
  <c r="L305" i="15"/>
  <c r="K305" i="15"/>
  <c r="J305" i="15"/>
  <c r="R305" i="15" s="1"/>
  <c r="Q304" i="15"/>
  <c r="P304" i="15"/>
  <c r="O304" i="15"/>
  <c r="N304" i="15"/>
  <c r="M304" i="15"/>
  <c r="L304" i="15"/>
  <c r="R304" i="15" s="1"/>
  <c r="K304" i="15"/>
  <c r="J304" i="15"/>
  <c r="Q303" i="15"/>
  <c r="P303" i="15"/>
  <c r="O303" i="15"/>
  <c r="N303" i="15"/>
  <c r="M303" i="15"/>
  <c r="L303" i="15"/>
  <c r="K303" i="15"/>
  <c r="R303" i="15" s="1"/>
  <c r="J303" i="15"/>
  <c r="Q302" i="15"/>
  <c r="P302" i="15"/>
  <c r="O302" i="15"/>
  <c r="N302" i="15"/>
  <c r="M302" i="15"/>
  <c r="L302" i="15"/>
  <c r="K302" i="15"/>
  <c r="J302" i="15"/>
  <c r="R302" i="15" s="1"/>
  <c r="Q301" i="15"/>
  <c r="P301" i="15"/>
  <c r="O301" i="15"/>
  <c r="N301" i="15"/>
  <c r="M301" i="15"/>
  <c r="L301" i="15"/>
  <c r="K301" i="15"/>
  <c r="J301" i="15"/>
  <c r="R301" i="15" s="1"/>
  <c r="Q300" i="15"/>
  <c r="P300" i="15"/>
  <c r="O300" i="15"/>
  <c r="N300" i="15"/>
  <c r="M300" i="15"/>
  <c r="L300" i="15"/>
  <c r="K300" i="15"/>
  <c r="J300" i="15"/>
  <c r="R300" i="15" s="1"/>
  <c r="R299" i="15"/>
  <c r="Q299" i="15"/>
  <c r="P299" i="15"/>
  <c r="O299" i="15"/>
  <c r="N299" i="15"/>
  <c r="M299" i="15"/>
  <c r="L299" i="15"/>
  <c r="K299" i="15"/>
  <c r="J299" i="15"/>
  <c r="Q298" i="15"/>
  <c r="P298" i="15"/>
  <c r="O298" i="15"/>
  <c r="N298" i="15"/>
  <c r="M298" i="15"/>
  <c r="L298" i="15"/>
  <c r="K298" i="15"/>
  <c r="J298" i="15"/>
  <c r="R298" i="15" s="1"/>
  <c r="Q297" i="15"/>
  <c r="P297" i="15"/>
  <c r="R297" i="15" s="1"/>
  <c r="O297" i="15"/>
  <c r="N297" i="15"/>
  <c r="M297" i="15"/>
  <c r="L297" i="15"/>
  <c r="K297" i="15"/>
  <c r="J297" i="15"/>
  <c r="Q296" i="15"/>
  <c r="P296" i="15"/>
  <c r="O296" i="15"/>
  <c r="N296" i="15"/>
  <c r="M296" i="15"/>
  <c r="L296" i="15"/>
  <c r="K296" i="15"/>
  <c r="R296" i="15" s="1"/>
  <c r="J296" i="15"/>
  <c r="Q295" i="15"/>
  <c r="P295" i="15"/>
  <c r="O295" i="15"/>
  <c r="N295" i="15"/>
  <c r="M295" i="15"/>
  <c r="L295" i="15"/>
  <c r="K295" i="15"/>
  <c r="J295" i="15"/>
  <c r="R295" i="15" s="1"/>
  <c r="Q294" i="15"/>
  <c r="P294" i="15"/>
  <c r="R294" i="15" s="1"/>
  <c r="O294" i="15"/>
  <c r="N294" i="15"/>
  <c r="M294" i="15"/>
  <c r="L294" i="15"/>
  <c r="K294" i="15"/>
  <c r="J294" i="15"/>
  <c r="Q293" i="15"/>
  <c r="P293" i="15"/>
  <c r="O293" i="15"/>
  <c r="N293" i="15"/>
  <c r="M293" i="15"/>
  <c r="L293" i="15"/>
  <c r="R293" i="15" s="1"/>
  <c r="K293" i="15"/>
  <c r="J293" i="15"/>
  <c r="Q292" i="15"/>
  <c r="P292" i="15"/>
  <c r="O292" i="15"/>
  <c r="N292" i="15"/>
  <c r="M292" i="15"/>
  <c r="L292" i="15"/>
  <c r="K292" i="15"/>
  <c r="J292" i="15"/>
  <c r="R292" i="15" s="1"/>
  <c r="Q291" i="15"/>
  <c r="P291" i="15"/>
  <c r="O291" i="15"/>
  <c r="N291" i="15"/>
  <c r="M291" i="15"/>
  <c r="L291" i="15"/>
  <c r="K291" i="15"/>
  <c r="J291" i="15"/>
  <c r="R291" i="15" s="1"/>
  <c r="Q290" i="15"/>
  <c r="P290" i="15"/>
  <c r="O290" i="15"/>
  <c r="N290" i="15"/>
  <c r="M290" i="15"/>
  <c r="L290" i="15"/>
  <c r="R290" i="15" s="1"/>
  <c r="K290" i="15"/>
  <c r="J290" i="15"/>
  <c r="Q289" i="15"/>
  <c r="P289" i="15"/>
  <c r="O289" i="15"/>
  <c r="N289" i="15"/>
  <c r="M289" i="15"/>
  <c r="L289" i="15"/>
  <c r="K289" i="15"/>
  <c r="J289" i="15"/>
  <c r="R289" i="15" s="1"/>
  <c r="Q288" i="15"/>
  <c r="R288" i="15" s="1"/>
  <c r="P288" i="15"/>
  <c r="O288" i="15"/>
  <c r="N288" i="15"/>
  <c r="M288" i="15"/>
  <c r="L288" i="15"/>
  <c r="K288" i="15"/>
  <c r="J288" i="15"/>
  <c r="Q287" i="15"/>
  <c r="P287" i="15"/>
  <c r="O287" i="15"/>
  <c r="N287" i="15"/>
  <c r="M287" i="15"/>
  <c r="L287" i="15"/>
  <c r="K287" i="15"/>
  <c r="J287" i="15"/>
  <c r="R287" i="15" s="1"/>
  <c r="Q286" i="15"/>
  <c r="P286" i="15"/>
  <c r="O286" i="15"/>
  <c r="N286" i="15"/>
  <c r="M286" i="15"/>
  <c r="L286" i="15"/>
  <c r="K286" i="15"/>
  <c r="J286" i="15"/>
  <c r="R286" i="15" s="1"/>
  <c r="Q285" i="15"/>
  <c r="P285" i="15"/>
  <c r="O285" i="15"/>
  <c r="N285" i="15"/>
  <c r="M285" i="15"/>
  <c r="L285" i="15"/>
  <c r="K285" i="15"/>
  <c r="J285" i="15"/>
  <c r="R285" i="15" s="1"/>
  <c r="Q284" i="15"/>
  <c r="P284" i="15"/>
  <c r="O284" i="15"/>
  <c r="N284" i="15"/>
  <c r="M284" i="15"/>
  <c r="L284" i="15"/>
  <c r="R284" i="15" s="1"/>
  <c r="K284" i="15"/>
  <c r="J284" i="15"/>
  <c r="Q283" i="15"/>
  <c r="P283" i="15"/>
  <c r="O283" i="15"/>
  <c r="N283" i="15"/>
  <c r="M283" i="15"/>
  <c r="L283" i="15"/>
  <c r="K283" i="15"/>
  <c r="R283" i="15" s="1"/>
  <c r="J283" i="15"/>
  <c r="Q282" i="15"/>
  <c r="P282" i="15"/>
  <c r="O282" i="15"/>
  <c r="N282" i="15"/>
  <c r="M282" i="15"/>
  <c r="L282" i="15"/>
  <c r="K282" i="15"/>
  <c r="J282" i="15"/>
  <c r="R282" i="15" s="1"/>
  <c r="Q281" i="15"/>
  <c r="P281" i="15"/>
  <c r="O281" i="15"/>
  <c r="N281" i="15"/>
  <c r="M281" i="15"/>
  <c r="L281" i="15"/>
  <c r="K281" i="15"/>
  <c r="J281" i="15"/>
  <c r="R281" i="15" s="1"/>
  <c r="Q280" i="15"/>
  <c r="P280" i="15"/>
  <c r="O280" i="15"/>
  <c r="N280" i="15"/>
  <c r="M280" i="15"/>
  <c r="L280" i="15"/>
  <c r="K280" i="15"/>
  <c r="J280" i="15"/>
  <c r="R280" i="15" s="1"/>
  <c r="R279" i="15"/>
  <c r="Q279" i="15"/>
  <c r="P279" i="15"/>
  <c r="O279" i="15"/>
  <c r="N279" i="15"/>
  <c r="M279" i="15"/>
  <c r="L279" i="15"/>
  <c r="K279" i="15"/>
  <c r="J279" i="15"/>
  <c r="Q278" i="15"/>
  <c r="P278" i="15"/>
  <c r="O278" i="15"/>
  <c r="N278" i="15"/>
  <c r="M278" i="15"/>
  <c r="L278" i="15"/>
  <c r="K278" i="15"/>
  <c r="J278" i="15"/>
  <c r="R278" i="15" s="1"/>
  <c r="Q277" i="15"/>
  <c r="P277" i="15"/>
  <c r="R277" i="15" s="1"/>
  <c r="O277" i="15"/>
  <c r="N277" i="15"/>
  <c r="M277" i="15"/>
  <c r="L277" i="15"/>
  <c r="K277" i="15"/>
  <c r="J277" i="15"/>
  <c r="Q276" i="15"/>
  <c r="P276" i="15"/>
  <c r="O276" i="15"/>
  <c r="N276" i="15"/>
  <c r="M276" i="15"/>
  <c r="L276" i="15"/>
  <c r="K276" i="15"/>
  <c r="R276" i="15" s="1"/>
  <c r="J276" i="15"/>
  <c r="Q275" i="15"/>
  <c r="P275" i="15"/>
  <c r="O275" i="15"/>
  <c r="N275" i="15"/>
  <c r="M275" i="15"/>
  <c r="L275" i="15"/>
  <c r="K275" i="15"/>
  <c r="J275" i="15"/>
  <c r="R275" i="15" s="1"/>
  <c r="Q274" i="15"/>
  <c r="P274" i="15"/>
  <c r="R274" i="15" s="1"/>
  <c r="O274" i="15"/>
  <c r="N274" i="15"/>
  <c r="M274" i="15"/>
  <c r="L274" i="15"/>
  <c r="K274" i="15"/>
  <c r="J274" i="15"/>
  <c r="Q273" i="15"/>
  <c r="P273" i="15"/>
  <c r="O273" i="15"/>
  <c r="N273" i="15"/>
  <c r="M273" i="15"/>
  <c r="L273" i="15"/>
  <c r="R273" i="15" s="1"/>
  <c r="K273" i="15"/>
  <c r="J273" i="15"/>
  <c r="Q272" i="15"/>
  <c r="P272" i="15"/>
  <c r="O272" i="15"/>
  <c r="N272" i="15"/>
  <c r="M272" i="15"/>
  <c r="L272" i="15"/>
  <c r="K272" i="15"/>
  <c r="J272" i="15"/>
  <c r="R272" i="15" s="1"/>
  <c r="Q271" i="15"/>
  <c r="P271" i="15"/>
  <c r="O271" i="15"/>
  <c r="N271" i="15"/>
  <c r="M271" i="15"/>
  <c r="L271" i="15"/>
  <c r="K271" i="15"/>
  <c r="J271" i="15"/>
  <c r="R271" i="15" s="1"/>
  <c r="Q270" i="15"/>
  <c r="P270" i="15"/>
  <c r="O270" i="15"/>
  <c r="N270" i="15"/>
  <c r="M270" i="15"/>
  <c r="L270" i="15"/>
  <c r="R270" i="15" s="1"/>
  <c r="K270" i="15"/>
  <c r="J270" i="15"/>
  <c r="Q269" i="15"/>
  <c r="P269" i="15"/>
  <c r="O269" i="15"/>
  <c r="N269" i="15"/>
  <c r="M269" i="15"/>
  <c r="L269" i="15"/>
  <c r="K269" i="15"/>
  <c r="J269" i="15"/>
  <c r="R269" i="15" s="1"/>
  <c r="Q268" i="15"/>
  <c r="R268" i="15" s="1"/>
  <c r="P268" i="15"/>
  <c r="O268" i="15"/>
  <c r="N268" i="15"/>
  <c r="M268" i="15"/>
  <c r="L268" i="15"/>
  <c r="K268" i="15"/>
  <c r="J268" i="15"/>
  <c r="Q267" i="15"/>
  <c r="P267" i="15"/>
  <c r="O267" i="15"/>
  <c r="N267" i="15"/>
  <c r="M267" i="15"/>
  <c r="L267" i="15"/>
  <c r="K267" i="15"/>
  <c r="J267" i="15"/>
  <c r="R267" i="15" s="1"/>
  <c r="Q266" i="15"/>
  <c r="P266" i="15"/>
  <c r="O266" i="15"/>
  <c r="N266" i="15"/>
  <c r="M266" i="15"/>
  <c r="L266" i="15"/>
  <c r="K266" i="15"/>
  <c r="J266" i="15"/>
  <c r="R266" i="15" s="1"/>
  <c r="Q265" i="15"/>
  <c r="P265" i="15"/>
  <c r="O265" i="15"/>
  <c r="N265" i="15"/>
  <c r="M265" i="15"/>
  <c r="L265" i="15"/>
  <c r="K265" i="15"/>
  <c r="J265" i="15"/>
  <c r="R265" i="15" s="1"/>
  <c r="Q264" i="15"/>
  <c r="P264" i="15"/>
  <c r="O264" i="15"/>
  <c r="N264" i="15"/>
  <c r="M264" i="15"/>
  <c r="L264" i="15"/>
  <c r="R264" i="15" s="1"/>
  <c r="K264" i="15"/>
  <c r="J264" i="15"/>
  <c r="Q263" i="15"/>
  <c r="P263" i="15"/>
  <c r="O263" i="15"/>
  <c r="N263" i="15"/>
  <c r="M263" i="15"/>
  <c r="L263" i="15"/>
  <c r="K263" i="15"/>
  <c r="R263" i="15" s="1"/>
  <c r="J263" i="15"/>
  <c r="Q262" i="15"/>
  <c r="P262" i="15"/>
  <c r="O262" i="15"/>
  <c r="N262" i="15"/>
  <c r="M262" i="15"/>
  <c r="L262" i="15"/>
  <c r="K262" i="15"/>
  <c r="J262" i="15"/>
  <c r="R262" i="15" s="1"/>
  <c r="Q261" i="15"/>
  <c r="P261" i="15"/>
  <c r="O261" i="15"/>
  <c r="N261" i="15"/>
  <c r="M261" i="15"/>
  <c r="L261" i="15"/>
  <c r="K261" i="15"/>
  <c r="J261" i="15"/>
  <c r="R261" i="15" s="1"/>
  <c r="Q260" i="15"/>
  <c r="P260" i="15"/>
  <c r="O260" i="15"/>
  <c r="N260" i="15"/>
  <c r="M260" i="15"/>
  <c r="L260" i="15"/>
  <c r="K260" i="15"/>
  <c r="J260" i="15"/>
  <c r="R260" i="15" s="1"/>
  <c r="R259" i="15"/>
  <c r="Q259" i="15"/>
  <c r="P259" i="15"/>
  <c r="O259" i="15"/>
  <c r="N259" i="15"/>
  <c r="M259" i="15"/>
  <c r="L259" i="15"/>
  <c r="K259" i="15"/>
  <c r="J259" i="15"/>
  <c r="Q258" i="15"/>
  <c r="P258" i="15"/>
  <c r="O258" i="15"/>
  <c r="N258" i="15"/>
  <c r="M258" i="15"/>
  <c r="L258" i="15"/>
  <c r="K258" i="15"/>
  <c r="J258" i="15"/>
  <c r="R258" i="15" s="1"/>
  <c r="Q257" i="15"/>
  <c r="P257" i="15"/>
  <c r="R257" i="15" s="1"/>
  <c r="O257" i="15"/>
  <c r="N257" i="15"/>
  <c r="M257" i="15"/>
  <c r="L257" i="15"/>
  <c r="K257" i="15"/>
  <c r="J257" i="15"/>
  <c r="Q256" i="15"/>
  <c r="P256" i="15"/>
  <c r="O256" i="15"/>
  <c r="N256" i="15"/>
  <c r="M256" i="15"/>
  <c r="L256" i="15"/>
  <c r="K256" i="15"/>
  <c r="R256" i="15" s="1"/>
  <c r="J256" i="15"/>
  <c r="Q255" i="15"/>
  <c r="P255" i="15"/>
  <c r="O255" i="15"/>
  <c r="N255" i="15"/>
  <c r="M255" i="15"/>
  <c r="L255" i="15"/>
  <c r="K255" i="15"/>
  <c r="J255" i="15"/>
  <c r="R255" i="15" s="1"/>
  <c r="Q254" i="15"/>
  <c r="P254" i="15"/>
  <c r="R254" i="15" s="1"/>
  <c r="O254" i="15"/>
  <c r="N254" i="15"/>
  <c r="M254" i="15"/>
  <c r="L254" i="15"/>
  <c r="K254" i="15"/>
  <c r="J254" i="15"/>
  <c r="Q253" i="15"/>
  <c r="P253" i="15"/>
  <c r="O253" i="15"/>
  <c r="N253" i="15"/>
  <c r="M253" i="15"/>
  <c r="L253" i="15"/>
  <c r="R253" i="15" s="1"/>
  <c r="K253" i="15"/>
  <c r="J253" i="15"/>
  <c r="Q252" i="15"/>
  <c r="P252" i="15"/>
  <c r="O252" i="15"/>
  <c r="N252" i="15"/>
  <c r="M252" i="15"/>
  <c r="L252" i="15"/>
  <c r="K252" i="15"/>
  <c r="J252" i="15"/>
  <c r="R252" i="15" s="1"/>
  <c r="Q251" i="15"/>
  <c r="P251" i="15"/>
  <c r="O251" i="15"/>
  <c r="N251" i="15"/>
  <c r="M251" i="15"/>
  <c r="L251" i="15"/>
  <c r="K251" i="15"/>
  <c r="J251" i="15"/>
  <c r="R251" i="15" s="1"/>
  <c r="Q250" i="15"/>
  <c r="P250" i="15"/>
  <c r="O250" i="15"/>
  <c r="N250" i="15"/>
  <c r="M250" i="15"/>
  <c r="L250" i="15"/>
  <c r="R250" i="15" s="1"/>
  <c r="K250" i="15"/>
  <c r="J250" i="15"/>
  <c r="Q249" i="15"/>
  <c r="P249" i="15"/>
  <c r="O249" i="15"/>
  <c r="N249" i="15"/>
  <c r="M249" i="15"/>
  <c r="L249" i="15"/>
  <c r="K249" i="15"/>
  <c r="J249" i="15"/>
  <c r="R249" i="15" s="1"/>
  <c r="Q248" i="15"/>
  <c r="R248" i="15" s="1"/>
  <c r="P248" i="15"/>
  <c r="O248" i="15"/>
  <c r="N248" i="15"/>
  <c r="M248" i="15"/>
  <c r="L248" i="15"/>
  <c r="K248" i="15"/>
  <c r="J248" i="15"/>
  <c r="Q247" i="15"/>
  <c r="P247" i="15"/>
  <c r="O247" i="15"/>
  <c r="N247" i="15"/>
  <c r="M247" i="15"/>
  <c r="L247" i="15"/>
  <c r="K247" i="15"/>
  <c r="J247" i="15"/>
  <c r="R247" i="15" s="1"/>
  <c r="Q246" i="15"/>
  <c r="P246" i="15"/>
  <c r="O246" i="15"/>
  <c r="N246" i="15"/>
  <c r="M246" i="15"/>
  <c r="L246" i="15"/>
  <c r="K246" i="15"/>
  <c r="J246" i="15"/>
  <c r="R246" i="15" s="1"/>
  <c r="Q245" i="15"/>
  <c r="P245" i="15"/>
  <c r="O245" i="15"/>
  <c r="N245" i="15"/>
  <c r="M245" i="15"/>
  <c r="L245" i="15"/>
  <c r="K245" i="15"/>
  <c r="J245" i="15"/>
  <c r="R245" i="15" s="1"/>
  <c r="Q244" i="15"/>
  <c r="P244" i="15"/>
  <c r="O244" i="15"/>
  <c r="N244" i="15"/>
  <c r="M244" i="15"/>
  <c r="L244" i="15"/>
  <c r="R244" i="15" s="1"/>
  <c r="K244" i="15"/>
  <c r="J244" i="15"/>
  <c r="Q243" i="15"/>
  <c r="P243" i="15"/>
  <c r="O243" i="15"/>
  <c r="N243" i="15"/>
  <c r="M243" i="15"/>
  <c r="L243" i="15"/>
  <c r="K243" i="15"/>
  <c r="R243" i="15" s="1"/>
  <c r="J243" i="15"/>
  <c r="Q242" i="15"/>
  <c r="P242" i="15"/>
  <c r="O242" i="15"/>
  <c r="N242" i="15"/>
  <c r="M242" i="15"/>
  <c r="L242" i="15"/>
  <c r="K242" i="15"/>
  <c r="J242" i="15"/>
  <c r="R242" i="15" s="1"/>
  <c r="Q241" i="15"/>
  <c r="P241" i="15"/>
  <c r="O241" i="15"/>
  <c r="N241" i="15"/>
  <c r="M241" i="15"/>
  <c r="L241" i="15"/>
  <c r="K241" i="15"/>
  <c r="J241" i="15"/>
  <c r="R241" i="15" s="1"/>
  <c r="Q240" i="15"/>
  <c r="P240" i="15"/>
  <c r="O240" i="15"/>
  <c r="N240" i="15"/>
  <c r="M240" i="15"/>
  <c r="L240" i="15"/>
  <c r="K240" i="15"/>
  <c r="J240" i="15"/>
  <c r="R240" i="15" s="1"/>
  <c r="R239" i="15"/>
  <c r="Q239" i="15"/>
  <c r="P239" i="15"/>
  <c r="O239" i="15"/>
  <c r="N239" i="15"/>
  <c r="M239" i="15"/>
  <c r="L239" i="15"/>
  <c r="K239" i="15"/>
  <c r="J239" i="15"/>
  <c r="Q238" i="15"/>
  <c r="P238" i="15"/>
  <c r="O238" i="15"/>
  <c r="N238" i="15"/>
  <c r="M238" i="15"/>
  <c r="L238" i="15"/>
  <c r="K238" i="15"/>
  <c r="J238" i="15"/>
  <c r="R238" i="15" s="1"/>
  <c r="Q237" i="15"/>
  <c r="P237" i="15"/>
  <c r="R237" i="15" s="1"/>
  <c r="O237" i="15"/>
  <c r="N237" i="15"/>
  <c r="M237" i="15"/>
  <c r="L237" i="15"/>
  <c r="K237" i="15"/>
  <c r="J237" i="15"/>
  <c r="Q236" i="15"/>
  <c r="P236" i="15"/>
  <c r="O236" i="15"/>
  <c r="N236" i="15"/>
  <c r="M236" i="15"/>
  <c r="L236" i="15"/>
  <c r="K236" i="15"/>
  <c r="R236" i="15" s="1"/>
  <c r="J236" i="15"/>
  <c r="Q235" i="15"/>
  <c r="P235" i="15"/>
  <c r="O235" i="15"/>
  <c r="N235" i="15"/>
  <c r="M235" i="15"/>
  <c r="L235" i="15"/>
  <c r="K235" i="15"/>
  <c r="J235" i="15"/>
  <c r="R235" i="15" s="1"/>
  <c r="Q234" i="15"/>
  <c r="P234" i="15"/>
  <c r="R234" i="15" s="1"/>
  <c r="O234" i="15"/>
  <c r="N234" i="15"/>
  <c r="M234" i="15"/>
  <c r="L234" i="15"/>
  <c r="K234" i="15"/>
  <c r="J234" i="15"/>
  <c r="Q233" i="15"/>
  <c r="P233" i="15"/>
  <c r="O233" i="15"/>
  <c r="N233" i="15"/>
  <c r="M233" i="15"/>
  <c r="L233" i="15"/>
  <c r="R233" i="15" s="1"/>
  <c r="K233" i="15"/>
  <c r="J233" i="15"/>
  <c r="Q232" i="15"/>
  <c r="P232" i="15"/>
  <c r="O232" i="15"/>
  <c r="N232" i="15"/>
  <c r="M232" i="15"/>
  <c r="L232" i="15"/>
  <c r="K232" i="15"/>
  <c r="J232" i="15"/>
  <c r="R232" i="15" s="1"/>
  <c r="Q231" i="15"/>
  <c r="P231" i="15"/>
  <c r="O231" i="15"/>
  <c r="N231" i="15"/>
  <c r="M231" i="15"/>
  <c r="L231" i="15"/>
  <c r="K231" i="15"/>
  <c r="J231" i="15"/>
  <c r="R231" i="15" s="1"/>
  <c r="Q230" i="15"/>
  <c r="P230" i="15"/>
  <c r="O230" i="15"/>
  <c r="N230" i="15"/>
  <c r="M230" i="15"/>
  <c r="L230" i="15"/>
  <c r="R230" i="15" s="1"/>
  <c r="K230" i="15"/>
  <c r="J230" i="15"/>
  <c r="Q229" i="15"/>
  <c r="P229" i="15"/>
  <c r="O229" i="15"/>
  <c r="N229" i="15"/>
  <c r="M229" i="15"/>
  <c r="L229" i="15"/>
  <c r="K229" i="15"/>
  <c r="J229" i="15"/>
  <c r="R229" i="15" s="1"/>
  <c r="Q228" i="15"/>
  <c r="R228" i="15" s="1"/>
  <c r="P228" i="15"/>
  <c r="O228" i="15"/>
  <c r="N228" i="15"/>
  <c r="M228" i="15"/>
  <c r="L228" i="15"/>
  <c r="K228" i="15"/>
  <c r="J228" i="15"/>
  <c r="Q227" i="15"/>
  <c r="P227" i="15"/>
  <c r="O227" i="15"/>
  <c r="N227" i="15"/>
  <c r="M227" i="15"/>
  <c r="L227" i="15"/>
  <c r="K227" i="15"/>
  <c r="J227" i="15"/>
  <c r="R227" i="15" s="1"/>
  <c r="Q226" i="15"/>
  <c r="P226" i="15"/>
  <c r="O226" i="15"/>
  <c r="N226" i="15"/>
  <c r="M226" i="15"/>
  <c r="L226" i="15"/>
  <c r="K226" i="15"/>
  <c r="J226" i="15"/>
  <c r="R226" i="15" s="1"/>
  <c r="Q225" i="15"/>
  <c r="P225" i="15"/>
  <c r="O225" i="15"/>
  <c r="N225" i="15"/>
  <c r="M225" i="15"/>
  <c r="L225" i="15"/>
  <c r="K225" i="15"/>
  <c r="J225" i="15"/>
  <c r="R225" i="15" s="1"/>
  <c r="Q224" i="15"/>
  <c r="P224" i="15"/>
  <c r="O224" i="15"/>
  <c r="N224" i="15"/>
  <c r="M224" i="15"/>
  <c r="L224" i="15"/>
  <c r="R224" i="15" s="1"/>
  <c r="K224" i="15"/>
  <c r="J224" i="15"/>
  <c r="Q223" i="15"/>
  <c r="P223" i="15"/>
  <c r="O223" i="15"/>
  <c r="N223" i="15"/>
  <c r="M223" i="15"/>
  <c r="L223" i="15"/>
  <c r="K223" i="15"/>
  <c r="J223" i="15"/>
  <c r="R223" i="15" s="1"/>
  <c r="Q222" i="15"/>
  <c r="P222" i="15"/>
  <c r="O222" i="15"/>
  <c r="N222" i="15"/>
  <c r="M222" i="15"/>
  <c r="L222" i="15"/>
  <c r="K222" i="15"/>
  <c r="J222" i="15"/>
  <c r="R222" i="15" s="1"/>
  <c r="Q221" i="15"/>
  <c r="P221" i="15"/>
  <c r="O221" i="15"/>
  <c r="N221" i="15"/>
  <c r="M221" i="15"/>
  <c r="L221" i="15"/>
  <c r="K221" i="15"/>
  <c r="J221" i="15"/>
  <c r="R221" i="15" s="1"/>
  <c r="Q220" i="15"/>
  <c r="P220" i="15"/>
  <c r="O220" i="15"/>
  <c r="N220" i="15"/>
  <c r="M220" i="15"/>
  <c r="L220" i="15"/>
  <c r="K220" i="15"/>
  <c r="J220" i="15"/>
  <c r="R220" i="15" s="1"/>
  <c r="R219" i="15"/>
  <c r="Q219" i="15"/>
  <c r="P219" i="15"/>
  <c r="O219" i="15"/>
  <c r="N219" i="15"/>
  <c r="M219" i="15"/>
  <c r="L219" i="15"/>
  <c r="K219" i="15"/>
  <c r="J219" i="15"/>
  <c r="Q218" i="15"/>
  <c r="P218" i="15"/>
  <c r="O218" i="15"/>
  <c r="N218" i="15"/>
  <c r="M218" i="15"/>
  <c r="L218" i="15"/>
  <c r="K218" i="15"/>
  <c r="J218" i="15"/>
  <c r="R218" i="15" s="1"/>
  <c r="Q217" i="15"/>
  <c r="P217" i="15"/>
  <c r="R217" i="15" s="1"/>
  <c r="O217" i="15"/>
  <c r="N217" i="15"/>
  <c r="M217" i="15"/>
  <c r="L217" i="15"/>
  <c r="K217" i="15"/>
  <c r="J217" i="15"/>
  <c r="Q216" i="15"/>
  <c r="P216" i="15"/>
  <c r="O216" i="15"/>
  <c r="N216" i="15"/>
  <c r="M216" i="15"/>
  <c r="L216" i="15"/>
  <c r="K216" i="15"/>
  <c r="R216" i="15" s="1"/>
  <c r="J216" i="15"/>
  <c r="Q215" i="15"/>
  <c r="P215" i="15"/>
  <c r="O215" i="15"/>
  <c r="N215" i="15"/>
  <c r="M215" i="15"/>
  <c r="L215" i="15"/>
  <c r="K215" i="15"/>
  <c r="J215" i="15"/>
  <c r="R215" i="15" s="1"/>
  <c r="Q214" i="15"/>
  <c r="P214" i="15"/>
  <c r="R214" i="15" s="1"/>
  <c r="O214" i="15"/>
  <c r="N214" i="15"/>
  <c r="M214" i="15"/>
  <c r="L214" i="15"/>
  <c r="K214" i="15"/>
  <c r="J214" i="15"/>
  <c r="Q213" i="15"/>
  <c r="P213" i="15"/>
  <c r="O213" i="15"/>
  <c r="N213" i="15"/>
  <c r="M213" i="15"/>
  <c r="L213" i="15"/>
  <c r="R213" i="15" s="1"/>
  <c r="K213" i="15"/>
  <c r="J213" i="15"/>
  <c r="Q212" i="15"/>
  <c r="P212" i="15"/>
  <c r="O212" i="15"/>
  <c r="N212" i="15"/>
  <c r="M212" i="15"/>
  <c r="L212" i="15"/>
  <c r="K212" i="15"/>
  <c r="J212" i="15"/>
  <c r="R212" i="15" s="1"/>
  <c r="Q211" i="15"/>
  <c r="P211" i="15"/>
  <c r="O211" i="15"/>
  <c r="N211" i="15"/>
  <c r="M211" i="15"/>
  <c r="L211" i="15"/>
  <c r="K211" i="15"/>
  <c r="J211" i="15"/>
  <c r="R211" i="15" s="1"/>
  <c r="Q210" i="15"/>
  <c r="P210" i="15"/>
  <c r="O210" i="15"/>
  <c r="N210" i="15"/>
  <c r="M210" i="15"/>
  <c r="L210" i="15"/>
  <c r="R210" i="15" s="1"/>
  <c r="K210" i="15"/>
  <c r="J210" i="15"/>
  <c r="Q209" i="15"/>
  <c r="P209" i="15"/>
  <c r="O209" i="15"/>
  <c r="N209" i="15"/>
  <c r="M209" i="15"/>
  <c r="L209" i="15"/>
  <c r="K209" i="15"/>
  <c r="J209" i="15"/>
  <c r="R209" i="15" s="1"/>
  <c r="Q208" i="15"/>
  <c r="R208" i="15" s="1"/>
  <c r="P208" i="15"/>
  <c r="O208" i="15"/>
  <c r="N208" i="15"/>
  <c r="M208" i="15"/>
  <c r="L208" i="15"/>
  <c r="K208" i="15"/>
  <c r="J208" i="15"/>
  <c r="Q207" i="15"/>
  <c r="P207" i="15"/>
  <c r="O207" i="15"/>
  <c r="N207" i="15"/>
  <c r="M207" i="15"/>
  <c r="L207" i="15"/>
  <c r="K207" i="15"/>
  <c r="J207" i="15"/>
  <c r="R207" i="15" s="1"/>
  <c r="Q206" i="15"/>
  <c r="P206" i="15"/>
  <c r="O206" i="15"/>
  <c r="N206" i="15"/>
  <c r="M206" i="15"/>
  <c r="L206" i="15"/>
  <c r="K206" i="15"/>
  <c r="J206" i="15"/>
  <c r="R206" i="15" s="1"/>
  <c r="Q205" i="15"/>
  <c r="P205" i="15"/>
  <c r="O205" i="15"/>
  <c r="N205" i="15"/>
  <c r="M205" i="15"/>
  <c r="L205" i="15"/>
  <c r="K205" i="15"/>
  <c r="J205" i="15"/>
  <c r="R205" i="15" s="1"/>
  <c r="Q204" i="15"/>
  <c r="P204" i="15"/>
  <c r="O204" i="15"/>
  <c r="N204" i="15"/>
  <c r="M204" i="15"/>
  <c r="L204" i="15"/>
  <c r="R204" i="15" s="1"/>
  <c r="K204" i="15"/>
  <c r="J204" i="15"/>
  <c r="Q203" i="15"/>
  <c r="P203" i="15"/>
  <c r="O203" i="15"/>
  <c r="N203" i="15"/>
  <c r="M203" i="15"/>
  <c r="L203" i="15"/>
  <c r="K203" i="15"/>
  <c r="J203" i="15"/>
  <c r="R203" i="15" s="1"/>
  <c r="Q202" i="15"/>
  <c r="P202" i="15"/>
  <c r="O202" i="15"/>
  <c r="N202" i="15"/>
  <c r="M202" i="15"/>
  <c r="L202" i="15"/>
  <c r="K202" i="15"/>
  <c r="J202" i="15"/>
  <c r="R202" i="15" s="1"/>
  <c r="Q201" i="15"/>
  <c r="P201" i="15"/>
  <c r="O201" i="15"/>
  <c r="N201" i="15"/>
  <c r="M201" i="15"/>
  <c r="L201" i="15"/>
  <c r="K201" i="15"/>
  <c r="J201" i="15"/>
  <c r="R201" i="15" s="1"/>
  <c r="Q200" i="15"/>
  <c r="P200" i="15"/>
  <c r="O200" i="15"/>
  <c r="N200" i="15"/>
  <c r="M200" i="15"/>
  <c r="L200" i="15"/>
  <c r="K200" i="15"/>
  <c r="J200" i="15"/>
  <c r="R200" i="15" s="1"/>
  <c r="R199" i="15"/>
  <c r="Q199" i="15"/>
  <c r="P199" i="15"/>
  <c r="O199" i="15"/>
  <c r="N199" i="15"/>
  <c r="M199" i="15"/>
  <c r="L199" i="15"/>
  <c r="K199" i="15"/>
  <c r="J199" i="15"/>
  <c r="Q198" i="15"/>
  <c r="P198" i="15"/>
  <c r="O198" i="15"/>
  <c r="N198" i="15"/>
  <c r="M198" i="15"/>
  <c r="L198" i="15"/>
  <c r="K198" i="15"/>
  <c r="J198" i="15"/>
  <c r="R198" i="15" s="1"/>
  <c r="Q197" i="15"/>
  <c r="P197" i="15"/>
  <c r="R197" i="15" s="1"/>
  <c r="O197" i="15"/>
  <c r="N197" i="15"/>
  <c r="M197" i="15"/>
  <c r="L197" i="15"/>
  <c r="K197" i="15"/>
  <c r="J197" i="15"/>
  <c r="Q196" i="15"/>
  <c r="P196" i="15"/>
  <c r="O196" i="15"/>
  <c r="N196" i="15"/>
  <c r="M196" i="15"/>
  <c r="L196" i="15"/>
  <c r="K196" i="15"/>
  <c r="R196" i="15" s="1"/>
  <c r="J196" i="15"/>
  <c r="Q195" i="15"/>
  <c r="P195" i="15"/>
  <c r="O195" i="15"/>
  <c r="N195" i="15"/>
  <c r="M195" i="15"/>
  <c r="L195" i="15"/>
  <c r="K195" i="15"/>
  <c r="J195" i="15"/>
  <c r="R195" i="15" s="1"/>
  <c r="Q194" i="15"/>
  <c r="P194" i="15"/>
  <c r="R194" i="15" s="1"/>
  <c r="O194" i="15"/>
  <c r="N194" i="15"/>
  <c r="M194" i="15"/>
  <c r="L194" i="15"/>
  <c r="K194" i="15"/>
  <c r="J194" i="15"/>
  <c r="Q193" i="15"/>
  <c r="P193" i="15"/>
  <c r="O193" i="15"/>
  <c r="N193" i="15"/>
  <c r="M193" i="15"/>
  <c r="L193" i="15"/>
  <c r="R193" i="15" s="1"/>
  <c r="K193" i="15"/>
  <c r="J193" i="15"/>
  <c r="Q192" i="15"/>
  <c r="P192" i="15"/>
  <c r="O192" i="15"/>
  <c r="N192" i="15"/>
  <c r="M192" i="15"/>
  <c r="L192" i="15"/>
  <c r="K192" i="15"/>
  <c r="J192" i="15"/>
  <c r="R192" i="15" s="1"/>
  <c r="Q191" i="15"/>
  <c r="P191" i="15"/>
  <c r="O191" i="15"/>
  <c r="N191" i="15"/>
  <c r="M191" i="15"/>
  <c r="L191" i="15"/>
  <c r="K191" i="15"/>
  <c r="J191" i="15"/>
  <c r="R191" i="15" s="1"/>
  <c r="Q190" i="15"/>
  <c r="P190" i="15"/>
  <c r="O190" i="15"/>
  <c r="N190" i="15"/>
  <c r="M190" i="15"/>
  <c r="L190" i="15"/>
  <c r="R190" i="15" s="1"/>
  <c r="K190" i="15"/>
  <c r="J190" i="15"/>
  <c r="Q189" i="15"/>
  <c r="P189" i="15"/>
  <c r="O189" i="15"/>
  <c r="N189" i="15"/>
  <c r="M189" i="15"/>
  <c r="L189" i="15"/>
  <c r="K189" i="15"/>
  <c r="J189" i="15"/>
  <c r="R189" i="15" s="1"/>
  <c r="Q188" i="15"/>
  <c r="R188" i="15" s="1"/>
  <c r="P188" i="15"/>
  <c r="O188" i="15"/>
  <c r="N188" i="15"/>
  <c r="M188" i="15"/>
  <c r="L188" i="15"/>
  <c r="K188" i="15"/>
  <c r="J188" i="15"/>
  <c r="Q187" i="15"/>
  <c r="P187" i="15"/>
  <c r="O187" i="15"/>
  <c r="N187" i="15"/>
  <c r="M187" i="15"/>
  <c r="L187" i="15"/>
  <c r="K187" i="15"/>
  <c r="J187" i="15"/>
  <c r="R187" i="15" s="1"/>
  <c r="Q186" i="15"/>
  <c r="P186" i="15"/>
  <c r="O186" i="15"/>
  <c r="N186" i="15"/>
  <c r="M186" i="15"/>
  <c r="L186" i="15"/>
  <c r="K186" i="15"/>
  <c r="J186" i="15"/>
  <c r="R186" i="15" s="1"/>
  <c r="Q185" i="15"/>
  <c r="P185" i="15"/>
  <c r="O185" i="15"/>
  <c r="N185" i="15"/>
  <c r="M185" i="15"/>
  <c r="L185" i="15"/>
  <c r="K185" i="15"/>
  <c r="J185" i="15"/>
  <c r="R185" i="15" s="1"/>
  <c r="Q184" i="15"/>
  <c r="P184" i="15"/>
  <c r="O184" i="15"/>
  <c r="N184" i="15"/>
  <c r="M184" i="15"/>
  <c r="L184" i="15"/>
  <c r="R184" i="15" s="1"/>
  <c r="K184" i="15"/>
  <c r="J184" i="15"/>
  <c r="Q183" i="15"/>
  <c r="P183" i="15"/>
  <c r="O183" i="15"/>
  <c r="N183" i="15"/>
  <c r="M183" i="15"/>
  <c r="L183" i="15"/>
  <c r="K183" i="15"/>
  <c r="J183" i="15"/>
  <c r="R183" i="15" s="1"/>
  <c r="Q182" i="15"/>
  <c r="P182" i="15"/>
  <c r="O182" i="15"/>
  <c r="N182" i="15"/>
  <c r="M182" i="15"/>
  <c r="L182" i="15"/>
  <c r="K182" i="15"/>
  <c r="J182" i="15"/>
  <c r="R182" i="15" s="1"/>
  <c r="Q181" i="15"/>
  <c r="P181" i="15"/>
  <c r="O181" i="15"/>
  <c r="N181" i="15"/>
  <c r="M181" i="15"/>
  <c r="L181" i="15"/>
  <c r="K181" i="15"/>
  <c r="J181" i="15"/>
  <c r="R181" i="15" s="1"/>
  <c r="Q180" i="15"/>
  <c r="P180" i="15"/>
  <c r="O180" i="15"/>
  <c r="N180" i="15"/>
  <c r="M180" i="15"/>
  <c r="L180" i="15"/>
  <c r="K180" i="15"/>
  <c r="J180" i="15"/>
  <c r="R180" i="15" s="1"/>
  <c r="R179" i="15"/>
  <c r="Q179" i="15"/>
  <c r="P179" i="15"/>
  <c r="O179" i="15"/>
  <c r="N179" i="15"/>
  <c r="M179" i="15"/>
  <c r="L179" i="15"/>
  <c r="K179" i="15"/>
  <c r="J179" i="15"/>
  <c r="Q178" i="15"/>
  <c r="P178" i="15"/>
  <c r="O178" i="15"/>
  <c r="N178" i="15"/>
  <c r="M178" i="15"/>
  <c r="L178" i="15"/>
  <c r="K178" i="15"/>
  <c r="J178" i="15"/>
  <c r="R178" i="15" s="1"/>
  <c r="Q177" i="15"/>
  <c r="P177" i="15"/>
  <c r="R177" i="15" s="1"/>
  <c r="O177" i="15"/>
  <c r="N177" i="15"/>
  <c r="M177" i="15"/>
  <c r="L177" i="15"/>
  <c r="K177" i="15"/>
  <c r="J177" i="15"/>
  <c r="Q176" i="15"/>
  <c r="P176" i="15"/>
  <c r="O176" i="15"/>
  <c r="N176" i="15"/>
  <c r="M176" i="15"/>
  <c r="L176" i="15"/>
  <c r="K176" i="15"/>
  <c r="R176" i="15" s="1"/>
  <c r="J176" i="15"/>
  <c r="Q175" i="15"/>
  <c r="P175" i="15"/>
  <c r="O175" i="15"/>
  <c r="N175" i="15"/>
  <c r="M175" i="15"/>
  <c r="L175" i="15"/>
  <c r="K175" i="15"/>
  <c r="J175" i="15"/>
  <c r="R175" i="15" s="1"/>
  <c r="Q174" i="15"/>
  <c r="P174" i="15"/>
  <c r="R174" i="15" s="1"/>
  <c r="O174" i="15"/>
  <c r="N174" i="15"/>
  <c r="M174" i="15"/>
  <c r="L174" i="15"/>
  <c r="K174" i="15"/>
  <c r="J174" i="15"/>
  <c r="Q173" i="15"/>
  <c r="P173" i="15"/>
  <c r="O173" i="15"/>
  <c r="N173" i="15"/>
  <c r="M173" i="15"/>
  <c r="L173" i="15"/>
  <c r="R173" i="15" s="1"/>
  <c r="K173" i="15"/>
  <c r="J173" i="15"/>
  <c r="Q172" i="15"/>
  <c r="P172" i="15"/>
  <c r="O172" i="15"/>
  <c r="N172" i="15"/>
  <c r="M172" i="15"/>
  <c r="L172" i="15"/>
  <c r="K172" i="15"/>
  <c r="J172" i="15"/>
  <c r="R172" i="15" s="1"/>
  <c r="Q171" i="15"/>
  <c r="P171" i="15"/>
  <c r="O171" i="15"/>
  <c r="N171" i="15"/>
  <c r="M171" i="15"/>
  <c r="L171" i="15"/>
  <c r="K171" i="15"/>
  <c r="J171" i="15"/>
  <c r="R171" i="15" s="1"/>
  <c r="Q170" i="15"/>
  <c r="P170" i="15"/>
  <c r="O170" i="15"/>
  <c r="N170" i="15"/>
  <c r="M170" i="15"/>
  <c r="L170" i="15"/>
  <c r="R170" i="15" s="1"/>
  <c r="K170" i="15"/>
  <c r="J170" i="15"/>
  <c r="Q169" i="15"/>
  <c r="P169" i="15"/>
  <c r="O169" i="15"/>
  <c r="N169" i="15"/>
  <c r="M169" i="15"/>
  <c r="L169" i="15"/>
  <c r="K169" i="15"/>
  <c r="J169" i="15"/>
  <c r="R169" i="15" s="1"/>
  <c r="Q168" i="15"/>
  <c r="R168" i="15" s="1"/>
  <c r="P168" i="15"/>
  <c r="O168" i="15"/>
  <c r="N168" i="15"/>
  <c r="M168" i="15"/>
  <c r="L168" i="15"/>
  <c r="K168" i="15"/>
  <c r="J168" i="15"/>
  <c r="Q167" i="15"/>
  <c r="P167" i="15"/>
  <c r="O167" i="15"/>
  <c r="N167" i="15"/>
  <c r="M167" i="15"/>
  <c r="L167" i="15"/>
  <c r="K167" i="15"/>
  <c r="J167" i="15"/>
  <c r="R167" i="15" s="1"/>
  <c r="Q166" i="15"/>
  <c r="P166" i="15"/>
  <c r="O166" i="15"/>
  <c r="N166" i="15"/>
  <c r="M166" i="15"/>
  <c r="L166" i="15"/>
  <c r="K166" i="15"/>
  <c r="J166" i="15"/>
  <c r="R166" i="15" s="1"/>
  <c r="Q165" i="15"/>
  <c r="P165" i="15"/>
  <c r="O165" i="15"/>
  <c r="N165" i="15"/>
  <c r="M165" i="15"/>
  <c r="L165" i="15"/>
  <c r="K165" i="15"/>
  <c r="J165" i="15"/>
  <c r="R165" i="15" s="1"/>
  <c r="Q164" i="15"/>
  <c r="P164" i="15"/>
  <c r="O164" i="15"/>
  <c r="N164" i="15"/>
  <c r="M164" i="15"/>
  <c r="L164" i="15"/>
  <c r="R164" i="15" s="1"/>
  <c r="K164" i="15"/>
  <c r="J164" i="15"/>
  <c r="Q163" i="15"/>
  <c r="P163" i="15"/>
  <c r="O163" i="15"/>
  <c r="N163" i="15"/>
  <c r="M163" i="15"/>
  <c r="L163" i="15"/>
  <c r="K163" i="15"/>
  <c r="J163" i="15"/>
  <c r="R163" i="15" s="1"/>
  <c r="Q162" i="15"/>
  <c r="P162" i="15"/>
  <c r="O162" i="15"/>
  <c r="N162" i="15"/>
  <c r="M162" i="15"/>
  <c r="L162" i="15"/>
  <c r="K162" i="15"/>
  <c r="J162" i="15"/>
  <c r="R162" i="15" s="1"/>
  <c r="Q161" i="15"/>
  <c r="P161" i="15"/>
  <c r="O161" i="15"/>
  <c r="N161" i="15"/>
  <c r="M161" i="15"/>
  <c r="L161" i="15"/>
  <c r="K161" i="15"/>
  <c r="J161" i="15"/>
  <c r="R161" i="15" s="1"/>
  <c r="Q160" i="15"/>
  <c r="P160" i="15"/>
  <c r="O160" i="15"/>
  <c r="N160" i="15"/>
  <c r="M160" i="15"/>
  <c r="L160" i="15"/>
  <c r="K160" i="15"/>
  <c r="J160" i="15"/>
  <c r="R160" i="15" s="1"/>
  <c r="R159" i="15"/>
  <c r="Q159" i="15"/>
  <c r="P159" i="15"/>
  <c r="O159" i="15"/>
  <c r="N159" i="15"/>
  <c r="M159" i="15"/>
  <c r="L159" i="15"/>
  <c r="K159" i="15"/>
  <c r="J159" i="15"/>
  <c r="Q158" i="15"/>
  <c r="P158" i="15"/>
  <c r="O158" i="15"/>
  <c r="N158" i="15"/>
  <c r="M158" i="15"/>
  <c r="L158" i="15"/>
  <c r="K158" i="15"/>
  <c r="J158" i="15"/>
  <c r="R158" i="15" s="1"/>
  <c r="Q157" i="15"/>
  <c r="P157" i="15"/>
  <c r="R157" i="15" s="1"/>
  <c r="O157" i="15"/>
  <c r="N157" i="15"/>
  <c r="M157" i="15"/>
  <c r="L157" i="15"/>
  <c r="K157" i="15"/>
  <c r="J157" i="15"/>
  <c r="Q156" i="15"/>
  <c r="P156" i="15"/>
  <c r="O156" i="15"/>
  <c r="N156" i="15"/>
  <c r="M156" i="15"/>
  <c r="L156" i="15"/>
  <c r="K156" i="15"/>
  <c r="R156" i="15" s="1"/>
  <c r="J156" i="15"/>
  <c r="Q155" i="15"/>
  <c r="P155" i="15"/>
  <c r="O155" i="15"/>
  <c r="N155" i="15"/>
  <c r="M155" i="15"/>
  <c r="L155" i="15"/>
  <c r="K155" i="15"/>
  <c r="J155" i="15"/>
  <c r="R155" i="15" s="1"/>
  <c r="Q154" i="15"/>
  <c r="P154" i="15"/>
  <c r="R154" i="15" s="1"/>
  <c r="O154" i="15"/>
  <c r="N154" i="15"/>
  <c r="M154" i="15"/>
  <c r="L154" i="15"/>
  <c r="K154" i="15"/>
  <c r="J154" i="15"/>
  <c r="Q153" i="15"/>
  <c r="P153" i="15"/>
  <c r="O153" i="15"/>
  <c r="N153" i="15"/>
  <c r="M153" i="15"/>
  <c r="L153" i="15"/>
  <c r="R153" i="15" s="1"/>
  <c r="K153" i="15"/>
  <c r="J153" i="15"/>
  <c r="Q152" i="15"/>
  <c r="P152" i="15"/>
  <c r="O152" i="15"/>
  <c r="N152" i="15"/>
  <c r="M152" i="15"/>
  <c r="L152" i="15"/>
  <c r="K152" i="15"/>
  <c r="J152" i="15"/>
  <c r="R152" i="15" s="1"/>
  <c r="Q151" i="15"/>
  <c r="P151" i="15"/>
  <c r="O151" i="15"/>
  <c r="N151" i="15"/>
  <c r="M151" i="15"/>
  <c r="L151" i="15"/>
  <c r="K151" i="15"/>
  <c r="J151" i="15"/>
  <c r="R151" i="15" s="1"/>
  <c r="Q150" i="15"/>
  <c r="P150" i="15"/>
  <c r="O150" i="15"/>
  <c r="N150" i="15"/>
  <c r="M150" i="15"/>
  <c r="L150" i="15"/>
  <c r="R150" i="15" s="1"/>
  <c r="K150" i="15"/>
  <c r="J150" i="15"/>
  <c r="Q149" i="15"/>
  <c r="P149" i="15"/>
  <c r="O149" i="15"/>
  <c r="N149" i="15"/>
  <c r="M149" i="15"/>
  <c r="L149" i="15"/>
  <c r="K149" i="15"/>
  <c r="J149" i="15"/>
  <c r="R149" i="15" s="1"/>
  <c r="Q148" i="15"/>
  <c r="R148" i="15" s="1"/>
  <c r="P148" i="15"/>
  <c r="O148" i="15"/>
  <c r="N148" i="15"/>
  <c r="M148" i="15"/>
  <c r="L148" i="15"/>
  <c r="K148" i="15"/>
  <c r="J148" i="15"/>
  <c r="Q147" i="15"/>
  <c r="P147" i="15"/>
  <c r="O147" i="15"/>
  <c r="N147" i="15"/>
  <c r="M147" i="15"/>
  <c r="L147" i="15"/>
  <c r="K147" i="15"/>
  <c r="J147" i="15"/>
  <c r="R147" i="15" s="1"/>
  <c r="Q146" i="15"/>
  <c r="P146" i="15"/>
  <c r="O146" i="15"/>
  <c r="N146" i="15"/>
  <c r="M146" i="15"/>
  <c r="L146" i="15"/>
  <c r="K146" i="15"/>
  <c r="J146" i="15"/>
  <c r="R146" i="15" s="1"/>
  <c r="Q145" i="15"/>
  <c r="P145" i="15"/>
  <c r="O145" i="15"/>
  <c r="N145" i="15"/>
  <c r="M145" i="15"/>
  <c r="L145" i="15"/>
  <c r="K145" i="15"/>
  <c r="J145" i="15"/>
  <c r="R145" i="15" s="1"/>
  <c r="Q144" i="15"/>
  <c r="P144" i="15"/>
  <c r="O144" i="15"/>
  <c r="N144" i="15"/>
  <c r="M144" i="15"/>
  <c r="L144" i="15"/>
  <c r="R144" i="15" s="1"/>
  <c r="K144" i="15"/>
  <c r="J144" i="15"/>
  <c r="Q143" i="15"/>
  <c r="P143" i="15"/>
  <c r="O143" i="15"/>
  <c r="N143" i="15"/>
  <c r="M143" i="15"/>
  <c r="L143" i="15"/>
  <c r="K143" i="15"/>
  <c r="J143" i="15"/>
  <c r="R143" i="15" s="1"/>
  <c r="Q142" i="15"/>
  <c r="P142" i="15"/>
  <c r="O142" i="15"/>
  <c r="N142" i="15"/>
  <c r="M142" i="15"/>
  <c r="L142" i="15"/>
  <c r="K142" i="15"/>
  <c r="J142" i="15"/>
  <c r="R142" i="15" s="1"/>
  <c r="Q141" i="15"/>
  <c r="P141" i="15"/>
  <c r="O141" i="15"/>
  <c r="N141" i="15"/>
  <c r="M141" i="15"/>
  <c r="L141" i="15"/>
  <c r="K141" i="15"/>
  <c r="J141" i="15"/>
  <c r="R141" i="15" s="1"/>
  <c r="Q140" i="15"/>
  <c r="P140" i="15"/>
  <c r="O140" i="15"/>
  <c r="N140" i="15"/>
  <c r="M140" i="15"/>
  <c r="L140" i="15"/>
  <c r="K140" i="15"/>
  <c r="J140" i="15"/>
  <c r="R140" i="15" s="1"/>
  <c r="R139" i="15"/>
  <c r="Q139" i="15"/>
  <c r="P139" i="15"/>
  <c r="O139" i="15"/>
  <c r="N139" i="15"/>
  <c r="M139" i="15"/>
  <c r="L139" i="15"/>
  <c r="K139" i="15"/>
  <c r="J139" i="15"/>
  <c r="Q138" i="15"/>
  <c r="P138" i="15"/>
  <c r="O138" i="15"/>
  <c r="N138" i="15"/>
  <c r="M138" i="15"/>
  <c r="L138" i="15"/>
  <c r="K138" i="15"/>
  <c r="J138" i="15"/>
  <c r="R138" i="15" s="1"/>
  <c r="Q137" i="15"/>
  <c r="P137" i="15"/>
  <c r="R137" i="15" s="1"/>
  <c r="O137" i="15"/>
  <c r="N137" i="15"/>
  <c r="M137" i="15"/>
  <c r="L137" i="15"/>
  <c r="K137" i="15"/>
  <c r="J137" i="15"/>
  <c r="Q136" i="15"/>
  <c r="P136" i="15"/>
  <c r="O136" i="15"/>
  <c r="N136" i="15"/>
  <c r="M136" i="15"/>
  <c r="L136" i="15"/>
  <c r="K136" i="15"/>
  <c r="R136" i="15" s="1"/>
  <c r="J136" i="15"/>
  <c r="Q135" i="15"/>
  <c r="P135" i="15"/>
  <c r="O135" i="15"/>
  <c r="N135" i="15"/>
  <c r="M135" i="15"/>
  <c r="L135" i="15"/>
  <c r="K135" i="15"/>
  <c r="J135" i="15"/>
  <c r="R135" i="15" s="1"/>
  <c r="Q134" i="15"/>
  <c r="P134" i="15"/>
  <c r="R134" i="15" s="1"/>
  <c r="O134" i="15"/>
  <c r="N134" i="15"/>
  <c r="M134" i="15"/>
  <c r="L134" i="15"/>
  <c r="K134" i="15"/>
  <c r="J134" i="15"/>
  <c r="Q133" i="15"/>
  <c r="P133" i="15"/>
  <c r="O133" i="15"/>
  <c r="N133" i="15"/>
  <c r="M133" i="15"/>
  <c r="L133" i="15"/>
  <c r="R133" i="15" s="1"/>
  <c r="K133" i="15"/>
  <c r="J133" i="15"/>
  <c r="Q132" i="15"/>
  <c r="P132" i="15"/>
  <c r="O132" i="15"/>
  <c r="N132" i="15"/>
  <c r="M132" i="15"/>
  <c r="L132" i="15"/>
  <c r="K132" i="15"/>
  <c r="J132" i="15"/>
  <c r="R132" i="15" s="1"/>
  <c r="Q131" i="15"/>
  <c r="P131" i="15"/>
  <c r="O131" i="15"/>
  <c r="N131" i="15"/>
  <c r="M131" i="15"/>
  <c r="L131" i="15"/>
  <c r="K131" i="15"/>
  <c r="J131" i="15"/>
  <c r="R131" i="15" s="1"/>
  <c r="Q130" i="15"/>
  <c r="P130" i="15"/>
  <c r="O130" i="15"/>
  <c r="N130" i="15"/>
  <c r="M130" i="15"/>
  <c r="L130" i="15"/>
  <c r="R130" i="15" s="1"/>
  <c r="K130" i="15"/>
  <c r="J130" i="15"/>
  <c r="Q129" i="15"/>
  <c r="P129" i="15"/>
  <c r="O129" i="15"/>
  <c r="N129" i="15"/>
  <c r="M129" i="15"/>
  <c r="L129" i="15"/>
  <c r="K129" i="15"/>
  <c r="J129" i="15"/>
  <c r="R129" i="15" s="1"/>
  <c r="Q128" i="15"/>
  <c r="R128" i="15" s="1"/>
  <c r="P128" i="15"/>
  <c r="O128" i="15"/>
  <c r="N128" i="15"/>
  <c r="M128" i="15"/>
  <c r="L128" i="15"/>
  <c r="K128" i="15"/>
  <c r="J128" i="15"/>
  <c r="Q127" i="15"/>
  <c r="P127" i="15"/>
  <c r="O127" i="15"/>
  <c r="N127" i="15"/>
  <c r="M127" i="15"/>
  <c r="L127" i="15"/>
  <c r="K127" i="15"/>
  <c r="J127" i="15"/>
  <c r="R127" i="15" s="1"/>
  <c r="Q126" i="15"/>
  <c r="P126" i="15"/>
  <c r="O126" i="15"/>
  <c r="N126" i="15"/>
  <c r="M126" i="15"/>
  <c r="L126" i="15"/>
  <c r="K126" i="15"/>
  <c r="J126" i="15"/>
  <c r="R126" i="15" s="1"/>
  <c r="Q125" i="15"/>
  <c r="P125" i="15"/>
  <c r="O125" i="15"/>
  <c r="N125" i="15"/>
  <c r="M125" i="15"/>
  <c r="L125" i="15"/>
  <c r="K125" i="15"/>
  <c r="J125" i="15"/>
  <c r="R125" i="15" s="1"/>
  <c r="Q124" i="15"/>
  <c r="P124" i="15"/>
  <c r="O124" i="15"/>
  <c r="N124" i="15"/>
  <c r="M124" i="15"/>
  <c r="L124" i="15"/>
  <c r="R124" i="15" s="1"/>
  <c r="K124" i="15"/>
  <c r="J124" i="15"/>
  <c r="Q123" i="15"/>
  <c r="P123" i="15"/>
  <c r="O123" i="15"/>
  <c r="N123" i="15"/>
  <c r="M123" i="15"/>
  <c r="L123" i="15"/>
  <c r="K123" i="15"/>
  <c r="J123" i="15"/>
  <c r="R123" i="15" s="1"/>
  <c r="Q122" i="15"/>
  <c r="P122" i="15"/>
  <c r="O122" i="15"/>
  <c r="N122" i="15"/>
  <c r="M122" i="15"/>
  <c r="L122" i="15"/>
  <c r="K122" i="15"/>
  <c r="J122" i="15"/>
  <c r="R122" i="15" s="1"/>
  <c r="Q121" i="15"/>
  <c r="P121" i="15"/>
  <c r="O121" i="15"/>
  <c r="N121" i="15"/>
  <c r="M121" i="15"/>
  <c r="L121" i="15"/>
  <c r="K121" i="15"/>
  <c r="J121" i="15"/>
  <c r="R121" i="15" s="1"/>
  <c r="Q120" i="15"/>
  <c r="P120" i="15"/>
  <c r="O120" i="15"/>
  <c r="N120" i="15"/>
  <c r="M120" i="15"/>
  <c r="L120" i="15"/>
  <c r="K120" i="15"/>
  <c r="J120" i="15"/>
  <c r="R120" i="15" s="1"/>
  <c r="R119" i="15"/>
  <c r="Q119" i="15"/>
  <c r="P119" i="15"/>
  <c r="O119" i="15"/>
  <c r="N119" i="15"/>
  <c r="M119" i="15"/>
  <c r="L119" i="15"/>
  <c r="K119" i="15"/>
  <c r="J119" i="15"/>
  <c r="Q118" i="15"/>
  <c r="P118" i="15"/>
  <c r="O118" i="15"/>
  <c r="N118" i="15"/>
  <c r="M118" i="15"/>
  <c r="L118" i="15"/>
  <c r="K118" i="15"/>
  <c r="J118" i="15"/>
  <c r="R118" i="15" s="1"/>
  <c r="Q117" i="15"/>
  <c r="P117" i="15"/>
  <c r="R117" i="15" s="1"/>
  <c r="O117" i="15"/>
  <c r="N117" i="15"/>
  <c r="M117" i="15"/>
  <c r="L117" i="15"/>
  <c r="K117" i="15"/>
  <c r="J117" i="15"/>
  <c r="Q116" i="15"/>
  <c r="P116" i="15"/>
  <c r="O116" i="15"/>
  <c r="N116" i="15"/>
  <c r="M116" i="15"/>
  <c r="L116" i="15"/>
  <c r="K116" i="15"/>
  <c r="R116" i="15" s="1"/>
  <c r="J116" i="15"/>
  <c r="Q115" i="15"/>
  <c r="P115" i="15"/>
  <c r="O115" i="15"/>
  <c r="N115" i="15"/>
  <c r="M115" i="15"/>
  <c r="L115" i="15"/>
  <c r="K115" i="15"/>
  <c r="J115" i="15"/>
  <c r="R115" i="15" s="1"/>
  <c r="Q114" i="15"/>
  <c r="P114" i="15"/>
  <c r="R114" i="15" s="1"/>
  <c r="O114" i="15"/>
  <c r="N114" i="15"/>
  <c r="M114" i="15"/>
  <c r="L114" i="15"/>
  <c r="K114" i="15"/>
  <c r="J114" i="15"/>
  <c r="Q113" i="15"/>
  <c r="P113" i="15"/>
  <c r="O113" i="15"/>
  <c r="N113" i="15"/>
  <c r="M113" i="15"/>
  <c r="L113" i="15"/>
  <c r="R113" i="15" s="1"/>
  <c r="K113" i="15"/>
  <c r="J113" i="15"/>
  <c r="Q112" i="15"/>
  <c r="P112" i="15"/>
  <c r="O112" i="15"/>
  <c r="N112" i="15"/>
  <c r="M112" i="15"/>
  <c r="L112" i="15"/>
  <c r="K112" i="15"/>
  <c r="J112" i="15"/>
  <c r="R112" i="15" s="1"/>
  <c r="Q111" i="15"/>
  <c r="P111" i="15"/>
  <c r="O111" i="15"/>
  <c r="N111" i="15"/>
  <c r="M111" i="15"/>
  <c r="L111" i="15"/>
  <c r="K111" i="15"/>
  <c r="J111" i="15"/>
  <c r="R111" i="15" s="1"/>
  <c r="Q110" i="15"/>
  <c r="P110" i="15"/>
  <c r="O110" i="15"/>
  <c r="N110" i="15"/>
  <c r="M110" i="15"/>
  <c r="L110" i="15"/>
  <c r="R110" i="15" s="1"/>
  <c r="K110" i="15"/>
  <c r="J110" i="15"/>
  <c r="Q109" i="15"/>
  <c r="P109" i="15"/>
  <c r="O109" i="15"/>
  <c r="N109" i="15"/>
  <c r="M109" i="15"/>
  <c r="L109" i="15"/>
  <c r="K109" i="15"/>
  <c r="J109" i="15"/>
  <c r="R109" i="15" s="1"/>
  <c r="Q108" i="15"/>
  <c r="R108" i="15" s="1"/>
  <c r="P108" i="15"/>
  <c r="O108" i="15"/>
  <c r="N108" i="15"/>
  <c r="M108" i="15"/>
  <c r="L108" i="15"/>
  <c r="K108" i="15"/>
  <c r="J108" i="15"/>
  <c r="Q107" i="15"/>
  <c r="P107" i="15"/>
  <c r="O107" i="15"/>
  <c r="N107" i="15"/>
  <c r="M107" i="15"/>
  <c r="L107" i="15"/>
  <c r="K107" i="15"/>
  <c r="J107" i="15"/>
  <c r="R107" i="15" s="1"/>
  <c r="Q106" i="15"/>
  <c r="P106" i="15"/>
  <c r="O106" i="15"/>
  <c r="N106" i="15"/>
  <c r="M106" i="15"/>
  <c r="L106" i="15"/>
  <c r="K106" i="15"/>
  <c r="J106" i="15"/>
  <c r="R106" i="15" s="1"/>
  <c r="Q105" i="15"/>
  <c r="P105" i="15"/>
  <c r="O105" i="15"/>
  <c r="N105" i="15"/>
  <c r="M105" i="15"/>
  <c r="L105" i="15"/>
  <c r="K105" i="15"/>
  <c r="J105" i="15"/>
  <c r="R105" i="15" s="1"/>
  <c r="Q104" i="15"/>
  <c r="P104" i="15"/>
  <c r="O104" i="15"/>
  <c r="N104" i="15"/>
  <c r="M104" i="15"/>
  <c r="L104" i="15"/>
  <c r="R104" i="15" s="1"/>
  <c r="K104" i="15"/>
  <c r="J104" i="15"/>
  <c r="Q103" i="15"/>
  <c r="P103" i="15"/>
  <c r="O103" i="15"/>
  <c r="N103" i="15"/>
  <c r="M103" i="15"/>
  <c r="L103" i="15"/>
  <c r="K103" i="15"/>
  <c r="J103" i="15"/>
  <c r="R103" i="15" s="1"/>
  <c r="Q102" i="15"/>
  <c r="P102" i="15"/>
  <c r="O102" i="15"/>
  <c r="N102" i="15"/>
  <c r="M102" i="15"/>
  <c r="L102" i="15"/>
  <c r="K102" i="15"/>
  <c r="J102" i="15"/>
  <c r="R102" i="15" s="1"/>
  <c r="Q101" i="15"/>
  <c r="P101" i="15"/>
  <c r="O101" i="15"/>
  <c r="N101" i="15"/>
  <c r="M101" i="15"/>
  <c r="L101" i="15"/>
  <c r="K101" i="15"/>
  <c r="J101" i="15"/>
  <c r="R101" i="15" s="1"/>
  <c r="Q100" i="15"/>
  <c r="P100" i="15"/>
  <c r="O100" i="15"/>
  <c r="N100" i="15"/>
  <c r="M100" i="15"/>
  <c r="L100" i="15"/>
  <c r="K100" i="15"/>
  <c r="J100" i="15"/>
  <c r="R100" i="15" s="1"/>
  <c r="R99" i="15"/>
  <c r="Q99" i="15"/>
  <c r="P99" i="15"/>
  <c r="O99" i="15"/>
  <c r="N99" i="15"/>
  <c r="M99" i="15"/>
  <c r="L99" i="15"/>
  <c r="K99" i="15"/>
  <c r="J99" i="15"/>
  <c r="Q98" i="15"/>
  <c r="P98" i="15"/>
  <c r="O98" i="15"/>
  <c r="N98" i="15"/>
  <c r="M98" i="15"/>
  <c r="L98" i="15"/>
  <c r="K98" i="15"/>
  <c r="J98" i="15"/>
  <c r="R98" i="15" s="1"/>
  <c r="Q97" i="15"/>
  <c r="P97" i="15"/>
  <c r="R97" i="15" s="1"/>
  <c r="O97" i="15"/>
  <c r="N97" i="15"/>
  <c r="M97" i="15"/>
  <c r="L97" i="15"/>
  <c r="K97" i="15"/>
  <c r="J97" i="15"/>
  <c r="Q96" i="15"/>
  <c r="P96" i="15"/>
  <c r="O96" i="15"/>
  <c r="N96" i="15"/>
  <c r="M96" i="15"/>
  <c r="L96" i="15"/>
  <c r="K96" i="15"/>
  <c r="R96" i="15" s="1"/>
  <c r="J96" i="15"/>
  <c r="Q95" i="15"/>
  <c r="P95" i="15"/>
  <c r="O95" i="15"/>
  <c r="N95" i="15"/>
  <c r="M95" i="15"/>
  <c r="L95" i="15"/>
  <c r="K95" i="15"/>
  <c r="J95" i="15"/>
  <c r="R95" i="15" s="1"/>
  <c r="Q94" i="15"/>
  <c r="P94" i="15"/>
  <c r="R94" i="15" s="1"/>
  <c r="O94" i="15"/>
  <c r="N94" i="15"/>
  <c r="M94" i="15"/>
  <c r="L94" i="15"/>
  <c r="K94" i="15"/>
  <c r="J94" i="15"/>
  <c r="Q93" i="15"/>
  <c r="P93" i="15"/>
  <c r="O93" i="15"/>
  <c r="N93" i="15"/>
  <c r="M93" i="15"/>
  <c r="L93" i="15"/>
  <c r="R93" i="15" s="1"/>
  <c r="K93" i="15"/>
  <c r="J93" i="15"/>
  <c r="Q92" i="15"/>
  <c r="P92" i="15"/>
  <c r="O92" i="15"/>
  <c r="N92" i="15"/>
  <c r="M92" i="15"/>
  <c r="L92" i="15"/>
  <c r="K92" i="15"/>
  <c r="J92" i="15"/>
  <c r="R92" i="15" s="1"/>
  <c r="Q91" i="15"/>
  <c r="P91" i="15"/>
  <c r="O91" i="15"/>
  <c r="N91" i="15"/>
  <c r="M91" i="15"/>
  <c r="L91" i="15"/>
  <c r="K91" i="15"/>
  <c r="J91" i="15"/>
  <c r="R91" i="15" s="1"/>
  <c r="Q90" i="15"/>
  <c r="P90" i="15"/>
  <c r="O90" i="15"/>
  <c r="N90" i="15"/>
  <c r="M90" i="15"/>
  <c r="L90" i="15"/>
  <c r="R90" i="15" s="1"/>
  <c r="K90" i="15"/>
  <c r="J90" i="15"/>
  <c r="Q89" i="15"/>
  <c r="P89" i="15"/>
  <c r="O89" i="15"/>
  <c r="N89" i="15"/>
  <c r="M89" i="15"/>
  <c r="L89" i="15"/>
  <c r="K89" i="15"/>
  <c r="J89" i="15"/>
  <c r="R89" i="15" s="1"/>
  <c r="Q88" i="15"/>
  <c r="R88" i="15" s="1"/>
  <c r="P88" i="15"/>
  <c r="O88" i="15"/>
  <c r="N88" i="15"/>
  <c r="M88" i="15"/>
  <c r="L88" i="15"/>
  <c r="K88" i="15"/>
  <c r="J88" i="15"/>
  <c r="Q87" i="15"/>
  <c r="P87" i="15"/>
  <c r="O87" i="15"/>
  <c r="N87" i="15"/>
  <c r="M87" i="15"/>
  <c r="L87" i="15"/>
  <c r="K87" i="15"/>
  <c r="J87" i="15"/>
  <c r="R87" i="15" s="1"/>
  <c r="Q86" i="15"/>
  <c r="P86" i="15"/>
  <c r="O86" i="15"/>
  <c r="N86" i="15"/>
  <c r="M86" i="15"/>
  <c r="L86" i="15"/>
  <c r="K86" i="15"/>
  <c r="J86" i="15"/>
  <c r="R86" i="15" s="1"/>
  <c r="Q85" i="15"/>
  <c r="P85" i="15"/>
  <c r="O85" i="15"/>
  <c r="N85" i="15"/>
  <c r="M85" i="15"/>
  <c r="L85" i="15"/>
  <c r="K85" i="15"/>
  <c r="J85" i="15"/>
  <c r="R85" i="15" s="1"/>
  <c r="Q84" i="15"/>
  <c r="P84" i="15"/>
  <c r="O84" i="15"/>
  <c r="N84" i="15"/>
  <c r="M84" i="15"/>
  <c r="L84" i="15"/>
  <c r="R84" i="15" s="1"/>
  <c r="K84" i="15"/>
  <c r="J84" i="15"/>
  <c r="Q83" i="15"/>
  <c r="P83" i="15"/>
  <c r="O83" i="15"/>
  <c r="N83" i="15"/>
  <c r="M83" i="15"/>
  <c r="L83" i="15"/>
  <c r="K83" i="15"/>
  <c r="J83" i="15"/>
  <c r="R83" i="15" s="1"/>
  <c r="Q82" i="15"/>
  <c r="P82" i="15"/>
  <c r="O82" i="15"/>
  <c r="N82" i="15"/>
  <c r="M82" i="15"/>
  <c r="L82" i="15"/>
  <c r="K82" i="15"/>
  <c r="J82" i="15"/>
  <c r="R82" i="15" s="1"/>
  <c r="Q81" i="15"/>
  <c r="P81" i="15"/>
  <c r="O81" i="15"/>
  <c r="N81" i="15"/>
  <c r="M81" i="15"/>
  <c r="L81" i="15"/>
  <c r="K81" i="15"/>
  <c r="J81" i="15"/>
  <c r="R81" i="15" s="1"/>
  <c r="Q80" i="15"/>
  <c r="P80" i="15"/>
  <c r="O80" i="15"/>
  <c r="N80" i="15"/>
  <c r="M80" i="15"/>
  <c r="L80" i="15"/>
  <c r="K80" i="15"/>
  <c r="J80" i="15"/>
  <c r="R80" i="15" s="1"/>
  <c r="R79" i="15"/>
  <c r="Q79" i="15"/>
  <c r="P79" i="15"/>
  <c r="O79" i="15"/>
  <c r="N79" i="15"/>
  <c r="M79" i="15"/>
  <c r="L79" i="15"/>
  <c r="K79" i="15"/>
  <c r="J79" i="15"/>
  <c r="Q78" i="15"/>
  <c r="P78" i="15"/>
  <c r="O78" i="15"/>
  <c r="N78" i="15"/>
  <c r="M78" i="15"/>
  <c r="L78" i="15"/>
  <c r="K78" i="15"/>
  <c r="J78" i="15"/>
  <c r="R78" i="15" s="1"/>
  <c r="Q77" i="15"/>
  <c r="P77" i="15"/>
  <c r="R77" i="15" s="1"/>
  <c r="O77" i="15"/>
  <c r="N77" i="15"/>
  <c r="M77" i="15"/>
  <c r="L77" i="15"/>
  <c r="K77" i="15"/>
  <c r="J77" i="15"/>
  <c r="Q76" i="15"/>
  <c r="P76" i="15"/>
  <c r="O76" i="15"/>
  <c r="N76" i="15"/>
  <c r="M76" i="15"/>
  <c r="L76" i="15"/>
  <c r="K76" i="15"/>
  <c r="R76" i="15" s="1"/>
  <c r="J76" i="15"/>
  <c r="Q75" i="15"/>
  <c r="P75" i="15"/>
  <c r="O75" i="15"/>
  <c r="N75" i="15"/>
  <c r="M75" i="15"/>
  <c r="L75" i="15"/>
  <c r="K75" i="15"/>
  <c r="J75" i="15"/>
  <c r="R75" i="15" s="1"/>
  <c r="Q74" i="15"/>
  <c r="P74" i="15"/>
  <c r="R74" i="15" s="1"/>
  <c r="O74" i="15"/>
  <c r="N74" i="15"/>
  <c r="M74" i="15"/>
  <c r="L74" i="15"/>
  <c r="K74" i="15"/>
  <c r="J74" i="15"/>
  <c r="Q73" i="15"/>
  <c r="P73" i="15"/>
  <c r="O73" i="15"/>
  <c r="N73" i="15"/>
  <c r="M73" i="15"/>
  <c r="L73" i="15"/>
  <c r="R73" i="15" s="1"/>
  <c r="K73" i="15"/>
  <c r="J73" i="15"/>
  <c r="Q72" i="15"/>
  <c r="P72" i="15"/>
  <c r="O72" i="15"/>
  <c r="N72" i="15"/>
  <c r="M72" i="15"/>
  <c r="L72" i="15"/>
  <c r="K72" i="15"/>
  <c r="J72" i="15"/>
  <c r="R72" i="15" s="1"/>
  <c r="Q71" i="15"/>
  <c r="P71" i="15"/>
  <c r="O71" i="15"/>
  <c r="N71" i="15"/>
  <c r="M71" i="15"/>
  <c r="L71" i="15"/>
  <c r="K71" i="15"/>
  <c r="J71" i="15"/>
  <c r="R71" i="15" s="1"/>
  <c r="Q70" i="15"/>
  <c r="P70" i="15"/>
  <c r="O70" i="15"/>
  <c r="N70" i="15"/>
  <c r="M70" i="15"/>
  <c r="L70" i="15"/>
  <c r="R70" i="15" s="1"/>
  <c r="K70" i="15"/>
  <c r="J70" i="15"/>
  <c r="Q69" i="15"/>
  <c r="P69" i="15"/>
  <c r="O69" i="15"/>
  <c r="N69" i="15"/>
  <c r="M69" i="15"/>
  <c r="L69" i="15"/>
  <c r="K69" i="15"/>
  <c r="J69" i="15"/>
  <c r="R69" i="15" s="1"/>
  <c r="Q68" i="15"/>
  <c r="R68" i="15" s="1"/>
  <c r="P68" i="15"/>
  <c r="O68" i="15"/>
  <c r="N68" i="15"/>
  <c r="M68" i="15"/>
  <c r="L68" i="15"/>
  <c r="K68" i="15"/>
  <c r="J68" i="15"/>
  <c r="Q67" i="15"/>
  <c r="P67" i="15"/>
  <c r="O67" i="15"/>
  <c r="N67" i="15"/>
  <c r="M67" i="15"/>
  <c r="L67" i="15"/>
  <c r="K67" i="15"/>
  <c r="J67" i="15"/>
  <c r="R67" i="15" s="1"/>
  <c r="Q66" i="15"/>
  <c r="P66" i="15"/>
  <c r="O66" i="15"/>
  <c r="N66" i="15"/>
  <c r="M66" i="15"/>
  <c r="L66" i="15"/>
  <c r="K66" i="15"/>
  <c r="J66" i="15"/>
  <c r="R66" i="15" s="1"/>
  <c r="Q65" i="15"/>
  <c r="P65" i="15"/>
  <c r="O65" i="15"/>
  <c r="N65" i="15"/>
  <c r="M65" i="15"/>
  <c r="L65" i="15"/>
  <c r="K65" i="15"/>
  <c r="J65" i="15"/>
  <c r="R65" i="15" s="1"/>
  <c r="Q64" i="15"/>
  <c r="P64" i="15"/>
  <c r="O64" i="15"/>
  <c r="N64" i="15"/>
  <c r="M64" i="15"/>
  <c r="L64" i="15"/>
  <c r="R64" i="15" s="1"/>
  <c r="K64" i="15"/>
  <c r="J64" i="15"/>
  <c r="Q63" i="15"/>
  <c r="P63" i="15"/>
  <c r="O63" i="15"/>
  <c r="N63" i="15"/>
  <c r="M63" i="15"/>
  <c r="L63" i="15"/>
  <c r="K63" i="15"/>
  <c r="J63" i="15"/>
  <c r="R63" i="15" s="1"/>
  <c r="Q62" i="15"/>
  <c r="P62" i="15"/>
  <c r="O62" i="15"/>
  <c r="N62" i="15"/>
  <c r="M62" i="15"/>
  <c r="L62" i="15"/>
  <c r="K62" i="15"/>
  <c r="J62" i="15"/>
  <c r="R62" i="15" s="1"/>
  <c r="Q61" i="15"/>
  <c r="P61" i="15"/>
  <c r="O61" i="15"/>
  <c r="N61" i="15"/>
  <c r="M61" i="15"/>
  <c r="L61" i="15"/>
  <c r="K61" i="15"/>
  <c r="J61" i="15"/>
  <c r="R61" i="15" s="1"/>
  <c r="Q60" i="15"/>
  <c r="P60" i="15"/>
  <c r="O60" i="15"/>
  <c r="N60" i="15"/>
  <c r="M60" i="15"/>
  <c r="L60" i="15"/>
  <c r="K60" i="15"/>
  <c r="J60" i="15"/>
  <c r="R60" i="15" s="1"/>
  <c r="R59" i="15"/>
  <c r="Q59" i="15"/>
  <c r="P59" i="15"/>
  <c r="O59" i="15"/>
  <c r="N59" i="15"/>
  <c r="M59" i="15"/>
  <c r="L59" i="15"/>
  <c r="K59" i="15"/>
  <c r="J59" i="15"/>
  <c r="Q58" i="15"/>
  <c r="P58" i="15"/>
  <c r="O58" i="15"/>
  <c r="N58" i="15"/>
  <c r="M58" i="15"/>
  <c r="L58" i="15"/>
  <c r="K58" i="15"/>
  <c r="J58" i="15"/>
  <c r="R58" i="15" s="1"/>
  <c r="Q57" i="15"/>
  <c r="P57" i="15"/>
  <c r="R57" i="15" s="1"/>
  <c r="O57" i="15"/>
  <c r="N57" i="15"/>
  <c r="M57" i="15"/>
  <c r="L57" i="15"/>
  <c r="K57" i="15"/>
  <c r="J57" i="15"/>
  <c r="Q56" i="15"/>
  <c r="P56" i="15"/>
  <c r="O56" i="15"/>
  <c r="N56" i="15"/>
  <c r="M56" i="15"/>
  <c r="L56" i="15"/>
  <c r="K56" i="15"/>
  <c r="R56" i="15" s="1"/>
  <c r="J56" i="15"/>
  <c r="Q55" i="15"/>
  <c r="P55" i="15"/>
  <c r="O55" i="15"/>
  <c r="N55" i="15"/>
  <c r="M55" i="15"/>
  <c r="L55" i="15"/>
  <c r="K55" i="15"/>
  <c r="J55" i="15"/>
  <c r="R55" i="15" s="1"/>
  <c r="Q54" i="15"/>
  <c r="P54" i="15"/>
  <c r="R54" i="15" s="1"/>
  <c r="O54" i="15"/>
  <c r="N54" i="15"/>
  <c r="M54" i="15"/>
  <c r="L54" i="15"/>
  <c r="K54" i="15"/>
  <c r="J54" i="15"/>
  <c r="Q53" i="15"/>
  <c r="P53" i="15"/>
  <c r="O53" i="15"/>
  <c r="N53" i="15"/>
  <c r="M53" i="15"/>
  <c r="L53" i="15"/>
  <c r="R53" i="15" s="1"/>
  <c r="K53" i="15"/>
  <c r="J53" i="15"/>
  <c r="Q52" i="15"/>
  <c r="P52" i="15"/>
  <c r="O52" i="15"/>
  <c r="N52" i="15"/>
  <c r="M52" i="15"/>
  <c r="L52" i="15"/>
  <c r="K52" i="15"/>
  <c r="J52" i="15"/>
  <c r="R52" i="15" s="1"/>
  <c r="Q51" i="15"/>
  <c r="P51" i="15"/>
  <c r="O51" i="15"/>
  <c r="N51" i="15"/>
  <c r="M51" i="15"/>
  <c r="L51" i="15"/>
  <c r="K51" i="15"/>
  <c r="J51" i="15"/>
  <c r="R51" i="15" s="1"/>
  <c r="Q50" i="15"/>
  <c r="P50" i="15"/>
  <c r="O50" i="15"/>
  <c r="N50" i="15"/>
  <c r="M50" i="15"/>
  <c r="L50" i="15"/>
  <c r="R50" i="15" s="1"/>
  <c r="K50" i="15"/>
  <c r="J50" i="15"/>
  <c r="Q49" i="15"/>
  <c r="P49" i="15"/>
  <c r="O49" i="15"/>
  <c r="N49" i="15"/>
  <c r="M49" i="15"/>
  <c r="L49" i="15"/>
  <c r="K49" i="15"/>
  <c r="J49" i="15"/>
  <c r="R49" i="15" s="1"/>
  <c r="Q48" i="15"/>
  <c r="R48" i="15" s="1"/>
  <c r="P48" i="15"/>
  <c r="O48" i="15"/>
  <c r="N48" i="15"/>
  <c r="M48" i="15"/>
  <c r="L48" i="15"/>
  <c r="K48" i="15"/>
  <c r="J48" i="15"/>
  <c r="Q47" i="15"/>
  <c r="P47" i="15"/>
  <c r="O47" i="15"/>
  <c r="N47" i="15"/>
  <c r="M47" i="15"/>
  <c r="L47" i="15"/>
  <c r="K47" i="15"/>
  <c r="J47" i="15"/>
  <c r="R47" i="15" s="1"/>
  <c r="Q46" i="15"/>
  <c r="P46" i="15"/>
  <c r="O46" i="15"/>
  <c r="N46" i="15"/>
  <c r="M46" i="15"/>
  <c r="L46" i="15"/>
  <c r="K46" i="15"/>
  <c r="J46" i="15"/>
  <c r="R46" i="15" s="1"/>
  <c r="Q45" i="15"/>
  <c r="P45" i="15"/>
  <c r="O45" i="15"/>
  <c r="N45" i="15"/>
  <c r="M45" i="15"/>
  <c r="L45" i="15"/>
  <c r="K45" i="15"/>
  <c r="J45" i="15"/>
  <c r="R45" i="15" s="1"/>
  <c r="Q44" i="15"/>
  <c r="P44" i="15"/>
  <c r="O44" i="15"/>
  <c r="N44" i="15"/>
  <c r="M44" i="15"/>
  <c r="L44" i="15"/>
  <c r="R44" i="15" s="1"/>
  <c r="K44" i="15"/>
  <c r="J44" i="15"/>
  <c r="Q43" i="15"/>
  <c r="P43" i="15"/>
  <c r="O43" i="15"/>
  <c r="N43" i="15"/>
  <c r="M43" i="15"/>
  <c r="L43" i="15"/>
  <c r="K43" i="15"/>
  <c r="J43" i="15"/>
  <c r="R43" i="15" s="1"/>
  <c r="Q42" i="15"/>
  <c r="P42" i="15"/>
  <c r="O42" i="15"/>
  <c r="N42" i="15"/>
  <c r="M42" i="15"/>
  <c r="L42" i="15"/>
  <c r="K42" i="15"/>
  <c r="J42" i="15"/>
  <c r="R42" i="15" s="1"/>
  <c r="Q41" i="15"/>
  <c r="P41" i="15"/>
  <c r="O41" i="15"/>
  <c r="N41" i="15"/>
  <c r="M41" i="15"/>
  <c r="L41" i="15"/>
  <c r="K41" i="15"/>
  <c r="J41" i="15"/>
  <c r="R41" i="15" s="1"/>
  <c r="Q40" i="15"/>
  <c r="P40" i="15"/>
  <c r="O40" i="15"/>
  <c r="N40" i="15"/>
  <c r="M40" i="15"/>
  <c r="L40" i="15"/>
  <c r="K40" i="15"/>
  <c r="J40" i="15"/>
  <c r="R40" i="15" s="1"/>
  <c r="R39" i="15"/>
  <c r="Q39" i="15"/>
  <c r="P39" i="15"/>
  <c r="O39" i="15"/>
  <c r="N39" i="15"/>
  <c r="M39" i="15"/>
  <c r="L39" i="15"/>
  <c r="K39" i="15"/>
  <c r="J39" i="15"/>
  <c r="Q38" i="15"/>
  <c r="P38" i="15"/>
  <c r="O38" i="15"/>
  <c r="N38" i="15"/>
  <c r="M38" i="15"/>
  <c r="L38" i="15"/>
  <c r="K38" i="15"/>
  <c r="J38" i="15"/>
  <c r="R38" i="15" s="1"/>
  <c r="Q37" i="15"/>
  <c r="P37" i="15"/>
  <c r="R37" i="15" s="1"/>
  <c r="O37" i="15"/>
  <c r="N37" i="15"/>
  <c r="M37" i="15"/>
  <c r="L37" i="15"/>
  <c r="K37" i="15"/>
  <c r="J37" i="15"/>
  <c r="R36" i="15"/>
  <c r="Q36" i="15"/>
  <c r="P36" i="15"/>
  <c r="O36" i="15"/>
  <c r="N36" i="15"/>
  <c r="M36" i="15"/>
  <c r="L36" i="15"/>
  <c r="K36" i="15"/>
  <c r="J36" i="15"/>
  <c r="Q35" i="15"/>
  <c r="P35" i="15"/>
  <c r="O35" i="15"/>
  <c r="N35" i="15"/>
  <c r="M35" i="15"/>
  <c r="L35" i="15"/>
  <c r="K35" i="15"/>
  <c r="J35" i="15"/>
  <c r="R35" i="15" s="1"/>
  <c r="Q34" i="15"/>
  <c r="P34" i="15"/>
  <c r="R34" i="15" s="1"/>
  <c r="O34" i="15"/>
  <c r="N34" i="15"/>
  <c r="M34" i="15"/>
  <c r="L34" i="15"/>
  <c r="K34" i="15"/>
  <c r="J34" i="15"/>
  <c r="Q33" i="15"/>
  <c r="P33" i="15"/>
  <c r="O33" i="15"/>
  <c r="N33" i="15"/>
  <c r="M33" i="15"/>
  <c r="L33" i="15"/>
  <c r="R33" i="15" s="1"/>
  <c r="K33" i="15"/>
  <c r="J33" i="15"/>
  <c r="Q32" i="15"/>
  <c r="P32" i="15"/>
  <c r="O32" i="15"/>
  <c r="N32" i="15"/>
  <c r="M32" i="15"/>
  <c r="L32" i="15"/>
  <c r="K32" i="15"/>
  <c r="J32" i="15"/>
  <c r="R32" i="15" s="1"/>
  <c r="Q31" i="15"/>
  <c r="P31" i="15"/>
  <c r="O31" i="15"/>
  <c r="N31" i="15"/>
  <c r="M31" i="15"/>
  <c r="L31" i="15"/>
  <c r="K31" i="15"/>
  <c r="J31" i="15"/>
  <c r="R31" i="15" s="1"/>
  <c r="Q30" i="15"/>
  <c r="P30" i="15"/>
  <c r="O30" i="15"/>
  <c r="N30" i="15"/>
  <c r="M30" i="15"/>
  <c r="L30" i="15"/>
  <c r="R30" i="15" s="1"/>
  <c r="K30" i="15"/>
  <c r="J30" i="15"/>
  <c r="Q29" i="15"/>
  <c r="P29" i="15"/>
  <c r="O29" i="15"/>
  <c r="N29" i="15"/>
  <c r="M29" i="15"/>
  <c r="L29" i="15"/>
  <c r="K29" i="15"/>
  <c r="J29" i="15"/>
  <c r="R29" i="15" s="1"/>
  <c r="Q28" i="15"/>
  <c r="R28" i="15" s="1"/>
  <c r="P28" i="15"/>
  <c r="O28" i="15"/>
  <c r="N28" i="15"/>
  <c r="M28" i="15"/>
  <c r="L28" i="15"/>
  <c r="K28" i="15"/>
  <c r="J28" i="15"/>
  <c r="Q27" i="15"/>
  <c r="P27" i="15"/>
  <c r="O27" i="15"/>
  <c r="N27" i="15"/>
  <c r="M27" i="15"/>
  <c r="L27" i="15"/>
  <c r="K27" i="15"/>
  <c r="J27" i="15"/>
  <c r="R27" i="15" s="1"/>
  <c r="Q26" i="15"/>
  <c r="P26" i="15"/>
  <c r="O26" i="15"/>
  <c r="N26" i="15"/>
  <c r="M26" i="15"/>
  <c r="L26" i="15"/>
  <c r="K26" i="15"/>
  <c r="J26" i="15"/>
  <c r="R26" i="15" s="1"/>
  <c r="Q25" i="15"/>
  <c r="P25" i="15"/>
  <c r="O25" i="15"/>
  <c r="N25" i="15"/>
  <c r="M25" i="15"/>
  <c r="L25" i="15"/>
  <c r="K25" i="15"/>
  <c r="J25" i="15"/>
  <c r="R25" i="15" s="1"/>
  <c r="Q24" i="15"/>
  <c r="P24" i="15"/>
  <c r="O24" i="15"/>
  <c r="N24" i="15"/>
  <c r="M24" i="15"/>
  <c r="L24" i="15"/>
  <c r="R24" i="15" s="1"/>
  <c r="K24" i="15"/>
  <c r="J24" i="15"/>
  <c r="Q23" i="15"/>
  <c r="P23" i="15"/>
  <c r="O23" i="15"/>
  <c r="N23" i="15"/>
  <c r="M23" i="15"/>
  <c r="L23" i="15"/>
  <c r="K23" i="15"/>
  <c r="J23" i="15"/>
  <c r="R23" i="15" s="1"/>
  <c r="Q22" i="15"/>
  <c r="P22" i="15"/>
  <c r="O22" i="15"/>
  <c r="N22" i="15"/>
  <c r="M22" i="15"/>
  <c r="L22" i="15"/>
  <c r="K22" i="15"/>
  <c r="J22" i="15"/>
  <c r="R22" i="15" s="1"/>
  <c r="Q21" i="15"/>
  <c r="P21" i="15"/>
  <c r="O21" i="15"/>
  <c r="N21" i="15"/>
  <c r="M21" i="15"/>
  <c r="L21" i="15"/>
  <c r="K21" i="15"/>
  <c r="J21" i="15"/>
  <c r="R21" i="15" s="1"/>
  <c r="Q20" i="15"/>
  <c r="P20" i="15"/>
  <c r="O20" i="15"/>
  <c r="N20" i="15"/>
  <c r="M20" i="15"/>
  <c r="L20" i="15"/>
  <c r="K20" i="15"/>
  <c r="J20" i="15"/>
  <c r="R20" i="15" s="1"/>
  <c r="R19" i="15"/>
  <c r="Q19" i="15"/>
  <c r="P19" i="15"/>
  <c r="O19" i="15"/>
  <c r="N19" i="15"/>
  <c r="M19" i="15"/>
  <c r="L19" i="15"/>
  <c r="K19" i="15"/>
  <c r="J19" i="15"/>
  <c r="Q18" i="15"/>
  <c r="P18" i="15"/>
  <c r="O18" i="15"/>
  <c r="N18" i="15"/>
  <c r="M18" i="15"/>
  <c r="L18" i="15"/>
  <c r="K18" i="15"/>
  <c r="J18" i="15"/>
  <c r="R18" i="15" s="1"/>
  <c r="Q17" i="15"/>
  <c r="P17" i="15"/>
  <c r="R17" i="15" s="1"/>
  <c r="O17" i="15"/>
  <c r="N17" i="15"/>
  <c r="M17" i="15"/>
  <c r="L17" i="15"/>
  <c r="K17" i="15"/>
  <c r="J17" i="15"/>
  <c r="R16" i="15"/>
  <c r="Q16" i="15"/>
  <c r="P16" i="15"/>
  <c r="O16" i="15"/>
  <c r="N16" i="15"/>
  <c r="M16" i="15"/>
  <c r="L16" i="15"/>
  <c r="K16" i="15"/>
  <c r="J16" i="15"/>
  <c r="Q15" i="15"/>
  <c r="P15" i="15"/>
  <c r="O15" i="15"/>
  <c r="N15" i="15"/>
  <c r="M15" i="15"/>
  <c r="L15" i="15"/>
  <c r="K15" i="15"/>
  <c r="J15" i="15"/>
  <c r="R15" i="15" s="1"/>
  <c r="Q14" i="15"/>
  <c r="P14" i="15"/>
  <c r="R14" i="15" s="1"/>
  <c r="O14" i="15"/>
  <c r="N14" i="15"/>
  <c r="M14" i="15"/>
  <c r="L14" i="15"/>
  <c r="K14" i="15"/>
  <c r="J14" i="15"/>
  <c r="Q13" i="15"/>
  <c r="P13" i="15"/>
  <c r="O13" i="15"/>
  <c r="N13" i="15"/>
  <c r="M13" i="15"/>
  <c r="L13" i="15"/>
  <c r="R13" i="15" s="1"/>
  <c r="K13" i="15"/>
  <c r="J13" i="15"/>
  <c r="Q12" i="15"/>
  <c r="P12" i="15"/>
  <c r="R12" i="15" s="1"/>
  <c r="O12" i="15"/>
  <c r="N12" i="15"/>
  <c r="M12" i="15"/>
  <c r="L12" i="15"/>
  <c r="K12" i="15"/>
  <c r="J12" i="15"/>
  <c r="Q11" i="15"/>
  <c r="P11" i="15"/>
  <c r="O11" i="15"/>
  <c r="N11" i="15"/>
  <c r="M11" i="15"/>
  <c r="L11" i="15"/>
  <c r="R11" i="15" s="1"/>
  <c r="K11" i="15"/>
  <c r="J11" i="15"/>
  <c r="Q10" i="15"/>
  <c r="P10" i="15"/>
  <c r="O10" i="15"/>
  <c r="N10" i="15"/>
  <c r="M10" i="15"/>
  <c r="L10" i="15"/>
  <c r="K10" i="15"/>
  <c r="J10" i="15"/>
  <c r="R10" i="15" s="1"/>
  <c r="Q9" i="15"/>
  <c r="P9" i="15"/>
  <c r="O9" i="15"/>
  <c r="N9" i="15"/>
  <c r="M9" i="15"/>
  <c r="L9" i="15"/>
  <c r="K9" i="15"/>
  <c r="J9" i="15"/>
  <c r="R9" i="15" s="1"/>
  <c r="Q8" i="15"/>
  <c r="P8" i="15"/>
  <c r="O8" i="15"/>
  <c r="N8" i="15"/>
  <c r="M8" i="15"/>
  <c r="L8" i="15"/>
  <c r="R8" i="15" s="1"/>
  <c r="K8" i="15"/>
  <c r="J8" i="15"/>
  <c r="Q7" i="15"/>
  <c r="P7" i="15"/>
  <c r="O7" i="15"/>
  <c r="N7" i="15"/>
  <c r="M7" i="15"/>
  <c r="L7" i="15"/>
  <c r="K7" i="15"/>
  <c r="J7" i="15"/>
  <c r="R7" i="15" s="1"/>
  <c r="Q6" i="15"/>
  <c r="R6" i="15" s="1"/>
  <c r="P6" i="15"/>
  <c r="O6" i="15"/>
  <c r="N6" i="15"/>
  <c r="M6" i="15"/>
  <c r="L6" i="15"/>
  <c r="K6" i="15"/>
  <c r="J6" i="15"/>
  <c r="Q5" i="15"/>
  <c r="P5" i="15"/>
  <c r="O5" i="15"/>
  <c r="N5" i="15"/>
  <c r="M5" i="15"/>
  <c r="L5" i="15"/>
  <c r="K5" i="15"/>
  <c r="J5" i="15"/>
  <c r="R5" i="15" s="1"/>
  <c r="Q4" i="15"/>
  <c r="P4" i="15"/>
  <c r="O4" i="15"/>
  <c r="N4" i="15"/>
  <c r="M4" i="15"/>
  <c r="L4" i="15"/>
  <c r="K4" i="15"/>
  <c r="J4" i="15"/>
  <c r="R4" i="15" s="1"/>
  <c r="Q3" i="15"/>
  <c r="P3" i="15"/>
  <c r="O3" i="15"/>
  <c r="N3" i="15"/>
  <c r="M3" i="15"/>
  <c r="L3" i="15"/>
  <c r="K3" i="15"/>
  <c r="J3" i="15"/>
  <c r="R3" i="15" s="1"/>
  <c r="Q2" i="15"/>
  <c r="P2" i="15"/>
  <c r="O2" i="15"/>
  <c r="N2" i="15"/>
  <c r="M2" i="15"/>
  <c r="L2" i="15"/>
  <c r="R2" i="15" s="1"/>
  <c r="K2" i="15"/>
  <c r="J2" i="15"/>
  <c r="F6" i="14" a="1"/>
  <c r="F6" i="14" s="1"/>
  <c r="E8" i="14"/>
  <c r="E9" i="14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6" i="14"/>
  <c r="E7" i="14"/>
  <c r="E4" i="14"/>
  <c r="E3" i="14"/>
  <c r="E2" i="14"/>
  <c r="T13" i="12"/>
  <c r="T12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2" i="12"/>
  <c r="J3" i="12"/>
  <c r="K3" i="12"/>
  <c r="L3" i="12"/>
  <c r="M3" i="12"/>
  <c r="N3" i="12"/>
  <c r="O3" i="12"/>
  <c r="P3" i="12"/>
  <c r="Q3" i="12"/>
  <c r="J4" i="12"/>
  <c r="K4" i="12"/>
  <c r="L4" i="12"/>
  <c r="M4" i="12"/>
  <c r="N4" i="12"/>
  <c r="O4" i="12"/>
  <c r="P4" i="12"/>
  <c r="Q4" i="12"/>
  <c r="J5" i="12"/>
  <c r="K5" i="12"/>
  <c r="L5" i="12"/>
  <c r="M5" i="12"/>
  <c r="N5" i="12"/>
  <c r="O5" i="12"/>
  <c r="P5" i="12"/>
  <c r="Q5" i="12"/>
  <c r="J6" i="12"/>
  <c r="K6" i="12"/>
  <c r="L6" i="12"/>
  <c r="M6" i="12"/>
  <c r="N6" i="12"/>
  <c r="O6" i="12"/>
  <c r="P6" i="12"/>
  <c r="Q6" i="12"/>
  <c r="J7" i="12"/>
  <c r="K7" i="12"/>
  <c r="L7" i="12"/>
  <c r="M7" i="12"/>
  <c r="N7" i="12"/>
  <c r="O7" i="12"/>
  <c r="P7" i="12"/>
  <c r="Q7" i="12"/>
  <c r="J8" i="12"/>
  <c r="K8" i="12"/>
  <c r="L8" i="12"/>
  <c r="M8" i="12"/>
  <c r="N8" i="12"/>
  <c r="O8" i="12"/>
  <c r="P8" i="12"/>
  <c r="Q8" i="12"/>
  <c r="J9" i="12"/>
  <c r="K9" i="12"/>
  <c r="L9" i="12"/>
  <c r="M9" i="12"/>
  <c r="N9" i="12"/>
  <c r="O9" i="12"/>
  <c r="P9" i="12"/>
  <c r="Q9" i="12"/>
  <c r="J10" i="12"/>
  <c r="K10" i="12"/>
  <c r="L10" i="12"/>
  <c r="M10" i="12"/>
  <c r="N10" i="12"/>
  <c r="O10" i="12"/>
  <c r="P10" i="12"/>
  <c r="Q10" i="12"/>
  <c r="J11" i="12"/>
  <c r="K11" i="12"/>
  <c r="L11" i="12"/>
  <c r="M11" i="12"/>
  <c r="N11" i="12"/>
  <c r="O11" i="12"/>
  <c r="P11" i="12"/>
  <c r="Q11" i="12"/>
  <c r="J12" i="12"/>
  <c r="K12" i="12"/>
  <c r="L12" i="12"/>
  <c r="M12" i="12"/>
  <c r="N12" i="12"/>
  <c r="O12" i="12"/>
  <c r="P12" i="12"/>
  <c r="Q12" i="12"/>
  <c r="J13" i="12"/>
  <c r="K13" i="12"/>
  <c r="L13" i="12"/>
  <c r="M13" i="12"/>
  <c r="N13" i="12"/>
  <c r="O13" i="12"/>
  <c r="P13" i="12"/>
  <c r="Q13" i="12"/>
  <c r="J14" i="12"/>
  <c r="K14" i="12"/>
  <c r="L14" i="12"/>
  <c r="M14" i="12"/>
  <c r="N14" i="12"/>
  <c r="O14" i="12"/>
  <c r="P14" i="12"/>
  <c r="Q14" i="12"/>
  <c r="J15" i="12"/>
  <c r="K15" i="12"/>
  <c r="L15" i="12"/>
  <c r="M15" i="12"/>
  <c r="N15" i="12"/>
  <c r="O15" i="12"/>
  <c r="P15" i="12"/>
  <c r="Q15" i="12"/>
  <c r="J16" i="12"/>
  <c r="K16" i="12"/>
  <c r="L16" i="12"/>
  <c r="M16" i="12"/>
  <c r="N16" i="12"/>
  <c r="O16" i="12"/>
  <c r="P16" i="12"/>
  <c r="Q16" i="12"/>
  <c r="J17" i="12"/>
  <c r="K17" i="12"/>
  <c r="L17" i="12"/>
  <c r="M17" i="12"/>
  <c r="N17" i="12"/>
  <c r="O17" i="12"/>
  <c r="P17" i="12"/>
  <c r="Q17" i="12"/>
  <c r="J18" i="12"/>
  <c r="K18" i="12"/>
  <c r="L18" i="12"/>
  <c r="M18" i="12"/>
  <c r="N18" i="12"/>
  <c r="O18" i="12"/>
  <c r="P18" i="12"/>
  <c r="Q18" i="12"/>
  <c r="J19" i="12"/>
  <c r="K19" i="12"/>
  <c r="L19" i="12"/>
  <c r="M19" i="12"/>
  <c r="N19" i="12"/>
  <c r="O19" i="12"/>
  <c r="P19" i="12"/>
  <c r="Q19" i="12"/>
  <c r="J20" i="12"/>
  <c r="K20" i="12"/>
  <c r="L20" i="12"/>
  <c r="M20" i="12"/>
  <c r="N20" i="12"/>
  <c r="O20" i="12"/>
  <c r="P20" i="12"/>
  <c r="Q20" i="12"/>
  <c r="J21" i="12"/>
  <c r="K21" i="12"/>
  <c r="L21" i="12"/>
  <c r="M21" i="12"/>
  <c r="N21" i="12"/>
  <c r="O21" i="12"/>
  <c r="P21" i="12"/>
  <c r="Q21" i="12"/>
  <c r="J22" i="12"/>
  <c r="K22" i="12"/>
  <c r="L22" i="12"/>
  <c r="M22" i="12"/>
  <c r="N22" i="12"/>
  <c r="O22" i="12"/>
  <c r="P22" i="12"/>
  <c r="Q22" i="12"/>
  <c r="J23" i="12"/>
  <c r="K23" i="12"/>
  <c r="L23" i="12"/>
  <c r="M23" i="12"/>
  <c r="N23" i="12"/>
  <c r="O23" i="12"/>
  <c r="P23" i="12"/>
  <c r="Q23" i="12"/>
  <c r="J24" i="12"/>
  <c r="K24" i="12"/>
  <c r="L24" i="12"/>
  <c r="M24" i="12"/>
  <c r="N24" i="12"/>
  <c r="O24" i="12"/>
  <c r="P24" i="12"/>
  <c r="Q24" i="12"/>
  <c r="J25" i="12"/>
  <c r="K25" i="12"/>
  <c r="L25" i="12"/>
  <c r="M25" i="12"/>
  <c r="N25" i="12"/>
  <c r="O25" i="12"/>
  <c r="P25" i="12"/>
  <c r="Q25" i="12"/>
  <c r="J26" i="12"/>
  <c r="K26" i="12"/>
  <c r="L26" i="12"/>
  <c r="M26" i="12"/>
  <c r="N26" i="12"/>
  <c r="O26" i="12"/>
  <c r="P26" i="12"/>
  <c r="Q26" i="12"/>
  <c r="J27" i="12"/>
  <c r="K27" i="12"/>
  <c r="L27" i="12"/>
  <c r="M27" i="12"/>
  <c r="N27" i="12"/>
  <c r="O27" i="12"/>
  <c r="P27" i="12"/>
  <c r="Q27" i="12"/>
  <c r="J28" i="12"/>
  <c r="K28" i="12"/>
  <c r="L28" i="12"/>
  <c r="M28" i="12"/>
  <c r="N28" i="12"/>
  <c r="O28" i="12"/>
  <c r="P28" i="12"/>
  <c r="Q28" i="12"/>
  <c r="J29" i="12"/>
  <c r="K29" i="12"/>
  <c r="L29" i="12"/>
  <c r="M29" i="12"/>
  <c r="N29" i="12"/>
  <c r="O29" i="12"/>
  <c r="P29" i="12"/>
  <c r="Q29" i="12"/>
  <c r="J30" i="12"/>
  <c r="K30" i="12"/>
  <c r="L30" i="12"/>
  <c r="M30" i="12"/>
  <c r="N30" i="12"/>
  <c r="O30" i="12"/>
  <c r="P30" i="12"/>
  <c r="Q30" i="12"/>
  <c r="J31" i="12"/>
  <c r="K31" i="12"/>
  <c r="L31" i="12"/>
  <c r="M31" i="12"/>
  <c r="N31" i="12"/>
  <c r="O31" i="12"/>
  <c r="P31" i="12"/>
  <c r="Q31" i="12"/>
  <c r="J32" i="12"/>
  <c r="K32" i="12"/>
  <c r="L32" i="12"/>
  <c r="M32" i="12"/>
  <c r="N32" i="12"/>
  <c r="O32" i="12"/>
  <c r="P32" i="12"/>
  <c r="Q32" i="12"/>
  <c r="J33" i="12"/>
  <c r="K33" i="12"/>
  <c r="L33" i="12"/>
  <c r="M33" i="12"/>
  <c r="N33" i="12"/>
  <c r="O33" i="12"/>
  <c r="P33" i="12"/>
  <c r="Q33" i="12"/>
  <c r="J34" i="12"/>
  <c r="K34" i="12"/>
  <c r="L34" i="12"/>
  <c r="M34" i="12"/>
  <c r="N34" i="12"/>
  <c r="O34" i="12"/>
  <c r="P34" i="12"/>
  <c r="Q34" i="12"/>
  <c r="J35" i="12"/>
  <c r="K35" i="12"/>
  <c r="L35" i="12"/>
  <c r="M35" i="12"/>
  <c r="N35" i="12"/>
  <c r="O35" i="12"/>
  <c r="P35" i="12"/>
  <c r="Q35" i="12"/>
  <c r="J36" i="12"/>
  <c r="K36" i="12"/>
  <c r="L36" i="12"/>
  <c r="M36" i="12"/>
  <c r="N36" i="12"/>
  <c r="O36" i="12"/>
  <c r="P36" i="12"/>
  <c r="Q36" i="12"/>
  <c r="J37" i="12"/>
  <c r="K37" i="12"/>
  <c r="L37" i="12"/>
  <c r="M37" i="12"/>
  <c r="N37" i="12"/>
  <c r="O37" i="12"/>
  <c r="P37" i="12"/>
  <c r="Q37" i="12"/>
  <c r="J38" i="12"/>
  <c r="K38" i="12"/>
  <c r="L38" i="12"/>
  <c r="M38" i="12"/>
  <c r="N38" i="12"/>
  <c r="O38" i="12"/>
  <c r="P38" i="12"/>
  <c r="Q38" i="12"/>
  <c r="J39" i="12"/>
  <c r="K39" i="12"/>
  <c r="L39" i="12"/>
  <c r="M39" i="12"/>
  <c r="N39" i="12"/>
  <c r="O39" i="12"/>
  <c r="P39" i="12"/>
  <c r="Q39" i="12"/>
  <c r="J40" i="12"/>
  <c r="K40" i="12"/>
  <c r="L40" i="12"/>
  <c r="M40" i="12"/>
  <c r="N40" i="12"/>
  <c r="O40" i="12"/>
  <c r="P40" i="12"/>
  <c r="Q40" i="12"/>
  <c r="J41" i="12"/>
  <c r="K41" i="12"/>
  <c r="L41" i="12"/>
  <c r="M41" i="12"/>
  <c r="N41" i="12"/>
  <c r="O41" i="12"/>
  <c r="P41" i="12"/>
  <c r="Q41" i="12"/>
  <c r="J42" i="12"/>
  <c r="K42" i="12"/>
  <c r="L42" i="12"/>
  <c r="M42" i="12"/>
  <c r="N42" i="12"/>
  <c r="O42" i="12"/>
  <c r="P42" i="12"/>
  <c r="Q42" i="12"/>
  <c r="J43" i="12"/>
  <c r="K43" i="12"/>
  <c r="L43" i="12"/>
  <c r="M43" i="12"/>
  <c r="N43" i="12"/>
  <c r="O43" i="12"/>
  <c r="P43" i="12"/>
  <c r="Q43" i="12"/>
  <c r="J44" i="12"/>
  <c r="K44" i="12"/>
  <c r="L44" i="12"/>
  <c r="M44" i="12"/>
  <c r="N44" i="12"/>
  <c r="O44" i="12"/>
  <c r="P44" i="12"/>
  <c r="Q44" i="12"/>
  <c r="J45" i="12"/>
  <c r="K45" i="12"/>
  <c r="L45" i="12"/>
  <c r="M45" i="12"/>
  <c r="N45" i="12"/>
  <c r="O45" i="12"/>
  <c r="P45" i="12"/>
  <c r="Q45" i="12"/>
  <c r="J46" i="12"/>
  <c r="K46" i="12"/>
  <c r="L46" i="12"/>
  <c r="M46" i="12"/>
  <c r="N46" i="12"/>
  <c r="O46" i="12"/>
  <c r="P46" i="12"/>
  <c r="Q46" i="12"/>
  <c r="J47" i="12"/>
  <c r="K47" i="12"/>
  <c r="L47" i="12"/>
  <c r="M47" i="12"/>
  <c r="N47" i="12"/>
  <c r="O47" i="12"/>
  <c r="P47" i="12"/>
  <c r="Q47" i="12"/>
  <c r="J48" i="12"/>
  <c r="K48" i="12"/>
  <c r="L48" i="12"/>
  <c r="M48" i="12"/>
  <c r="N48" i="12"/>
  <c r="O48" i="12"/>
  <c r="P48" i="12"/>
  <c r="Q48" i="12"/>
  <c r="J49" i="12"/>
  <c r="K49" i="12"/>
  <c r="L49" i="12"/>
  <c r="M49" i="12"/>
  <c r="N49" i="12"/>
  <c r="O49" i="12"/>
  <c r="P49" i="12"/>
  <c r="Q49" i="12"/>
  <c r="J50" i="12"/>
  <c r="K50" i="12"/>
  <c r="L50" i="12"/>
  <c r="M50" i="12"/>
  <c r="N50" i="12"/>
  <c r="O50" i="12"/>
  <c r="P50" i="12"/>
  <c r="Q50" i="12"/>
  <c r="J51" i="12"/>
  <c r="K51" i="12"/>
  <c r="L51" i="12"/>
  <c r="M51" i="12"/>
  <c r="N51" i="12"/>
  <c r="O51" i="12"/>
  <c r="P51" i="12"/>
  <c r="Q51" i="12"/>
  <c r="J52" i="12"/>
  <c r="K52" i="12"/>
  <c r="L52" i="12"/>
  <c r="M52" i="12"/>
  <c r="N52" i="12"/>
  <c r="O52" i="12"/>
  <c r="P52" i="12"/>
  <c r="Q52" i="12"/>
  <c r="J53" i="12"/>
  <c r="K53" i="12"/>
  <c r="L53" i="12"/>
  <c r="M53" i="12"/>
  <c r="N53" i="12"/>
  <c r="O53" i="12"/>
  <c r="P53" i="12"/>
  <c r="Q53" i="12"/>
  <c r="J54" i="12"/>
  <c r="K54" i="12"/>
  <c r="L54" i="12"/>
  <c r="M54" i="12"/>
  <c r="N54" i="12"/>
  <c r="O54" i="12"/>
  <c r="P54" i="12"/>
  <c r="Q54" i="12"/>
  <c r="J55" i="12"/>
  <c r="K55" i="12"/>
  <c r="L55" i="12"/>
  <c r="M55" i="12"/>
  <c r="N55" i="12"/>
  <c r="O55" i="12"/>
  <c r="P55" i="12"/>
  <c r="Q55" i="12"/>
  <c r="J56" i="12"/>
  <c r="K56" i="12"/>
  <c r="L56" i="12"/>
  <c r="M56" i="12"/>
  <c r="N56" i="12"/>
  <c r="O56" i="12"/>
  <c r="P56" i="12"/>
  <c r="Q56" i="12"/>
  <c r="J57" i="12"/>
  <c r="K57" i="12"/>
  <c r="L57" i="12"/>
  <c r="M57" i="12"/>
  <c r="N57" i="12"/>
  <c r="O57" i="12"/>
  <c r="P57" i="12"/>
  <c r="Q57" i="12"/>
  <c r="J58" i="12"/>
  <c r="K58" i="12"/>
  <c r="L58" i="12"/>
  <c r="M58" i="12"/>
  <c r="N58" i="12"/>
  <c r="O58" i="12"/>
  <c r="P58" i="12"/>
  <c r="Q58" i="12"/>
  <c r="J59" i="12"/>
  <c r="K59" i="12"/>
  <c r="L59" i="12"/>
  <c r="M59" i="12"/>
  <c r="N59" i="12"/>
  <c r="O59" i="12"/>
  <c r="P59" i="12"/>
  <c r="Q59" i="12"/>
  <c r="J60" i="12"/>
  <c r="K60" i="12"/>
  <c r="L60" i="12"/>
  <c r="M60" i="12"/>
  <c r="N60" i="12"/>
  <c r="O60" i="12"/>
  <c r="P60" i="12"/>
  <c r="Q60" i="12"/>
  <c r="J61" i="12"/>
  <c r="K61" i="12"/>
  <c r="L61" i="12"/>
  <c r="M61" i="12"/>
  <c r="N61" i="12"/>
  <c r="O61" i="12"/>
  <c r="P61" i="12"/>
  <c r="Q61" i="12"/>
  <c r="J62" i="12"/>
  <c r="K62" i="12"/>
  <c r="L62" i="12"/>
  <c r="M62" i="12"/>
  <c r="N62" i="12"/>
  <c r="O62" i="12"/>
  <c r="P62" i="12"/>
  <c r="Q62" i="12"/>
  <c r="J63" i="12"/>
  <c r="K63" i="12"/>
  <c r="L63" i="12"/>
  <c r="M63" i="12"/>
  <c r="N63" i="12"/>
  <c r="O63" i="12"/>
  <c r="P63" i="12"/>
  <c r="Q63" i="12"/>
  <c r="J64" i="12"/>
  <c r="K64" i="12"/>
  <c r="L64" i="12"/>
  <c r="M64" i="12"/>
  <c r="N64" i="12"/>
  <c r="O64" i="12"/>
  <c r="P64" i="12"/>
  <c r="Q64" i="12"/>
  <c r="J65" i="12"/>
  <c r="K65" i="12"/>
  <c r="L65" i="12"/>
  <c r="M65" i="12"/>
  <c r="N65" i="12"/>
  <c r="O65" i="12"/>
  <c r="P65" i="12"/>
  <c r="Q65" i="12"/>
  <c r="J66" i="12"/>
  <c r="K66" i="12"/>
  <c r="L66" i="12"/>
  <c r="M66" i="12"/>
  <c r="N66" i="12"/>
  <c r="O66" i="12"/>
  <c r="P66" i="12"/>
  <c r="Q66" i="12"/>
  <c r="J67" i="12"/>
  <c r="K67" i="12"/>
  <c r="L67" i="12"/>
  <c r="M67" i="12"/>
  <c r="N67" i="12"/>
  <c r="O67" i="12"/>
  <c r="P67" i="12"/>
  <c r="Q67" i="12"/>
  <c r="J68" i="12"/>
  <c r="K68" i="12"/>
  <c r="L68" i="12"/>
  <c r="M68" i="12"/>
  <c r="N68" i="12"/>
  <c r="O68" i="12"/>
  <c r="P68" i="12"/>
  <c r="Q68" i="12"/>
  <c r="J69" i="12"/>
  <c r="K69" i="12"/>
  <c r="L69" i="12"/>
  <c r="M69" i="12"/>
  <c r="N69" i="12"/>
  <c r="O69" i="12"/>
  <c r="P69" i="12"/>
  <c r="Q69" i="12"/>
  <c r="J70" i="12"/>
  <c r="K70" i="12"/>
  <c r="L70" i="12"/>
  <c r="M70" i="12"/>
  <c r="N70" i="12"/>
  <c r="O70" i="12"/>
  <c r="P70" i="12"/>
  <c r="Q70" i="12"/>
  <c r="J71" i="12"/>
  <c r="K71" i="12"/>
  <c r="L71" i="12"/>
  <c r="M71" i="12"/>
  <c r="N71" i="12"/>
  <c r="O71" i="12"/>
  <c r="P71" i="12"/>
  <c r="Q71" i="12"/>
  <c r="J72" i="12"/>
  <c r="K72" i="12"/>
  <c r="L72" i="12"/>
  <c r="M72" i="12"/>
  <c r="N72" i="12"/>
  <c r="O72" i="12"/>
  <c r="P72" i="12"/>
  <c r="Q72" i="12"/>
  <c r="J73" i="12"/>
  <c r="K73" i="12"/>
  <c r="L73" i="12"/>
  <c r="M73" i="12"/>
  <c r="N73" i="12"/>
  <c r="O73" i="12"/>
  <c r="P73" i="12"/>
  <c r="Q73" i="12"/>
  <c r="J74" i="12"/>
  <c r="K74" i="12"/>
  <c r="L74" i="12"/>
  <c r="M74" i="12"/>
  <c r="N74" i="12"/>
  <c r="O74" i="12"/>
  <c r="P74" i="12"/>
  <c r="Q74" i="12"/>
  <c r="J75" i="12"/>
  <c r="K75" i="12"/>
  <c r="L75" i="12"/>
  <c r="M75" i="12"/>
  <c r="N75" i="12"/>
  <c r="O75" i="12"/>
  <c r="P75" i="12"/>
  <c r="Q75" i="12"/>
  <c r="J76" i="12"/>
  <c r="K76" i="12"/>
  <c r="L76" i="12"/>
  <c r="M76" i="12"/>
  <c r="N76" i="12"/>
  <c r="O76" i="12"/>
  <c r="P76" i="12"/>
  <c r="Q76" i="12"/>
  <c r="J77" i="12"/>
  <c r="K77" i="12"/>
  <c r="L77" i="12"/>
  <c r="M77" i="12"/>
  <c r="N77" i="12"/>
  <c r="O77" i="12"/>
  <c r="P77" i="12"/>
  <c r="Q77" i="12"/>
  <c r="J78" i="12"/>
  <c r="K78" i="12"/>
  <c r="L78" i="12"/>
  <c r="M78" i="12"/>
  <c r="N78" i="12"/>
  <c r="O78" i="12"/>
  <c r="P78" i="12"/>
  <c r="Q78" i="12"/>
  <c r="J79" i="12"/>
  <c r="K79" i="12"/>
  <c r="L79" i="12"/>
  <c r="M79" i="12"/>
  <c r="N79" i="12"/>
  <c r="O79" i="12"/>
  <c r="P79" i="12"/>
  <c r="Q79" i="12"/>
  <c r="J80" i="12"/>
  <c r="K80" i="12"/>
  <c r="L80" i="12"/>
  <c r="M80" i="12"/>
  <c r="N80" i="12"/>
  <c r="O80" i="12"/>
  <c r="P80" i="12"/>
  <c r="Q80" i="12"/>
  <c r="J81" i="12"/>
  <c r="K81" i="12"/>
  <c r="L81" i="12"/>
  <c r="M81" i="12"/>
  <c r="N81" i="12"/>
  <c r="O81" i="12"/>
  <c r="P81" i="12"/>
  <c r="Q81" i="12"/>
  <c r="J82" i="12"/>
  <c r="K82" i="12"/>
  <c r="L82" i="12"/>
  <c r="M82" i="12"/>
  <c r="N82" i="12"/>
  <c r="O82" i="12"/>
  <c r="P82" i="12"/>
  <c r="Q82" i="12"/>
  <c r="J83" i="12"/>
  <c r="K83" i="12"/>
  <c r="L83" i="12"/>
  <c r="M83" i="12"/>
  <c r="N83" i="12"/>
  <c r="O83" i="12"/>
  <c r="P83" i="12"/>
  <c r="Q83" i="12"/>
  <c r="J84" i="12"/>
  <c r="K84" i="12"/>
  <c r="L84" i="12"/>
  <c r="M84" i="12"/>
  <c r="N84" i="12"/>
  <c r="O84" i="12"/>
  <c r="P84" i="12"/>
  <c r="Q84" i="12"/>
  <c r="J85" i="12"/>
  <c r="K85" i="12"/>
  <c r="L85" i="12"/>
  <c r="M85" i="12"/>
  <c r="N85" i="12"/>
  <c r="O85" i="12"/>
  <c r="P85" i="12"/>
  <c r="Q85" i="12"/>
  <c r="J86" i="12"/>
  <c r="K86" i="12"/>
  <c r="L86" i="12"/>
  <c r="M86" i="12"/>
  <c r="N86" i="12"/>
  <c r="O86" i="12"/>
  <c r="P86" i="12"/>
  <c r="Q86" i="12"/>
  <c r="J87" i="12"/>
  <c r="K87" i="12"/>
  <c r="L87" i="12"/>
  <c r="M87" i="12"/>
  <c r="N87" i="12"/>
  <c r="O87" i="12"/>
  <c r="P87" i="12"/>
  <c r="Q87" i="12"/>
  <c r="J88" i="12"/>
  <c r="K88" i="12"/>
  <c r="L88" i="12"/>
  <c r="M88" i="12"/>
  <c r="N88" i="12"/>
  <c r="O88" i="12"/>
  <c r="P88" i="12"/>
  <c r="Q88" i="12"/>
  <c r="J89" i="12"/>
  <c r="K89" i="12"/>
  <c r="L89" i="12"/>
  <c r="M89" i="12"/>
  <c r="N89" i="12"/>
  <c r="O89" i="12"/>
  <c r="P89" i="12"/>
  <c r="Q89" i="12"/>
  <c r="J90" i="12"/>
  <c r="K90" i="12"/>
  <c r="L90" i="12"/>
  <c r="M90" i="12"/>
  <c r="N90" i="12"/>
  <c r="O90" i="12"/>
  <c r="P90" i="12"/>
  <c r="Q90" i="12"/>
  <c r="J91" i="12"/>
  <c r="K91" i="12"/>
  <c r="L91" i="12"/>
  <c r="M91" i="12"/>
  <c r="N91" i="12"/>
  <c r="O91" i="12"/>
  <c r="P91" i="12"/>
  <c r="Q91" i="12"/>
  <c r="J92" i="12"/>
  <c r="K92" i="12"/>
  <c r="L92" i="12"/>
  <c r="M92" i="12"/>
  <c r="N92" i="12"/>
  <c r="O92" i="12"/>
  <c r="P92" i="12"/>
  <c r="Q92" i="12"/>
  <c r="J93" i="12"/>
  <c r="K93" i="12"/>
  <c r="L93" i="12"/>
  <c r="M93" i="12"/>
  <c r="N93" i="12"/>
  <c r="O93" i="12"/>
  <c r="P93" i="12"/>
  <c r="Q93" i="12"/>
  <c r="J94" i="12"/>
  <c r="K94" i="12"/>
  <c r="L94" i="12"/>
  <c r="M94" i="12"/>
  <c r="N94" i="12"/>
  <c r="O94" i="12"/>
  <c r="P94" i="12"/>
  <c r="Q94" i="12"/>
  <c r="J95" i="12"/>
  <c r="K95" i="12"/>
  <c r="L95" i="12"/>
  <c r="M95" i="12"/>
  <c r="N95" i="12"/>
  <c r="O95" i="12"/>
  <c r="P95" i="12"/>
  <c r="Q95" i="12"/>
  <c r="J96" i="12"/>
  <c r="K96" i="12"/>
  <c r="L96" i="12"/>
  <c r="M96" i="12"/>
  <c r="N96" i="12"/>
  <c r="O96" i="12"/>
  <c r="P96" i="12"/>
  <c r="Q96" i="12"/>
  <c r="J97" i="12"/>
  <c r="K97" i="12"/>
  <c r="L97" i="12"/>
  <c r="M97" i="12"/>
  <c r="N97" i="12"/>
  <c r="O97" i="12"/>
  <c r="P97" i="12"/>
  <c r="Q97" i="12"/>
  <c r="J98" i="12"/>
  <c r="K98" i="12"/>
  <c r="L98" i="12"/>
  <c r="M98" i="12"/>
  <c r="N98" i="12"/>
  <c r="O98" i="12"/>
  <c r="P98" i="12"/>
  <c r="Q98" i="12"/>
  <c r="J99" i="12"/>
  <c r="K99" i="12"/>
  <c r="L99" i="12"/>
  <c r="M99" i="12"/>
  <c r="N99" i="12"/>
  <c r="O99" i="12"/>
  <c r="P99" i="12"/>
  <c r="Q99" i="12"/>
  <c r="J100" i="12"/>
  <c r="K100" i="12"/>
  <c r="L100" i="12"/>
  <c r="M100" i="12"/>
  <c r="N100" i="12"/>
  <c r="O100" i="12"/>
  <c r="P100" i="12"/>
  <c r="Q100" i="12"/>
  <c r="J101" i="12"/>
  <c r="K101" i="12"/>
  <c r="L101" i="12"/>
  <c r="M101" i="12"/>
  <c r="N101" i="12"/>
  <c r="O101" i="12"/>
  <c r="P101" i="12"/>
  <c r="Q101" i="12"/>
  <c r="J102" i="12"/>
  <c r="K102" i="12"/>
  <c r="L102" i="12"/>
  <c r="M102" i="12"/>
  <c r="N102" i="12"/>
  <c r="O102" i="12"/>
  <c r="P102" i="12"/>
  <c r="Q102" i="12"/>
  <c r="J103" i="12"/>
  <c r="K103" i="12"/>
  <c r="L103" i="12"/>
  <c r="M103" i="12"/>
  <c r="N103" i="12"/>
  <c r="O103" i="12"/>
  <c r="P103" i="12"/>
  <c r="Q103" i="12"/>
  <c r="J104" i="12"/>
  <c r="K104" i="12"/>
  <c r="L104" i="12"/>
  <c r="M104" i="12"/>
  <c r="N104" i="12"/>
  <c r="O104" i="12"/>
  <c r="P104" i="12"/>
  <c r="Q104" i="12"/>
  <c r="J105" i="12"/>
  <c r="K105" i="12"/>
  <c r="L105" i="12"/>
  <c r="M105" i="12"/>
  <c r="N105" i="12"/>
  <c r="O105" i="12"/>
  <c r="P105" i="12"/>
  <c r="Q105" i="12"/>
  <c r="J106" i="12"/>
  <c r="K106" i="12"/>
  <c r="L106" i="12"/>
  <c r="M106" i="12"/>
  <c r="N106" i="12"/>
  <c r="O106" i="12"/>
  <c r="P106" i="12"/>
  <c r="Q106" i="12"/>
  <c r="J107" i="12"/>
  <c r="K107" i="12"/>
  <c r="L107" i="12"/>
  <c r="M107" i="12"/>
  <c r="N107" i="12"/>
  <c r="O107" i="12"/>
  <c r="P107" i="12"/>
  <c r="Q107" i="12"/>
  <c r="J108" i="12"/>
  <c r="K108" i="12"/>
  <c r="L108" i="12"/>
  <c r="M108" i="12"/>
  <c r="N108" i="12"/>
  <c r="O108" i="12"/>
  <c r="P108" i="12"/>
  <c r="Q108" i="12"/>
  <c r="J109" i="12"/>
  <c r="K109" i="12"/>
  <c r="L109" i="12"/>
  <c r="M109" i="12"/>
  <c r="N109" i="12"/>
  <c r="O109" i="12"/>
  <c r="P109" i="12"/>
  <c r="Q109" i="12"/>
  <c r="J110" i="12"/>
  <c r="K110" i="12"/>
  <c r="L110" i="12"/>
  <c r="M110" i="12"/>
  <c r="N110" i="12"/>
  <c r="O110" i="12"/>
  <c r="P110" i="12"/>
  <c r="Q110" i="12"/>
  <c r="J111" i="12"/>
  <c r="K111" i="12"/>
  <c r="L111" i="12"/>
  <c r="M111" i="12"/>
  <c r="N111" i="12"/>
  <c r="O111" i="12"/>
  <c r="P111" i="12"/>
  <c r="Q111" i="12"/>
  <c r="J112" i="12"/>
  <c r="K112" i="12"/>
  <c r="L112" i="12"/>
  <c r="M112" i="12"/>
  <c r="N112" i="12"/>
  <c r="O112" i="12"/>
  <c r="P112" i="12"/>
  <c r="Q112" i="12"/>
  <c r="J113" i="12"/>
  <c r="K113" i="12"/>
  <c r="L113" i="12"/>
  <c r="M113" i="12"/>
  <c r="N113" i="12"/>
  <c r="O113" i="12"/>
  <c r="P113" i="12"/>
  <c r="Q113" i="12"/>
  <c r="J114" i="12"/>
  <c r="K114" i="12"/>
  <c r="L114" i="12"/>
  <c r="M114" i="12"/>
  <c r="N114" i="12"/>
  <c r="O114" i="12"/>
  <c r="P114" i="12"/>
  <c r="Q114" i="12"/>
  <c r="J115" i="12"/>
  <c r="K115" i="12"/>
  <c r="L115" i="12"/>
  <c r="M115" i="12"/>
  <c r="N115" i="12"/>
  <c r="O115" i="12"/>
  <c r="P115" i="12"/>
  <c r="Q115" i="12"/>
  <c r="J116" i="12"/>
  <c r="K116" i="12"/>
  <c r="L116" i="12"/>
  <c r="M116" i="12"/>
  <c r="N116" i="12"/>
  <c r="O116" i="12"/>
  <c r="P116" i="12"/>
  <c r="Q116" i="12"/>
  <c r="J117" i="12"/>
  <c r="K117" i="12"/>
  <c r="L117" i="12"/>
  <c r="M117" i="12"/>
  <c r="N117" i="12"/>
  <c r="O117" i="12"/>
  <c r="P117" i="12"/>
  <c r="Q117" i="12"/>
  <c r="J118" i="12"/>
  <c r="K118" i="12"/>
  <c r="L118" i="12"/>
  <c r="M118" i="12"/>
  <c r="N118" i="12"/>
  <c r="O118" i="12"/>
  <c r="P118" i="12"/>
  <c r="Q118" i="12"/>
  <c r="J119" i="12"/>
  <c r="K119" i="12"/>
  <c r="L119" i="12"/>
  <c r="M119" i="12"/>
  <c r="N119" i="12"/>
  <c r="O119" i="12"/>
  <c r="P119" i="12"/>
  <c r="Q119" i="12"/>
  <c r="J120" i="12"/>
  <c r="K120" i="12"/>
  <c r="L120" i="12"/>
  <c r="M120" i="12"/>
  <c r="N120" i="12"/>
  <c r="O120" i="12"/>
  <c r="P120" i="12"/>
  <c r="Q120" i="12"/>
  <c r="J121" i="12"/>
  <c r="K121" i="12"/>
  <c r="L121" i="12"/>
  <c r="M121" i="12"/>
  <c r="N121" i="12"/>
  <c r="O121" i="12"/>
  <c r="P121" i="12"/>
  <c r="Q121" i="12"/>
  <c r="J122" i="12"/>
  <c r="K122" i="12"/>
  <c r="L122" i="12"/>
  <c r="M122" i="12"/>
  <c r="N122" i="12"/>
  <c r="O122" i="12"/>
  <c r="P122" i="12"/>
  <c r="Q122" i="12"/>
  <c r="J123" i="12"/>
  <c r="K123" i="12"/>
  <c r="L123" i="12"/>
  <c r="M123" i="12"/>
  <c r="N123" i="12"/>
  <c r="O123" i="12"/>
  <c r="P123" i="12"/>
  <c r="Q123" i="12"/>
  <c r="J124" i="12"/>
  <c r="K124" i="12"/>
  <c r="L124" i="12"/>
  <c r="M124" i="12"/>
  <c r="N124" i="12"/>
  <c r="O124" i="12"/>
  <c r="P124" i="12"/>
  <c r="Q124" i="12"/>
  <c r="J125" i="12"/>
  <c r="K125" i="12"/>
  <c r="L125" i="12"/>
  <c r="M125" i="12"/>
  <c r="N125" i="12"/>
  <c r="O125" i="12"/>
  <c r="P125" i="12"/>
  <c r="Q125" i="12"/>
  <c r="J126" i="12"/>
  <c r="K126" i="12"/>
  <c r="L126" i="12"/>
  <c r="M126" i="12"/>
  <c r="N126" i="12"/>
  <c r="O126" i="12"/>
  <c r="P126" i="12"/>
  <c r="Q126" i="12"/>
  <c r="J127" i="12"/>
  <c r="K127" i="12"/>
  <c r="L127" i="12"/>
  <c r="M127" i="12"/>
  <c r="N127" i="12"/>
  <c r="O127" i="12"/>
  <c r="P127" i="12"/>
  <c r="Q127" i="12"/>
  <c r="J128" i="12"/>
  <c r="K128" i="12"/>
  <c r="L128" i="12"/>
  <c r="M128" i="12"/>
  <c r="N128" i="12"/>
  <c r="O128" i="12"/>
  <c r="P128" i="12"/>
  <c r="Q128" i="12"/>
  <c r="J129" i="12"/>
  <c r="K129" i="12"/>
  <c r="L129" i="12"/>
  <c r="M129" i="12"/>
  <c r="N129" i="12"/>
  <c r="O129" i="12"/>
  <c r="P129" i="12"/>
  <c r="Q129" i="12"/>
  <c r="J130" i="12"/>
  <c r="K130" i="12"/>
  <c r="L130" i="12"/>
  <c r="M130" i="12"/>
  <c r="N130" i="12"/>
  <c r="O130" i="12"/>
  <c r="P130" i="12"/>
  <c r="Q130" i="12"/>
  <c r="J131" i="12"/>
  <c r="K131" i="12"/>
  <c r="L131" i="12"/>
  <c r="M131" i="12"/>
  <c r="N131" i="12"/>
  <c r="O131" i="12"/>
  <c r="P131" i="12"/>
  <c r="Q131" i="12"/>
  <c r="J132" i="12"/>
  <c r="K132" i="12"/>
  <c r="L132" i="12"/>
  <c r="M132" i="12"/>
  <c r="N132" i="12"/>
  <c r="O132" i="12"/>
  <c r="P132" i="12"/>
  <c r="Q132" i="12"/>
  <c r="J133" i="12"/>
  <c r="K133" i="12"/>
  <c r="L133" i="12"/>
  <c r="M133" i="12"/>
  <c r="N133" i="12"/>
  <c r="O133" i="12"/>
  <c r="P133" i="12"/>
  <c r="Q133" i="12"/>
  <c r="J134" i="12"/>
  <c r="K134" i="12"/>
  <c r="L134" i="12"/>
  <c r="M134" i="12"/>
  <c r="N134" i="12"/>
  <c r="O134" i="12"/>
  <c r="P134" i="12"/>
  <c r="Q134" i="12"/>
  <c r="J135" i="12"/>
  <c r="K135" i="12"/>
  <c r="L135" i="12"/>
  <c r="M135" i="12"/>
  <c r="N135" i="12"/>
  <c r="O135" i="12"/>
  <c r="P135" i="12"/>
  <c r="Q135" i="12"/>
  <c r="J136" i="12"/>
  <c r="K136" i="12"/>
  <c r="L136" i="12"/>
  <c r="M136" i="12"/>
  <c r="N136" i="12"/>
  <c r="O136" i="12"/>
  <c r="P136" i="12"/>
  <c r="Q136" i="12"/>
  <c r="J137" i="12"/>
  <c r="K137" i="12"/>
  <c r="L137" i="12"/>
  <c r="M137" i="12"/>
  <c r="N137" i="12"/>
  <c r="O137" i="12"/>
  <c r="P137" i="12"/>
  <c r="Q137" i="12"/>
  <c r="J138" i="12"/>
  <c r="K138" i="12"/>
  <c r="L138" i="12"/>
  <c r="M138" i="12"/>
  <c r="N138" i="12"/>
  <c r="O138" i="12"/>
  <c r="P138" i="12"/>
  <c r="Q138" i="12"/>
  <c r="J139" i="12"/>
  <c r="K139" i="12"/>
  <c r="L139" i="12"/>
  <c r="M139" i="12"/>
  <c r="N139" i="12"/>
  <c r="O139" i="12"/>
  <c r="P139" i="12"/>
  <c r="Q139" i="12"/>
  <c r="J140" i="12"/>
  <c r="K140" i="12"/>
  <c r="L140" i="12"/>
  <c r="M140" i="12"/>
  <c r="N140" i="12"/>
  <c r="O140" i="12"/>
  <c r="P140" i="12"/>
  <c r="Q140" i="12"/>
  <c r="J141" i="12"/>
  <c r="K141" i="12"/>
  <c r="L141" i="12"/>
  <c r="M141" i="12"/>
  <c r="N141" i="12"/>
  <c r="O141" i="12"/>
  <c r="P141" i="12"/>
  <c r="Q141" i="12"/>
  <c r="J142" i="12"/>
  <c r="K142" i="12"/>
  <c r="L142" i="12"/>
  <c r="M142" i="12"/>
  <c r="N142" i="12"/>
  <c r="O142" i="12"/>
  <c r="P142" i="12"/>
  <c r="Q142" i="12"/>
  <c r="J143" i="12"/>
  <c r="K143" i="12"/>
  <c r="L143" i="12"/>
  <c r="M143" i="12"/>
  <c r="N143" i="12"/>
  <c r="O143" i="12"/>
  <c r="P143" i="12"/>
  <c r="Q143" i="12"/>
  <c r="J144" i="12"/>
  <c r="K144" i="12"/>
  <c r="L144" i="12"/>
  <c r="M144" i="12"/>
  <c r="N144" i="12"/>
  <c r="O144" i="12"/>
  <c r="P144" i="12"/>
  <c r="Q144" i="12"/>
  <c r="J145" i="12"/>
  <c r="K145" i="12"/>
  <c r="L145" i="12"/>
  <c r="M145" i="12"/>
  <c r="N145" i="12"/>
  <c r="O145" i="12"/>
  <c r="P145" i="12"/>
  <c r="Q145" i="12"/>
  <c r="J146" i="12"/>
  <c r="K146" i="12"/>
  <c r="L146" i="12"/>
  <c r="M146" i="12"/>
  <c r="N146" i="12"/>
  <c r="O146" i="12"/>
  <c r="P146" i="12"/>
  <c r="Q146" i="12"/>
  <c r="J147" i="12"/>
  <c r="K147" i="12"/>
  <c r="L147" i="12"/>
  <c r="M147" i="12"/>
  <c r="N147" i="12"/>
  <c r="O147" i="12"/>
  <c r="P147" i="12"/>
  <c r="Q147" i="12"/>
  <c r="J148" i="12"/>
  <c r="K148" i="12"/>
  <c r="L148" i="12"/>
  <c r="M148" i="12"/>
  <c r="N148" i="12"/>
  <c r="O148" i="12"/>
  <c r="P148" i="12"/>
  <c r="Q148" i="12"/>
  <c r="J149" i="12"/>
  <c r="K149" i="12"/>
  <c r="L149" i="12"/>
  <c r="M149" i="12"/>
  <c r="N149" i="12"/>
  <c r="O149" i="12"/>
  <c r="P149" i="12"/>
  <c r="Q149" i="12"/>
  <c r="J150" i="12"/>
  <c r="K150" i="12"/>
  <c r="L150" i="12"/>
  <c r="M150" i="12"/>
  <c r="N150" i="12"/>
  <c r="O150" i="12"/>
  <c r="P150" i="12"/>
  <c r="Q150" i="12"/>
  <c r="J151" i="12"/>
  <c r="K151" i="12"/>
  <c r="L151" i="12"/>
  <c r="M151" i="12"/>
  <c r="N151" i="12"/>
  <c r="O151" i="12"/>
  <c r="P151" i="12"/>
  <c r="Q151" i="12"/>
  <c r="J152" i="12"/>
  <c r="K152" i="12"/>
  <c r="L152" i="12"/>
  <c r="M152" i="12"/>
  <c r="N152" i="12"/>
  <c r="O152" i="12"/>
  <c r="P152" i="12"/>
  <c r="Q152" i="12"/>
  <c r="J153" i="12"/>
  <c r="K153" i="12"/>
  <c r="L153" i="12"/>
  <c r="M153" i="12"/>
  <c r="N153" i="12"/>
  <c r="O153" i="12"/>
  <c r="P153" i="12"/>
  <c r="Q153" i="12"/>
  <c r="J154" i="12"/>
  <c r="K154" i="12"/>
  <c r="L154" i="12"/>
  <c r="M154" i="12"/>
  <c r="N154" i="12"/>
  <c r="O154" i="12"/>
  <c r="P154" i="12"/>
  <c r="Q154" i="12"/>
  <c r="J155" i="12"/>
  <c r="K155" i="12"/>
  <c r="L155" i="12"/>
  <c r="M155" i="12"/>
  <c r="N155" i="12"/>
  <c r="O155" i="12"/>
  <c r="P155" i="12"/>
  <c r="Q155" i="12"/>
  <c r="J156" i="12"/>
  <c r="K156" i="12"/>
  <c r="L156" i="12"/>
  <c r="M156" i="12"/>
  <c r="N156" i="12"/>
  <c r="O156" i="12"/>
  <c r="P156" i="12"/>
  <c r="Q156" i="12"/>
  <c r="J157" i="12"/>
  <c r="K157" i="12"/>
  <c r="L157" i="12"/>
  <c r="M157" i="12"/>
  <c r="N157" i="12"/>
  <c r="O157" i="12"/>
  <c r="P157" i="12"/>
  <c r="Q157" i="12"/>
  <c r="J158" i="12"/>
  <c r="K158" i="12"/>
  <c r="L158" i="12"/>
  <c r="M158" i="12"/>
  <c r="N158" i="12"/>
  <c r="O158" i="12"/>
  <c r="P158" i="12"/>
  <c r="Q158" i="12"/>
  <c r="J159" i="12"/>
  <c r="K159" i="12"/>
  <c r="L159" i="12"/>
  <c r="M159" i="12"/>
  <c r="N159" i="12"/>
  <c r="O159" i="12"/>
  <c r="P159" i="12"/>
  <c r="Q159" i="12"/>
  <c r="J160" i="12"/>
  <c r="K160" i="12"/>
  <c r="L160" i="12"/>
  <c r="M160" i="12"/>
  <c r="N160" i="12"/>
  <c r="O160" i="12"/>
  <c r="P160" i="12"/>
  <c r="Q160" i="12"/>
  <c r="J161" i="12"/>
  <c r="K161" i="12"/>
  <c r="L161" i="12"/>
  <c r="M161" i="12"/>
  <c r="N161" i="12"/>
  <c r="O161" i="12"/>
  <c r="P161" i="12"/>
  <c r="Q161" i="12"/>
  <c r="J162" i="12"/>
  <c r="K162" i="12"/>
  <c r="L162" i="12"/>
  <c r="M162" i="12"/>
  <c r="N162" i="12"/>
  <c r="O162" i="12"/>
  <c r="P162" i="12"/>
  <c r="Q162" i="12"/>
  <c r="J163" i="12"/>
  <c r="K163" i="12"/>
  <c r="L163" i="12"/>
  <c r="M163" i="12"/>
  <c r="N163" i="12"/>
  <c r="O163" i="12"/>
  <c r="P163" i="12"/>
  <c r="Q163" i="12"/>
  <c r="J164" i="12"/>
  <c r="K164" i="12"/>
  <c r="L164" i="12"/>
  <c r="M164" i="12"/>
  <c r="N164" i="12"/>
  <c r="O164" i="12"/>
  <c r="P164" i="12"/>
  <c r="Q164" i="12"/>
  <c r="J165" i="12"/>
  <c r="K165" i="12"/>
  <c r="L165" i="12"/>
  <c r="M165" i="12"/>
  <c r="N165" i="12"/>
  <c r="O165" i="12"/>
  <c r="P165" i="12"/>
  <c r="Q165" i="12"/>
  <c r="J166" i="12"/>
  <c r="K166" i="12"/>
  <c r="L166" i="12"/>
  <c r="M166" i="12"/>
  <c r="N166" i="12"/>
  <c r="O166" i="12"/>
  <c r="P166" i="12"/>
  <c r="Q166" i="12"/>
  <c r="J167" i="12"/>
  <c r="K167" i="12"/>
  <c r="L167" i="12"/>
  <c r="M167" i="12"/>
  <c r="N167" i="12"/>
  <c r="O167" i="12"/>
  <c r="P167" i="12"/>
  <c r="Q167" i="12"/>
  <c r="J168" i="12"/>
  <c r="K168" i="12"/>
  <c r="L168" i="12"/>
  <c r="M168" i="12"/>
  <c r="N168" i="12"/>
  <c r="O168" i="12"/>
  <c r="P168" i="12"/>
  <c r="Q168" i="12"/>
  <c r="J169" i="12"/>
  <c r="K169" i="12"/>
  <c r="L169" i="12"/>
  <c r="M169" i="12"/>
  <c r="N169" i="12"/>
  <c r="O169" i="12"/>
  <c r="P169" i="12"/>
  <c r="Q169" i="12"/>
  <c r="J170" i="12"/>
  <c r="K170" i="12"/>
  <c r="L170" i="12"/>
  <c r="M170" i="12"/>
  <c r="N170" i="12"/>
  <c r="O170" i="12"/>
  <c r="P170" i="12"/>
  <c r="Q170" i="12"/>
  <c r="J171" i="12"/>
  <c r="K171" i="12"/>
  <c r="L171" i="12"/>
  <c r="M171" i="12"/>
  <c r="N171" i="12"/>
  <c r="O171" i="12"/>
  <c r="P171" i="12"/>
  <c r="Q171" i="12"/>
  <c r="J172" i="12"/>
  <c r="K172" i="12"/>
  <c r="L172" i="12"/>
  <c r="M172" i="12"/>
  <c r="N172" i="12"/>
  <c r="O172" i="12"/>
  <c r="P172" i="12"/>
  <c r="Q172" i="12"/>
  <c r="J173" i="12"/>
  <c r="K173" i="12"/>
  <c r="L173" i="12"/>
  <c r="M173" i="12"/>
  <c r="N173" i="12"/>
  <c r="O173" i="12"/>
  <c r="P173" i="12"/>
  <c r="Q173" i="12"/>
  <c r="J174" i="12"/>
  <c r="K174" i="12"/>
  <c r="L174" i="12"/>
  <c r="M174" i="12"/>
  <c r="N174" i="12"/>
  <c r="O174" i="12"/>
  <c r="P174" i="12"/>
  <c r="Q174" i="12"/>
  <c r="J175" i="12"/>
  <c r="K175" i="12"/>
  <c r="L175" i="12"/>
  <c r="M175" i="12"/>
  <c r="N175" i="12"/>
  <c r="O175" i="12"/>
  <c r="P175" i="12"/>
  <c r="Q175" i="12"/>
  <c r="J176" i="12"/>
  <c r="K176" i="12"/>
  <c r="L176" i="12"/>
  <c r="M176" i="12"/>
  <c r="N176" i="12"/>
  <c r="O176" i="12"/>
  <c r="P176" i="12"/>
  <c r="Q176" i="12"/>
  <c r="J177" i="12"/>
  <c r="K177" i="12"/>
  <c r="L177" i="12"/>
  <c r="M177" i="12"/>
  <c r="N177" i="12"/>
  <c r="O177" i="12"/>
  <c r="P177" i="12"/>
  <c r="Q177" i="12"/>
  <c r="J178" i="12"/>
  <c r="K178" i="12"/>
  <c r="L178" i="12"/>
  <c r="M178" i="12"/>
  <c r="N178" i="12"/>
  <c r="O178" i="12"/>
  <c r="P178" i="12"/>
  <c r="Q178" i="12"/>
  <c r="J179" i="12"/>
  <c r="K179" i="12"/>
  <c r="L179" i="12"/>
  <c r="M179" i="12"/>
  <c r="N179" i="12"/>
  <c r="O179" i="12"/>
  <c r="P179" i="12"/>
  <c r="Q179" i="12"/>
  <c r="J180" i="12"/>
  <c r="K180" i="12"/>
  <c r="L180" i="12"/>
  <c r="M180" i="12"/>
  <c r="N180" i="12"/>
  <c r="O180" i="12"/>
  <c r="P180" i="12"/>
  <c r="Q180" i="12"/>
  <c r="J181" i="12"/>
  <c r="K181" i="12"/>
  <c r="L181" i="12"/>
  <c r="M181" i="12"/>
  <c r="N181" i="12"/>
  <c r="O181" i="12"/>
  <c r="P181" i="12"/>
  <c r="Q181" i="12"/>
  <c r="J182" i="12"/>
  <c r="K182" i="12"/>
  <c r="L182" i="12"/>
  <c r="M182" i="12"/>
  <c r="N182" i="12"/>
  <c r="O182" i="12"/>
  <c r="P182" i="12"/>
  <c r="Q182" i="12"/>
  <c r="J183" i="12"/>
  <c r="K183" i="12"/>
  <c r="L183" i="12"/>
  <c r="M183" i="12"/>
  <c r="N183" i="12"/>
  <c r="O183" i="12"/>
  <c r="P183" i="12"/>
  <c r="Q183" i="12"/>
  <c r="J184" i="12"/>
  <c r="K184" i="12"/>
  <c r="L184" i="12"/>
  <c r="M184" i="12"/>
  <c r="N184" i="12"/>
  <c r="O184" i="12"/>
  <c r="P184" i="12"/>
  <c r="Q184" i="12"/>
  <c r="J185" i="12"/>
  <c r="K185" i="12"/>
  <c r="L185" i="12"/>
  <c r="M185" i="12"/>
  <c r="N185" i="12"/>
  <c r="O185" i="12"/>
  <c r="P185" i="12"/>
  <c r="Q185" i="12"/>
  <c r="J186" i="12"/>
  <c r="K186" i="12"/>
  <c r="L186" i="12"/>
  <c r="M186" i="12"/>
  <c r="N186" i="12"/>
  <c r="O186" i="12"/>
  <c r="P186" i="12"/>
  <c r="Q186" i="12"/>
  <c r="J187" i="12"/>
  <c r="K187" i="12"/>
  <c r="L187" i="12"/>
  <c r="M187" i="12"/>
  <c r="N187" i="12"/>
  <c r="O187" i="12"/>
  <c r="P187" i="12"/>
  <c r="Q187" i="12"/>
  <c r="J188" i="12"/>
  <c r="K188" i="12"/>
  <c r="L188" i="12"/>
  <c r="M188" i="12"/>
  <c r="N188" i="12"/>
  <c r="O188" i="12"/>
  <c r="P188" i="12"/>
  <c r="Q188" i="12"/>
  <c r="J189" i="12"/>
  <c r="K189" i="12"/>
  <c r="L189" i="12"/>
  <c r="M189" i="12"/>
  <c r="N189" i="12"/>
  <c r="O189" i="12"/>
  <c r="P189" i="12"/>
  <c r="Q189" i="12"/>
  <c r="J190" i="12"/>
  <c r="K190" i="12"/>
  <c r="L190" i="12"/>
  <c r="M190" i="12"/>
  <c r="N190" i="12"/>
  <c r="O190" i="12"/>
  <c r="P190" i="12"/>
  <c r="Q190" i="12"/>
  <c r="J191" i="12"/>
  <c r="K191" i="12"/>
  <c r="L191" i="12"/>
  <c r="M191" i="12"/>
  <c r="N191" i="12"/>
  <c r="O191" i="12"/>
  <c r="P191" i="12"/>
  <c r="Q191" i="12"/>
  <c r="J192" i="12"/>
  <c r="K192" i="12"/>
  <c r="L192" i="12"/>
  <c r="M192" i="12"/>
  <c r="N192" i="12"/>
  <c r="O192" i="12"/>
  <c r="P192" i="12"/>
  <c r="Q192" i="12"/>
  <c r="J193" i="12"/>
  <c r="K193" i="12"/>
  <c r="L193" i="12"/>
  <c r="M193" i="12"/>
  <c r="N193" i="12"/>
  <c r="O193" i="12"/>
  <c r="P193" i="12"/>
  <c r="Q193" i="12"/>
  <c r="J194" i="12"/>
  <c r="K194" i="12"/>
  <c r="L194" i="12"/>
  <c r="M194" i="12"/>
  <c r="N194" i="12"/>
  <c r="O194" i="12"/>
  <c r="P194" i="12"/>
  <c r="Q194" i="12"/>
  <c r="J195" i="12"/>
  <c r="K195" i="12"/>
  <c r="L195" i="12"/>
  <c r="M195" i="12"/>
  <c r="N195" i="12"/>
  <c r="O195" i="12"/>
  <c r="P195" i="12"/>
  <c r="Q195" i="12"/>
  <c r="J196" i="12"/>
  <c r="K196" i="12"/>
  <c r="L196" i="12"/>
  <c r="M196" i="12"/>
  <c r="N196" i="12"/>
  <c r="O196" i="12"/>
  <c r="P196" i="12"/>
  <c r="Q196" i="12"/>
  <c r="J197" i="12"/>
  <c r="K197" i="12"/>
  <c r="L197" i="12"/>
  <c r="M197" i="12"/>
  <c r="N197" i="12"/>
  <c r="O197" i="12"/>
  <c r="P197" i="12"/>
  <c r="Q197" i="12"/>
  <c r="J198" i="12"/>
  <c r="K198" i="12"/>
  <c r="L198" i="12"/>
  <c r="M198" i="12"/>
  <c r="N198" i="12"/>
  <c r="O198" i="12"/>
  <c r="P198" i="12"/>
  <c r="Q198" i="12"/>
  <c r="J199" i="12"/>
  <c r="K199" i="12"/>
  <c r="L199" i="12"/>
  <c r="M199" i="12"/>
  <c r="N199" i="12"/>
  <c r="O199" i="12"/>
  <c r="P199" i="12"/>
  <c r="Q199" i="12"/>
  <c r="J200" i="12"/>
  <c r="K200" i="12"/>
  <c r="L200" i="12"/>
  <c r="M200" i="12"/>
  <c r="N200" i="12"/>
  <c r="O200" i="12"/>
  <c r="P200" i="12"/>
  <c r="Q200" i="12"/>
  <c r="J201" i="12"/>
  <c r="K201" i="12"/>
  <c r="L201" i="12"/>
  <c r="M201" i="12"/>
  <c r="N201" i="12"/>
  <c r="O201" i="12"/>
  <c r="P201" i="12"/>
  <c r="Q201" i="12"/>
  <c r="J202" i="12"/>
  <c r="K202" i="12"/>
  <c r="L202" i="12"/>
  <c r="M202" i="12"/>
  <c r="N202" i="12"/>
  <c r="O202" i="12"/>
  <c r="P202" i="12"/>
  <c r="Q202" i="12"/>
  <c r="J203" i="12"/>
  <c r="K203" i="12"/>
  <c r="L203" i="12"/>
  <c r="M203" i="12"/>
  <c r="N203" i="12"/>
  <c r="O203" i="12"/>
  <c r="P203" i="12"/>
  <c r="Q203" i="12"/>
  <c r="J204" i="12"/>
  <c r="K204" i="12"/>
  <c r="L204" i="12"/>
  <c r="M204" i="12"/>
  <c r="N204" i="12"/>
  <c r="O204" i="12"/>
  <c r="P204" i="12"/>
  <c r="Q204" i="12"/>
  <c r="J205" i="12"/>
  <c r="K205" i="12"/>
  <c r="L205" i="12"/>
  <c r="M205" i="12"/>
  <c r="N205" i="12"/>
  <c r="O205" i="12"/>
  <c r="P205" i="12"/>
  <c r="Q205" i="12"/>
  <c r="J206" i="12"/>
  <c r="K206" i="12"/>
  <c r="L206" i="12"/>
  <c r="M206" i="12"/>
  <c r="N206" i="12"/>
  <c r="O206" i="12"/>
  <c r="P206" i="12"/>
  <c r="Q206" i="12"/>
  <c r="J207" i="12"/>
  <c r="K207" i="12"/>
  <c r="L207" i="12"/>
  <c r="M207" i="12"/>
  <c r="N207" i="12"/>
  <c r="O207" i="12"/>
  <c r="P207" i="12"/>
  <c r="Q207" i="12"/>
  <c r="J208" i="12"/>
  <c r="K208" i="12"/>
  <c r="L208" i="12"/>
  <c r="M208" i="12"/>
  <c r="N208" i="12"/>
  <c r="O208" i="12"/>
  <c r="P208" i="12"/>
  <c r="Q208" i="12"/>
  <c r="J209" i="12"/>
  <c r="K209" i="12"/>
  <c r="L209" i="12"/>
  <c r="M209" i="12"/>
  <c r="N209" i="12"/>
  <c r="O209" i="12"/>
  <c r="P209" i="12"/>
  <c r="Q209" i="12"/>
  <c r="J210" i="12"/>
  <c r="K210" i="12"/>
  <c r="L210" i="12"/>
  <c r="M210" i="12"/>
  <c r="N210" i="12"/>
  <c r="O210" i="12"/>
  <c r="P210" i="12"/>
  <c r="Q210" i="12"/>
  <c r="J211" i="12"/>
  <c r="K211" i="12"/>
  <c r="L211" i="12"/>
  <c r="M211" i="12"/>
  <c r="N211" i="12"/>
  <c r="O211" i="12"/>
  <c r="P211" i="12"/>
  <c r="Q211" i="12"/>
  <c r="J212" i="12"/>
  <c r="K212" i="12"/>
  <c r="L212" i="12"/>
  <c r="M212" i="12"/>
  <c r="N212" i="12"/>
  <c r="O212" i="12"/>
  <c r="P212" i="12"/>
  <c r="Q212" i="12"/>
  <c r="J213" i="12"/>
  <c r="K213" i="12"/>
  <c r="L213" i="12"/>
  <c r="M213" i="12"/>
  <c r="N213" i="12"/>
  <c r="O213" i="12"/>
  <c r="P213" i="12"/>
  <c r="Q213" i="12"/>
  <c r="J214" i="12"/>
  <c r="K214" i="12"/>
  <c r="L214" i="12"/>
  <c r="M214" i="12"/>
  <c r="N214" i="12"/>
  <c r="O214" i="12"/>
  <c r="P214" i="12"/>
  <c r="Q214" i="12"/>
  <c r="J215" i="12"/>
  <c r="K215" i="12"/>
  <c r="L215" i="12"/>
  <c r="M215" i="12"/>
  <c r="N215" i="12"/>
  <c r="O215" i="12"/>
  <c r="P215" i="12"/>
  <c r="Q215" i="12"/>
  <c r="J216" i="12"/>
  <c r="K216" i="12"/>
  <c r="L216" i="12"/>
  <c r="M216" i="12"/>
  <c r="N216" i="12"/>
  <c r="O216" i="12"/>
  <c r="P216" i="12"/>
  <c r="Q216" i="12"/>
  <c r="J217" i="12"/>
  <c r="K217" i="12"/>
  <c r="L217" i="12"/>
  <c r="M217" i="12"/>
  <c r="N217" i="12"/>
  <c r="O217" i="12"/>
  <c r="P217" i="12"/>
  <c r="Q217" i="12"/>
  <c r="J218" i="12"/>
  <c r="K218" i="12"/>
  <c r="L218" i="12"/>
  <c r="M218" i="12"/>
  <c r="N218" i="12"/>
  <c r="O218" i="12"/>
  <c r="P218" i="12"/>
  <c r="Q218" i="12"/>
  <c r="J219" i="12"/>
  <c r="K219" i="12"/>
  <c r="L219" i="12"/>
  <c r="M219" i="12"/>
  <c r="N219" i="12"/>
  <c r="O219" i="12"/>
  <c r="P219" i="12"/>
  <c r="Q219" i="12"/>
  <c r="J220" i="12"/>
  <c r="K220" i="12"/>
  <c r="L220" i="12"/>
  <c r="M220" i="12"/>
  <c r="N220" i="12"/>
  <c r="O220" i="12"/>
  <c r="P220" i="12"/>
  <c r="Q220" i="12"/>
  <c r="J221" i="12"/>
  <c r="K221" i="12"/>
  <c r="L221" i="12"/>
  <c r="M221" i="12"/>
  <c r="N221" i="12"/>
  <c r="O221" i="12"/>
  <c r="P221" i="12"/>
  <c r="Q221" i="12"/>
  <c r="J222" i="12"/>
  <c r="K222" i="12"/>
  <c r="L222" i="12"/>
  <c r="M222" i="12"/>
  <c r="N222" i="12"/>
  <c r="O222" i="12"/>
  <c r="P222" i="12"/>
  <c r="Q222" i="12"/>
  <c r="J223" i="12"/>
  <c r="K223" i="12"/>
  <c r="L223" i="12"/>
  <c r="M223" i="12"/>
  <c r="N223" i="12"/>
  <c r="O223" i="12"/>
  <c r="P223" i="12"/>
  <c r="Q223" i="12"/>
  <c r="J224" i="12"/>
  <c r="K224" i="12"/>
  <c r="L224" i="12"/>
  <c r="M224" i="12"/>
  <c r="N224" i="12"/>
  <c r="O224" i="12"/>
  <c r="P224" i="12"/>
  <c r="Q224" i="12"/>
  <c r="J225" i="12"/>
  <c r="K225" i="12"/>
  <c r="L225" i="12"/>
  <c r="M225" i="12"/>
  <c r="N225" i="12"/>
  <c r="O225" i="12"/>
  <c r="P225" i="12"/>
  <c r="Q225" i="12"/>
  <c r="J226" i="12"/>
  <c r="K226" i="12"/>
  <c r="L226" i="12"/>
  <c r="M226" i="12"/>
  <c r="N226" i="12"/>
  <c r="O226" i="12"/>
  <c r="P226" i="12"/>
  <c r="Q226" i="12"/>
  <c r="J227" i="12"/>
  <c r="K227" i="12"/>
  <c r="L227" i="12"/>
  <c r="M227" i="12"/>
  <c r="N227" i="12"/>
  <c r="O227" i="12"/>
  <c r="P227" i="12"/>
  <c r="Q227" i="12"/>
  <c r="J228" i="12"/>
  <c r="K228" i="12"/>
  <c r="L228" i="12"/>
  <c r="M228" i="12"/>
  <c r="N228" i="12"/>
  <c r="O228" i="12"/>
  <c r="P228" i="12"/>
  <c r="Q228" i="12"/>
  <c r="J229" i="12"/>
  <c r="K229" i="12"/>
  <c r="L229" i="12"/>
  <c r="M229" i="12"/>
  <c r="N229" i="12"/>
  <c r="O229" i="12"/>
  <c r="P229" i="12"/>
  <c r="Q229" i="12"/>
  <c r="J230" i="12"/>
  <c r="K230" i="12"/>
  <c r="L230" i="12"/>
  <c r="M230" i="12"/>
  <c r="N230" i="12"/>
  <c r="O230" i="12"/>
  <c r="P230" i="12"/>
  <c r="Q230" i="12"/>
  <c r="J231" i="12"/>
  <c r="K231" i="12"/>
  <c r="L231" i="12"/>
  <c r="M231" i="12"/>
  <c r="N231" i="12"/>
  <c r="O231" i="12"/>
  <c r="P231" i="12"/>
  <c r="Q231" i="12"/>
  <c r="J232" i="12"/>
  <c r="K232" i="12"/>
  <c r="L232" i="12"/>
  <c r="M232" i="12"/>
  <c r="N232" i="12"/>
  <c r="O232" i="12"/>
  <c r="P232" i="12"/>
  <c r="Q232" i="12"/>
  <c r="J233" i="12"/>
  <c r="K233" i="12"/>
  <c r="L233" i="12"/>
  <c r="M233" i="12"/>
  <c r="N233" i="12"/>
  <c r="O233" i="12"/>
  <c r="P233" i="12"/>
  <c r="Q233" i="12"/>
  <c r="J234" i="12"/>
  <c r="K234" i="12"/>
  <c r="L234" i="12"/>
  <c r="M234" i="12"/>
  <c r="N234" i="12"/>
  <c r="O234" i="12"/>
  <c r="P234" i="12"/>
  <c r="Q234" i="12"/>
  <c r="J235" i="12"/>
  <c r="K235" i="12"/>
  <c r="L235" i="12"/>
  <c r="M235" i="12"/>
  <c r="N235" i="12"/>
  <c r="O235" i="12"/>
  <c r="P235" i="12"/>
  <c r="Q235" i="12"/>
  <c r="J236" i="12"/>
  <c r="K236" i="12"/>
  <c r="L236" i="12"/>
  <c r="M236" i="12"/>
  <c r="N236" i="12"/>
  <c r="O236" i="12"/>
  <c r="P236" i="12"/>
  <c r="Q236" i="12"/>
  <c r="J237" i="12"/>
  <c r="K237" i="12"/>
  <c r="L237" i="12"/>
  <c r="M237" i="12"/>
  <c r="N237" i="12"/>
  <c r="O237" i="12"/>
  <c r="P237" i="12"/>
  <c r="Q237" i="12"/>
  <c r="J238" i="12"/>
  <c r="K238" i="12"/>
  <c r="L238" i="12"/>
  <c r="M238" i="12"/>
  <c r="N238" i="12"/>
  <c r="O238" i="12"/>
  <c r="P238" i="12"/>
  <c r="Q238" i="12"/>
  <c r="J239" i="12"/>
  <c r="K239" i="12"/>
  <c r="L239" i="12"/>
  <c r="M239" i="12"/>
  <c r="N239" i="12"/>
  <c r="O239" i="12"/>
  <c r="P239" i="12"/>
  <c r="Q239" i="12"/>
  <c r="J240" i="12"/>
  <c r="K240" i="12"/>
  <c r="L240" i="12"/>
  <c r="M240" i="12"/>
  <c r="N240" i="12"/>
  <c r="O240" i="12"/>
  <c r="P240" i="12"/>
  <c r="Q240" i="12"/>
  <c r="J241" i="12"/>
  <c r="K241" i="12"/>
  <c r="L241" i="12"/>
  <c r="M241" i="12"/>
  <c r="N241" i="12"/>
  <c r="O241" i="12"/>
  <c r="P241" i="12"/>
  <c r="Q241" i="12"/>
  <c r="J242" i="12"/>
  <c r="K242" i="12"/>
  <c r="L242" i="12"/>
  <c r="M242" i="12"/>
  <c r="N242" i="12"/>
  <c r="O242" i="12"/>
  <c r="P242" i="12"/>
  <c r="Q242" i="12"/>
  <c r="J243" i="12"/>
  <c r="K243" i="12"/>
  <c r="L243" i="12"/>
  <c r="M243" i="12"/>
  <c r="N243" i="12"/>
  <c r="O243" i="12"/>
  <c r="P243" i="12"/>
  <c r="Q243" i="12"/>
  <c r="J244" i="12"/>
  <c r="K244" i="12"/>
  <c r="L244" i="12"/>
  <c r="M244" i="12"/>
  <c r="N244" i="12"/>
  <c r="O244" i="12"/>
  <c r="P244" i="12"/>
  <c r="Q244" i="12"/>
  <c r="J245" i="12"/>
  <c r="K245" i="12"/>
  <c r="L245" i="12"/>
  <c r="M245" i="12"/>
  <c r="N245" i="12"/>
  <c r="O245" i="12"/>
  <c r="P245" i="12"/>
  <c r="Q245" i="12"/>
  <c r="J246" i="12"/>
  <c r="K246" i="12"/>
  <c r="L246" i="12"/>
  <c r="M246" i="12"/>
  <c r="N246" i="12"/>
  <c r="O246" i="12"/>
  <c r="P246" i="12"/>
  <c r="Q246" i="12"/>
  <c r="J247" i="12"/>
  <c r="K247" i="12"/>
  <c r="L247" i="12"/>
  <c r="M247" i="12"/>
  <c r="N247" i="12"/>
  <c r="O247" i="12"/>
  <c r="P247" i="12"/>
  <c r="Q247" i="12"/>
  <c r="J248" i="12"/>
  <c r="K248" i="12"/>
  <c r="L248" i="12"/>
  <c r="M248" i="12"/>
  <c r="N248" i="12"/>
  <c r="O248" i="12"/>
  <c r="P248" i="12"/>
  <c r="Q248" i="12"/>
  <c r="J249" i="12"/>
  <c r="K249" i="12"/>
  <c r="L249" i="12"/>
  <c r="M249" i="12"/>
  <c r="N249" i="12"/>
  <c r="O249" i="12"/>
  <c r="P249" i="12"/>
  <c r="Q249" i="12"/>
  <c r="J250" i="12"/>
  <c r="K250" i="12"/>
  <c r="L250" i="12"/>
  <c r="M250" i="12"/>
  <c r="N250" i="12"/>
  <c r="O250" i="12"/>
  <c r="P250" i="12"/>
  <c r="Q250" i="12"/>
  <c r="J251" i="12"/>
  <c r="K251" i="12"/>
  <c r="L251" i="12"/>
  <c r="M251" i="12"/>
  <c r="N251" i="12"/>
  <c r="O251" i="12"/>
  <c r="P251" i="12"/>
  <c r="Q251" i="12"/>
  <c r="J252" i="12"/>
  <c r="K252" i="12"/>
  <c r="L252" i="12"/>
  <c r="M252" i="12"/>
  <c r="N252" i="12"/>
  <c r="O252" i="12"/>
  <c r="P252" i="12"/>
  <c r="Q252" i="12"/>
  <c r="J253" i="12"/>
  <c r="K253" i="12"/>
  <c r="L253" i="12"/>
  <c r="M253" i="12"/>
  <c r="N253" i="12"/>
  <c r="O253" i="12"/>
  <c r="P253" i="12"/>
  <c r="Q253" i="12"/>
  <c r="J254" i="12"/>
  <c r="K254" i="12"/>
  <c r="L254" i="12"/>
  <c r="M254" i="12"/>
  <c r="N254" i="12"/>
  <c r="O254" i="12"/>
  <c r="P254" i="12"/>
  <c r="Q254" i="12"/>
  <c r="J255" i="12"/>
  <c r="K255" i="12"/>
  <c r="L255" i="12"/>
  <c r="M255" i="12"/>
  <c r="N255" i="12"/>
  <c r="O255" i="12"/>
  <c r="P255" i="12"/>
  <c r="Q255" i="12"/>
  <c r="J256" i="12"/>
  <c r="K256" i="12"/>
  <c r="L256" i="12"/>
  <c r="M256" i="12"/>
  <c r="N256" i="12"/>
  <c r="O256" i="12"/>
  <c r="P256" i="12"/>
  <c r="Q256" i="12"/>
  <c r="J257" i="12"/>
  <c r="K257" i="12"/>
  <c r="L257" i="12"/>
  <c r="M257" i="12"/>
  <c r="N257" i="12"/>
  <c r="O257" i="12"/>
  <c r="P257" i="12"/>
  <c r="Q257" i="12"/>
  <c r="J258" i="12"/>
  <c r="K258" i="12"/>
  <c r="L258" i="12"/>
  <c r="M258" i="12"/>
  <c r="N258" i="12"/>
  <c r="O258" i="12"/>
  <c r="P258" i="12"/>
  <c r="Q258" i="12"/>
  <c r="J259" i="12"/>
  <c r="K259" i="12"/>
  <c r="L259" i="12"/>
  <c r="M259" i="12"/>
  <c r="N259" i="12"/>
  <c r="O259" i="12"/>
  <c r="P259" i="12"/>
  <c r="Q259" i="12"/>
  <c r="J260" i="12"/>
  <c r="K260" i="12"/>
  <c r="L260" i="12"/>
  <c r="M260" i="12"/>
  <c r="N260" i="12"/>
  <c r="O260" i="12"/>
  <c r="P260" i="12"/>
  <c r="Q260" i="12"/>
  <c r="J261" i="12"/>
  <c r="K261" i="12"/>
  <c r="L261" i="12"/>
  <c r="M261" i="12"/>
  <c r="N261" i="12"/>
  <c r="O261" i="12"/>
  <c r="P261" i="12"/>
  <c r="Q261" i="12"/>
  <c r="J262" i="12"/>
  <c r="K262" i="12"/>
  <c r="L262" i="12"/>
  <c r="M262" i="12"/>
  <c r="N262" i="12"/>
  <c r="O262" i="12"/>
  <c r="P262" i="12"/>
  <c r="Q262" i="12"/>
  <c r="J263" i="12"/>
  <c r="K263" i="12"/>
  <c r="L263" i="12"/>
  <c r="M263" i="12"/>
  <c r="N263" i="12"/>
  <c r="O263" i="12"/>
  <c r="P263" i="12"/>
  <c r="Q263" i="12"/>
  <c r="J264" i="12"/>
  <c r="K264" i="12"/>
  <c r="L264" i="12"/>
  <c r="M264" i="12"/>
  <c r="N264" i="12"/>
  <c r="O264" i="12"/>
  <c r="P264" i="12"/>
  <c r="Q264" i="12"/>
  <c r="J265" i="12"/>
  <c r="K265" i="12"/>
  <c r="L265" i="12"/>
  <c r="M265" i="12"/>
  <c r="N265" i="12"/>
  <c r="O265" i="12"/>
  <c r="P265" i="12"/>
  <c r="Q265" i="12"/>
  <c r="J266" i="12"/>
  <c r="K266" i="12"/>
  <c r="L266" i="12"/>
  <c r="M266" i="12"/>
  <c r="N266" i="12"/>
  <c r="O266" i="12"/>
  <c r="P266" i="12"/>
  <c r="Q266" i="12"/>
  <c r="J267" i="12"/>
  <c r="K267" i="12"/>
  <c r="L267" i="12"/>
  <c r="M267" i="12"/>
  <c r="N267" i="12"/>
  <c r="O267" i="12"/>
  <c r="P267" i="12"/>
  <c r="Q267" i="12"/>
  <c r="J268" i="12"/>
  <c r="K268" i="12"/>
  <c r="L268" i="12"/>
  <c r="M268" i="12"/>
  <c r="N268" i="12"/>
  <c r="O268" i="12"/>
  <c r="P268" i="12"/>
  <c r="Q268" i="12"/>
  <c r="J269" i="12"/>
  <c r="K269" i="12"/>
  <c r="L269" i="12"/>
  <c r="M269" i="12"/>
  <c r="N269" i="12"/>
  <c r="O269" i="12"/>
  <c r="P269" i="12"/>
  <c r="Q269" i="12"/>
  <c r="J270" i="12"/>
  <c r="K270" i="12"/>
  <c r="L270" i="12"/>
  <c r="M270" i="12"/>
  <c r="N270" i="12"/>
  <c r="O270" i="12"/>
  <c r="P270" i="12"/>
  <c r="Q270" i="12"/>
  <c r="J271" i="12"/>
  <c r="K271" i="12"/>
  <c r="L271" i="12"/>
  <c r="M271" i="12"/>
  <c r="N271" i="12"/>
  <c r="O271" i="12"/>
  <c r="P271" i="12"/>
  <c r="Q271" i="12"/>
  <c r="J272" i="12"/>
  <c r="K272" i="12"/>
  <c r="L272" i="12"/>
  <c r="M272" i="12"/>
  <c r="N272" i="12"/>
  <c r="O272" i="12"/>
  <c r="P272" i="12"/>
  <c r="Q272" i="12"/>
  <c r="J273" i="12"/>
  <c r="K273" i="12"/>
  <c r="L273" i="12"/>
  <c r="M273" i="12"/>
  <c r="N273" i="12"/>
  <c r="O273" i="12"/>
  <c r="P273" i="12"/>
  <c r="Q273" i="12"/>
  <c r="J274" i="12"/>
  <c r="K274" i="12"/>
  <c r="L274" i="12"/>
  <c r="M274" i="12"/>
  <c r="N274" i="12"/>
  <c r="O274" i="12"/>
  <c r="P274" i="12"/>
  <c r="Q274" i="12"/>
  <c r="J275" i="12"/>
  <c r="K275" i="12"/>
  <c r="L275" i="12"/>
  <c r="M275" i="12"/>
  <c r="N275" i="12"/>
  <c r="O275" i="12"/>
  <c r="P275" i="12"/>
  <c r="Q275" i="12"/>
  <c r="J276" i="12"/>
  <c r="K276" i="12"/>
  <c r="L276" i="12"/>
  <c r="M276" i="12"/>
  <c r="N276" i="12"/>
  <c r="O276" i="12"/>
  <c r="P276" i="12"/>
  <c r="Q276" i="12"/>
  <c r="J277" i="12"/>
  <c r="K277" i="12"/>
  <c r="L277" i="12"/>
  <c r="M277" i="12"/>
  <c r="N277" i="12"/>
  <c r="O277" i="12"/>
  <c r="P277" i="12"/>
  <c r="Q277" i="12"/>
  <c r="J278" i="12"/>
  <c r="K278" i="12"/>
  <c r="L278" i="12"/>
  <c r="M278" i="12"/>
  <c r="N278" i="12"/>
  <c r="O278" i="12"/>
  <c r="P278" i="12"/>
  <c r="Q278" i="12"/>
  <c r="J279" i="12"/>
  <c r="K279" i="12"/>
  <c r="L279" i="12"/>
  <c r="M279" i="12"/>
  <c r="N279" i="12"/>
  <c r="O279" i="12"/>
  <c r="P279" i="12"/>
  <c r="Q279" i="12"/>
  <c r="J280" i="12"/>
  <c r="K280" i="12"/>
  <c r="L280" i="12"/>
  <c r="M280" i="12"/>
  <c r="N280" i="12"/>
  <c r="O280" i="12"/>
  <c r="P280" i="12"/>
  <c r="Q280" i="12"/>
  <c r="J281" i="12"/>
  <c r="K281" i="12"/>
  <c r="L281" i="12"/>
  <c r="M281" i="12"/>
  <c r="N281" i="12"/>
  <c r="O281" i="12"/>
  <c r="P281" i="12"/>
  <c r="Q281" i="12"/>
  <c r="J282" i="12"/>
  <c r="K282" i="12"/>
  <c r="L282" i="12"/>
  <c r="M282" i="12"/>
  <c r="N282" i="12"/>
  <c r="O282" i="12"/>
  <c r="P282" i="12"/>
  <c r="Q282" i="12"/>
  <c r="J283" i="12"/>
  <c r="K283" i="12"/>
  <c r="L283" i="12"/>
  <c r="M283" i="12"/>
  <c r="N283" i="12"/>
  <c r="O283" i="12"/>
  <c r="P283" i="12"/>
  <c r="Q283" i="12"/>
  <c r="J284" i="12"/>
  <c r="K284" i="12"/>
  <c r="L284" i="12"/>
  <c r="M284" i="12"/>
  <c r="N284" i="12"/>
  <c r="O284" i="12"/>
  <c r="P284" i="12"/>
  <c r="Q284" i="12"/>
  <c r="J285" i="12"/>
  <c r="K285" i="12"/>
  <c r="L285" i="12"/>
  <c r="M285" i="12"/>
  <c r="N285" i="12"/>
  <c r="O285" i="12"/>
  <c r="P285" i="12"/>
  <c r="Q285" i="12"/>
  <c r="J286" i="12"/>
  <c r="K286" i="12"/>
  <c r="L286" i="12"/>
  <c r="M286" i="12"/>
  <c r="N286" i="12"/>
  <c r="O286" i="12"/>
  <c r="P286" i="12"/>
  <c r="Q286" i="12"/>
  <c r="J287" i="12"/>
  <c r="K287" i="12"/>
  <c r="L287" i="12"/>
  <c r="M287" i="12"/>
  <c r="N287" i="12"/>
  <c r="O287" i="12"/>
  <c r="P287" i="12"/>
  <c r="Q287" i="12"/>
  <c r="J288" i="12"/>
  <c r="K288" i="12"/>
  <c r="L288" i="12"/>
  <c r="M288" i="12"/>
  <c r="N288" i="12"/>
  <c r="O288" i="12"/>
  <c r="P288" i="12"/>
  <c r="Q288" i="12"/>
  <c r="J289" i="12"/>
  <c r="K289" i="12"/>
  <c r="L289" i="12"/>
  <c r="M289" i="12"/>
  <c r="N289" i="12"/>
  <c r="O289" i="12"/>
  <c r="P289" i="12"/>
  <c r="Q289" i="12"/>
  <c r="J290" i="12"/>
  <c r="K290" i="12"/>
  <c r="L290" i="12"/>
  <c r="M290" i="12"/>
  <c r="N290" i="12"/>
  <c r="O290" i="12"/>
  <c r="P290" i="12"/>
  <c r="Q290" i="12"/>
  <c r="J291" i="12"/>
  <c r="K291" i="12"/>
  <c r="L291" i="12"/>
  <c r="M291" i="12"/>
  <c r="N291" i="12"/>
  <c r="O291" i="12"/>
  <c r="P291" i="12"/>
  <c r="Q291" i="12"/>
  <c r="J292" i="12"/>
  <c r="K292" i="12"/>
  <c r="L292" i="12"/>
  <c r="M292" i="12"/>
  <c r="N292" i="12"/>
  <c r="O292" i="12"/>
  <c r="P292" i="12"/>
  <c r="Q292" i="12"/>
  <c r="J293" i="12"/>
  <c r="K293" i="12"/>
  <c r="L293" i="12"/>
  <c r="M293" i="12"/>
  <c r="N293" i="12"/>
  <c r="O293" i="12"/>
  <c r="P293" i="12"/>
  <c r="Q293" i="12"/>
  <c r="J294" i="12"/>
  <c r="K294" i="12"/>
  <c r="L294" i="12"/>
  <c r="M294" i="12"/>
  <c r="N294" i="12"/>
  <c r="O294" i="12"/>
  <c r="P294" i="12"/>
  <c r="Q294" i="12"/>
  <c r="J295" i="12"/>
  <c r="K295" i="12"/>
  <c r="L295" i="12"/>
  <c r="M295" i="12"/>
  <c r="N295" i="12"/>
  <c r="O295" i="12"/>
  <c r="P295" i="12"/>
  <c r="Q295" i="12"/>
  <c r="J296" i="12"/>
  <c r="K296" i="12"/>
  <c r="L296" i="12"/>
  <c r="M296" i="12"/>
  <c r="N296" i="12"/>
  <c r="O296" i="12"/>
  <c r="P296" i="12"/>
  <c r="Q296" i="12"/>
  <c r="J297" i="12"/>
  <c r="K297" i="12"/>
  <c r="L297" i="12"/>
  <c r="M297" i="12"/>
  <c r="N297" i="12"/>
  <c r="O297" i="12"/>
  <c r="P297" i="12"/>
  <c r="Q297" i="12"/>
  <c r="J298" i="12"/>
  <c r="K298" i="12"/>
  <c r="L298" i="12"/>
  <c r="M298" i="12"/>
  <c r="N298" i="12"/>
  <c r="O298" i="12"/>
  <c r="P298" i="12"/>
  <c r="Q298" i="12"/>
  <c r="J299" i="12"/>
  <c r="K299" i="12"/>
  <c r="L299" i="12"/>
  <c r="M299" i="12"/>
  <c r="N299" i="12"/>
  <c r="O299" i="12"/>
  <c r="P299" i="12"/>
  <c r="Q299" i="12"/>
  <c r="J300" i="12"/>
  <c r="K300" i="12"/>
  <c r="L300" i="12"/>
  <c r="M300" i="12"/>
  <c r="N300" i="12"/>
  <c r="O300" i="12"/>
  <c r="P300" i="12"/>
  <c r="Q300" i="12"/>
  <c r="J301" i="12"/>
  <c r="K301" i="12"/>
  <c r="L301" i="12"/>
  <c r="M301" i="12"/>
  <c r="N301" i="12"/>
  <c r="O301" i="12"/>
  <c r="P301" i="12"/>
  <c r="Q301" i="12"/>
  <c r="J302" i="12"/>
  <c r="K302" i="12"/>
  <c r="L302" i="12"/>
  <c r="M302" i="12"/>
  <c r="N302" i="12"/>
  <c r="O302" i="12"/>
  <c r="P302" i="12"/>
  <c r="Q302" i="12"/>
  <c r="J303" i="12"/>
  <c r="K303" i="12"/>
  <c r="L303" i="12"/>
  <c r="M303" i="12"/>
  <c r="N303" i="12"/>
  <c r="O303" i="12"/>
  <c r="P303" i="12"/>
  <c r="Q303" i="12"/>
  <c r="J304" i="12"/>
  <c r="K304" i="12"/>
  <c r="L304" i="12"/>
  <c r="M304" i="12"/>
  <c r="N304" i="12"/>
  <c r="O304" i="12"/>
  <c r="P304" i="12"/>
  <c r="Q304" i="12"/>
  <c r="J305" i="12"/>
  <c r="K305" i="12"/>
  <c r="L305" i="12"/>
  <c r="M305" i="12"/>
  <c r="N305" i="12"/>
  <c r="O305" i="12"/>
  <c r="P305" i="12"/>
  <c r="Q305" i="12"/>
  <c r="J306" i="12"/>
  <c r="K306" i="12"/>
  <c r="L306" i="12"/>
  <c r="M306" i="12"/>
  <c r="N306" i="12"/>
  <c r="O306" i="12"/>
  <c r="P306" i="12"/>
  <c r="Q306" i="12"/>
  <c r="J307" i="12"/>
  <c r="K307" i="12"/>
  <c r="L307" i="12"/>
  <c r="M307" i="12"/>
  <c r="N307" i="12"/>
  <c r="O307" i="12"/>
  <c r="P307" i="12"/>
  <c r="Q307" i="12"/>
  <c r="J308" i="12"/>
  <c r="K308" i="12"/>
  <c r="L308" i="12"/>
  <c r="M308" i="12"/>
  <c r="N308" i="12"/>
  <c r="O308" i="12"/>
  <c r="P308" i="12"/>
  <c r="Q308" i="12"/>
  <c r="J309" i="12"/>
  <c r="K309" i="12"/>
  <c r="L309" i="12"/>
  <c r="M309" i="12"/>
  <c r="N309" i="12"/>
  <c r="O309" i="12"/>
  <c r="P309" i="12"/>
  <c r="Q309" i="12"/>
  <c r="J310" i="12"/>
  <c r="K310" i="12"/>
  <c r="L310" i="12"/>
  <c r="M310" i="12"/>
  <c r="N310" i="12"/>
  <c r="O310" i="12"/>
  <c r="P310" i="12"/>
  <c r="Q310" i="12"/>
  <c r="J311" i="12"/>
  <c r="K311" i="12"/>
  <c r="L311" i="12"/>
  <c r="M311" i="12"/>
  <c r="N311" i="12"/>
  <c r="O311" i="12"/>
  <c r="P311" i="12"/>
  <c r="Q311" i="12"/>
  <c r="J312" i="12"/>
  <c r="K312" i="12"/>
  <c r="L312" i="12"/>
  <c r="M312" i="12"/>
  <c r="N312" i="12"/>
  <c r="O312" i="12"/>
  <c r="P312" i="12"/>
  <c r="Q312" i="12"/>
  <c r="J313" i="12"/>
  <c r="K313" i="12"/>
  <c r="L313" i="12"/>
  <c r="M313" i="12"/>
  <c r="N313" i="12"/>
  <c r="O313" i="12"/>
  <c r="P313" i="12"/>
  <c r="Q313" i="12"/>
  <c r="J314" i="12"/>
  <c r="K314" i="12"/>
  <c r="L314" i="12"/>
  <c r="M314" i="12"/>
  <c r="N314" i="12"/>
  <c r="O314" i="12"/>
  <c r="P314" i="12"/>
  <c r="Q314" i="12"/>
  <c r="J315" i="12"/>
  <c r="K315" i="12"/>
  <c r="L315" i="12"/>
  <c r="M315" i="12"/>
  <c r="N315" i="12"/>
  <c r="O315" i="12"/>
  <c r="P315" i="12"/>
  <c r="Q315" i="12"/>
  <c r="J316" i="12"/>
  <c r="K316" i="12"/>
  <c r="L316" i="12"/>
  <c r="M316" i="12"/>
  <c r="N316" i="12"/>
  <c r="O316" i="12"/>
  <c r="P316" i="12"/>
  <c r="Q316" i="12"/>
  <c r="J317" i="12"/>
  <c r="K317" i="12"/>
  <c r="L317" i="12"/>
  <c r="M317" i="12"/>
  <c r="N317" i="12"/>
  <c r="O317" i="12"/>
  <c r="P317" i="12"/>
  <c r="Q317" i="12"/>
  <c r="J318" i="12"/>
  <c r="K318" i="12"/>
  <c r="L318" i="12"/>
  <c r="M318" i="12"/>
  <c r="N318" i="12"/>
  <c r="O318" i="12"/>
  <c r="P318" i="12"/>
  <c r="Q318" i="12"/>
  <c r="J319" i="12"/>
  <c r="K319" i="12"/>
  <c r="L319" i="12"/>
  <c r="M319" i="12"/>
  <c r="N319" i="12"/>
  <c r="O319" i="12"/>
  <c r="P319" i="12"/>
  <c r="Q319" i="12"/>
  <c r="J320" i="12"/>
  <c r="K320" i="12"/>
  <c r="L320" i="12"/>
  <c r="M320" i="12"/>
  <c r="N320" i="12"/>
  <c r="O320" i="12"/>
  <c r="P320" i="12"/>
  <c r="Q320" i="12"/>
  <c r="J321" i="12"/>
  <c r="K321" i="12"/>
  <c r="L321" i="12"/>
  <c r="M321" i="12"/>
  <c r="N321" i="12"/>
  <c r="O321" i="12"/>
  <c r="P321" i="12"/>
  <c r="Q321" i="12"/>
  <c r="J322" i="12"/>
  <c r="K322" i="12"/>
  <c r="L322" i="12"/>
  <c r="M322" i="12"/>
  <c r="N322" i="12"/>
  <c r="O322" i="12"/>
  <c r="P322" i="12"/>
  <c r="Q322" i="12"/>
  <c r="J323" i="12"/>
  <c r="K323" i="12"/>
  <c r="L323" i="12"/>
  <c r="M323" i="12"/>
  <c r="N323" i="12"/>
  <c r="O323" i="12"/>
  <c r="P323" i="12"/>
  <c r="Q323" i="12"/>
  <c r="J324" i="12"/>
  <c r="K324" i="12"/>
  <c r="L324" i="12"/>
  <c r="M324" i="12"/>
  <c r="N324" i="12"/>
  <c r="O324" i="12"/>
  <c r="P324" i="12"/>
  <c r="Q324" i="12"/>
  <c r="J325" i="12"/>
  <c r="K325" i="12"/>
  <c r="L325" i="12"/>
  <c r="M325" i="12"/>
  <c r="N325" i="12"/>
  <c r="O325" i="12"/>
  <c r="P325" i="12"/>
  <c r="Q325" i="12"/>
  <c r="J326" i="12"/>
  <c r="K326" i="12"/>
  <c r="L326" i="12"/>
  <c r="M326" i="12"/>
  <c r="N326" i="12"/>
  <c r="O326" i="12"/>
  <c r="P326" i="12"/>
  <c r="Q326" i="12"/>
  <c r="J327" i="12"/>
  <c r="K327" i="12"/>
  <c r="L327" i="12"/>
  <c r="M327" i="12"/>
  <c r="N327" i="12"/>
  <c r="O327" i="12"/>
  <c r="P327" i="12"/>
  <c r="Q327" i="12"/>
  <c r="J328" i="12"/>
  <c r="K328" i="12"/>
  <c r="L328" i="12"/>
  <c r="M328" i="12"/>
  <c r="N328" i="12"/>
  <c r="O328" i="12"/>
  <c r="P328" i="12"/>
  <c r="Q328" i="12"/>
  <c r="J329" i="12"/>
  <c r="K329" i="12"/>
  <c r="L329" i="12"/>
  <c r="M329" i="12"/>
  <c r="N329" i="12"/>
  <c r="O329" i="12"/>
  <c r="P329" i="12"/>
  <c r="Q329" i="12"/>
  <c r="J330" i="12"/>
  <c r="K330" i="12"/>
  <c r="L330" i="12"/>
  <c r="M330" i="12"/>
  <c r="N330" i="12"/>
  <c r="O330" i="12"/>
  <c r="P330" i="12"/>
  <c r="Q330" i="12"/>
  <c r="J331" i="12"/>
  <c r="K331" i="12"/>
  <c r="L331" i="12"/>
  <c r="M331" i="12"/>
  <c r="N331" i="12"/>
  <c r="O331" i="12"/>
  <c r="P331" i="12"/>
  <c r="Q331" i="12"/>
  <c r="J332" i="12"/>
  <c r="K332" i="12"/>
  <c r="L332" i="12"/>
  <c r="M332" i="12"/>
  <c r="N332" i="12"/>
  <c r="O332" i="12"/>
  <c r="P332" i="12"/>
  <c r="Q332" i="12"/>
  <c r="J333" i="12"/>
  <c r="K333" i="12"/>
  <c r="L333" i="12"/>
  <c r="M333" i="12"/>
  <c r="N333" i="12"/>
  <c r="O333" i="12"/>
  <c r="P333" i="12"/>
  <c r="Q333" i="12"/>
  <c r="J334" i="12"/>
  <c r="K334" i="12"/>
  <c r="L334" i="12"/>
  <c r="M334" i="12"/>
  <c r="N334" i="12"/>
  <c r="O334" i="12"/>
  <c r="P334" i="12"/>
  <c r="Q334" i="12"/>
  <c r="J335" i="12"/>
  <c r="K335" i="12"/>
  <c r="L335" i="12"/>
  <c r="M335" i="12"/>
  <c r="N335" i="12"/>
  <c r="O335" i="12"/>
  <c r="P335" i="12"/>
  <c r="Q335" i="12"/>
  <c r="J336" i="12"/>
  <c r="K336" i="12"/>
  <c r="L336" i="12"/>
  <c r="M336" i="12"/>
  <c r="N336" i="12"/>
  <c r="O336" i="12"/>
  <c r="P336" i="12"/>
  <c r="Q336" i="12"/>
  <c r="J337" i="12"/>
  <c r="K337" i="12"/>
  <c r="L337" i="12"/>
  <c r="M337" i="12"/>
  <c r="N337" i="12"/>
  <c r="O337" i="12"/>
  <c r="P337" i="12"/>
  <c r="Q337" i="12"/>
  <c r="J338" i="12"/>
  <c r="K338" i="12"/>
  <c r="L338" i="12"/>
  <c r="M338" i="12"/>
  <c r="N338" i="12"/>
  <c r="O338" i="12"/>
  <c r="P338" i="12"/>
  <c r="Q338" i="12"/>
  <c r="J339" i="12"/>
  <c r="K339" i="12"/>
  <c r="L339" i="12"/>
  <c r="M339" i="12"/>
  <c r="N339" i="12"/>
  <c r="O339" i="12"/>
  <c r="P339" i="12"/>
  <c r="Q339" i="12"/>
  <c r="J340" i="12"/>
  <c r="K340" i="12"/>
  <c r="L340" i="12"/>
  <c r="M340" i="12"/>
  <c r="N340" i="12"/>
  <c r="O340" i="12"/>
  <c r="P340" i="12"/>
  <c r="Q340" i="12"/>
  <c r="J341" i="12"/>
  <c r="K341" i="12"/>
  <c r="L341" i="12"/>
  <c r="M341" i="12"/>
  <c r="N341" i="12"/>
  <c r="O341" i="12"/>
  <c r="P341" i="12"/>
  <c r="Q341" i="12"/>
  <c r="J342" i="12"/>
  <c r="K342" i="12"/>
  <c r="L342" i="12"/>
  <c r="M342" i="12"/>
  <c r="N342" i="12"/>
  <c r="O342" i="12"/>
  <c r="P342" i="12"/>
  <c r="Q342" i="12"/>
  <c r="J343" i="12"/>
  <c r="K343" i="12"/>
  <c r="L343" i="12"/>
  <c r="M343" i="12"/>
  <c r="N343" i="12"/>
  <c r="O343" i="12"/>
  <c r="P343" i="12"/>
  <c r="Q343" i="12"/>
  <c r="J344" i="12"/>
  <c r="K344" i="12"/>
  <c r="L344" i="12"/>
  <c r="M344" i="12"/>
  <c r="N344" i="12"/>
  <c r="O344" i="12"/>
  <c r="P344" i="12"/>
  <c r="Q344" i="12"/>
  <c r="J345" i="12"/>
  <c r="K345" i="12"/>
  <c r="L345" i="12"/>
  <c r="M345" i="12"/>
  <c r="N345" i="12"/>
  <c r="O345" i="12"/>
  <c r="P345" i="12"/>
  <c r="Q345" i="12"/>
  <c r="J346" i="12"/>
  <c r="K346" i="12"/>
  <c r="L346" i="12"/>
  <c r="M346" i="12"/>
  <c r="N346" i="12"/>
  <c r="O346" i="12"/>
  <c r="P346" i="12"/>
  <c r="Q346" i="12"/>
  <c r="J347" i="12"/>
  <c r="K347" i="12"/>
  <c r="L347" i="12"/>
  <c r="M347" i="12"/>
  <c r="N347" i="12"/>
  <c r="O347" i="12"/>
  <c r="P347" i="12"/>
  <c r="Q347" i="12"/>
  <c r="J348" i="12"/>
  <c r="K348" i="12"/>
  <c r="L348" i="12"/>
  <c r="M348" i="12"/>
  <c r="N348" i="12"/>
  <c r="O348" i="12"/>
  <c r="P348" i="12"/>
  <c r="Q348" i="12"/>
  <c r="J349" i="12"/>
  <c r="K349" i="12"/>
  <c r="L349" i="12"/>
  <c r="M349" i="12"/>
  <c r="N349" i="12"/>
  <c r="O349" i="12"/>
  <c r="P349" i="12"/>
  <c r="Q349" i="12"/>
  <c r="J350" i="12"/>
  <c r="K350" i="12"/>
  <c r="L350" i="12"/>
  <c r="M350" i="12"/>
  <c r="N350" i="12"/>
  <c r="O350" i="12"/>
  <c r="P350" i="12"/>
  <c r="Q350" i="12"/>
  <c r="J351" i="12"/>
  <c r="K351" i="12"/>
  <c r="L351" i="12"/>
  <c r="M351" i="12"/>
  <c r="N351" i="12"/>
  <c r="O351" i="12"/>
  <c r="P351" i="12"/>
  <c r="Q351" i="12"/>
  <c r="J352" i="12"/>
  <c r="K352" i="12"/>
  <c r="L352" i="12"/>
  <c r="M352" i="12"/>
  <c r="N352" i="12"/>
  <c r="O352" i="12"/>
  <c r="P352" i="12"/>
  <c r="Q352" i="12"/>
  <c r="J353" i="12"/>
  <c r="K353" i="12"/>
  <c r="L353" i="12"/>
  <c r="M353" i="12"/>
  <c r="N353" i="12"/>
  <c r="O353" i="12"/>
  <c r="P353" i="12"/>
  <c r="Q353" i="12"/>
  <c r="J354" i="12"/>
  <c r="K354" i="12"/>
  <c r="L354" i="12"/>
  <c r="M354" i="12"/>
  <c r="N354" i="12"/>
  <c r="O354" i="12"/>
  <c r="P354" i="12"/>
  <c r="Q354" i="12"/>
  <c r="J355" i="12"/>
  <c r="K355" i="12"/>
  <c r="L355" i="12"/>
  <c r="M355" i="12"/>
  <c r="N355" i="12"/>
  <c r="O355" i="12"/>
  <c r="P355" i="12"/>
  <c r="Q355" i="12"/>
  <c r="J356" i="12"/>
  <c r="K356" i="12"/>
  <c r="L356" i="12"/>
  <c r="M356" i="12"/>
  <c r="N356" i="12"/>
  <c r="O356" i="12"/>
  <c r="P356" i="12"/>
  <c r="Q356" i="12"/>
  <c r="J357" i="12"/>
  <c r="K357" i="12"/>
  <c r="L357" i="12"/>
  <c r="M357" i="12"/>
  <c r="N357" i="12"/>
  <c r="O357" i="12"/>
  <c r="P357" i="12"/>
  <c r="Q357" i="12"/>
  <c r="J358" i="12"/>
  <c r="K358" i="12"/>
  <c r="L358" i="12"/>
  <c r="M358" i="12"/>
  <c r="N358" i="12"/>
  <c r="O358" i="12"/>
  <c r="P358" i="12"/>
  <c r="Q358" i="12"/>
  <c r="J359" i="12"/>
  <c r="K359" i="12"/>
  <c r="L359" i="12"/>
  <c r="M359" i="12"/>
  <c r="N359" i="12"/>
  <c r="O359" i="12"/>
  <c r="P359" i="12"/>
  <c r="Q359" i="12"/>
  <c r="J360" i="12"/>
  <c r="K360" i="12"/>
  <c r="L360" i="12"/>
  <c r="M360" i="12"/>
  <c r="N360" i="12"/>
  <c r="O360" i="12"/>
  <c r="P360" i="12"/>
  <c r="Q360" i="12"/>
  <c r="J361" i="12"/>
  <c r="K361" i="12"/>
  <c r="L361" i="12"/>
  <c r="M361" i="12"/>
  <c r="N361" i="12"/>
  <c r="O361" i="12"/>
  <c r="P361" i="12"/>
  <c r="Q361" i="12"/>
  <c r="J362" i="12"/>
  <c r="K362" i="12"/>
  <c r="L362" i="12"/>
  <c r="M362" i="12"/>
  <c r="N362" i="12"/>
  <c r="O362" i="12"/>
  <c r="P362" i="12"/>
  <c r="Q362" i="12"/>
  <c r="J363" i="12"/>
  <c r="K363" i="12"/>
  <c r="L363" i="12"/>
  <c r="M363" i="12"/>
  <c r="N363" i="12"/>
  <c r="O363" i="12"/>
  <c r="P363" i="12"/>
  <c r="Q363" i="12"/>
  <c r="J364" i="12"/>
  <c r="K364" i="12"/>
  <c r="L364" i="12"/>
  <c r="M364" i="12"/>
  <c r="N364" i="12"/>
  <c r="O364" i="12"/>
  <c r="P364" i="12"/>
  <c r="Q364" i="12"/>
  <c r="J365" i="12"/>
  <c r="K365" i="12"/>
  <c r="L365" i="12"/>
  <c r="M365" i="12"/>
  <c r="N365" i="12"/>
  <c r="O365" i="12"/>
  <c r="P365" i="12"/>
  <c r="Q365" i="12"/>
  <c r="J366" i="12"/>
  <c r="K366" i="12"/>
  <c r="L366" i="12"/>
  <c r="M366" i="12"/>
  <c r="N366" i="12"/>
  <c r="O366" i="12"/>
  <c r="P366" i="12"/>
  <c r="Q366" i="12"/>
  <c r="J367" i="12"/>
  <c r="K367" i="12"/>
  <c r="L367" i="12"/>
  <c r="M367" i="12"/>
  <c r="N367" i="12"/>
  <c r="O367" i="12"/>
  <c r="P367" i="12"/>
  <c r="Q367" i="12"/>
  <c r="J368" i="12"/>
  <c r="K368" i="12"/>
  <c r="L368" i="12"/>
  <c r="M368" i="12"/>
  <c r="N368" i="12"/>
  <c r="O368" i="12"/>
  <c r="P368" i="12"/>
  <c r="Q368" i="12"/>
  <c r="J369" i="12"/>
  <c r="K369" i="12"/>
  <c r="L369" i="12"/>
  <c r="M369" i="12"/>
  <c r="N369" i="12"/>
  <c r="O369" i="12"/>
  <c r="P369" i="12"/>
  <c r="Q369" i="12"/>
  <c r="J370" i="12"/>
  <c r="K370" i="12"/>
  <c r="L370" i="12"/>
  <c r="M370" i="12"/>
  <c r="N370" i="12"/>
  <c r="O370" i="12"/>
  <c r="P370" i="12"/>
  <c r="Q370" i="12"/>
  <c r="J371" i="12"/>
  <c r="K371" i="12"/>
  <c r="L371" i="12"/>
  <c r="M371" i="12"/>
  <c r="N371" i="12"/>
  <c r="O371" i="12"/>
  <c r="P371" i="12"/>
  <c r="Q371" i="12"/>
  <c r="J372" i="12"/>
  <c r="K372" i="12"/>
  <c r="L372" i="12"/>
  <c r="M372" i="12"/>
  <c r="N372" i="12"/>
  <c r="O372" i="12"/>
  <c r="P372" i="12"/>
  <c r="Q372" i="12"/>
  <c r="J373" i="12"/>
  <c r="K373" i="12"/>
  <c r="L373" i="12"/>
  <c r="M373" i="12"/>
  <c r="N373" i="12"/>
  <c r="O373" i="12"/>
  <c r="P373" i="12"/>
  <c r="Q373" i="12"/>
  <c r="J374" i="12"/>
  <c r="K374" i="12"/>
  <c r="L374" i="12"/>
  <c r="M374" i="12"/>
  <c r="N374" i="12"/>
  <c r="O374" i="12"/>
  <c r="P374" i="12"/>
  <c r="Q374" i="12"/>
  <c r="J375" i="12"/>
  <c r="K375" i="12"/>
  <c r="L375" i="12"/>
  <c r="M375" i="12"/>
  <c r="N375" i="12"/>
  <c r="O375" i="12"/>
  <c r="P375" i="12"/>
  <c r="Q375" i="12"/>
  <c r="J376" i="12"/>
  <c r="K376" i="12"/>
  <c r="L376" i="12"/>
  <c r="M376" i="12"/>
  <c r="N376" i="12"/>
  <c r="O376" i="12"/>
  <c r="P376" i="12"/>
  <c r="Q376" i="12"/>
  <c r="J377" i="12"/>
  <c r="K377" i="12"/>
  <c r="L377" i="12"/>
  <c r="M377" i="12"/>
  <c r="N377" i="12"/>
  <c r="O377" i="12"/>
  <c r="P377" i="12"/>
  <c r="Q377" i="12"/>
  <c r="J378" i="12"/>
  <c r="K378" i="12"/>
  <c r="L378" i="12"/>
  <c r="M378" i="12"/>
  <c r="N378" i="12"/>
  <c r="O378" i="12"/>
  <c r="P378" i="12"/>
  <c r="Q378" i="12"/>
  <c r="J379" i="12"/>
  <c r="K379" i="12"/>
  <c r="L379" i="12"/>
  <c r="M379" i="12"/>
  <c r="N379" i="12"/>
  <c r="O379" i="12"/>
  <c r="P379" i="12"/>
  <c r="Q379" i="12"/>
  <c r="J380" i="12"/>
  <c r="K380" i="12"/>
  <c r="L380" i="12"/>
  <c r="M380" i="12"/>
  <c r="N380" i="12"/>
  <c r="O380" i="12"/>
  <c r="P380" i="12"/>
  <c r="Q380" i="12"/>
  <c r="J381" i="12"/>
  <c r="K381" i="12"/>
  <c r="L381" i="12"/>
  <c r="M381" i="12"/>
  <c r="N381" i="12"/>
  <c r="O381" i="12"/>
  <c r="P381" i="12"/>
  <c r="Q381" i="12"/>
  <c r="J382" i="12"/>
  <c r="K382" i="12"/>
  <c r="L382" i="12"/>
  <c r="M382" i="12"/>
  <c r="N382" i="12"/>
  <c r="O382" i="12"/>
  <c r="P382" i="12"/>
  <c r="Q382" i="12"/>
  <c r="J383" i="12"/>
  <c r="K383" i="12"/>
  <c r="L383" i="12"/>
  <c r="M383" i="12"/>
  <c r="N383" i="12"/>
  <c r="O383" i="12"/>
  <c r="P383" i="12"/>
  <c r="Q383" i="12"/>
  <c r="J384" i="12"/>
  <c r="K384" i="12"/>
  <c r="L384" i="12"/>
  <c r="M384" i="12"/>
  <c r="N384" i="12"/>
  <c r="O384" i="12"/>
  <c r="P384" i="12"/>
  <c r="Q384" i="12"/>
  <c r="J385" i="12"/>
  <c r="K385" i="12"/>
  <c r="L385" i="12"/>
  <c r="M385" i="12"/>
  <c r="N385" i="12"/>
  <c r="O385" i="12"/>
  <c r="P385" i="12"/>
  <c r="Q385" i="12"/>
  <c r="J386" i="12"/>
  <c r="K386" i="12"/>
  <c r="L386" i="12"/>
  <c r="M386" i="12"/>
  <c r="N386" i="12"/>
  <c r="O386" i="12"/>
  <c r="P386" i="12"/>
  <c r="Q386" i="12"/>
  <c r="J387" i="12"/>
  <c r="K387" i="12"/>
  <c r="L387" i="12"/>
  <c r="M387" i="12"/>
  <c r="N387" i="12"/>
  <c r="O387" i="12"/>
  <c r="P387" i="12"/>
  <c r="Q387" i="12"/>
  <c r="J388" i="12"/>
  <c r="K388" i="12"/>
  <c r="L388" i="12"/>
  <c r="M388" i="12"/>
  <c r="N388" i="12"/>
  <c r="O388" i="12"/>
  <c r="P388" i="12"/>
  <c r="Q388" i="12"/>
  <c r="J389" i="12"/>
  <c r="K389" i="12"/>
  <c r="L389" i="12"/>
  <c r="M389" i="12"/>
  <c r="N389" i="12"/>
  <c r="O389" i="12"/>
  <c r="P389" i="12"/>
  <c r="Q389" i="12"/>
  <c r="J390" i="12"/>
  <c r="K390" i="12"/>
  <c r="L390" i="12"/>
  <c r="M390" i="12"/>
  <c r="N390" i="12"/>
  <c r="O390" i="12"/>
  <c r="P390" i="12"/>
  <c r="Q390" i="12"/>
  <c r="J391" i="12"/>
  <c r="K391" i="12"/>
  <c r="L391" i="12"/>
  <c r="M391" i="12"/>
  <c r="N391" i="12"/>
  <c r="O391" i="12"/>
  <c r="P391" i="12"/>
  <c r="Q391" i="12"/>
  <c r="J392" i="12"/>
  <c r="K392" i="12"/>
  <c r="L392" i="12"/>
  <c r="M392" i="12"/>
  <c r="N392" i="12"/>
  <c r="O392" i="12"/>
  <c r="P392" i="12"/>
  <c r="Q392" i="12"/>
  <c r="J393" i="12"/>
  <c r="K393" i="12"/>
  <c r="L393" i="12"/>
  <c r="M393" i="12"/>
  <c r="N393" i="12"/>
  <c r="O393" i="12"/>
  <c r="P393" i="12"/>
  <c r="Q393" i="12"/>
  <c r="J394" i="12"/>
  <c r="K394" i="12"/>
  <c r="L394" i="12"/>
  <c r="M394" i="12"/>
  <c r="N394" i="12"/>
  <c r="O394" i="12"/>
  <c r="P394" i="12"/>
  <c r="Q394" i="12"/>
  <c r="J395" i="12"/>
  <c r="K395" i="12"/>
  <c r="L395" i="12"/>
  <c r="M395" i="12"/>
  <c r="N395" i="12"/>
  <c r="O395" i="12"/>
  <c r="P395" i="12"/>
  <c r="Q395" i="12"/>
  <c r="J396" i="12"/>
  <c r="K396" i="12"/>
  <c r="L396" i="12"/>
  <c r="M396" i="12"/>
  <c r="N396" i="12"/>
  <c r="O396" i="12"/>
  <c r="P396" i="12"/>
  <c r="Q396" i="12"/>
  <c r="J397" i="12"/>
  <c r="K397" i="12"/>
  <c r="L397" i="12"/>
  <c r="M397" i="12"/>
  <c r="N397" i="12"/>
  <c r="O397" i="12"/>
  <c r="P397" i="12"/>
  <c r="Q397" i="12"/>
  <c r="J398" i="12"/>
  <c r="K398" i="12"/>
  <c r="L398" i="12"/>
  <c r="M398" i="12"/>
  <c r="N398" i="12"/>
  <c r="O398" i="12"/>
  <c r="P398" i="12"/>
  <c r="Q398" i="12"/>
  <c r="J399" i="12"/>
  <c r="K399" i="12"/>
  <c r="L399" i="12"/>
  <c r="M399" i="12"/>
  <c r="N399" i="12"/>
  <c r="O399" i="12"/>
  <c r="P399" i="12"/>
  <c r="Q399" i="12"/>
  <c r="J400" i="12"/>
  <c r="K400" i="12"/>
  <c r="L400" i="12"/>
  <c r="M400" i="12"/>
  <c r="N400" i="12"/>
  <c r="O400" i="12"/>
  <c r="P400" i="12"/>
  <c r="Q400" i="12"/>
  <c r="J401" i="12"/>
  <c r="K401" i="12"/>
  <c r="L401" i="12"/>
  <c r="M401" i="12"/>
  <c r="N401" i="12"/>
  <c r="O401" i="12"/>
  <c r="P401" i="12"/>
  <c r="Q401" i="12"/>
  <c r="J402" i="12"/>
  <c r="K402" i="12"/>
  <c r="L402" i="12"/>
  <c r="M402" i="12"/>
  <c r="N402" i="12"/>
  <c r="O402" i="12"/>
  <c r="P402" i="12"/>
  <c r="Q402" i="12"/>
  <c r="J403" i="12"/>
  <c r="K403" i="12"/>
  <c r="L403" i="12"/>
  <c r="M403" i="12"/>
  <c r="N403" i="12"/>
  <c r="O403" i="12"/>
  <c r="P403" i="12"/>
  <c r="Q403" i="12"/>
  <c r="J404" i="12"/>
  <c r="K404" i="12"/>
  <c r="L404" i="12"/>
  <c r="M404" i="12"/>
  <c r="N404" i="12"/>
  <c r="O404" i="12"/>
  <c r="P404" i="12"/>
  <c r="Q404" i="12"/>
  <c r="J405" i="12"/>
  <c r="K405" i="12"/>
  <c r="L405" i="12"/>
  <c r="M405" i="12"/>
  <c r="N405" i="12"/>
  <c r="O405" i="12"/>
  <c r="P405" i="12"/>
  <c r="Q405" i="12"/>
  <c r="J406" i="12"/>
  <c r="K406" i="12"/>
  <c r="L406" i="12"/>
  <c r="M406" i="12"/>
  <c r="N406" i="12"/>
  <c r="O406" i="12"/>
  <c r="P406" i="12"/>
  <c r="Q406" i="12"/>
  <c r="J407" i="12"/>
  <c r="K407" i="12"/>
  <c r="L407" i="12"/>
  <c r="M407" i="12"/>
  <c r="N407" i="12"/>
  <c r="O407" i="12"/>
  <c r="P407" i="12"/>
  <c r="Q407" i="12"/>
  <c r="J408" i="12"/>
  <c r="K408" i="12"/>
  <c r="L408" i="12"/>
  <c r="M408" i="12"/>
  <c r="N408" i="12"/>
  <c r="O408" i="12"/>
  <c r="P408" i="12"/>
  <c r="Q408" i="12"/>
  <c r="J409" i="12"/>
  <c r="K409" i="12"/>
  <c r="L409" i="12"/>
  <c r="M409" i="12"/>
  <c r="N409" i="12"/>
  <c r="O409" i="12"/>
  <c r="P409" i="12"/>
  <c r="Q409" i="12"/>
  <c r="J410" i="12"/>
  <c r="K410" i="12"/>
  <c r="L410" i="12"/>
  <c r="M410" i="12"/>
  <c r="N410" i="12"/>
  <c r="O410" i="12"/>
  <c r="P410" i="12"/>
  <c r="Q410" i="12"/>
  <c r="J411" i="12"/>
  <c r="K411" i="12"/>
  <c r="L411" i="12"/>
  <c r="M411" i="12"/>
  <c r="N411" i="12"/>
  <c r="O411" i="12"/>
  <c r="P411" i="12"/>
  <c r="Q411" i="12"/>
  <c r="J412" i="12"/>
  <c r="K412" i="12"/>
  <c r="L412" i="12"/>
  <c r="M412" i="12"/>
  <c r="N412" i="12"/>
  <c r="O412" i="12"/>
  <c r="P412" i="12"/>
  <c r="Q412" i="12"/>
  <c r="J413" i="12"/>
  <c r="K413" i="12"/>
  <c r="L413" i="12"/>
  <c r="M413" i="12"/>
  <c r="N413" i="12"/>
  <c r="O413" i="12"/>
  <c r="P413" i="12"/>
  <c r="Q413" i="12"/>
  <c r="J414" i="12"/>
  <c r="K414" i="12"/>
  <c r="L414" i="12"/>
  <c r="M414" i="12"/>
  <c r="N414" i="12"/>
  <c r="O414" i="12"/>
  <c r="P414" i="12"/>
  <c r="Q414" i="12"/>
  <c r="J415" i="12"/>
  <c r="K415" i="12"/>
  <c r="L415" i="12"/>
  <c r="M415" i="12"/>
  <c r="N415" i="12"/>
  <c r="O415" i="12"/>
  <c r="P415" i="12"/>
  <c r="Q415" i="12"/>
  <c r="J416" i="12"/>
  <c r="K416" i="12"/>
  <c r="L416" i="12"/>
  <c r="M416" i="12"/>
  <c r="N416" i="12"/>
  <c r="O416" i="12"/>
  <c r="P416" i="12"/>
  <c r="Q416" i="12"/>
  <c r="J417" i="12"/>
  <c r="K417" i="12"/>
  <c r="L417" i="12"/>
  <c r="M417" i="12"/>
  <c r="N417" i="12"/>
  <c r="O417" i="12"/>
  <c r="P417" i="12"/>
  <c r="Q417" i="12"/>
  <c r="J418" i="12"/>
  <c r="K418" i="12"/>
  <c r="L418" i="12"/>
  <c r="M418" i="12"/>
  <c r="N418" i="12"/>
  <c r="O418" i="12"/>
  <c r="P418" i="12"/>
  <c r="Q418" i="12"/>
  <c r="J419" i="12"/>
  <c r="K419" i="12"/>
  <c r="L419" i="12"/>
  <c r="M419" i="12"/>
  <c r="N419" i="12"/>
  <c r="O419" i="12"/>
  <c r="P419" i="12"/>
  <c r="Q419" i="12"/>
  <c r="J420" i="12"/>
  <c r="K420" i="12"/>
  <c r="L420" i="12"/>
  <c r="M420" i="12"/>
  <c r="N420" i="12"/>
  <c r="O420" i="12"/>
  <c r="P420" i="12"/>
  <c r="Q420" i="12"/>
  <c r="J421" i="12"/>
  <c r="K421" i="12"/>
  <c r="L421" i="12"/>
  <c r="M421" i="12"/>
  <c r="N421" i="12"/>
  <c r="O421" i="12"/>
  <c r="P421" i="12"/>
  <c r="Q421" i="12"/>
  <c r="J422" i="12"/>
  <c r="K422" i="12"/>
  <c r="L422" i="12"/>
  <c r="M422" i="12"/>
  <c r="N422" i="12"/>
  <c r="O422" i="12"/>
  <c r="P422" i="12"/>
  <c r="Q422" i="12"/>
  <c r="J423" i="12"/>
  <c r="K423" i="12"/>
  <c r="L423" i="12"/>
  <c r="M423" i="12"/>
  <c r="N423" i="12"/>
  <c r="O423" i="12"/>
  <c r="P423" i="12"/>
  <c r="Q423" i="12"/>
  <c r="J424" i="12"/>
  <c r="K424" i="12"/>
  <c r="L424" i="12"/>
  <c r="M424" i="12"/>
  <c r="N424" i="12"/>
  <c r="O424" i="12"/>
  <c r="P424" i="12"/>
  <c r="Q424" i="12"/>
  <c r="J425" i="12"/>
  <c r="K425" i="12"/>
  <c r="L425" i="12"/>
  <c r="M425" i="12"/>
  <c r="N425" i="12"/>
  <c r="O425" i="12"/>
  <c r="P425" i="12"/>
  <c r="Q425" i="12"/>
  <c r="J426" i="12"/>
  <c r="K426" i="12"/>
  <c r="L426" i="12"/>
  <c r="M426" i="12"/>
  <c r="N426" i="12"/>
  <c r="O426" i="12"/>
  <c r="P426" i="12"/>
  <c r="Q426" i="12"/>
  <c r="J427" i="12"/>
  <c r="K427" i="12"/>
  <c r="L427" i="12"/>
  <c r="M427" i="12"/>
  <c r="N427" i="12"/>
  <c r="O427" i="12"/>
  <c r="P427" i="12"/>
  <c r="Q427" i="12"/>
  <c r="J428" i="12"/>
  <c r="K428" i="12"/>
  <c r="L428" i="12"/>
  <c r="M428" i="12"/>
  <c r="N428" i="12"/>
  <c r="O428" i="12"/>
  <c r="P428" i="12"/>
  <c r="Q428" i="12"/>
  <c r="J429" i="12"/>
  <c r="K429" i="12"/>
  <c r="L429" i="12"/>
  <c r="M429" i="12"/>
  <c r="N429" i="12"/>
  <c r="O429" i="12"/>
  <c r="P429" i="12"/>
  <c r="Q429" i="12"/>
  <c r="J430" i="12"/>
  <c r="K430" i="12"/>
  <c r="L430" i="12"/>
  <c r="M430" i="12"/>
  <c r="N430" i="12"/>
  <c r="O430" i="12"/>
  <c r="P430" i="12"/>
  <c r="Q430" i="12"/>
  <c r="J431" i="12"/>
  <c r="K431" i="12"/>
  <c r="L431" i="12"/>
  <c r="M431" i="12"/>
  <c r="N431" i="12"/>
  <c r="O431" i="12"/>
  <c r="P431" i="12"/>
  <c r="Q431" i="12"/>
  <c r="J432" i="12"/>
  <c r="K432" i="12"/>
  <c r="L432" i="12"/>
  <c r="M432" i="12"/>
  <c r="N432" i="12"/>
  <c r="O432" i="12"/>
  <c r="P432" i="12"/>
  <c r="Q432" i="12"/>
  <c r="J433" i="12"/>
  <c r="K433" i="12"/>
  <c r="L433" i="12"/>
  <c r="M433" i="12"/>
  <c r="N433" i="12"/>
  <c r="O433" i="12"/>
  <c r="P433" i="12"/>
  <c r="Q433" i="12"/>
  <c r="J434" i="12"/>
  <c r="K434" i="12"/>
  <c r="L434" i="12"/>
  <c r="M434" i="12"/>
  <c r="N434" i="12"/>
  <c r="O434" i="12"/>
  <c r="P434" i="12"/>
  <c r="Q434" i="12"/>
  <c r="J435" i="12"/>
  <c r="K435" i="12"/>
  <c r="L435" i="12"/>
  <c r="M435" i="12"/>
  <c r="N435" i="12"/>
  <c r="O435" i="12"/>
  <c r="P435" i="12"/>
  <c r="Q435" i="12"/>
  <c r="J436" i="12"/>
  <c r="K436" i="12"/>
  <c r="L436" i="12"/>
  <c r="M436" i="12"/>
  <c r="N436" i="12"/>
  <c r="O436" i="12"/>
  <c r="P436" i="12"/>
  <c r="Q436" i="12"/>
  <c r="J437" i="12"/>
  <c r="K437" i="12"/>
  <c r="L437" i="12"/>
  <c r="M437" i="12"/>
  <c r="N437" i="12"/>
  <c r="O437" i="12"/>
  <c r="P437" i="12"/>
  <c r="Q437" i="12"/>
  <c r="J438" i="12"/>
  <c r="K438" i="12"/>
  <c r="L438" i="12"/>
  <c r="M438" i="12"/>
  <c r="N438" i="12"/>
  <c r="O438" i="12"/>
  <c r="P438" i="12"/>
  <c r="Q438" i="12"/>
  <c r="J439" i="12"/>
  <c r="K439" i="12"/>
  <c r="L439" i="12"/>
  <c r="M439" i="12"/>
  <c r="N439" i="12"/>
  <c r="O439" i="12"/>
  <c r="P439" i="12"/>
  <c r="Q439" i="12"/>
  <c r="J440" i="12"/>
  <c r="K440" i="12"/>
  <c r="L440" i="12"/>
  <c r="M440" i="12"/>
  <c r="N440" i="12"/>
  <c r="O440" i="12"/>
  <c r="P440" i="12"/>
  <c r="Q440" i="12"/>
  <c r="J441" i="12"/>
  <c r="K441" i="12"/>
  <c r="L441" i="12"/>
  <c r="M441" i="12"/>
  <c r="N441" i="12"/>
  <c r="O441" i="12"/>
  <c r="P441" i="12"/>
  <c r="Q441" i="12"/>
  <c r="J442" i="12"/>
  <c r="K442" i="12"/>
  <c r="L442" i="12"/>
  <c r="M442" i="12"/>
  <c r="N442" i="12"/>
  <c r="O442" i="12"/>
  <c r="P442" i="12"/>
  <c r="Q442" i="12"/>
  <c r="J443" i="12"/>
  <c r="K443" i="12"/>
  <c r="L443" i="12"/>
  <c r="M443" i="12"/>
  <c r="N443" i="12"/>
  <c r="O443" i="12"/>
  <c r="P443" i="12"/>
  <c r="Q443" i="12"/>
  <c r="J444" i="12"/>
  <c r="K444" i="12"/>
  <c r="L444" i="12"/>
  <c r="M444" i="12"/>
  <c r="N444" i="12"/>
  <c r="O444" i="12"/>
  <c r="P444" i="12"/>
  <c r="Q444" i="12"/>
  <c r="J445" i="12"/>
  <c r="K445" i="12"/>
  <c r="L445" i="12"/>
  <c r="M445" i="12"/>
  <c r="N445" i="12"/>
  <c r="O445" i="12"/>
  <c r="P445" i="12"/>
  <c r="Q445" i="12"/>
  <c r="J446" i="12"/>
  <c r="K446" i="12"/>
  <c r="L446" i="12"/>
  <c r="M446" i="12"/>
  <c r="N446" i="12"/>
  <c r="O446" i="12"/>
  <c r="P446" i="12"/>
  <c r="Q446" i="12"/>
  <c r="J447" i="12"/>
  <c r="K447" i="12"/>
  <c r="L447" i="12"/>
  <c r="M447" i="12"/>
  <c r="N447" i="12"/>
  <c r="O447" i="12"/>
  <c r="P447" i="12"/>
  <c r="Q447" i="12"/>
  <c r="J448" i="12"/>
  <c r="K448" i="12"/>
  <c r="L448" i="12"/>
  <c r="M448" i="12"/>
  <c r="N448" i="12"/>
  <c r="O448" i="12"/>
  <c r="P448" i="12"/>
  <c r="Q448" i="12"/>
  <c r="J449" i="12"/>
  <c r="K449" i="12"/>
  <c r="L449" i="12"/>
  <c r="M449" i="12"/>
  <c r="N449" i="12"/>
  <c r="O449" i="12"/>
  <c r="P449" i="12"/>
  <c r="Q449" i="12"/>
  <c r="J450" i="12"/>
  <c r="K450" i="12"/>
  <c r="L450" i="12"/>
  <c r="M450" i="12"/>
  <c r="N450" i="12"/>
  <c r="O450" i="12"/>
  <c r="P450" i="12"/>
  <c r="Q450" i="12"/>
  <c r="J451" i="12"/>
  <c r="K451" i="12"/>
  <c r="L451" i="12"/>
  <c r="M451" i="12"/>
  <c r="N451" i="12"/>
  <c r="O451" i="12"/>
  <c r="P451" i="12"/>
  <c r="Q451" i="12"/>
  <c r="J452" i="12"/>
  <c r="K452" i="12"/>
  <c r="L452" i="12"/>
  <c r="M452" i="12"/>
  <c r="N452" i="12"/>
  <c r="O452" i="12"/>
  <c r="P452" i="12"/>
  <c r="Q452" i="12"/>
  <c r="J453" i="12"/>
  <c r="K453" i="12"/>
  <c r="L453" i="12"/>
  <c r="M453" i="12"/>
  <c r="N453" i="12"/>
  <c r="O453" i="12"/>
  <c r="P453" i="12"/>
  <c r="Q453" i="12"/>
  <c r="J454" i="12"/>
  <c r="K454" i="12"/>
  <c r="L454" i="12"/>
  <c r="M454" i="12"/>
  <c r="N454" i="12"/>
  <c r="O454" i="12"/>
  <c r="P454" i="12"/>
  <c r="Q454" i="12"/>
  <c r="J455" i="12"/>
  <c r="K455" i="12"/>
  <c r="L455" i="12"/>
  <c r="M455" i="12"/>
  <c r="N455" i="12"/>
  <c r="O455" i="12"/>
  <c r="P455" i="12"/>
  <c r="Q455" i="12"/>
  <c r="J456" i="12"/>
  <c r="K456" i="12"/>
  <c r="L456" i="12"/>
  <c r="M456" i="12"/>
  <c r="N456" i="12"/>
  <c r="O456" i="12"/>
  <c r="P456" i="12"/>
  <c r="Q456" i="12"/>
  <c r="J457" i="12"/>
  <c r="K457" i="12"/>
  <c r="L457" i="12"/>
  <c r="M457" i="12"/>
  <c r="N457" i="12"/>
  <c r="O457" i="12"/>
  <c r="P457" i="12"/>
  <c r="Q457" i="12"/>
  <c r="J458" i="12"/>
  <c r="K458" i="12"/>
  <c r="L458" i="12"/>
  <c r="M458" i="12"/>
  <c r="N458" i="12"/>
  <c r="O458" i="12"/>
  <c r="P458" i="12"/>
  <c r="Q458" i="12"/>
  <c r="J459" i="12"/>
  <c r="K459" i="12"/>
  <c r="L459" i="12"/>
  <c r="M459" i="12"/>
  <c r="N459" i="12"/>
  <c r="O459" i="12"/>
  <c r="P459" i="12"/>
  <c r="Q459" i="12"/>
  <c r="J460" i="12"/>
  <c r="K460" i="12"/>
  <c r="L460" i="12"/>
  <c r="M460" i="12"/>
  <c r="N460" i="12"/>
  <c r="O460" i="12"/>
  <c r="P460" i="12"/>
  <c r="Q460" i="12"/>
  <c r="J461" i="12"/>
  <c r="K461" i="12"/>
  <c r="L461" i="12"/>
  <c r="M461" i="12"/>
  <c r="N461" i="12"/>
  <c r="O461" i="12"/>
  <c r="P461" i="12"/>
  <c r="Q461" i="12"/>
  <c r="J462" i="12"/>
  <c r="K462" i="12"/>
  <c r="L462" i="12"/>
  <c r="M462" i="12"/>
  <c r="N462" i="12"/>
  <c r="O462" i="12"/>
  <c r="P462" i="12"/>
  <c r="Q462" i="12"/>
  <c r="J463" i="12"/>
  <c r="K463" i="12"/>
  <c r="L463" i="12"/>
  <c r="M463" i="12"/>
  <c r="N463" i="12"/>
  <c r="O463" i="12"/>
  <c r="P463" i="12"/>
  <c r="Q463" i="12"/>
  <c r="J464" i="12"/>
  <c r="K464" i="12"/>
  <c r="L464" i="12"/>
  <c r="M464" i="12"/>
  <c r="N464" i="12"/>
  <c r="O464" i="12"/>
  <c r="P464" i="12"/>
  <c r="Q464" i="12"/>
  <c r="J465" i="12"/>
  <c r="K465" i="12"/>
  <c r="L465" i="12"/>
  <c r="M465" i="12"/>
  <c r="N465" i="12"/>
  <c r="O465" i="12"/>
  <c r="P465" i="12"/>
  <c r="Q465" i="12"/>
  <c r="J466" i="12"/>
  <c r="K466" i="12"/>
  <c r="L466" i="12"/>
  <c r="M466" i="12"/>
  <c r="N466" i="12"/>
  <c r="O466" i="12"/>
  <c r="P466" i="12"/>
  <c r="Q466" i="12"/>
  <c r="J467" i="12"/>
  <c r="K467" i="12"/>
  <c r="L467" i="12"/>
  <c r="M467" i="12"/>
  <c r="N467" i="12"/>
  <c r="O467" i="12"/>
  <c r="P467" i="12"/>
  <c r="Q467" i="12"/>
  <c r="J468" i="12"/>
  <c r="K468" i="12"/>
  <c r="L468" i="12"/>
  <c r="M468" i="12"/>
  <c r="N468" i="12"/>
  <c r="O468" i="12"/>
  <c r="P468" i="12"/>
  <c r="Q468" i="12"/>
  <c r="J469" i="12"/>
  <c r="K469" i="12"/>
  <c r="L469" i="12"/>
  <c r="M469" i="12"/>
  <c r="N469" i="12"/>
  <c r="O469" i="12"/>
  <c r="P469" i="12"/>
  <c r="Q469" i="12"/>
  <c r="J470" i="12"/>
  <c r="K470" i="12"/>
  <c r="L470" i="12"/>
  <c r="M470" i="12"/>
  <c r="N470" i="12"/>
  <c r="O470" i="12"/>
  <c r="P470" i="12"/>
  <c r="Q470" i="12"/>
  <c r="J471" i="12"/>
  <c r="K471" i="12"/>
  <c r="L471" i="12"/>
  <c r="M471" i="12"/>
  <c r="N471" i="12"/>
  <c r="O471" i="12"/>
  <c r="P471" i="12"/>
  <c r="Q471" i="12"/>
  <c r="J472" i="12"/>
  <c r="K472" i="12"/>
  <c r="L472" i="12"/>
  <c r="M472" i="12"/>
  <c r="N472" i="12"/>
  <c r="O472" i="12"/>
  <c r="P472" i="12"/>
  <c r="Q472" i="12"/>
  <c r="J473" i="12"/>
  <c r="K473" i="12"/>
  <c r="L473" i="12"/>
  <c r="M473" i="12"/>
  <c r="N473" i="12"/>
  <c r="O473" i="12"/>
  <c r="P473" i="12"/>
  <c r="Q473" i="12"/>
  <c r="J474" i="12"/>
  <c r="K474" i="12"/>
  <c r="L474" i="12"/>
  <c r="M474" i="12"/>
  <c r="N474" i="12"/>
  <c r="O474" i="12"/>
  <c r="P474" i="12"/>
  <c r="Q474" i="12"/>
  <c r="J475" i="12"/>
  <c r="K475" i="12"/>
  <c r="L475" i="12"/>
  <c r="M475" i="12"/>
  <c r="N475" i="12"/>
  <c r="O475" i="12"/>
  <c r="P475" i="12"/>
  <c r="Q475" i="12"/>
  <c r="J476" i="12"/>
  <c r="K476" i="12"/>
  <c r="L476" i="12"/>
  <c r="M476" i="12"/>
  <c r="N476" i="12"/>
  <c r="O476" i="12"/>
  <c r="P476" i="12"/>
  <c r="Q476" i="12"/>
  <c r="J477" i="12"/>
  <c r="K477" i="12"/>
  <c r="L477" i="12"/>
  <c r="M477" i="12"/>
  <c r="N477" i="12"/>
  <c r="O477" i="12"/>
  <c r="P477" i="12"/>
  <c r="Q477" i="12"/>
  <c r="J478" i="12"/>
  <c r="K478" i="12"/>
  <c r="L478" i="12"/>
  <c r="M478" i="12"/>
  <c r="N478" i="12"/>
  <c r="O478" i="12"/>
  <c r="P478" i="12"/>
  <c r="Q478" i="12"/>
  <c r="J479" i="12"/>
  <c r="K479" i="12"/>
  <c r="L479" i="12"/>
  <c r="M479" i="12"/>
  <c r="N479" i="12"/>
  <c r="O479" i="12"/>
  <c r="P479" i="12"/>
  <c r="Q479" i="12"/>
  <c r="J480" i="12"/>
  <c r="K480" i="12"/>
  <c r="L480" i="12"/>
  <c r="M480" i="12"/>
  <c r="N480" i="12"/>
  <c r="O480" i="12"/>
  <c r="P480" i="12"/>
  <c r="Q480" i="12"/>
  <c r="J481" i="12"/>
  <c r="K481" i="12"/>
  <c r="L481" i="12"/>
  <c r="M481" i="12"/>
  <c r="N481" i="12"/>
  <c r="O481" i="12"/>
  <c r="P481" i="12"/>
  <c r="Q481" i="12"/>
  <c r="J482" i="12"/>
  <c r="K482" i="12"/>
  <c r="L482" i="12"/>
  <c r="M482" i="12"/>
  <c r="N482" i="12"/>
  <c r="O482" i="12"/>
  <c r="P482" i="12"/>
  <c r="Q482" i="12"/>
  <c r="J483" i="12"/>
  <c r="K483" i="12"/>
  <c r="L483" i="12"/>
  <c r="M483" i="12"/>
  <c r="N483" i="12"/>
  <c r="O483" i="12"/>
  <c r="P483" i="12"/>
  <c r="Q483" i="12"/>
  <c r="J484" i="12"/>
  <c r="K484" i="12"/>
  <c r="L484" i="12"/>
  <c r="M484" i="12"/>
  <c r="N484" i="12"/>
  <c r="O484" i="12"/>
  <c r="P484" i="12"/>
  <c r="Q484" i="12"/>
  <c r="J485" i="12"/>
  <c r="K485" i="12"/>
  <c r="L485" i="12"/>
  <c r="M485" i="12"/>
  <c r="N485" i="12"/>
  <c r="O485" i="12"/>
  <c r="P485" i="12"/>
  <c r="Q485" i="12"/>
  <c r="J486" i="12"/>
  <c r="K486" i="12"/>
  <c r="L486" i="12"/>
  <c r="M486" i="12"/>
  <c r="N486" i="12"/>
  <c r="O486" i="12"/>
  <c r="P486" i="12"/>
  <c r="Q486" i="12"/>
  <c r="J487" i="12"/>
  <c r="K487" i="12"/>
  <c r="L487" i="12"/>
  <c r="M487" i="12"/>
  <c r="N487" i="12"/>
  <c r="O487" i="12"/>
  <c r="P487" i="12"/>
  <c r="Q487" i="12"/>
  <c r="J488" i="12"/>
  <c r="K488" i="12"/>
  <c r="L488" i="12"/>
  <c r="M488" i="12"/>
  <c r="N488" i="12"/>
  <c r="O488" i="12"/>
  <c r="P488" i="12"/>
  <c r="Q488" i="12"/>
  <c r="J489" i="12"/>
  <c r="K489" i="12"/>
  <c r="L489" i="12"/>
  <c r="M489" i="12"/>
  <c r="N489" i="12"/>
  <c r="O489" i="12"/>
  <c r="P489" i="12"/>
  <c r="Q489" i="12"/>
  <c r="J490" i="12"/>
  <c r="K490" i="12"/>
  <c r="L490" i="12"/>
  <c r="M490" i="12"/>
  <c r="N490" i="12"/>
  <c r="O490" i="12"/>
  <c r="P490" i="12"/>
  <c r="Q490" i="12"/>
  <c r="J491" i="12"/>
  <c r="K491" i="12"/>
  <c r="L491" i="12"/>
  <c r="M491" i="12"/>
  <c r="N491" i="12"/>
  <c r="O491" i="12"/>
  <c r="P491" i="12"/>
  <c r="Q491" i="12"/>
  <c r="J492" i="12"/>
  <c r="K492" i="12"/>
  <c r="L492" i="12"/>
  <c r="M492" i="12"/>
  <c r="N492" i="12"/>
  <c r="O492" i="12"/>
  <c r="P492" i="12"/>
  <c r="Q492" i="12"/>
  <c r="J493" i="12"/>
  <c r="K493" i="12"/>
  <c r="L493" i="12"/>
  <c r="M493" i="12"/>
  <c r="N493" i="12"/>
  <c r="O493" i="12"/>
  <c r="P493" i="12"/>
  <c r="Q493" i="12"/>
  <c r="J494" i="12"/>
  <c r="K494" i="12"/>
  <c r="L494" i="12"/>
  <c r="M494" i="12"/>
  <c r="N494" i="12"/>
  <c r="O494" i="12"/>
  <c r="P494" i="12"/>
  <c r="Q494" i="12"/>
  <c r="J495" i="12"/>
  <c r="K495" i="12"/>
  <c r="L495" i="12"/>
  <c r="M495" i="12"/>
  <c r="N495" i="12"/>
  <c r="O495" i="12"/>
  <c r="P495" i="12"/>
  <c r="Q495" i="12"/>
  <c r="J496" i="12"/>
  <c r="K496" i="12"/>
  <c r="L496" i="12"/>
  <c r="M496" i="12"/>
  <c r="N496" i="12"/>
  <c r="O496" i="12"/>
  <c r="P496" i="12"/>
  <c r="Q496" i="12"/>
  <c r="J497" i="12"/>
  <c r="K497" i="12"/>
  <c r="L497" i="12"/>
  <c r="M497" i="12"/>
  <c r="N497" i="12"/>
  <c r="O497" i="12"/>
  <c r="P497" i="12"/>
  <c r="Q497" i="12"/>
  <c r="J498" i="12"/>
  <c r="K498" i="12"/>
  <c r="L498" i="12"/>
  <c r="M498" i="12"/>
  <c r="N498" i="12"/>
  <c r="O498" i="12"/>
  <c r="P498" i="12"/>
  <c r="Q498" i="12"/>
  <c r="J499" i="12"/>
  <c r="K499" i="12"/>
  <c r="L499" i="12"/>
  <c r="M499" i="12"/>
  <c r="N499" i="12"/>
  <c r="O499" i="12"/>
  <c r="P499" i="12"/>
  <c r="Q499" i="12"/>
  <c r="J500" i="12"/>
  <c r="K500" i="12"/>
  <c r="L500" i="12"/>
  <c r="M500" i="12"/>
  <c r="N500" i="12"/>
  <c r="O500" i="12"/>
  <c r="P500" i="12"/>
  <c r="Q500" i="12"/>
  <c r="J501" i="12"/>
  <c r="K501" i="12"/>
  <c r="L501" i="12"/>
  <c r="M501" i="12"/>
  <c r="N501" i="12"/>
  <c r="O501" i="12"/>
  <c r="P501" i="12"/>
  <c r="Q501" i="12"/>
  <c r="K2" i="12"/>
  <c r="L2" i="12"/>
  <c r="M2" i="12"/>
  <c r="N2" i="12"/>
  <c r="O2" i="12"/>
  <c r="P2" i="12"/>
  <c r="Q2" i="12"/>
  <c r="J2" i="12"/>
  <c r="T13" i="15" l="1"/>
  <c r="F24" i="14"/>
  <c r="F23" i="14"/>
  <c r="F22" i="14"/>
  <c r="F19" i="14"/>
  <c r="F18" i="14"/>
  <c r="F17" i="14"/>
  <c r="F16" i="14"/>
  <c r="F13" i="14"/>
  <c r="F21" i="14"/>
  <c r="F20" i="14"/>
  <c r="F15" i="14"/>
  <c r="F14" i="14"/>
  <c r="F12" i="14"/>
  <c r="F10" i="14"/>
  <c r="F25" i="14"/>
  <c r="F11" i="14"/>
  <c r="F9" i="14"/>
  <c r="F8" i="14"/>
  <c r="F27" i="14"/>
  <c r="F7" i="14"/>
  <c r="F26" i="14"/>
</calcChain>
</file>

<file path=xl/sharedStrings.xml><?xml version="1.0" encoding="utf-8"?>
<sst xmlns="http://schemas.openxmlformats.org/spreadsheetml/2006/main" count="219" uniqueCount="100">
  <si>
    <t>Price History: AMXB-MX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</si>
  <si>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</si>
  <si>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</si>
  <si>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</si>
  <si>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</si>
  <si>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</si>
  <si>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</si>
  <si>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</si>
  <si>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</si>
  <si>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</si>
  <si>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</si>
  <si>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</si>
  <si>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</si>
  <si>
    <t>Price History: CEMEXCPO-MX</t>
  </si>
  <si>
    <t>Price History: GAPB-MX</t>
  </si>
  <si>
    <t>Price History: LACOMERUBC-MX</t>
  </si>
  <si>
    <t>Price History: PE&amp;OLES-MX</t>
  </si>
  <si>
    <t>Price History: RA-MX</t>
  </si>
  <si>
    <t>Price History: VOLARA-MX</t>
  </si>
  <si>
    <t>NAV</t>
  </si>
  <si>
    <t>Price History: NAFTRAC-MX</t>
  </si>
  <si>
    <t>Manejas un portafolio de renta variable local (MX)</t>
  </si>
  <si>
    <t>El valor del portafolio es de 350 millones de pesos y se conforma de la siguiente manera</t>
  </si>
  <si>
    <t>AMXB</t>
  </si>
  <si>
    <t>CEMEXCPO</t>
  </si>
  <si>
    <t>GAPB</t>
  </si>
  <si>
    <t>LACOMER</t>
  </si>
  <si>
    <t>PENOLES</t>
  </si>
  <si>
    <t>VOLARIS</t>
  </si>
  <si>
    <t>Price History: FIBRAPL14-MX</t>
  </si>
  <si>
    <t>PROLOGIS</t>
  </si>
  <si>
    <t>BANREGIO</t>
  </si>
  <si>
    <t>Calcular cuál podría ser tu pérdida máxima a un horizonte de 1 día con un nivel de confianza del 99%, puedes expresarla en porcentaje o en dinero</t>
  </si>
  <si>
    <t>Puedes utilizar método paramétrico o simulación histórica</t>
  </si>
  <si>
    <t>Si de acuerdo con las políticas de inversión, el VaR a 1 día con método histórico (500 datos) con un nivel de confianza del 95% es 1.80% ¿lo cumples o no?</t>
  </si>
  <si>
    <t xml:space="preserve">Si otra de las políticas del portafolio es que ninguna posición tome más de 5 días hábiles* en deshacerse por completo (unload) considerando </t>
  </si>
  <si>
    <t>el volumen promedio últimos 90 días** y negociando máximo el 10%*** de ese volumen al día ¿se cumple o en cuáles no?</t>
  </si>
  <si>
    <t>AMX</t>
  </si>
  <si>
    <t>FECHA</t>
  </si>
  <si>
    <t>CEMEX</t>
  </si>
  <si>
    <t>GAP</t>
  </si>
  <si>
    <t>FIBRA PROLOGIS</t>
  </si>
  <si>
    <t>(PASO 1: calcular rendimientos diarios de los activos)</t>
  </si>
  <si>
    <t>Paso 2: calcular los rendimientos del portafolio a partir de los rends de los activos que lo componen</t>
  </si>
  <si>
    <t>rend activo A</t>
  </si>
  <si>
    <t>rend activo B</t>
  </si>
  <si>
    <t>rend activo C</t>
  </si>
  <si>
    <t>pond act A</t>
  </si>
  <si>
    <t>pond act B</t>
  </si>
  <si>
    <t>pond act C</t>
  </si>
  <si>
    <t>rend port = sumaproduct(rendsactivos,ponderacionesactivos)</t>
  </si>
  <si>
    <t>Paso 3: sobre los rendimientos del portafolio extraer el percentil 1% más bajo</t>
  </si>
  <si>
    <t>VaR expresado en porcentaje</t>
  </si>
  <si>
    <t>VaR expresado en dinero = VaR en porcentaje X exposure o valor del portafolio</t>
  </si>
  <si>
    <t>Maximo</t>
  </si>
  <si>
    <t>Min</t>
  </si>
  <si>
    <t>grupos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</si>
  <si>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</si>
  <si>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</si>
  <si>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</si>
  <si>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</si>
  <si>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</si>
  <si>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</si>
  <si>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</si>
  <si>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</si>
  <si>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</si>
  <si>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</si>
  <si>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</si>
  <si>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</si>
  <si>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</si>
  <si>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</si>
  <si>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</si>
  <si>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</si>
  <si>
    <t>grupo 17</t>
  </si>
  <si>
    <t>grupo 18</t>
  </si>
  <si>
    <t>grupo 19</t>
  </si>
  <si>
    <t>grupo 20</t>
  </si>
  <si>
    <t>grupo 21</t>
  </si>
  <si>
    <t>grupo 22</t>
  </si>
  <si>
    <t>Total de datos</t>
  </si>
  <si>
    <t>1% de datos</t>
  </si>
  <si>
    <t>Necesito saber cuántos títulos tengo de cada activo</t>
  </si>
  <si>
    <t>Deducir a partir del valor del portafolio y de la ponderación</t>
  </si>
  <si>
    <t>Divido el valor de la posición en ese activo entre el ultimo precio, obtengo la cantidad de titulos</t>
  </si>
  <si>
    <t>ponderacion</t>
  </si>
  <si>
    <t>valor en $ de cada posicion</t>
  </si>
  <si>
    <t>cantidad de titulos</t>
  </si>
  <si>
    <t>Si tengo 1,565,120 títulos de AMX y el volumen  promedio de los últimos 90 días es</t>
  </si>
  <si>
    <t>Para calcular la cantidad de días que me tomaría deshacer (quedarme flat, en cero, unload) una posición es:</t>
  </si>
  <si>
    <t>Paso 1: si ya tengo la cantidad de títulos o de contratos (futuros, opciones), solo divido estos títulos entre el volumen promedio ultimo N días (30 o 90)</t>
  </si>
  <si>
    <t>* Si NO tengo los títulos (el ejercicio NO me los dice) entonces puedo calcularlos a partir del valor de la posición (el dinero que tengo invertido en ese activo)</t>
  </si>
  <si>
    <t>si tengo el valor de la posicion, lo divido entre el último precio de mi activo y esto me arroja la cantidad de títulos</t>
  </si>
  <si>
    <t>** Si tampoco tengo el valor de la posición pero sí tengo el porcentaje de allocation (ponderación) y el valor del portafolio, pues primero multiplico</t>
  </si>
  <si>
    <t>la ponderación por el valor del portafolio y así obtengo el valor de la posición y hago lo del inciso anterior para llegar a la cantidad de títulos</t>
  </si>
  <si>
    <t>Paso 2: Ya que tengo los titulos los divido entre el volumen promedio de los últimos 30 o 90 días y eso me dice la cantida de día que me tardo</t>
  </si>
  <si>
    <t>en deshacer toda mi posición</t>
  </si>
  <si>
    <t>redondeo hacia abajo</t>
  </si>
  <si>
    <t>Si tengo 3,6 millones de títulos de VOLARA y el volumen promedio de los ultimos 3 meses es</t>
  </si>
  <si>
    <t>estos 240 mil títulos equivalen al 10% del volumen promedio</t>
  </si>
  <si>
    <t>me tardaria 15 días hábiles en descargar todas la Volaris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</si>
</sst>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mm/dd/yy"/>
    <numFmt numFmtId="166" formatCode="_-&quot;$&quot;* #,##0_-;\-&quot;$&quot;* #,##0_-;_-&quot;$&quot;* &quot;-&quot;??_-;_-@_-"/>
    <numFmt numFmtId="168" formatCode="_(&quot;$&quot;* #,##0_);_(&quot;$&quot;* \(#,##0\);_(&quot;$&quot;* &quot;-&quot;??_);_(@_)"/>
    <numFmt numFmtId="170" formatCode="_-* #,##0_-;\-* #,##0_-;_-* &quot;-&quot;??_-;_-@_-"/>
    <numFmt numFmtId="171" formatCode="0.0%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0"/>
      <color rgb="FF00B0F0"/>
      <name val="Arial"/>
      <family val="2"/>
    </font>
    <font>
      <b/>
      <sz val="10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5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5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9" fontId="0" fillId="0" borderId="0" xfId="0" applyNumberFormat="1"/>
    <xf numFmtId="0" fontId="0" fillId="4" borderId="0" xfId="0" applyFill="1"/>
    <xf numFmtId="165" fontId="0" fillId="3" borderId="0" xfId="0" applyNumberFormat="1" applyFill="1" applyAlignment="1">
      <alignment horizontal="center"/>
    </xf>
    <xf numFmtId="4" fontId="0" fillId="3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2" applyNumberFormat="1" applyFont="1"/>
    <xf numFmtId="10" fontId="4" fillId="0" borderId="0" xfId="2" applyNumberFormat="1" applyFont="1"/>
    <xf numFmtId="166" fontId="4" fillId="0" borderId="0" xfId="1" applyNumberFormat="1" applyFont="1"/>
    <xf numFmtId="10" fontId="0" fillId="0" borderId="0" xfId="2" applyNumberFormat="1" applyFont="1" applyAlignment="1">
      <alignment horizontal="center"/>
    </xf>
    <xf numFmtId="0" fontId="3" fillId="0" borderId="0" xfId="0" applyFont="1"/>
    <xf numFmtId="10" fontId="3" fillId="0" borderId="0" xfId="2" applyNumberFormat="1" applyFont="1" applyAlignment="1">
      <alignment horizontal="center"/>
    </xf>
    <xf numFmtId="0" fontId="1" fillId="0" borderId="0" xfId="0" applyFont="1" applyAlignment="1">
      <alignment horizontal="center"/>
    </xf>
    <xf numFmtId="9" fontId="3" fillId="0" borderId="0" xfId="0" applyNumberFormat="1" applyFont="1"/>
    <xf numFmtId="168" fontId="0" fillId="0" borderId="0" xfId="1" applyNumberFormat="1" applyFont="1"/>
    <xf numFmtId="43" fontId="0" fillId="0" borderId="0" xfId="3" applyFont="1"/>
    <xf numFmtId="170" fontId="0" fillId="0" borderId="0" xfId="3" applyNumberFormat="1" applyFont="1"/>
    <xf numFmtId="0" fontId="6" fillId="0" borderId="0" xfId="0" applyFont="1" applyFill="1"/>
    <xf numFmtId="168" fontId="6" fillId="0" borderId="0" xfId="1" applyNumberFormat="1" applyFont="1" applyFill="1"/>
    <xf numFmtId="0" fontId="7" fillId="0" borderId="0" xfId="0" applyFont="1"/>
    <xf numFmtId="170" fontId="7" fillId="0" borderId="0" xfId="3" applyNumberFormat="1" applyFont="1"/>
    <xf numFmtId="9" fontId="0" fillId="0" borderId="0" xfId="2" applyFont="1"/>
    <xf numFmtId="171" fontId="0" fillId="0" borderId="0" xfId="2" applyNumberFormat="1" applyFont="1"/>
    <xf numFmtId="1" fontId="0" fillId="0" borderId="0" xfId="0" applyNumberFormat="1"/>
    <xf numFmtId="170" fontId="3" fillId="0" borderId="0" xfId="3" applyNumberFormat="1" applyFont="1"/>
    <xf numFmtId="1" fontId="3" fillId="0" borderId="0" xfId="0" applyNumberFormat="1" applyFont="1"/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Distr. Rends. Hist.</a:t>
            </a:r>
            <a:r>
              <a:rPr lang="es-MX" baseline="0"/>
              <a:t> Port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Hoja3!$E$6:$E$27</c:f>
              <c:numCache>
                <c:formatCode>0.00%</c:formatCode>
                <c:ptCount val="22"/>
                <c:pt idx="0">
                  <c:v>-7.6183140426167625E-2</c:v>
                </c:pt>
                <c:pt idx="1">
                  <c:v>-7.0103486331264286E-2</c:v>
                </c:pt>
                <c:pt idx="2">
                  <c:v>-6.4023832236360961E-2</c:v>
                </c:pt>
                <c:pt idx="3">
                  <c:v>-5.7944178141457629E-2</c:v>
                </c:pt>
                <c:pt idx="4">
                  <c:v>-5.1864524046554297E-2</c:v>
                </c:pt>
                <c:pt idx="5">
                  <c:v>-4.5784869951650965E-2</c:v>
                </c:pt>
                <c:pt idx="6">
                  <c:v>-3.9705215856747633E-2</c:v>
                </c:pt>
                <c:pt idx="7">
                  <c:v>-3.3625561761844301E-2</c:v>
                </c:pt>
                <c:pt idx="8">
                  <c:v>-2.7545907666940969E-2</c:v>
                </c:pt>
                <c:pt idx="9">
                  <c:v>-2.1466253572037637E-2</c:v>
                </c:pt>
                <c:pt idx="10">
                  <c:v>-1.5386599477134305E-2</c:v>
                </c:pt>
                <c:pt idx="11">
                  <c:v>-9.3069453822309731E-3</c:v>
                </c:pt>
                <c:pt idx="12">
                  <c:v>-3.227291287327641E-3</c:v>
                </c:pt>
                <c:pt idx="13">
                  <c:v>2.852362807575691E-3</c:v>
                </c:pt>
                <c:pt idx="14">
                  <c:v>8.932016902479023E-3</c:v>
                </c:pt>
                <c:pt idx="15">
                  <c:v>1.5011670997382355E-2</c:v>
                </c:pt>
                <c:pt idx="16">
                  <c:v>2.1091325092285687E-2</c:v>
                </c:pt>
                <c:pt idx="17">
                  <c:v>2.7170979187189019E-2</c:v>
                </c:pt>
                <c:pt idx="18">
                  <c:v>3.3250633282092351E-2</c:v>
                </c:pt>
                <c:pt idx="19">
                  <c:v>3.9330287376995683E-2</c:v>
                </c:pt>
                <c:pt idx="20">
                  <c:v>4.5409941471899015E-2</c:v>
                </c:pt>
                <c:pt idx="21">
                  <c:v>5.1489595566802347E-2</c:v>
                </c:pt>
              </c:numCache>
            </c:numRef>
          </c:cat>
          <c:val>
            <c:numRef>
              <c:f>Hoja3!$F$6:$F$27</c:f>
              <c:numCache>
                <c:formatCode>General</c:formatCode>
                <c:ptCount val="2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15</c:v>
                </c:pt>
                <c:pt idx="10">
                  <c:v>17</c:v>
                </c:pt>
                <c:pt idx="11">
                  <c:v>39</c:v>
                </c:pt>
                <c:pt idx="12">
                  <c:v>94</c:v>
                </c:pt>
                <c:pt idx="13">
                  <c:v>99</c:v>
                </c:pt>
                <c:pt idx="14">
                  <c:v>99</c:v>
                </c:pt>
                <c:pt idx="15">
                  <c:v>63</c:v>
                </c:pt>
                <c:pt idx="16">
                  <c:v>44</c:v>
                </c:pt>
                <c:pt idx="17">
                  <c:v>18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E-4AD4-B813-D51457AE1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8201967"/>
        <c:axId val="2008204367"/>
      </c:barChart>
      <c:catAx>
        <c:axId val="2008201967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8204367"/>
        <c:crosses val="autoZero"/>
        <c:auto val="1"/>
        <c:lblAlgn val="ctr"/>
        <c:lblOffset val="100"/>
        <c:noMultiLvlLbl val="0"/>
      </c:catAx>
      <c:valAx>
        <c:axId val="20082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820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755650</xdr:colOff>
      <xdr:row>4</xdr:row>
      <xdr:rowOff>161925</xdr:rowOff>
    </xdr:from>
    <xdr:to>
      <xdr:col>14</xdr:col>
      <xdr:colOff>755650</xdr:colOff>
      <xdr:row>21</xdr:row>
      <xdr:rowOff>98425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738ABE-A33E-D1B8-8DA2-0DB037E78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ED8C-0BDF-451C-B53C-39C1D8D42015}">
  <sheetPr>
    <outlinePr summaryBelow="0" summaryRight="0"/>
  </sheetPr>
  <dimension ref="A1:M504"/>
  <sheetViews>
    <sheetView zoomScale="170" zoomScaleNormal="170" workbookViewId="0">
      <pane ySplit="3" topLeftCell="A4" activePane="bottomLeft" state="frozen"/>
      <selection pane="bottomLeft" activeCell="M4" sqref="M4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10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  <col min="13" max="13" width="11.85546875" bestFit="1" customWidth="1"/>
  </cols>
  <sheetData>
    <row r="1" spans="1:13" ht="15" customHeight="1" x14ac:dyDescent="0.2">
      <c r="A1" s="1" t="s">
        <v>0</v>
      </c>
    </row>
    <row r="3" spans="1:13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3" ht="15" customHeight="1" x14ac:dyDescent="0.2">
      <c r="A4" s="3">
        <v>46048</v>
      </c>
      <c r="B4" s="4">
        <v>17.89</v>
      </c>
      <c r="C4" s="5">
        <v>9751148</v>
      </c>
      <c r="D4" s="4">
        <v>-0.16</v>
      </c>
      <c r="E4" s="4">
        <v>-0.88642659279778402</v>
      </c>
      <c r="F4" s="4">
        <v>-0.83101201231346999</v>
      </c>
      <c r="G4" s="4">
        <v>18.968091999999999</v>
      </c>
      <c r="H4" s="4">
        <v>22.612100840336101</v>
      </c>
      <c r="I4" s="4">
        <v>18.04</v>
      </c>
      <c r="J4" s="4">
        <v>18.29</v>
      </c>
      <c r="K4" s="4">
        <v>17.88</v>
      </c>
      <c r="L4" s="4">
        <v>15.7078215901745</v>
      </c>
      <c r="M4">
        <f>AVERAGE(C4:C93)</f>
        <v>51181436.56666667</v>
      </c>
    </row>
    <row r="5" spans="1:13" ht="15" customHeight="1" x14ac:dyDescent="0.2">
      <c r="A5" s="6">
        <v>46045</v>
      </c>
      <c r="B5" s="7">
        <v>18.05</v>
      </c>
      <c r="C5" s="8">
        <v>48022930</v>
      </c>
      <c r="D5" s="7">
        <v>-7.9999999999998295E-2</v>
      </c>
      <c r="E5" s="7">
        <v>-0.44125758411471799</v>
      </c>
      <c r="F5" s="7">
        <v>-0.44126491952999303</v>
      </c>
      <c r="G5" s="7">
        <v>19.127040000000001</v>
      </c>
      <c r="H5" s="7">
        <v>23.639560439560402</v>
      </c>
      <c r="I5" s="7">
        <v>18.190000000000001</v>
      </c>
      <c r="J5" s="7">
        <v>18.21</v>
      </c>
      <c r="K5" s="7">
        <v>18.010000000000002</v>
      </c>
      <c r="L5" s="7">
        <v>16.677440206851902</v>
      </c>
    </row>
    <row r="6" spans="1:13" ht="15" customHeight="1" x14ac:dyDescent="0.2">
      <c r="A6" s="3">
        <v>46044</v>
      </c>
      <c r="B6" s="4">
        <v>18.13</v>
      </c>
      <c r="C6" s="5">
        <v>46649510</v>
      </c>
      <c r="D6" s="4">
        <v>2.9999999999997501E-2</v>
      </c>
      <c r="E6" s="4">
        <v>0.16574585635358199</v>
      </c>
      <c r="F6" s="4">
        <v>0.16573490746389899</v>
      </c>
      <c r="G6" s="4">
        <v>19.211815000000001</v>
      </c>
      <c r="H6" s="4">
        <v>24.187556561085898</v>
      </c>
      <c r="I6" s="4">
        <v>18.149999999999999</v>
      </c>
      <c r="J6" s="4">
        <v>18.260000000000002</v>
      </c>
      <c r="K6" s="4">
        <v>18.04</v>
      </c>
      <c r="L6" s="4">
        <v>17.194570135746499</v>
      </c>
    </row>
    <row r="7" spans="1:13" ht="15" customHeight="1" x14ac:dyDescent="0.2">
      <c r="A7" s="6">
        <v>46043</v>
      </c>
      <c r="B7" s="7">
        <v>18.100000000000001</v>
      </c>
      <c r="C7" s="8">
        <v>53453940</v>
      </c>
      <c r="D7" s="7">
        <v>-5.99999999999987E-2</v>
      </c>
      <c r="E7" s="7">
        <v>-0.33039647577092202</v>
      </c>
      <c r="F7" s="7">
        <v>-0.33039543989856701</v>
      </c>
      <c r="G7" s="7">
        <v>19.180026999999999</v>
      </c>
      <c r="H7" s="7">
        <v>23.982074983839599</v>
      </c>
      <c r="I7" s="7">
        <v>18.23</v>
      </c>
      <c r="J7" s="7">
        <v>18.23</v>
      </c>
      <c r="K7" s="7">
        <v>17.98</v>
      </c>
      <c r="L7" s="7">
        <v>17.000646412411101</v>
      </c>
    </row>
    <row r="8" spans="1:13" ht="15" customHeight="1" x14ac:dyDescent="0.2">
      <c r="A8" s="3">
        <v>46042</v>
      </c>
      <c r="B8" s="4">
        <v>18.16</v>
      </c>
      <c r="C8" s="5">
        <v>55630020</v>
      </c>
      <c r="D8" s="4">
        <v>0.109999999999999</v>
      </c>
      <c r="E8" s="4">
        <v>0.60941828254847896</v>
      </c>
      <c r="F8" s="4">
        <v>0.60943564712574405</v>
      </c>
      <c r="G8" s="4">
        <v>19.243607000000001</v>
      </c>
      <c r="H8" s="4">
        <v>24.393063994828701</v>
      </c>
      <c r="I8" s="4">
        <v>18.04</v>
      </c>
      <c r="J8" s="4">
        <v>18.260000000000002</v>
      </c>
      <c r="K8" s="4">
        <v>18</v>
      </c>
      <c r="L8" s="4">
        <v>17.388493859082001</v>
      </c>
    </row>
    <row r="9" spans="1:13" ht="15" customHeight="1" x14ac:dyDescent="0.2">
      <c r="A9" s="6">
        <v>46041</v>
      </c>
      <c r="B9" s="7">
        <v>18.05</v>
      </c>
      <c r="C9" s="8">
        <v>5839142</v>
      </c>
      <c r="D9" s="7">
        <v>-9.9999999999980105E-3</v>
      </c>
      <c r="E9" s="7">
        <v>-5.5370985603531098E-2</v>
      </c>
      <c r="F9" s="7">
        <v>-5.5377784865606697E-2</v>
      </c>
      <c r="G9" s="7">
        <v>19.127040000000001</v>
      </c>
      <c r="H9" s="7">
        <v>23.639560439560402</v>
      </c>
      <c r="I9" s="7">
        <v>18.059999999999999</v>
      </c>
      <c r="J9" s="7">
        <v>18.100000000000001</v>
      </c>
      <c r="K9" s="7">
        <v>17.809999999999999</v>
      </c>
      <c r="L9" s="7">
        <v>16.677440206851902</v>
      </c>
    </row>
    <row r="10" spans="1:13" ht="15" customHeight="1" x14ac:dyDescent="0.2">
      <c r="A10" s="3">
        <v>46038</v>
      </c>
      <c r="B10" s="4">
        <v>18.059999999999999</v>
      </c>
      <c r="C10" s="5">
        <v>75257020</v>
      </c>
      <c r="D10" s="4">
        <v>0.48999999999999799</v>
      </c>
      <c r="E10" s="4">
        <v>2.78884462151394</v>
      </c>
      <c r="F10" s="4">
        <v>2.78884329480513</v>
      </c>
      <c r="G10" s="4">
        <v>19.137637999999999</v>
      </c>
      <c r="H10" s="4">
        <v>23.708067226890702</v>
      </c>
      <c r="I10" s="4">
        <v>17.510000000000002</v>
      </c>
      <c r="J10" s="4">
        <v>18.11</v>
      </c>
      <c r="K10" s="4">
        <v>17.510000000000002</v>
      </c>
      <c r="L10" s="4">
        <v>16.742081447963699</v>
      </c>
    </row>
    <row r="11" spans="1:13" ht="15" customHeight="1" x14ac:dyDescent="0.2">
      <c r="A11" s="6">
        <v>46037</v>
      </c>
      <c r="B11" s="7">
        <v>17.57</v>
      </c>
      <c r="C11" s="8">
        <v>84030650</v>
      </c>
      <c r="D11" s="7">
        <v>-0.66999999999999804</v>
      </c>
      <c r="E11" s="7">
        <v>-3.6732456140350802</v>
      </c>
      <c r="F11" s="7">
        <v>-3.6732464734885402</v>
      </c>
      <c r="G11" s="7">
        <v>18.618400000000001</v>
      </c>
      <c r="H11" s="7">
        <v>20.351648351648301</v>
      </c>
      <c r="I11" s="7">
        <v>18.329999999999998</v>
      </c>
      <c r="J11" s="7">
        <v>18.329999999999998</v>
      </c>
      <c r="K11" s="7">
        <v>17.48</v>
      </c>
      <c r="L11" s="7">
        <v>13.5746606334841</v>
      </c>
    </row>
    <row r="12" spans="1:13" ht="15" customHeight="1" x14ac:dyDescent="0.2">
      <c r="A12" s="3">
        <v>46036</v>
      </c>
      <c r="B12" s="4">
        <v>18.239999999999998</v>
      </c>
      <c r="C12" s="5">
        <v>45339280</v>
      </c>
      <c r="D12" s="4">
        <v>9.9999999999980105E-3</v>
      </c>
      <c r="E12" s="4">
        <v>5.4854635216661202E-2</v>
      </c>
      <c r="F12" s="4">
        <v>5.4851014736034799E-2</v>
      </c>
      <c r="G12" s="4">
        <v>19.328379000000002</v>
      </c>
      <c r="H12" s="4">
        <v>24.941040723981899</v>
      </c>
      <c r="I12" s="4">
        <v>18.32</v>
      </c>
      <c r="J12" s="4">
        <v>18.510000000000002</v>
      </c>
      <c r="K12" s="4">
        <v>18.2</v>
      </c>
      <c r="L12" s="4">
        <v>17.905623787976701</v>
      </c>
    </row>
    <row r="13" spans="1:13" ht="15" customHeight="1" x14ac:dyDescent="0.2">
      <c r="A13" s="6">
        <v>46035</v>
      </c>
      <c r="B13" s="7">
        <v>18.23</v>
      </c>
      <c r="C13" s="8">
        <v>52068640</v>
      </c>
      <c r="D13" s="7">
        <v>-9.9999999999997799E-2</v>
      </c>
      <c r="E13" s="7">
        <v>-0.54555373704309096</v>
      </c>
      <c r="F13" s="7">
        <v>-0.545553767938733</v>
      </c>
      <c r="G13" s="7">
        <v>19.317782999999999</v>
      </c>
      <c r="H13" s="7">
        <v>24.8725468648997</v>
      </c>
      <c r="I13" s="7">
        <v>18.399999999999999</v>
      </c>
      <c r="J13" s="7">
        <v>18.399999999999999</v>
      </c>
      <c r="K13" s="7">
        <v>18.05</v>
      </c>
      <c r="L13" s="7">
        <v>17.8409825468649</v>
      </c>
    </row>
    <row r="14" spans="1:13" ht="15" customHeight="1" x14ac:dyDescent="0.2">
      <c r="A14" s="3">
        <v>46034</v>
      </c>
      <c r="B14" s="4">
        <v>18.329999999999998</v>
      </c>
      <c r="C14" s="5">
        <v>34604240</v>
      </c>
      <c r="D14" s="4">
        <v>5.99999999999987E-2</v>
      </c>
      <c r="E14" s="4">
        <v>0.32840722495894797</v>
      </c>
      <c r="F14" s="4">
        <v>0.32840620717689001</v>
      </c>
      <c r="G14" s="4">
        <v>19.423749999999998</v>
      </c>
      <c r="H14" s="4">
        <v>25.557530704589499</v>
      </c>
      <c r="I14" s="4">
        <v>18.170000000000002</v>
      </c>
      <c r="J14" s="4">
        <v>18.57</v>
      </c>
      <c r="K14" s="4">
        <v>18.170000000000002</v>
      </c>
      <c r="L14" s="4">
        <v>18.487394957983099</v>
      </c>
    </row>
    <row r="15" spans="1:13" ht="15" customHeight="1" x14ac:dyDescent="0.2">
      <c r="A15" s="6">
        <v>46031</v>
      </c>
      <c r="B15" s="7">
        <v>18.27</v>
      </c>
      <c r="C15" s="8">
        <v>29774000</v>
      </c>
      <c r="D15" s="7">
        <v>-0.15000000000000199</v>
      </c>
      <c r="E15" s="7">
        <v>-0.81433224755701406</v>
      </c>
      <c r="F15" s="7">
        <v>-0.81433482583563799</v>
      </c>
      <c r="G15" s="7">
        <v>19.36017</v>
      </c>
      <c r="H15" s="7">
        <v>25.146541693600501</v>
      </c>
      <c r="I15" s="7">
        <v>18.399999999999999</v>
      </c>
      <c r="J15" s="7">
        <v>18.46</v>
      </c>
      <c r="K15" s="7">
        <v>18.190000000000001</v>
      </c>
      <c r="L15" s="7">
        <v>18.099547511312199</v>
      </c>
    </row>
    <row r="16" spans="1:13" ht="15" customHeight="1" x14ac:dyDescent="0.2">
      <c r="A16" s="3">
        <v>46030</v>
      </c>
      <c r="B16" s="4">
        <v>18.420000000000002</v>
      </c>
      <c r="C16" s="5">
        <v>42914500</v>
      </c>
      <c r="D16" s="4">
        <v>0.20000000000000201</v>
      </c>
      <c r="E16" s="4">
        <v>1.0976948408342599</v>
      </c>
      <c r="F16" s="4">
        <v>1.09770009984881</v>
      </c>
      <c r="G16" s="4">
        <v>19.519120999999998</v>
      </c>
      <c r="H16" s="4">
        <v>26.1740206851971</v>
      </c>
      <c r="I16" s="4">
        <v>18.170000000000002</v>
      </c>
      <c r="J16" s="4">
        <v>18.46</v>
      </c>
      <c r="K16" s="4">
        <v>18.149999999999999</v>
      </c>
      <c r="L16" s="4">
        <v>19.0691661279896</v>
      </c>
    </row>
    <row r="17" spans="1:12" ht="15" customHeight="1" x14ac:dyDescent="0.2">
      <c r="A17" s="6">
        <v>46029</v>
      </c>
      <c r="B17" s="7">
        <v>18.22</v>
      </c>
      <c r="C17" s="8">
        <v>35003340</v>
      </c>
      <c r="D17" s="7">
        <v>3.9999999999999099E-2</v>
      </c>
      <c r="E17" s="7">
        <v>0.22002200220021501</v>
      </c>
      <c r="F17" s="7">
        <v>0.220017856401311</v>
      </c>
      <c r="G17" s="7">
        <v>19.307186000000002</v>
      </c>
      <c r="H17" s="7">
        <v>24.804046541693602</v>
      </c>
      <c r="I17" s="7">
        <v>18.28</v>
      </c>
      <c r="J17" s="7">
        <v>18.3</v>
      </c>
      <c r="K17" s="7">
        <v>18.11</v>
      </c>
      <c r="L17" s="7">
        <v>17.776341305753</v>
      </c>
    </row>
    <row r="18" spans="1:12" ht="15" customHeight="1" x14ac:dyDescent="0.2">
      <c r="A18" s="3">
        <v>46028</v>
      </c>
      <c r="B18" s="4">
        <v>18.18</v>
      </c>
      <c r="C18" s="5">
        <v>55836100</v>
      </c>
      <c r="D18" s="4">
        <v>-0.5</v>
      </c>
      <c r="E18" s="4">
        <v>-2.67665952890792</v>
      </c>
      <c r="F18" s="4">
        <v>-2.6766645266929801</v>
      </c>
      <c r="G18" s="4">
        <v>19.264800000000001</v>
      </c>
      <c r="H18" s="4">
        <v>24.530058177116999</v>
      </c>
      <c r="I18" s="4">
        <v>18.78</v>
      </c>
      <c r="J18" s="4">
        <v>18.84</v>
      </c>
      <c r="K18" s="4">
        <v>18.12</v>
      </c>
      <c r="L18" s="4">
        <v>17.517776341305701</v>
      </c>
    </row>
    <row r="19" spans="1:12" ht="15" customHeight="1" x14ac:dyDescent="0.2">
      <c r="A19" s="6">
        <v>46027</v>
      </c>
      <c r="B19" s="7">
        <v>18.68</v>
      </c>
      <c r="C19" s="8">
        <v>20235840</v>
      </c>
      <c r="D19" s="7">
        <v>0.149999999999998</v>
      </c>
      <c r="E19" s="7">
        <v>0.80949811117105797</v>
      </c>
      <c r="F19" s="7">
        <v>0.80950066167797496</v>
      </c>
      <c r="G19" s="7">
        <v>19.794636000000001</v>
      </c>
      <c r="H19" s="7">
        <v>27.954983839689699</v>
      </c>
      <c r="I19" s="7">
        <v>18.62</v>
      </c>
      <c r="J19" s="7">
        <v>18.87</v>
      </c>
      <c r="K19" s="7">
        <v>18.5</v>
      </c>
      <c r="L19" s="7">
        <v>20.7498383968972</v>
      </c>
    </row>
    <row r="20" spans="1:12" ht="15" customHeight="1" x14ac:dyDescent="0.2">
      <c r="A20" s="3">
        <v>46024</v>
      </c>
      <c r="B20" s="4">
        <v>18.53</v>
      </c>
      <c r="C20" s="5">
        <v>8215610</v>
      </c>
      <c r="D20" s="4">
        <v>-9.9999999999997799E-2</v>
      </c>
      <c r="E20" s="4">
        <v>-0.53676865271067298</v>
      </c>
      <c r="F20" s="4">
        <v>-0.53675857894350798</v>
      </c>
      <c r="G20" s="4">
        <v>19.635684999999999</v>
      </c>
      <c r="H20" s="4">
        <v>26.927504848093001</v>
      </c>
      <c r="I20" s="4">
        <v>18.510000000000002</v>
      </c>
      <c r="J20" s="4">
        <v>18.739999999999998</v>
      </c>
      <c r="K20" s="4">
        <v>18.43</v>
      </c>
      <c r="L20" s="4">
        <v>19.780219780219699</v>
      </c>
    </row>
    <row r="21" spans="1:12" ht="15" customHeight="1" x14ac:dyDescent="0.2">
      <c r="A21" s="6">
        <v>46022</v>
      </c>
      <c r="B21" s="7">
        <v>18.63</v>
      </c>
      <c r="C21" s="8">
        <v>20017220</v>
      </c>
      <c r="D21" s="7">
        <v>-0.130000000000002</v>
      </c>
      <c r="E21" s="7">
        <v>-0.69296375266525401</v>
      </c>
      <c r="F21" s="7">
        <v>-0.69296832179309698</v>
      </c>
      <c r="G21" s="7">
        <v>19.74165</v>
      </c>
      <c r="H21" s="7">
        <v>27.612475759534501</v>
      </c>
      <c r="I21" s="7">
        <v>18.829999999999998</v>
      </c>
      <c r="J21" s="7">
        <v>18.850000000000001</v>
      </c>
      <c r="K21" s="7">
        <v>18.559999999999999</v>
      </c>
      <c r="L21" s="7">
        <v>20.426632191338001</v>
      </c>
    </row>
    <row r="22" spans="1:12" ht="15" customHeight="1" x14ac:dyDescent="0.2">
      <c r="A22" s="3">
        <v>46021</v>
      </c>
      <c r="B22" s="4">
        <v>18.760000000000002</v>
      </c>
      <c r="C22" s="5">
        <v>19312750</v>
      </c>
      <c r="D22" s="4"/>
      <c r="E22" s="4"/>
      <c r="F22" s="4"/>
      <c r="G22" s="4">
        <v>19.879408000000002</v>
      </c>
      <c r="H22" s="4">
        <v>28.502960568842902</v>
      </c>
      <c r="I22" s="4">
        <v>18.809999999999999</v>
      </c>
      <c r="J22" s="4">
        <v>18.87</v>
      </c>
      <c r="K22" s="4">
        <v>18.73</v>
      </c>
      <c r="L22" s="4">
        <v>21.266968325791801</v>
      </c>
    </row>
    <row r="23" spans="1:12" ht="15" customHeight="1" x14ac:dyDescent="0.2">
      <c r="A23" s="6">
        <v>46020</v>
      </c>
      <c r="B23" s="7">
        <v>18.760000000000002</v>
      </c>
      <c r="C23" s="8">
        <v>19685780</v>
      </c>
      <c r="D23" s="7">
        <v>0.110000000000002</v>
      </c>
      <c r="E23" s="7">
        <v>0.589812332439687</v>
      </c>
      <c r="F23" s="7">
        <v>0.58981389520658101</v>
      </c>
      <c r="G23" s="7">
        <v>19.879408000000002</v>
      </c>
      <c r="H23" s="7">
        <v>28.502960568842902</v>
      </c>
      <c r="I23" s="7">
        <v>18.68</v>
      </c>
      <c r="J23" s="7">
        <v>18.87</v>
      </c>
      <c r="K23" s="7">
        <v>18.600000000000001</v>
      </c>
      <c r="L23" s="7">
        <v>21.266968325791801</v>
      </c>
    </row>
    <row r="24" spans="1:12" ht="15" customHeight="1" x14ac:dyDescent="0.2">
      <c r="A24" s="3">
        <v>46017</v>
      </c>
      <c r="B24" s="4">
        <v>18.649999999999999</v>
      </c>
      <c r="C24" s="5">
        <v>6285628</v>
      </c>
      <c r="D24" s="4">
        <v>-0.110000000000002</v>
      </c>
      <c r="E24" s="4">
        <v>-0.58635394456291101</v>
      </c>
      <c r="F24" s="4">
        <v>-0.586355489056822</v>
      </c>
      <c r="G24" s="4">
        <v>19.762844000000001</v>
      </c>
      <c r="H24" s="4">
        <v>27.749476405946901</v>
      </c>
      <c r="I24" s="4">
        <v>18.829999999999998</v>
      </c>
      <c r="J24" s="4">
        <v>18.829999999999998</v>
      </c>
      <c r="K24" s="4">
        <v>18.489999999999998</v>
      </c>
      <c r="L24" s="4">
        <v>20.555914673561698</v>
      </c>
    </row>
    <row r="25" spans="1:12" ht="15" customHeight="1" x14ac:dyDescent="0.2">
      <c r="A25" s="6">
        <v>46015</v>
      </c>
      <c r="B25" s="7">
        <v>18.760000000000002</v>
      </c>
      <c r="C25" s="8">
        <v>5261255</v>
      </c>
      <c r="D25" s="7">
        <v>8.0000000000001806E-2</v>
      </c>
      <c r="E25" s="7">
        <v>0.42826552462527001</v>
      </c>
      <c r="F25" s="7">
        <v>0.42825743297325503</v>
      </c>
      <c r="G25" s="7">
        <v>19.879408000000002</v>
      </c>
      <c r="H25" s="7">
        <v>28.502960568842902</v>
      </c>
      <c r="I25" s="7">
        <v>18.77</v>
      </c>
      <c r="J25" s="7">
        <v>18.809999999999999</v>
      </c>
      <c r="K25" s="7">
        <v>18.57</v>
      </c>
      <c r="L25" s="7">
        <v>21.266968325791801</v>
      </c>
    </row>
    <row r="26" spans="1:12" ht="15" customHeight="1" x14ac:dyDescent="0.2">
      <c r="A26" s="3">
        <v>46014</v>
      </c>
      <c r="B26" s="4">
        <v>18.68</v>
      </c>
      <c r="C26" s="5">
        <v>53001992</v>
      </c>
      <c r="D26" s="4">
        <v>0.16999999999999801</v>
      </c>
      <c r="E26" s="4">
        <v>0.91842247433817603</v>
      </c>
      <c r="F26" s="4">
        <v>0.918433260309092</v>
      </c>
      <c r="G26" s="4">
        <v>19.794636000000001</v>
      </c>
      <c r="H26" s="4">
        <v>27.954983839689699</v>
      </c>
      <c r="I26" s="4">
        <v>18.57</v>
      </c>
      <c r="J26" s="4">
        <v>18.760000000000002</v>
      </c>
      <c r="K26" s="4">
        <v>18.43</v>
      </c>
      <c r="L26" s="4">
        <v>20.7498383968972</v>
      </c>
    </row>
    <row r="27" spans="1:12" ht="15" customHeight="1" x14ac:dyDescent="0.2">
      <c r="A27" s="6">
        <v>46013</v>
      </c>
      <c r="B27" s="7">
        <v>18.510000000000002</v>
      </c>
      <c r="C27" s="8">
        <v>55410008</v>
      </c>
      <c r="D27" s="7">
        <v>0.28000000000000103</v>
      </c>
      <c r="E27" s="7">
        <v>1.5359297860669301</v>
      </c>
      <c r="F27" s="7">
        <v>1.53592676757992</v>
      </c>
      <c r="G27" s="7">
        <v>19.61449</v>
      </c>
      <c r="H27" s="7">
        <v>26.7904977375565</v>
      </c>
      <c r="I27" s="7">
        <v>18.53</v>
      </c>
      <c r="J27" s="7">
        <v>18.579999999999998</v>
      </c>
      <c r="K27" s="7">
        <v>18.21</v>
      </c>
      <c r="L27" s="7">
        <v>19.650937297996101</v>
      </c>
    </row>
    <row r="28" spans="1:12" ht="15" customHeight="1" x14ac:dyDescent="0.2">
      <c r="A28" s="3">
        <v>46010</v>
      </c>
      <c r="B28" s="4">
        <v>18.23</v>
      </c>
      <c r="C28" s="5">
        <v>187790700</v>
      </c>
      <c r="D28" s="4">
        <v>-0.34999999999999698</v>
      </c>
      <c r="E28" s="4">
        <v>-1.8837459634014899</v>
      </c>
      <c r="F28" s="4">
        <v>-1.88374357695216</v>
      </c>
      <c r="G28" s="4">
        <v>19.317782999999999</v>
      </c>
      <c r="H28" s="4">
        <v>24.8725468648997</v>
      </c>
      <c r="I28" s="4">
        <v>18.5</v>
      </c>
      <c r="J28" s="4">
        <v>18.670000000000002</v>
      </c>
      <c r="K28" s="4">
        <v>18.12</v>
      </c>
      <c r="L28" s="4">
        <v>17.8409825468649</v>
      </c>
    </row>
    <row r="29" spans="1:12" ht="15" customHeight="1" x14ac:dyDescent="0.2">
      <c r="A29" s="6">
        <v>46009</v>
      </c>
      <c r="B29" s="7">
        <v>18.579999999999998</v>
      </c>
      <c r="C29" s="8">
        <v>46656550</v>
      </c>
      <c r="D29" s="7">
        <v>0.149999999999998</v>
      </c>
      <c r="E29" s="7">
        <v>0.81389039609331904</v>
      </c>
      <c r="F29" s="7">
        <v>0.81388271965832004</v>
      </c>
      <c r="G29" s="7">
        <v>19.688666999999999</v>
      </c>
      <c r="H29" s="7">
        <v>27.2699870717517</v>
      </c>
      <c r="I29" s="7">
        <v>18.46</v>
      </c>
      <c r="J29" s="7">
        <v>18.63</v>
      </c>
      <c r="K29" s="7">
        <v>18.39</v>
      </c>
      <c r="L29" s="7">
        <v>20.103425985778902</v>
      </c>
    </row>
    <row r="30" spans="1:12" ht="15" customHeight="1" x14ac:dyDescent="0.2">
      <c r="A30" s="3">
        <v>46008</v>
      </c>
      <c r="B30" s="4">
        <v>18.43</v>
      </c>
      <c r="C30" s="5">
        <v>45085460</v>
      </c>
      <c r="D30" s="4">
        <v>-0.33999999999999903</v>
      </c>
      <c r="E30" s="4">
        <v>-1.81140117208311</v>
      </c>
      <c r="F30" s="4">
        <v>-1.8113972319262801</v>
      </c>
      <c r="G30" s="4">
        <v>19.529717999999999</v>
      </c>
      <c r="H30" s="4">
        <v>26.242521008403301</v>
      </c>
      <c r="I30" s="4">
        <v>18.760000000000002</v>
      </c>
      <c r="J30" s="4">
        <v>18.850000000000001</v>
      </c>
      <c r="K30" s="4">
        <v>18.36</v>
      </c>
      <c r="L30" s="4">
        <v>19.133807369101401</v>
      </c>
    </row>
    <row r="31" spans="1:12" ht="15" customHeight="1" x14ac:dyDescent="0.2">
      <c r="A31" s="6">
        <v>46007</v>
      </c>
      <c r="B31" s="7">
        <v>18.77</v>
      </c>
      <c r="C31" s="8">
        <v>40861190</v>
      </c>
      <c r="D31" s="7">
        <v>-0.24000000000000199</v>
      </c>
      <c r="E31" s="7">
        <v>-1.2624934245134201</v>
      </c>
      <c r="F31" s="7">
        <v>-1.2624895597146999</v>
      </c>
      <c r="G31" s="7">
        <v>19.890004999999999</v>
      </c>
      <c r="H31" s="7">
        <v>28.5714608920491</v>
      </c>
      <c r="I31" s="7">
        <v>19.02</v>
      </c>
      <c r="J31" s="7">
        <v>19.09</v>
      </c>
      <c r="K31" s="7">
        <v>18.72</v>
      </c>
      <c r="L31" s="7">
        <v>21.331609566903602</v>
      </c>
    </row>
    <row r="32" spans="1:12" ht="15" customHeight="1" x14ac:dyDescent="0.2">
      <c r="A32" s="3">
        <v>46006</v>
      </c>
      <c r="B32" s="4">
        <v>19.010000000000002</v>
      </c>
      <c r="C32" s="5">
        <v>50019080</v>
      </c>
      <c r="D32" s="4">
        <v>-0.28999999999999898</v>
      </c>
      <c r="E32" s="4">
        <v>-1.50259067357512</v>
      </c>
      <c r="F32" s="4">
        <v>-1.50259416975567</v>
      </c>
      <c r="G32" s="4">
        <v>20.144324999999998</v>
      </c>
      <c r="H32" s="4">
        <v>30.215416936005099</v>
      </c>
      <c r="I32" s="4">
        <v>19.170000000000002</v>
      </c>
      <c r="J32" s="4">
        <v>19.41</v>
      </c>
      <c r="K32" s="4">
        <v>18.95</v>
      </c>
      <c r="L32" s="4">
        <v>22.8829993535875</v>
      </c>
    </row>
    <row r="33" spans="1:12" ht="15" customHeight="1" x14ac:dyDescent="0.2">
      <c r="A33" s="6">
        <v>46002</v>
      </c>
      <c r="B33" s="7">
        <v>19.3</v>
      </c>
      <c r="C33" s="8">
        <v>51443060</v>
      </c>
      <c r="D33" s="7">
        <v>-1.9999999999999501E-2</v>
      </c>
      <c r="E33" s="7">
        <v>-0.103519668737062</v>
      </c>
      <c r="F33" s="7">
        <v>-0.103512842538266</v>
      </c>
      <c r="G33" s="7">
        <v>20.451630000000002</v>
      </c>
      <c r="H33" s="7">
        <v>32.201874595992201</v>
      </c>
      <c r="I33" s="7">
        <v>19.22</v>
      </c>
      <c r="J33" s="7">
        <v>19.43</v>
      </c>
      <c r="K33" s="7">
        <v>19.22</v>
      </c>
      <c r="L33" s="7">
        <v>24.757595345830602</v>
      </c>
    </row>
    <row r="34" spans="1:12" ht="15" customHeight="1" x14ac:dyDescent="0.2">
      <c r="A34" s="3">
        <v>46001</v>
      </c>
      <c r="B34" s="4">
        <v>19.32</v>
      </c>
      <c r="C34" s="5">
        <v>51555688</v>
      </c>
      <c r="D34" s="4">
        <v>-3.9999999999999099E-2</v>
      </c>
      <c r="E34" s="4">
        <v>-0.20661157024792701</v>
      </c>
      <c r="F34" s="4">
        <v>-0.20662229601245899</v>
      </c>
      <c r="G34" s="4">
        <v>20.472822000000001</v>
      </c>
      <c r="H34" s="4">
        <v>32.338862314156401</v>
      </c>
      <c r="I34" s="4">
        <v>19.23</v>
      </c>
      <c r="J34" s="4">
        <v>19.52</v>
      </c>
      <c r="K34" s="4">
        <v>19.22</v>
      </c>
      <c r="L34" s="4">
        <v>24.8868778280542</v>
      </c>
    </row>
    <row r="35" spans="1:12" ht="15" customHeight="1" x14ac:dyDescent="0.2">
      <c r="A35" s="6">
        <v>46000</v>
      </c>
      <c r="B35" s="7">
        <v>19.36</v>
      </c>
      <c r="C35" s="8">
        <v>73430980</v>
      </c>
      <c r="D35" s="7">
        <v>-0.190000000000001</v>
      </c>
      <c r="E35" s="7">
        <v>-0.971867007672644</v>
      </c>
      <c r="F35" s="7">
        <v>-0.97186080286447696</v>
      </c>
      <c r="G35" s="7">
        <v>20.515211000000001</v>
      </c>
      <c r="H35" s="7">
        <v>32.612870071105299</v>
      </c>
      <c r="I35" s="7">
        <v>19.63</v>
      </c>
      <c r="J35" s="7">
        <v>19.649999999999999</v>
      </c>
      <c r="K35" s="7">
        <v>19.25</v>
      </c>
      <c r="L35" s="7">
        <v>25.145442792501601</v>
      </c>
    </row>
    <row r="36" spans="1:12" ht="15" customHeight="1" x14ac:dyDescent="0.2">
      <c r="A36" s="3">
        <v>45999</v>
      </c>
      <c r="B36" s="4">
        <v>19.55</v>
      </c>
      <c r="C36" s="5">
        <v>48032090</v>
      </c>
      <c r="D36" s="4">
        <v>-5.0000000000000697E-2</v>
      </c>
      <c r="E36" s="4">
        <v>-0.25510204081633497</v>
      </c>
      <c r="F36" s="4">
        <v>-0.25510446047145502</v>
      </c>
      <c r="G36" s="4">
        <v>20.716546999999998</v>
      </c>
      <c r="H36" s="4">
        <v>33.914330963154399</v>
      </c>
      <c r="I36" s="4">
        <v>19.52</v>
      </c>
      <c r="J36" s="4">
        <v>19.78</v>
      </c>
      <c r="K36" s="4">
        <v>19.41</v>
      </c>
      <c r="L36" s="4">
        <v>26.373626373626301</v>
      </c>
    </row>
    <row r="37" spans="1:12" ht="15" customHeight="1" x14ac:dyDescent="0.2">
      <c r="A37" s="6">
        <v>45996</v>
      </c>
      <c r="B37" s="7">
        <v>19.600000000000001</v>
      </c>
      <c r="C37" s="8">
        <v>36232720</v>
      </c>
      <c r="D37" s="7">
        <v>-0.26999999999999902</v>
      </c>
      <c r="E37" s="7">
        <v>-1.3588324106693499</v>
      </c>
      <c r="F37" s="7">
        <v>-1.35883762846852</v>
      </c>
      <c r="G37" s="7">
        <v>20.769531000000001</v>
      </c>
      <c r="H37" s="7">
        <v>34.256826115061401</v>
      </c>
      <c r="I37" s="7">
        <v>19.87</v>
      </c>
      <c r="J37" s="7">
        <v>19.95</v>
      </c>
      <c r="K37" s="7">
        <v>19.510000000000002</v>
      </c>
      <c r="L37" s="7">
        <v>26.6968325791855</v>
      </c>
    </row>
    <row r="38" spans="1:12" ht="15" customHeight="1" x14ac:dyDescent="0.2">
      <c r="A38" s="3">
        <v>45995</v>
      </c>
      <c r="B38" s="4">
        <v>19.87</v>
      </c>
      <c r="C38" s="5">
        <v>43948008</v>
      </c>
      <c r="D38" s="4">
        <v>6.0000000000002197E-2</v>
      </c>
      <c r="E38" s="4">
        <v>0.30287733467946298</v>
      </c>
      <c r="F38" s="4">
        <v>0.30288115574352797</v>
      </c>
      <c r="G38" s="4">
        <v>21.055643</v>
      </c>
      <c r="H38" s="4">
        <v>36.106289592760099</v>
      </c>
      <c r="I38" s="4">
        <v>19.87</v>
      </c>
      <c r="J38" s="4">
        <v>19.97</v>
      </c>
      <c r="K38" s="4">
        <v>19.760000000000002</v>
      </c>
      <c r="L38" s="4">
        <v>28.442146089204901</v>
      </c>
    </row>
    <row r="39" spans="1:12" ht="15" customHeight="1" x14ac:dyDescent="0.2">
      <c r="A39" s="6">
        <v>45994</v>
      </c>
      <c r="B39" s="7">
        <v>19.809999999999999</v>
      </c>
      <c r="C39" s="8">
        <v>42070047</v>
      </c>
      <c r="D39" s="7">
        <v>-0.64</v>
      </c>
      <c r="E39" s="7">
        <v>-3.1295843520782398</v>
      </c>
      <c r="F39" s="7">
        <v>-3.1295898174142098</v>
      </c>
      <c r="G39" s="7">
        <v>20.992062000000001</v>
      </c>
      <c r="H39" s="7">
        <v>35.695294117647002</v>
      </c>
      <c r="I39" s="7">
        <v>20.399999999999999</v>
      </c>
      <c r="J39" s="7">
        <v>20.5</v>
      </c>
      <c r="K39" s="7">
        <v>19.7</v>
      </c>
      <c r="L39" s="7">
        <v>28.054298642533901</v>
      </c>
    </row>
    <row r="40" spans="1:12" ht="15" customHeight="1" x14ac:dyDescent="0.2">
      <c r="A40" s="3">
        <v>45993</v>
      </c>
      <c r="B40" s="4">
        <v>20.45</v>
      </c>
      <c r="C40" s="5">
        <v>44843720</v>
      </c>
      <c r="D40" s="4">
        <v>0.12000000000000099</v>
      </c>
      <c r="E40" s="4">
        <v>0.59026069847516405</v>
      </c>
      <c r="F40" s="4">
        <v>0.59026815558957901</v>
      </c>
      <c r="G40" s="4">
        <v>21.670252000000001</v>
      </c>
      <c r="H40" s="4">
        <v>40.0791984486102</v>
      </c>
      <c r="I40" s="4">
        <v>20.41</v>
      </c>
      <c r="J40" s="4">
        <v>20.63</v>
      </c>
      <c r="K40" s="4">
        <v>20.399999999999999</v>
      </c>
      <c r="L40" s="4">
        <v>32.191338073691</v>
      </c>
    </row>
    <row r="41" spans="1:12" ht="15" customHeight="1" x14ac:dyDescent="0.2">
      <c r="A41" s="6">
        <v>45992</v>
      </c>
      <c r="B41" s="7">
        <v>20.329999999999998</v>
      </c>
      <c r="C41" s="8">
        <v>57100080</v>
      </c>
      <c r="D41" s="7">
        <v>-0.68000000000000305</v>
      </c>
      <c r="E41" s="7">
        <v>-3.2365540218943498</v>
      </c>
      <c r="F41" s="7">
        <v>-3.2365559203053098</v>
      </c>
      <c r="G41" s="7">
        <v>21.543089999999999</v>
      </c>
      <c r="H41" s="7">
        <v>39.257207498383899</v>
      </c>
      <c r="I41" s="7">
        <v>21.1</v>
      </c>
      <c r="J41" s="7">
        <v>21.1</v>
      </c>
      <c r="K41" s="7">
        <v>20.260000000000002</v>
      </c>
      <c r="L41" s="7">
        <v>31.415643180349001</v>
      </c>
    </row>
    <row r="42" spans="1:12" ht="15" customHeight="1" x14ac:dyDescent="0.2">
      <c r="A42" s="3">
        <v>45989</v>
      </c>
      <c r="B42" s="4">
        <v>21.01</v>
      </c>
      <c r="C42" s="5">
        <v>27802160</v>
      </c>
      <c r="D42" s="4">
        <v>0.24000000000000199</v>
      </c>
      <c r="E42" s="4">
        <v>1.15551275878671</v>
      </c>
      <c r="F42" s="4">
        <v>1.15550911871711</v>
      </c>
      <c r="G42" s="4">
        <v>22.263666000000001</v>
      </c>
      <c r="H42" s="4">
        <v>43.915100193923699</v>
      </c>
      <c r="I42" s="4">
        <v>20.7</v>
      </c>
      <c r="J42" s="4">
        <v>21.27</v>
      </c>
      <c r="K42" s="4">
        <v>20.7</v>
      </c>
      <c r="L42" s="4">
        <v>35.811247575953402</v>
      </c>
    </row>
    <row r="43" spans="1:12" ht="15" customHeight="1" x14ac:dyDescent="0.2">
      <c r="A43" s="6">
        <v>45988</v>
      </c>
      <c r="B43" s="7">
        <v>20.77</v>
      </c>
      <c r="C43" s="8">
        <v>7244842</v>
      </c>
      <c r="D43" s="7">
        <v>-0.25</v>
      </c>
      <c r="E43" s="7">
        <v>-1.18934348239772</v>
      </c>
      <c r="F43" s="7">
        <v>-1.1893412590126899</v>
      </c>
      <c r="G43" s="7">
        <v>22.009346000000001</v>
      </c>
      <c r="H43" s="7">
        <v>42.271144149967597</v>
      </c>
      <c r="I43" s="7">
        <v>21.03</v>
      </c>
      <c r="J43" s="7">
        <v>21.04</v>
      </c>
      <c r="K43" s="7">
        <v>20.72</v>
      </c>
      <c r="L43" s="7">
        <v>34.259857789269503</v>
      </c>
    </row>
    <row r="44" spans="1:12" ht="15" customHeight="1" x14ac:dyDescent="0.2">
      <c r="A44" s="3">
        <v>45987</v>
      </c>
      <c r="B44" s="4">
        <v>21.02</v>
      </c>
      <c r="C44" s="5">
        <v>51369920</v>
      </c>
      <c r="D44" s="4">
        <v>-0.26999999999999902</v>
      </c>
      <c r="E44" s="4">
        <v>-1.2682010333489899</v>
      </c>
      <c r="F44" s="4">
        <v>-1.26819711713098</v>
      </c>
      <c r="G44" s="4">
        <v>22.274263000000001</v>
      </c>
      <c r="H44" s="4">
        <v>43.983600517129901</v>
      </c>
      <c r="I44" s="4">
        <v>21.35</v>
      </c>
      <c r="J44" s="4">
        <v>21.41</v>
      </c>
      <c r="K44" s="4">
        <v>20.95</v>
      </c>
      <c r="L44" s="4">
        <v>35.875888817065203</v>
      </c>
    </row>
    <row r="45" spans="1:12" ht="15" customHeight="1" x14ac:dyDescent="0.2">
      <c r="A45" s="6">
        <v>45986</v>
      </c>
      <c r="B45" s="7">
        <v>21.29</v>
      </c>
      <c r="C45" s="8">
        <v>30665820</v>
      </c>
      <c r="D45" s="7">
        <v>-0.17000000000000101</v>
      </c>
      <c r="E45" s="7">
        <v>-0.79217148182666397</v>
      </c>
      <c r="F45" s="7">
        <v>-0.79217196337270002</v>
      </c>
      <c r="G45" s="7">
        <v>22.560372999999998</v>
      </c>
      <c r="H45" s="7">
        <v>45.833051066580403</v>
      </c>
      <c r="I45" s="7">
        <v>21.45</v>
      </c>
      <c r="J45" s="7">
        <v>21.55</v>
      </c>
      <c r="K45" s="7">
        <v>21.25</v>
      </c>
      <c r="L45" s="7">
        <v>37.621202327084603</v>
      </c>
    </row>
    <row r="46" spans="1:12" ht="15" customHeight="1" x14ac:dyDescent="0.2">
      <c r="A46" s="3">
        <v>45985</v>
      </c>
      <c r="B46" s="4">
        <v>21.46</v>
      </c>
      <c r="C46" s="5">
        <v>163320890</v>
      </c>
      <c r="D46" s="4">
        <v>0.42999999999999899</v>
      </c>
      <c r="E46" s="4">
        <v>2.0446980504041901</v>
      </c>
      <c r="F46" s="4">
        <v>2.0446931234928201</v>
      </c>
      <c r="G46" s="4">
        <v>22.740517000000001</v>
      </c>
      <c r="H46" s="4">
        <v>46.997524240465403</v>
      </c>
      <c r="I46" s="4">
        <v>21.15</v>
      </c>
      <c r="J46" s="4">
        <v>21.55</v>
      </c>
      <c r="K46" s="4">
        <v>21.03</v>
      </c>
      <c r="L46" s="4">
        <v>38.720103425985698</v>
      </c>
    </row>
    <row r="47" spans="1:12" ht="15" customHeight="1" x14ac:dyDescent="0.2">
      <c r="A47" s="6">
        <v>45982</v>
      </c>
      <c r="B47" s="7">
        <v>21.03</v>
      </c>
      <c r="C47" s="8">
        <v>68692670</v>
      </c>
      <c r="D47" s="7">
        <v>0.14000000000000001</v>
      </c>
      <c r="E47" s="7">
        <v>0.67017711823840198</v>
      </c>
      <c r="F47" s="7">
        <v>0.670182578505507</v>
      </c>
      <c r="G47" s="7">
        <v>22.284859999999998</v>
      </c>
      <c r="H47" s="7">
        <v>44.052100840336102</v>
      </c>
      <c r="I47" s="7">
        <v>20.81</v>
      </c>
      <c r="J47" s="7">
        <v>21.19</v>
      </c>
      <c r="K47" s="7">
        <v>20.81</v>
      </c>
      <c r="L47" s="7">
        <v>35.940530058177103</v>
      </c>
    </row>
    <row r="48" spans="1:12" ht="15" customHeight="1" x14ac:dyDescent="0.2">
      <c r="A48" s="3">
        <v>45981</v>
      </c>
      <c r="B48" s="4">
        <v>20.89</v>
      </c>
      <c r="C48" s="5">
        <v>54340527</v>
      </c>
      <c r="D48" s="4">
        <v>-0.32999999999999802</v>
      </c>
      <c r="E48" s="4">
        <v>-1.5551366635249599</v>
      </c>
      <c r="F48" s="4">
        <v>-1.55513193761771</v>
      </c>
      <c r="G48" s="4">
        <v>22.136505</v>
      </c>
      <c r="H48" s="4">
        <v>43.093115707821497</v>
      </c>
      <c r="I48" s="4">
        <v>21.3</v>
      </c>
      <c r="J48" s="4">
        <v>21.49</v>
      </c>
      <c r="K48" s="4">
        <v>20.82</v>
      </c>
      <c r="L48" s="4">
        <v>35.035552682611502</v>
      </c>
    </row>
    <row r="49" spans="1:12" ht="15" customHeight="1" x14ac:dyDescent="0.2">
      <c r="A49" s="6">
        <v>45980</v>
      </c>
      <c r="B49" s="7">
        <v>21.22</v>
      </c>
      <c r="C49" s="8">
        <v>106726490</v>
      </c>
      <c r="D49" s="7">
        <v>-0.21</v>
      </c>
      <c r="E49" s="7">
        <v>-0.97993467102193099</v>
      </c>
      <c r="F49" s="7">
        <v>-0.979940443160909</v>
      </c>
      <c r="G49" s="7">
        <v>22.486194999999999</v>
      </c>
      <c r="H49" s="7">
        <v>45.353555268261097</v>
      </c>
      <c r="I49" s="7">
        <v>21.4</v>
      </c>
      <c r="J49" s="7">
        <v>21.59</v>
      </c>
      <c r="K49" s="7">
        <v>21.15</v>
      </c>
      <c r="L49" s="7">
        <v>37.168713639301799</v>
      </c>
    </row>
    <row r="50" spans="1:12" ht="15" customHeight="1" x14ac:dyDescent="0.2">
      <c r="A50" s="3">
        <v>45979</v>
      </c>
      <c r="B50" s="4">
        <v>21.43</v>
      </c>
      <c r="C50" s="5">
        <v>85906700</v>
      </c>
      <c r="D50" s="4">
        <v>0.219999999999998</v>
      </c>
      <c r="E50" s="4">
        <v>1.0372465818010199</v>
      </c>
      <c r="F50" s="4">
        <v>1.0372448343981899</v>
      </c>
      <c r="G50" s="4">
        <v>22.708727</v>
      </c>
      <c r="H50" s="4">
        <v>46.792029734970903</v>
      </c>
      <c r="I50" s="4">
        <v>21.24</v>
      </c>
      <c r="J50" s="4">
        <v>21.69</v>
      </c>
      <c r="K50" s="4">
        <v>21.19</v>
      </c>
      <c r="L50" s="4">
        <v>38.526179702650197</v>
      </c>
    </row>
    <row r="51" spans="1:12" ht="15" customHeight="1" x14ac:dyDescent="0.2">
      <c r="A51" s="6">
        <v>45975</v>
      </c>
      <c r="B51" s="7">
        <v>21.21</v>
      </c>
      <c r="C51" s="8">
        <v>81961690</v>
      </c>
      <c r="D51" s="7">
        <v>-7.0000000000000201E-2</v>
      </c>
      <c r="E51" s="7">
        <v>-0.32894736842104999</v>
      </c>
      <c r="F51" s="7">
        <v>-0.32895224068281098</v>
      </c>
      <c r="G51" s="7">
        <v>22.4756</v>
      </c>
      <c r="H51" s="7">
        <v>45.285067873303099</v>
      </c>
      <c r="I51" s="7">
        <v>21.34</v>
      </c>
      <c r="J51" s="7">
        <v>21.51</v>
      </c>
      <c r="K51" s="7">
        <v>21.17</v>
      </c>
      <c r="L51" s="7">
        <v>37.104072398189999</v>
      </c>
    </row>
    <row r="52" spans="1:12" ht="15" customHeight="1" x14ac:dyDescent="0.2">
      <c r="A52" s="3">
        <v>45974</v>
      </c>
      <c r="B52" s="4">
        <v>21.28</v>
      </c>
      <c r="C52" s="5">
        <v>65520800</v>
      </c>
      <c r="D52" s="4">
        <v>1.9999999999999501E-2</v>
      </c>
      <c r="E52" s="4">
        <v>9.4073377234238295E-2</v>
      </c>
      <c r="F52" s="4">
        <v>9.4076041352630896E-2</v>
      </c>
      <c r="G52" s="4">
        <v>22.549778</v>
      </c>
      <c r="H52" s="4">
        <v>45.764563671622398</v>
      </c>
      <c r="I52" s="4">
        <v>21.39</v>
      </c>
      <c r="J52" s="4">
        <v>21.48</v>
      </c>
      <c r="K52" s="4">
        <v>21.19</v>
      </c>
      <c r="L52" s="4">
        <v>37.556561085972803</v>
      </c>
    </row>
    <row r="53" spans="1:12" ht="15" customHeight="1" x14ac:dyDescent="0.2">
      <c r="A53" s="6">
        <v>45973</v>
      </c>
      <c r="B53" s="7">
        <v>21.26</v>
      </c>
      <c r="C53" s="8">
        <v>49230754</v>
      </c>
      <c r="D53" s="7">
        <v>-0.23999999999999799</v>
      </c>
      <c r="E53" s="7">
        <v>-1.1162790697674301</v>
      </c>
      <c r="F53" s="7">
        <v>-1.11627560735891</v>
      </c>
      <c r="G53" s="7">
        <v>22.528583999999999</v>
      </c>
      <c r="H53" s="7">
        <v>45.627563025210002</v>
      </c>
      <c r="I53" s="7">
        <v>21.33</v>
      </c>
      <c r="J53" s="7">
        <v>21.59</v>
      </c>
      <c r="K53" s="7">
        <v>21.21</v>
      </c>
      <c r="L53" s="7">
        <v>37.427278603749201</v>
      </c>
    </row>
    <row r="54" spans="1:12" ht="15" customHeight="1" x14ac:dyDescent="0.2">
      <c r="A54" s="3">
        <v>45972</v>
      </c>
      <c r="B54" s="4">
        <v>21.5</v>
      </c>
      <c r="C54" s="5">
        <v>62225710</v>
      </c>
      <c r="D54" s="4">
        <v>0.28999999999999898</v>
      </c>
      <c r="E54" s="4">
        <v>1.3672795851013599</v>
      </c>
      <c r="F54" s="4">
        <v>1.3672782929042999</v>
      </c>
      <c r="G54" s="4">
        <v>22.782903999999998</v>
      </c>
      <c r="H54" s="4">
        <v>47.271519069166096</v>
      </c>
      <c r="I54" s="4">
        <v>21.28</v>
      </c>
      <c r="J54" s="4">
        <v>21.62</v>
      </c>
      <c r="K54" s="4">
        <v>21.23</v>
      </c>
      <c r="L54" s="4">
        <v>38.978668390433</v>
      </c>
    </row>
    <row r="55" spans="1:12" ht="15" customHeight="1" x14ac:dyDescent="0.2">
      <c r="A55" s="6">
        <v>45971</v>
      </c>
      <c r="B55" s="7">
        <v>21.21</v>
      </c>
      <c r="C55" s="8">
        <v>77469630</v>
      </c>
      <c r="D55" s="7">
        <v>-0.21</v>
      </c>
      <c r="E55" s="7">
        <v>-0.98039215686275205</v>
      </c>
      <c r="F55" s="7">
        <v>-0.98038913337794498</v>
      </c>
      <c r="G55" s="7">
        <v>22.4756</v>
      </c>
      <c r="H55" s="7">
        <v>45.285067873303099</v>
      </c>
      <c r="I55" s="7">
        <v>21.5</v>
      </c>
      <c r="J55" s="7">
        <v>21.57</v>
      </c>
      <c r="K55" s="7">
        <v>21.17</v>
      </c>
      <c r="L55" s="7">
        <v>37.104072398189999</v>
      </c>
    </row>
    <row r="56" spans="1:12" ht="15" customHeight="1" x14ac:dyDescent="0.2">
      <c r="A56" s="3">
        <v>45968</v>
      </c>
      <c r="B56" s="4">
        <v>21.42</v>
      </c>
      <c r="C56" s="5">
        <v>49427020</v>
      </c>
      <c r="D56" s="4">
        <v>0.32</v>
      </c>
      <c r="E56" s="4">
        <v>1.5165876777251099</v>
      </c>
      <c r="F56" s="4">
        <v>2.7488021648737999</v>
      </c>
      <c r="G56" s="4">
        <v>22.698129999999999</v>
      </c>
      <c r="H56" s="4">
        <v>46.723529411764602</v>
      </c>
      <c r="I56" s="4">
        <v>21</v>
      </c>
      <c r="J56" s="4">
        <v>21.47</v>
      </c>
      <c r="K56" s="4">
        <v>20.89</v>
      </c>
      <c r="L56" s="4">
        <v>38.461538461538403</v>
      </c>
    </row>
    <row r="57" spans="1:12" ht="15" customHeight="1" x14ac:dyDescent="0.2">
      <c r="A57" s="6">
        <v>45967</v>
      </c>
      <c r="B57" s="7">
        <v>21.1</v>
      </c>
      <c r="C57" s="8">
        <v>45447870</v>
      </c>
      <c r="D57" s="7">
        <v>-0.28999999999999898</v>
      </c>
      <c r="E57" s="7">
        <v>-1.3557737260401901</v>
      </c>
      <c r="F57" s="7">
        <v>-1.35576519818784</v>
      </c>
      <c r="G57" s="7">
        <v>22.090895</v>
      </c>
      <c r="H57" s="7">
        <v>42.798287007110503</v>
      </c>
      <c r="I57" s="7">
        <v>21.47</v>
      </c>
      <c r="J57" s="7">
        <v>21.47</v>
      </c>
      <c r="K57" s="7">
        <v>21.03</v>
      </c>
      <c r="L57" s="7">
        <v>36.3930187459599</v>
      </c>
    </row>
    <row r="58" spans="1:12" ht="15" customHeight="1" x14ac:dyDescent="0.2">
      <c r="A58" s="3">
        <v>45966</v>
      </c>
      <c r="B58" s="4">
        <v>21.39</v>
      </c>
      <c r="C58" s="5">
        <v>72760590</v>
      </c>
      <c r="D58" s="4">
        <v>0.21</v>
      </c>
      <c r="E58" s="4">
        <v>0.99150141643060596</v>
      </c>
      <c r="F58" s="4">
        <v>0.99150155695806297</v>
      </c>
      <c r="G58" s="4">
        <v>22.394511999999999</v>
      </c>
      <c r="H58" s="4">
        <v>44.760904977375503</v>
      </c>
      <c r="I58" s="4">
        <v>21.18</v>
      </c>
      <c r="J58" s="4">
        <v>21.45</v>
      </c>
      <c r="K58" s="4">
        <v>21.1</v>
      </c>
      <c r="L58" s="4">
        <v>38.267614738202901</v>
      </c>
    </row>
    <row r="59" spans="1:12" ht="15" customHeight="1" x14ac:dyDescent="0.2">
      <c r="A59" s="6">
        <v>45965</v>
      </c>
      <c r="B59" s="7">
        <v>21.18</v>
      </c>
      <c r="C59" s="8">
        <v>39656240</v>
      </c>
      <c r="D59" s="7">
        <v>0.37000000000000099</v>
      </c>
      <c r="E59" s="7">
        <v>1.7779913503123499</v>
      </c>
      <c r="F59" s="7">
        <v>1.77799672313281</v>
      </c>
      <c r="G59" s="7">
        <v>22.17465</v>
      </c>
      <c r="H59" s="7">
        <v>43.3396897220426</v>
      </c>
      <c r="I59" s="7">
        <v>20.79</v>
      </c>
      <c r="J59" s="7">
        <v>21.27</v>
      </c>
      <c r="K59" s="7">
        <v>20.63</v>
      </c>
      <c r="L59" s="7">
        <v>36.910148674854497</v>
      </c>
    </row>
    <row r="60" spans="1:12" ht="15" customHeight="1" x14ac:dyDescent="0.2">
      <c r="A60" s="3">
        <v>45964</v>
      </c>
      <c r="B60" s="4">
        <v>20.81</v>
      </c>
      <c r="C60" s="5">
        <v>44167273</v>
      </c>
      <c r="D60" s="4">
        <v>-0.380000000000002</v>
      </c>
      <c r="E60" s="4">
        <v>-1.79329872581407</v>
      </c>
      <c r="F60" s="4">
        <v>-1.79331445641813</v>
      </c>
      <c r="G60" s="4">
        <v>21.787272999999999</v>
      </c>
      <c r="H60" s="4">
        <v>40.835636716224897</v>
      </c>
      <c r="I60" s="4">
        <v>21</v>
      </c>
      <c r="J60" s="4">
        <v>21.26</v>
      </c>
      <c r="K60" s="4">
        <v>20.76</v>
      </c>
      <c r="L60" s="4">
        <v>34.518422753716798</v>
      </c>
    </row>
    <row r="61" spans="1:12" ht="15" customHeight="1" x14ac:dyDescent="0.2">
      <c r="A61" s="6">
        <v>45961</v>
      </c>
      <c r="B61" s="7">
        <v>21.19</v>
      </c>
      <c r="C61" s="8">
        <v>64502113</v>
      </c>
      <c r="D61" s="7">
        <v>1.9999999999999501E-2</v>
      </c>
      <c r="E61" s="7">
        <v>9.4473311289555703E-2</v>
      </c>
      <c r="F61" s="7">
        <v>9.4485787428166795E-2</v>
      </c>
      <c r="G61" s="7">
        <v>22.185122</v>
      </c>
      <c r="H61" s="7">
        <v>43.407382029734897</v>
      </c>
      <c r="I61" s="7">
        <v>21.55</v>
      </c>
      <c r="J61" s="7">
        <v>21.55</v>
      </c>
      <c r="K61" s="7">
        <v>21</v>
      </c>
      <c r="L61" s="7">
        <v>36.974789915966298</v>
      </c>
    </row>
    <row r="62" spans="1:12" ht="15" customHeight="1" x14ac:dyDescent="0.2">
      <c r="A62" s="3">
        <v>45960</v>
      </c>
      <c r="B62" s="4">
        <v>21.17</v>
      </c>
      <c r="C62" s="5">
        <v>49640832</v>
      </c>
      <c r="D62" s="4">
        <v>-3.9999999999999099E-2</v>
      </c>
      <c r="E62" s="4">
        <v>-0.18859028760018701</v>
      </c>
      <c r="F62" s="4">
        <v>-0.18859267193696</v>
      </c>
      <c r="G62" s="4">
        <v>22.164180000000002</v>
      </c>
      <c r="H62" s="4">
        <v>43.272010342598499</v>
      </c>
      <c r="I62" s="4">
        <v>21.3</v>
      </c>
      <c r="J62" s="4">
        <v>21.44</v>
      </c>
      <c r="K62" s="4">
        <v>21.12</v>
      </c>
      <c r="L62" s="4">
        <v>36.845507433742704</v>
      </c>
    </row>
    <row r="63" spans="1:12" ht="15" customHeight="1" x14ac:dyDescent="0.2">
      <c r="A63" s="6">
        <v>45959</v>
      </c>
      <c r="B63" s="7">
        <v>21.21</v>
      </c>
      <c r="C63" s="8">
        <v>29536940</v>
      </c>
      <c r="D63" s="7">
        <v>-3.9999999999999099E-2</v>
      </c>
      <c r="E63" s="7">
        <v>-0.188235294117644</v>
      </c>
      <c r="F63" s="7">
        <v>-0.188237669486501</v>
      </c>
      <c r="G63" s="7">
        <v>22.206059</v>
      </c>
      <c r="H63" s="7">
        <v>43.542721396250798</v>
      </c>
      <c r="I63" s="7">
        <v>20.75</v>
      </c>
      <c r="J63" s="7">
        <v>21.51</v>
      </c>
      <c r="K63" s="7">
        <v>20.75</v>
      </c>
      <c r="L63" s="7">
        <v>37.104072398189999</v>
      </c>
    </row>
    <row r="64" spans="1:12" ht="15" customHeight="1" x14ac:dyDescent="0.2">
      <c r="A64" s="3">
        <v>45958</v>
      </c>
      <c r="B64" s="4">
        <v>21.25</v>
      </c>
      <c r="C64" s="5">
        <v>77586680</v>
      </c>
      <c r="D64" s="4">
        <v>0.33999999999999903</v>
      </c>
      <c r="E64" s="4">
        <v>1.62601626016261</v>
      </c>
      <c r="F64" s="4">
        <v>1.6260115808662801</v>
      </c>
      <c r="G64" s="4">
        <v>22.247938000000001</v>
      </c>
      <c r="H64" s="4">
        <v>43.813432449902997</v>
      </c>
      <c r="I64" s="4">
        <v>20.99</v>
      </c>
      <c r="J64" s="4">
        <v>21.31</v>
      </c>
      <c r="K64" s="4">
        <v>20.92</v>
      </c>
      <c r="L64" s="4">
        <v>37.362637362637301</v>
      </c>
    </row>
    <row r="65" spans="1:12" ht="15" customHeight="1" x14ac:dyDescent="0.2">
      <c r="A65" s="6">
        <v>45957</v>
      </c>
      <c r="B65" s="7">
        <v>20.91</v>
      </c>
      <c r="C65" s="8">
        <v>44437992</v>
      </c>
      <c r="D65" s="7">
        <v>7.0000000000000201E-2</v>
      </c>
      <c r="E65" s="7">
        <v>0.33589251439538598</v>
      </c>
      <c r="F65" s="7">
        <v>0.33589560213620401</v>
      </c>
      <c r="G65" s="7">
        <v>21.891971999999999</v>
      </c>
      <c r="H65" s="7">
        <v>41.512424046541597</v>
      </c>
      <c r="I65" s="7">
        <v>20.8</v>
      </c>
      <c r="J65" s="7">
        <v>20.99</v>
      </c>
      <c r="K65" s="7">
        <v>20.79</v>
      </c>
      <c r="L65" s="7">
        <v>35.164835164835097</v>
      </c>
    </row>
    <row r="66" spans="1:12" ht="15" customHeight="1" x14ac:dyDescent="0.2">
      <c r="A66" s="3">
        <v>45954</v>
      </c>
      <c r="B66" s="4">
        <v>20.84</v>
      </c>
      <c r="C66" s="5">
        <v>53121360</v>
      </c>
      <c r="D66" s="4">
        <v>-1.9999999999999501E-2</v>
      </c>
      <c r="E66" s="4">
        <v>-9.5877277085332197E-2</v>
      </c>
      <c r="F66" s="4">
        <v>-9.58807715737197E-2</v>
      </c>
      <c r="G66" s="4">
        <v>21.818684000000001</v>
      </c>
      <c r="H66" s="4">
        <v>41.038681318681299</v>
      </c>
      <c r="I66" s="4">
        <v>20.9</v>
      </c>
      <c r="J66" s="4">
        <v>20.97</v>
      </c>
      <c r="K66" s="4">
        <v>20.8</v>
      </c>
      <c r="L66" s="4">
        <v>34.7123464770523</v>
      </c>
    </row>
    <row r="67" spans="1:12" ht="15" customHeight="1" x14ac:dyDescent="0.2">
      <c r="A67" s="6">
        <v>45953</v>
      </c>
      <c r="B67" s="7">
        <v>20.86</v>
      </c>
      <c r="C67" s="8">
        <v>44778920</v>
      </c>
      <c r="D67" s="7">
        <v>0.16999999999999801</v>
      </c>
      <c r="E67" s="7">
        <v>0.82165297245044799</v>
      </c>
      <c r="F67" s="7">
        <v>0.82165523940016505</v>
      </c>
      <c r="G67" s="7">
        <v>21.839624000000001</v>
      </c>
      <c r="H67" s="7">
        <v>41.174040077569401</v>
      </c>
      <c r="I67" s="7">
        <v>20.66</v>
      </c>
      <c r="J67" s="7">
        <v>20.9</v>
      </c>
      <c r="K67" s="7">
        <v>20.56</v>
      </c>
      <c r="L67" s="7">
        <v>34.841628959276001</v>
      </c>
    </row>
    <row r="68" spans="1:12" ht="15" customHeight="1" x14ac:dyDescent="0.2">
      <c r="A68" s="3">
        <v>45952</v>
      </c>
      <c r="B68" s="4">
        <v>20.69</v>
      </c>
      <c r="C68" s="5">
        <v>33750970</v>
      </c>
      <c r="D68" s="4">
        <v>0.15000000000000199</v>
      </c>
      <c r="E68" s="4">
        <v>0.73028237585199796</v>
      </c>
      <c r="F68" s="4">
        <v>0.73027641485212602</v>
      </c>
      <c r="G68" s="4">
        <v>21.661639999999998</v>
      </c>
      <c r="H68" s="4">
        <v>40.023529411764599</v>
      </c>
      <c r="I68" s="4">
        <v>20.440000000000001</v>
      </c>
      <c r="J68" s="4">
        <v>20.8</v>
      </c>
      <c r="K68" s="4">
        <v>20.440000000000001</v>
      </c>
      <c r="L68" s="4">
        <v>33.742727860374899</v>
      </c>
    </row>
    <row r="69" spans="1:12" ht="15" customHeight="1" x14ac:dyDescent="0.2">
      <c r="A69" s="6">
        <v>45951</v>
      </c>
      <c r="B69" s="7">
        <v>20.54</v>
      </c>
      <c r="C69" s="8">
        <v>43887420</v>
      </c>
      <c r="D69" s="7">
        <v>9.9999999999980105E-3</v>
      </c>
      <c r="E69" s="7">
        <v>4.8709206039920697E-2</v>
      </c>
      <c r="F69" s="7">
        <v>4.87202898466376E-2</v>
      </c>
      <c r="G69" s="7">
        <v>21.504597</v>
      </c>
      <c r="H69" s="7">
        <v>39.008383968972197</v>
      </c>
      <c r="I69" s="7">
        <v>20.5</v>
      </c>
      <c r="J69" s="7">
        <v>20.64</v>
      </c>
      <c r="K69" s="7">
        <v>20.260000000000002</v>
      </c>
      <c r="L69" s="7">
        <v>32.773109243697398</v>
      </c>
    </row>
    <row r="70" spans="1:12" ht="15" customHeight="1" x14ac:dyDescent="0.2">
      <c r="A70" s="3">
        <v>45950</v>
      </c>
      <c r="B70" s="4">
        <v>20.53</v>
      </c>
      <c r="C70" s="5">
        <v>43868320</v>
      </c>
      <c r="D70" s="4">
        <v>-0.109999999999999</v>
      </c>
      <c r="E70" s="4">
        <v>-0.53294573643410903</v>
      </c>
      <c r="F70" s="4">
        <v>-0.53294668483106999</v>
      </c>
      <c r="G70" s="4">
        <v>21.494125</v>
      </c>
      <c r="H70" s="4">
        <v>38.940691661279899</v>
      </c>
      <c r="I70" s="4">
        <v>20.74</v>
      </c>
      <c r="J70" s="4">
        <v>20.74</v>
      </c>
      <c r="K70" s="4">
        <v>20.260000000000002</v>
      </c>
      <c r="L70" s="4">
        <v>32.708468002585597</v>
      </c>
    </row>
    <row r="71" spans="1:12" ht="15" customHeight="1" x14ac:dyDescent="0.2">
      <c r="A71" s="6">
        <v>45947</v>
      </c>
      <c r="B71" s="7">
        <v>20.64</v>
      </c>
      <c r="C71" s="8">
        <v>50915280</v>
      </c>
      <c r="D71" s="7">
        <v>-3.0000000000001099E-2</v>
      </c>
      <c r="E71" s="7">
        <v>-0.14513788098694499</v>
      </c>
      <c r="F71" s="7">
        <v>-0.14513855836456499</v>
      </c>
      <c r="G71" s="7">
        <v>21.609290999999999</v>
      </c>
      <c r="H71" s="7">
        <v>39.685138978668299</v>
      </c>
      <c r="I71" s="7">
        <v>20.75</v>
      </c>
      <c r="J71" s="7">
        <v>20.83</v>
      </c>
      <c r="K71" s="7">
        <v>20.46</v>
      </c>
      <c r="L71" s="7">
        <v>33.419521654815703</v>
      </c>
    </row>
    <row r="72" spans="1:12" ht="15" customHeight="1" x14ac:dyDescent="0.2">
      <c r="A72" s="3">
        <v>45946</v>
      </c>
      <c r="B72" s="4">
        <v>20.67</v>
      </c>
      <c r="C72" s="5">
        <v>51576910</v>
      </c>
      <c r="D72" s="4">
        <v>0.86000000000000298</v>
      </c>
      <c r="E72" s="4">
        <v>4.3412417970722004</v>
      </c>
      <c r="F72" s="4">
        <v>4.3412411374891002</v>
      </c>
      <c r="G72" s="4">
        <v>21.640699999999999</v>
      </c>
      <c r="H72" s="4">
        <v>39.888170652876497</v>
      </c>
      <c r="I72" s="4">
        <v>19.89</v>
      </c>
      <c r="J72" s="4">
        <v>20.87</v>
      </c>
      <c r="K72" s="4">
        <v>19.850000000000001</v>
      </c>
      <c r="L72" s="4">
        <v>33.613445378151198</v>
      </c>
    </row>
    <row r="73" spans="1:12" ht="15" customHeight="1" x14ac:dyDescent="0.2">
      <c r="A73" s="6">
        <v>45945</v>
      </c>
      <c r="B73" s="7">
        <v>19.809999999999999</v>
      </c>
      <c r="C73" s="8">
        <v>59107060</v>
      </c>
      <c r="D73" s="7">
        <v>0.48</v>
      </c>
      <c r="E73" s="7">
        <v>2.48318675633729</v>
      </c>
      <c r="F73" s="7">
        <v>2.4831834255272902</v>
      </c>
      <c r="G73" s="7">
        <v>20.740313</v>
      </c>
      <c r="H73" s="7">
        <v>34.0679573367808</v>
      </c>
      <c r="I73" s="7">
        <v>19.45</v>
      </c>
      <c r="J73" s="7">
        <v>19.89</v>
      </c>
      <c r="K73" s="7">
        <v>19.39</v>
      </c>
      <c r="L73" s="7">
        <v>28.054298642533901</v>
      </c>
    </row>
    <row r="74" spans="1:12" ht="15" customHeight="1" x14ac:dyDescent="0.2">
      <c r="A74" s="3">
        <v>45944</v>
      </c>
      <c r="B74" s="4">
        <v>19.329999999999998</v>
      </c>
      <c r="C74" s="5">
        <v>45371100</v>
      </c>
      <c r="D74" s="4">
        <v>-0.40000000000000202</v>
      </c>
      <c r="E74" s="4">
        <v>-2.0273694880892101</v>
      </c>
      <c r="F74" s="4">
        <v>-2.0273612903991101</v>
      </c>
      <c r="G74" s="4">
        <v>20.237772</v>
      </c>
      <c r="H74" s="4">
        <v>30.819469941822799</v>
      </c>
      <c r="I74" s="4">
        <v>19.75</v>
      </c>
      <c r="J74" s="4">
        <v>19.77</v>
      </c>
      <c r="K74" s="4">
        <v>19.27</v>
      </c>
      <c r="L74" s="4">
        <v>24.9515190691661</v>
      </c>
    </row>
    <row r="75" spans="1:12" ht="15" customHeight="1" x14ac:dyDescent="0.2">
      <c r="A75" s="6">
        <v>45943</v>
      </c>
      <c r="B75" s="7">
        <v>19.73</v>
      </c>
      <c r="C75" s="8">
        <v>17079610</v>
      </c>
      <c r="D75" s="7">
        <v>0.109999999999999</v>
      </c>
      <c r="E75" s="7">
        <v>0.56065239551477097</v>
      </c>
      <c r="F75" s="7">
        <v>0.56064362924594902</v>
      </c>
      <c r="G75" s="7">
        <v>20.656555000000001</v>
      </c>
      <c r="H75" s="7">
        <v>33.526535229476401</v>
      </c>
      <c r="I75" s="7">
        <v>19.59</v>
      </c>
      <c r="J75" s="7">
        <v>20</v>
      </c>
      <c r="K75" s="7">
        <v>19.54</v>
      </c>
      <c r="L75" s="7">
        <v>27.5371687136393</v>
      </c>
    </row>
    <row r="76" spans="1:12" ht="15" customHeight="1" x14ac:dyDescent="0.2">
      <c r="A76" s="3">
        <v>45940</v>
      </c>
      <c r="B76" s="4">
        <v>19.62</v>
      </c>
      <c r="C76" s="5">
        <v>30798440</v>
      </c>
      <c r="D76" s="4">
        <v>0.12000000000000099</v>
      </c>
      <c r="E76" s="4">
        <v>0.61538461538461697</v>
      </c>
      <c r="F76" s="4">
        <v>0.61539240725569899</v>
      </c>
      <c r="G76" s="4">
        <v>20.541391000000001</v>
      </c>
      <c r="H76" s="4">
        <v>32.782100840336099</v>
      </c>
      <c r="I76" s="4">
        <v>19.399999999999999</v>
      </c>
      <c r="J76" s="4">
        <v>19.68</v>
      </c>
      <c r="K76" s="4">
        <v>19.39</v>
      </c>
      <c r="L76" s="4">
        <v>26.826115061409102</v>
      </c>
    </row>
    <row r="77" spans="1:12" ht="15" customHeight="1" x14ac:dyDescent="0.2">
      <c r="A77" s="6">
        <v>45939</v>
      </c>
      <c r="B77" s="7">
        <v>19.5</v>
      </c>
      <c r="C77" s="8">
        <v>43807560</v>
      </c>
      <c r="D77" s="7">
        <v>0.100000000000001</v>
      </c>
      <c r="E77" s="7">
        <v>0.51546391752577103</v>
      </c>
      <c r="F77" s="7">
        <v>0.51546305465721698</v>
      </c>
      <c r="G77" s="7">
        <v>20.415754</v>
      </c>
      <c r="H77" s="7">
        <v>31.969967679379401</v>
      </c>
      <c r="I77" s="7">
        <v>19.420000000000002</v>
      </c>
      <c r="J77" s="7">
        <v>19.559999999999999</v>
      </c>
      <c r="K77" s="7">
        <v>19.32</v>
      </c>
      <c r="L77" s="7">
        <v>26.050420168067198</v>
      </c>
    </row>
    <row r="78" spans="1:12" ht="15" customHeight="1" x14ac:dyDescent="0.2">
      <c r="A78" s="3">
        <v>45938</v>
      </c>
      <c r="B78" s="4">
        <v>19.399999999999999</v>
      </c>
      <c r="C78" s="5">
        <v>35518660</v>
      </c>
      <c r="D78" s="4">
        <v>0.35999999999999899</v>
      </c>
      <c r="E78" s="4">
        <v>1.8907563025209999</v>
      </c>
      <c r="F78" s="4">
        <v>1.8907500107980499</v>
      </c>
      <c r="G78" s="4">
        <v>20.311057999999999</v>
      </c>
      <c r="H78" s="4">
        <v>31.293199741435</v>
      </c>
      <c r="I78" s="4">
        <v>19.010000000000002</v>
      </c>
      <c r="J78" s="4">
        <v>19.45</v>
      </c>
      <c r="K78" s="4">
        <v>19.010000000000002</v>
      </c>
      <c r="L78" s="4">
        <v>25.4040077569489</v>
      </c>
    </row>
    <row r="79" spans="1:12" ht="15" customHeight="1" x14ac:dyDescent="0.2">
      <c r="A79" s="6">
        <v>45937</v>
      </c>
      <c r="B79" s="7">
        <v>19.04</v>
      </c>
      <c r="C79" s="8">
        <v>30187890</v>
      </c>
      <c r="D79" s="7">
        <v>-0.130000000000002</v>
      </c>
      <c r="E79" s="7">
        <v>-0.67814293166407102</v>
      </c>
      <c r="F79" s="7">
        <v>-0.67813780361658504</v>
      </c>
      <c r="G79" s="7">
        <v>19.934152999999998</v>
      </c>
      <c r="H79" s="7">
        <v>28.856839043309598</v>
      </c>
      <c r="I79" s="7">
        <v>19.149999999999999</v>
      </c>
      <c r="J79" s="7">
        <v>19.23</v>
      </c>
      <c r="K79" s="7">
        <v>18.989999999999998</v>
      </c>
      <c r="L79" s="7">
        <v>23.076923076922998</v>
      </c>
    </row>
    <row r="80" spans="1:12" ht="15" customHeight="1" x14ac:dyDescent="0.2">
      <c r="A80" s="3">
        <v>45936</v>
      </c>
      <c r="B80" s="4">
        <v>19.170000000000002</v>
      </c>
      <c r="C80" s="5">
        <v>27339560</v>
      </c>
      <c r="D80" s="4">
        <v>-8.9999999999999802E-2</v>
      </c>
      <c r="E80" s="4">
        <v>-0.467289719626162</v>
      </c>
      <c r="F80" s="4">
        <v>-0.467291897972688</v>
      </c>
      <c r="G80" s="4">
        <v>20.070257000000002</v>
      </c>
      <c r="H80" s="4">
        <v>29.736632191338</v>
      </c>
      <c r="I80" s="4">
        <v>19.3</v>
      </c>
      <c r="J80" s="4">
        <v>19.37</v>
      </c>
      <c r="K80" s="4">
        <v>18.899999999999999</v>
      </c>
      <c r="L80" s="4">
        <v>23.917259211376798</v>
      </c>
    </row>
    <row r="81" spans="1:12" ht="15" customHeight="1" x14ac:dyDescent="0.2">
      <c r="A81" s="6">
        <v>45933</v>
      </c>
      <c r="B81" s="7">
        <v>19.260000000000002</v>
      </c>
      <c r="C81" s="8">
        <v>31241270</v>
      </c>
      <c r="D81" s="7">
        <v>-0.149999999999998</v>
      </c>
      <c r="E81" s="7">
        <v>-0.77279752704790805</v>
      </c>
      <c r="F81" s="7">
        <v>-0.77279133600539596</v>
      </c>
      <c r="G81" s="7">
        <v>20.164484000000002</v>
      </c>
      <c r="H81" s="7">
        <v>30.345727213962501</v>
      </c>
      <c r="I81" s="7">
        <v>19.489999999999998</v>
      </c>
      <c r="J81" s="7">
        <v>19.53</v>
      </c>
      <c r="K81" s="7">
        <v>19.16</v>
      </c>
      <c r="L81" s="7">
        <v>24.499030381383299</v>
      </c>
    </row>
    <row r="82" spans="1:12" ht="15" customHeight="1" x14ac:dyDescent="0.2">
      <c r="A82" s="3">
        <v>45932</v>
      </c>
      <c r="B82" s="4">
        <v>19.41</v>
      </c>
      <c r="C82" s="5">
        <v>55377920</v>
      </c>
      <c r="D82" s="4">
        <v>0.42000000000000098</v>
      </c>
      <c r="E82" s="4">
        <v>2.2116903633491298</v>
      </c>
      <c r="F82" s="4">
        <v>2.21168561967515</v>
      </c>
      <c r="G82" s="4">
        <v>20.321527</v>
      </c>
      <c r="H82" s="4">
        <v>31.360872656754999</v>
      </c>
      <c r="I82" s="4">
        <v>19.07</v>
      </c>
      <c r="J82" s="4">
        <v>19.440000000000001</v>
      </c>
      <c r="K82" s="4">
        <v>18.98</v>
      </c>
      <c r="L82" s="4">
        <v>25.468648998060701</v>
      </c>
    </row>
    <row r="83" spans="1:12" ht="15" customHeight="1" x14ac:dyDescent="0.2">
      <c r="A83" s="6">
        <v>45931</v>
      </c>
      <c r="B83" s="7">
        <v>18.989999999999998</v>
      </c>
      <c r="C83" s="8">
        <v>56901840</v>
      </c>
      <c r="D83" s="7">
        <v>-0.18000000000000299</v>
      </c>
      <c r="E83" s="7">
        <v>-0.93896713615024796</v>
      </c>
      <c r="F83" s="7">
        <v>-0.93896655135010598</v>
      </c>
      <c r="G83" s="7">
        <v>19.881803999999999</v>
      </c>
      <c r="H83" s="7">
        <v>28.518448610213301</v>
      </c>
      <c r="I83" s="7">
        <v>19.12</v>
      </c>
      <c r="J83" s="7">
        <v>19.39</v>
      </c>
      <c r="K83" s="7">
        <v>18.95</v>
      </c>
      <c r="L83" s="7">
        <v>22.753716871363899</v>
      </c>
    </row>
    <row r="84" spans="1:12" ht="15" customHeight="1" x14ac:dyDescent="0.2">
      <c r="A84" s="3">
        <v>45930</v>
      </c>
      <c r="B84" s="4">
        <v>19.170000000000002</v>
      </c>
      <c r="C84" s="5">
        <v>82539766</v>
      </c>
      <c r="D84" s="4">
        <v>4.00000000000027E-2</v>
      </c>
      <c r="E84" s="4">
        <v>0.20909566126503501</v>
      </c>
      <c r="F84" s="4">
        <v>0.20909831040736199</v>
      </c>
      <c r="G84" s="4">
        <v>20.070257000000002</v>
      </c>
      <c r="H84" s="4">
        <v>29.736632191338</v>
      </c>
      <c r="I84" s="4">
        <v>19.190000000000001</v>
      </c>
      <c r="J84" s="4">
        <v>19.5</v>
      </c>
      <c r="K84" s="4">
        <v>19.13</v>
      </c>
      <c r="L84" s="4">
        <v>23.917259211376798</v>
      </c>
    </row>
    <row r="85" spans="1:12" ht="15" customHeight="1" x14ac:dyDescent="0.2">
      <c r="A85" s="6">
        <v>45929</v>
      </c>
      <c r="B85" s="7">
        <v>19.13</v>
      </c>
      <c r="C85" s="8">
        <v>56465720</v>
      </c>
      <c r="D85" s="7"/>
      <c r="E85" s="7"/>
      <c r="F85" s="7"/>
      <c r="G85" s="7">
        <v>20.028378</v>
      </c>
      <c r="H85" s="7">
        <v>29.4659211376858</v>
      </c>
      <c r="I85" s="7">
        <v>19.100000000000001</v>
      </c>
      <c r="J85" s="7">
        <v>19.399999999999999</v>
      </c>
      <c r="K85" s="7">
        <v>18.98</v>
      </c>
      <c r="L85" s="7">
        <v>23.6586942469295</v>
      </c>
    </row>
    <row r="86" spans="1:12" ht="15" customHeight="1" x14ac:dyDescent="0.2">
      <c r="A86" s="3">
        <v>45926</v>
      </c>
      <c r="B86" s="4">
        <v>19.13</v>
      </c>
      <c r="C86" s="5">
        <v>40925566</v>
      </c>
      <c r="D86" s="4">
        <v>0.189999999999997</v>
      </c>
      <c r="E86" s="4">
        <v>1.0031678986272199</v>
      </c>
      <c r="F86" s="4">
        <v>1.0031641816094099</v>
      </c>
      <c r="G86" s="4">
        <v>20.028378</v>
      </c>
      <c r="H86" s="4">
        <v>29.4659211376858</v>
      </c>
      <c r="I86" s="4">
        <v>18.96</v>
      </c>
      <c r="J86" s="4">
        <v>19.190000000000001</v>
      </c>
      <c r="K86" s="4">
        <v>18.920000000000002</v>
      </c>
      <c r="L86" s="4">
        <v>23.6586942469295</v>
      </c>
    </row>
    <row r="87" spans="1:12" ht="15" customHeight="1" x14ac:dyDescent="0.2">
      <c r="A87" s="6">
        <v>45925</v>
      </c>
      <c r="B87" s="7">
        <v>18.940000000000001</v>
      </c>
      <c r="C87" s="8">
        <v>28081810</v>
      </c>
      <c r="D87" s="7">
        <v>3.0000000000001099E-2</v>
      </c>
      <c r="E87" s="7">
        <v>0.15864621893177899</v>
      </c>
      <c r="F87" s="7">
        <v>0.15864190247441001</v>
      </c>
      <c r="G87" s="7">
        <v>19.829456</v>
      </c>
      <c r="H87" s="7">
        <v>28.180064641241099</v>
      </c>
      <c r="I87" s="7">
        <v>18.899999999999999</v>
      </c>
      <c r="J87" s="7">
        <v>19.09</v>
      </c>
      <c r="K87" s="7">
        <v>18.88</v>
      </c>
      <c r="L87" s="7">
        <v>22.4305106658047</v>
      </c>
    </row>
    <row r="88" spans="1:12" ht="15" customHeight="1" x14ac:dyDescent="0.2">
      <c r="A88" s="3">
        <v>45924</v>
      </c>
      <c r="B88" s="4">
        <v>18.91</v>
      </c>
      <c r="C88" s="5">
        <v>54971960</v>
      </c>
      <c r="D88" s="4">
        <v>-0.60000000000000098</v>
      </c>
      <c r="E88" s="4">
        <v>-3.0753459764223501</v>
      </c>
      <c r="F88" s="4">
        <v>-3.0753502874196998</v>
      </c>
      <c r="G88" s="4">
        <v>19.798048000000001</v>
      </c>
      <c r="H88" s="4">
        <v>27.977039431156999</v>
      </c>
      <c r="I88" s="4">
        <v>19.61</v>
      </c>
      <c r="J88" s="4">
        <v>19.61</v>
      </c>
      <c r="K88" s="4">
        <v>18.86</v>
      </c>
      <c r="L88" s="4">
        <v>22.236586942469199</v>
      </c>
    </row>
    <row r="89" spans="1:12" ht="15" customHeight="1" x14ac:dyDescent="0.2">
      <c r="A89" s="6">
        <v>45923</v>
      </c>
      <c r="B89" s="7">
        <v>19.510000000000002</v>
      </c>
      <c r="C89" s="8">
        <v>61296560</v>
      </c>
      <c r="D89" s="7">
        <v>0.68000000000000305</v>
      </c>
      <c r="E89" s="7">
        <v>3.6112586298460099</v>
      </c>
      <c r="F89" s="7">
        <v>3.61126878015896</v>
      </c>
      <c r="G89" s="7">
        <v>20.426226</v>
      </c>
      <c r="H89" s="7">
        <v>32.037659987071699</v>
      </c>
      <c r="I89" s="7">
        <v>18.73</v>
      </c>
      <c r="J89" s="7">
        <v>19.670000000000002</v>
      </c>
      <c r="K89" s="7">
        <v>18.73</v>
      </c>
      <c r="L89" s="7">
        <v>26.115061409178999</v>
      </c>
    </row>
    <row r="90" spans="1:12" ht="15" customHeight="1" x14ac:dyDescent="0.2">
      <c r="A90" s="3">
        <v>45922</v>
      </c>
      <c r="B90" s="4">
        <v>18.829999999999998</v>
      </c>
      <c r="C90" s="5">
        <v>35021490</v>
      </c>
      <c r="D90" s="4">
        <v>0.40999999999999598</v>
      </c>
      <c r="E90" s="4">
        <v>2.2258414766557801</v>
      </c>
      <c r="F90" s="4">
        <v>2.2258397650903801</v>
      </c>
      <c r="G90" s="4">
        <v>19.714289999999998</v>
      </c>
      <c r="H90" s="4">
        <v>27.4356173238526</v>
      </c>
      <c r="I90" s="4">
        <v>18.440000000000001</v>
      </c>
      <c r="J90" s="4">
        <v>18.86</v>
      </c>
      <c r="K90" s="4">
        <v>18.350000000000001</v>
      </c>
      <c r="L90" s="4">
        <v>21.719457013574601</v>
      </c>
    </row>
    <row r="91" spans="1:12" ht="15" customHeight="1" x14ac:dyDescent="0.2">
      <c r="A91" s="6">
        <v>45919</v>
      </c>
      <c r="B91" s="7">
        <v>18.420000000000002</v>
      </c>
      <c r="C91" s="8">
        <v>214151900</v>
      </c>
      <c r="D91" s="7">
        <v>-0.31999999999999601</v>
      </c>
      <c r="E91" s="7">
        <v>-1.70757737459976</v>
      </c>
      <c r="F91" s="7">
        <v>-1.7075785277764499</v>
      </c>
      <c r="G91" s="7">
        <v>19.285036000000002</v>
      </c>
      <c r="H91" s="7">
        <v>24.660866192630898</v>
      </c>
      <c r="I91" s="7">
        <v>18.77</v>
      </c>
      <c r="J91" s="7">
        <v>18.86</v>
      </c>
      <c r="K91" s="7">
        <v>18.3</v>
      </c>
      <c r="L91" s="7">
        <v>19.0691661279896</v>
      </c>
    </row>
    <row r="92" spans="1:12" ht="15" customHeight="1" x14ac:dyDescent="0.2">
      <c r="A92" s="3">
        <v>45918</v>
      </c>
      <c r="B92" s="4">
        <v>18.739999999999998</v>
      </c>
      <c r="C92" s="5">
        <v>84550030</v>
      </c>
      <c r="D92" s="4"/>
      <c r="E92" s="4"/>
      <c r="F92" s="4"/>
      <c r="G92" s="4">
        <v>19.620063999999999</v>
      </c>
      <c r="H92" s="4">
        <v>26.826528765352201</v>
      </c>
      <c r="I92" s="4">
        <v>18.739999999999998</v>
      </c>
      <c r="J92" s="4">
        <v>18.8</v>
      </c>
      <c r="K92" s="4">
        <v>18.57</v>
      </c>
      <c r="L92" s="4">
        <v>21.1376858435681</v>
      </c>
    </row>
    <row r="93" spans="1:12" ht="15" customHeight="1" x14ac:dyDescent="0.2">
      <c r="A93" s="6">
        <v>45917</v>
      </c>
      <c r="B93" s="7">
        <v>18.739999999999998</v>
      </c>
      <c r="C93" s="8">
        <v>43382330</v>
      </c>
      <c r="D93" s="7">
        <v>-3.0000000000001099E-2</v>
      </c>
      <c r="E93" s="7">
        <v>-0.159829515183806</v>
      </c>
      <c r="F93" s="7">
        <v>-0.15983533856035401</v>
      </c>
      <c r="G93" s="7">
        <v>19.620063999999999</v>
      </c>
      <c r="H93" s="7">
        <v>26.826528765352201</v>
      </c>
      <c r="I93" s="7">
        <v>18.8</v>
      </c>
      <c r="J93" s="7">
        <v>18.940000000000001</v>
      </c>
      <c r="K93" s="7">
        <v>18.670000000000002</v>
      </c>
      <c r="L93" s="7">
        <v>21.1376858435681</v>
      </c>
    </row>
    <row r="94" spans="1:12" ht="15" customHeight="1" x14ac:dyDescent="0.2">
      <c r="A94" s="3">
        <v>45915</v>
      </c>
      <c r="B94" s="4">
        <v>18.77</v>
      </c>
      <c r="C94" s="5">
        <v>21465880</v>
      </c>
      <c r="D94" s="4">
        <v>5.0000000000000697E-2</v>
      </c>
      <c r="E94" s="4">
        <v>0.26709401709401598</v>
      </c>
      <c r="F94" s="4">
        <v>0.26709865874114902</v>
      </c>
      <c r="G94" s="4">
        <v>19.651474</v>
      </c>
      <c r="H94" s="4">
        <v>27.029566903684501</v>
      </c>
      <c r="I94" s="4">
        <v>18.829999999999998</v>
      </c>
      <c r="J94" s="4">
        <v>18.850000000000001</v>
      </c>
      <c r="K94" s="4">
        <v>18.63</v>
      </c>
      <c r="L94" s="4">
        <v>21.331609566903602</v>
      </c>
    </row>
    <row r="95" spans="1:12" ht="15" customHeight="1" x14ac:dyDescent="0.2">
      <c r="A95" s="6">
        <v>45912</v>
      </c>
      <c r="B95" s="7">
        <v>18.72</v>
      </c>
      <c r="C95" s="8">
        <v>48976152</v>
      </c>
      <c r="D95" s="7">
        <v>9.9999999999997799E-2</v>
      </c>
      <c r="E95" s="7">
        <v>0.537056928034362</v>
      </c>
      <c r="F95" s="7">
        <v>0.53705599686966199</v>
      </c>
      <c r="G95" s="7">
        <v>19.599125000000001</v>
      </c>
      <c r="H95" s="7">
        <v>26.6911764705882</v>
      </c>
      <c r="I95" s="7">
        <v>18.71</v>
      </c>
      <c r="J95" s="7">
        <v>18.86</v>
      </c>
      <c r="K95" s="7">
        <v>18.57</v>
      </c>
      <c r="L95" s="7">
        <v>21.008403361344499</v>
      </c>
    </row>
    <row r="96" spans="1:12" ht="15" customHeight="1" x14ac:dyDescent="0.2">
      <c r="A96" s="3">
        <v>45911</v>
      </c>
      <c r="B96" s="4">
        <v>18.62</v>
      </c>
      <c r="C96" s="5">
        <v>66342590</v>
      </c>
      <c r="D96" s="4">
        <v>0.220000000000002</v>
      </c>
      <c r="E96" s="4">
        <v>1.1956521739130599</v>
      </c>
      <c r="F96" s="4">
        <v>1.1956542785265201</v>
      </c>
      <c r="G96" s="4">
        <v>19.494429</v>
      </c>
      <c r="H96" s="4">
        <v>26.014408532643799</v>
      </c>
      <c r="I96" s="4">
        <v>18.47</v>
      </c>
      <c r="J96" s="4">
        <v>18.920000000000002</v>
      </c>
      <c r="K96" s="4">
        <v>18.440000000000001</v>
      </c>
      <c r="L96" s="4">
        <v>20.3619909502262</v>
      </c>
    </row>
    <row r="97" spans="1:12" ht="15" customHeight="1" x14ac:dyDescent="0.2">
      <c r="A97" s="6">
        <v>45910</v>
      </c>
      <c r="B97" s="7">
        <v>18.399999999999999</v>
      </c>
      <c r="C97" s="8">
        <v>41396060</v>
      </c>
      <c r="D97" s="7">
        <v>-2.0000000000003099E-2</v>
      </c>
      <c r="E97" s="7">
        <v>-0.10857763300762199</v>
      </c>
      <c r="F97" s="7">
        <v>-0.108576411265204</v>
      </c>
      <c r="G97" s="7">
        <v>19.264097</v>
      </c>
      <c r="H97" s="7">
        <v>24.525513897866801</v>
      </c>
      <c r="I97" s="7">
        <v>18.489999999999998</v>
      </c>
      <c r="J97" s="7">
        <v>18.53</v>
      </c>
      <c r="K97" s="7">
        <v>18.329999999999998</v>
      </c>
      <c r="L97" s="7">
        <v>18.939883645765899</v>
      </c>
    </row>
    <row r="98" spans="1:12" ht="15" customHeight="1" x14ac:dyDescent="0.2">
      <c r="A98" s="3">
        <v>45909</v>
      </c>
      <c r="B98" s="4">
        <v>18.420000000000002</v>
      </c>
      <c r="C98" s="5">
        <v>33397390</v>
      </c>
      <c r="D98" s="4">
        <v>7.0000000000000201E-2</v>
      </c>
      <c r="E98" s="4">
        <v>0.38147138964577099</v>
      </c>
      <c r="F98" s="4">
        <v>0.38146446835922698</v>
      </c>
      <c r="G98" s="4">
        <v>19.285036000000002</v>
      </c>
      <c r="H98" s="4">
        <v>24.660866192630898</v>
      </c>
      <c r="I98" s="4">
        <v>18.45</v>
      </c>
      <c r="J98" s="4">
        <v>18.54</v>
      </c>
      <c r="K98" s="4">
        <v>18.329999999999998</v>
      </c>
      <c r="L98" s="4">
        <v>19.0691661279896</v>
      </c>
    </row>
    <row r="99" spans="1:12" ht="15" customHeight="1" x14ac:dyDescent="0.2">
      <c r="A99" s="6">
        <v>45908</v>
      </c>
      <c r="B99" s="7">
        <v>18.350000000000001</v>
      </c>
      <c r="C99" s="8">
        <v>42871540</v>
      </c>
      <c r="D99" s="7">
        <v>5.0000000000000697E-2</v>
      </c>
      <c r="E99" s="7">
        <v>0.27322404371585801</v>
      </c>
      <c r="F99" s="7">
        <v>0.27323925974920199</v>
      </c>
      <c r="G99" s="7">
        <v>19.211749999999999</v>
      </c>
      <c r="H99" s="7">
        <v>24.187136393018701</v>
      </c>
      <c r="I99" s="7">
        <v>18.37</v>
      </c>
      <c r="J99" s="7">
        <v>18.399999999999999</v>
      </c>
      <c r="K99" s="7">
        <v>18.03</v>
      </c>
      <c r="L99" s="7">
        <v>18.6166774402068</v>
      </c>
    </row>
    <row r="100" spans="1:12" ht="15" customHeight="1" x14ac:dyDescent="0.2">
      <c r="A100" s="3">
        <v>45905</v>
      </c>
      <c r="B100" s="4">
        <v>18.3</v>
      </c>
      <c r="C100" s="5">
        <v>100723100</v>
      </c>
      <c r="D100" s="4">
        <v>3.0000000000001099E-2</v>
      </c>
      <c r="E100" s="4">
        <v>0.16420361247948501</v>
      </c>
      <c r="F100" s="4">
        <v>0.16418868409247001</v>
      </c>
      <c r="G100" s="4">
        <v>19.159399000000001</v>
      </c>
      <c r="H100" s="4">
        <v>23.8487330316742</v>
      </c>
      <c r="I100" s="4">
        <v>18.21</v>
      </c>
      <c r="J100" s="4">
        <v>18.47</v>
      </c>
      <c r="K100" s="4">
        <v>18.21</v>
      </c>
      <c r="L100" s="4">
        <v>18.293471234647701</v>
      </c>
    </row>
    <row r="101" spans="1:12" ht="15" customHeight="1" x14ac:dyDescent="0.2">
      <c r="A101" s="6">
        <v>45904</v>
      </c>
      <c r="B101" s="7">
        <v>18.27</v>
      </c>
      <c r="C101" s="8">
        <v>52920810</v>
      </c>
      <c r="D101" s="7">
        <v>9.9999999999980105E-3</v>
      </c>
      <c r="E101" s="7">
        <v>5.4764512595828402E-2</v>
      </c>
      <c r="F101" s="7">
        <v>5.4766509238679498E-2</v>
      </c>
      <c r="G101" s="7">
        <v>19.127993</v>
      </c>
      <c r="H101" s="7">
        <v>23.645720749838301</v>
      </c>
      <c r="I101" s="7">
        <v>18.23</v>
      </c>
      <c r="J101" s="7">
        <v>18.440000000000001</v>
      </c>
      <c r="K101" s="7">
        <v>18.23</v>
      </c>
      <c r="L101" s="7">
        <v>18.099547511312199</v>
      </c>
    </row>
    <row r="102" spans="1:12" ht="15" customHeight="1" x14ac:dyDescent="0.2">
      <c r="A102" s="3">
        <v>45903</v>
      </c>
      <c r="B102" s="4">
        <v>18.260000000000002</v>
      </c>
      <c r="C102" s="5">
        <v>60844380</v>
      </c>
      <c r="D102" s="4">
        <v>-0.41999999999999799</v>
      </c>
      <c r="E102" s="4">
        <v>-2.24839400428265</v>
      </c>
      <c r="F102" s="4">
        <v>-2.24839416304351</v>
      </c>
      <c r="G102" s="4">
        <v>19.117522999999998</v>
      </c>
      <c r="H102" s="4">
        <v>23.5780413703942</v>
      </c>
      <c r="I102" s="4">
        <v>18.579999999999998</v>
      </c>
      <c r="J102" s="4">
        <v>18.739999999999998</v>
      </c>
      <c r="K102" s="4">
        <v>18.16</v>
      </c>
      <c r="L102" s="4">
        <v>18.034906270200299</v>
      </c>
    </row>
    <row r="103" spans="1:12" ht="15" customHeight="1" x14ac:dyDescent="0.2">
      <c r="A103" s="6">
        <v>45902</v>
      </c>
      <c r="B103" s="7">
        <v>18.68</v>
      </c>
      <c r="C103" s="8">
        <v>46988594</v>
      </c>
      <c r="D103" s="7">
        <v>0.3</v>
      </c>
      <c r="E103" s="7">
        <v>1.6322089227421099</v>
      </c>
      <c r="F103" s="7">
        <v>1.63222186630924</v>
      </c>
      <c r="G103" s="7">
        <v>19.557247</v>
      </c>
      <c r="H103" s="7">
        <v>26.420471881060099</v>
      </c>
      <c r="I103" s="7">
        <v>18.32</v>
      </c>
      <c r="J103" s="7">
        <v>18.72</v>
      </c>
      <c r="K103" s="7">
        <v>18.32</v>
      </c>
      <c r="L103" s="7">
        <v>20.7498383968972</v>
      </c>
    </row>
    <row r="104" spans="1:12" ht="15" customHeight="1" x14ac:dyDescent="0.2">
      <c r="A104" s="3">
        <v>45901</v>
      </c>
      <c r="B104" s="4">
        <v>18.38</v>
      </c>
      <c r="C104" s="5">
        <v>5213233</v>
      </c>
      <c r="D104" s="4">
        <v>-0.19999999999999901</v>
      </c>
      <c r="E104" s="4">
        <v>-1.07642626480085</v>
      </c>
      <c r="F104" s="4">
        <v>-1.07643470907412</v>
      </c>
      <c r="G104" s="4">
        <v>19.243155999999999</v>
      </c>
      <c r="H104" s="4">
        <v>24.390148674854501</v>
      </c>
      <c r="I104" s="4">
        <v>18.46</v>
      </c>
      <c r="J104" s="4">
        <v>18.52</v>
      </c>
      <c r="K104" s="4">
        <v>17.66</v>
      </c>
      <c r="L104" s="4">
        <v>18.810601163542302</v>
      </c>
    </row>
    <row r="105" spans="1:12" ht="15" customHeight="1" x14ac:dyDescent="0.2">
      <c r="A105" s="6">
        <v>45898</v>
      </c>
      <c r="B105" s="7">
        <v>18.579999999999998</v>
      </c>
      <c r="C105" s="8">
        <v>60556640</v>
      </c>
      <c r="D105" s="7">
        <v>-0.23</v>
      </c>
      <c r="E105" s="7">
        <v>-1.2227538543328</v>
      </c>
      <c r="F105" s="7">
        <v>-1.2227477803420901</v>
      </c>
      <c r="G105" s="7">
        <v>19.452549999999999</v>
      </c>
      <c r="H105" s="7">
        <v>25.7436974789915</v>
      </c>
      <c r="I105" s="7">
        <v>18.89</v>
      </c>
      <c r="J105" s="7">
        <v>18.89</v>
      </c>
      <c r="K105" s="7">
        <v>18.53</v>
      </c>
      <c r="L105" s="7">
        <v>20.103425985778902</v>
      </c>
    </row>
    <row r="106" spans="1:12" ht="15" customHeight="1" x14ac:dyDescent="0.2">
      <c r="A106" s="3">
        <v>45897</v>
      </c>
      <c r="B106" s="4">
        <v>18.809999999999999</v>
      </c>
      <c r="C106" s="5">
        <v>58584330</v>
      </c>
      <c r="D106" s="4">
        <v>0.19999999999999901</v>
      </c>
      <c r="E106" s="4">
        <v>1.0746910263299301</v>
      </c>
      <c r="F106" s="4">
        <v>1.0746788640502101</v>
      </c>
      <c r="G106" s="4">
        <v>19.693349999999999</v>
      </c>
      <c r="H106" s="4">
        <v>27.300258564964398</v>
      </c>
      <c r="I106" s="4">
        <v>18.559999999999999</v>
      </c>
      <c r="J106" s="4">
        <v>18.89</v>
      </c>
      <c r="K106" s="4">
        <v>18.5</v>
      </c>
      <c r="L106" s="4">
        <v>21.5901745313509</v>
      </c>
    </row>
    <row r="107" spans="1:12" ht="15" customHeight="1" x14ac:dyDescent="0.2">
      <c r="A107" s="6">
        <v>45896</v>
      </c>
      <c r="B107" s="7">
        <v>18.61</v>
      </c>
      <c r="C107" s="8">
        <v>83789510</v>
      </c>
      <c r="D107" s="7">
        <v>-3.9999999999999099E-2</v>
      </c>
      <c r="E107" s="7">
        <v>-0.21447721179623699</v>
      </c>
      <c r="F107" s="7">
        <v>-0.21446967932795499</v>
      </c>
      <c r="G107" s="7">
        <v>19.48396</v>
      </c>
      <c r="H107" s="7">
        <v>25.9467356173238</v>
      </c>
      <c r="I107" s="7">
        <v>18.52</v>
      </c>
      <c r="J107" s="7">
        <v>18.73</v>
      </c>
      <c r="K107" s="7">
        <v>18.27</v>
      </c>
      <c r="L107" s="7">
        <v>20.2973497091144</v>
      </c>
    </row>
    <row r="108" spans="1:12" ht="15" customHeight="1" x14ac:dyDescent="0.2">
      <c r="A108" s="3">
        <v>45895</v>
      </c>
      <c r="B108" s="4">
        <v>18.649999999999999</v>
      </c>
      <c r="C108" s="5">
        <v>120153510</v>
      </c>
      <c r="D108" s="4">
        <v>-7.0000000000000201E-2</v>
      </c>
      <c r="E108" s="4">
        <v>-0.37393162393162199</v>
      </c>
      <c r="F108" s="4">
        <v>-0.37393506087645101</v>
      </c>
      <c r="G108" s="4">
        <v>19.525836999999999</v>
      </c>
      <c r="H108" s="4">
        <v>26.217433742727799</v>
      </c>
      <c r="I108" s="4">
        <v>18.829999999999998</v>
      </c>
      <c r="J108" s="4">
        <v>18.829999999999998</v>
      </c>
      <c r="K108" s="4">
        <v>18.510000000000002</v>
      </c>
      <c r="L108" s="4">
        <v>20.555914673561698</v>
      </c>
    </row>
    <row r="109" spans="1:12" ht="15" customHeight="1" x14ac:dyDescent="0.2">
      <c r="A109" s="6">
        <v>45894</v>
      </c>
      <c r="B109" s="7">
        <v>18.72</v>
      </c>
      <c r="C109" s="8">
        <v>45355880</v>
      </c>
      <c r="D109" s="7">
        <v>-6.0000000000002197E-2</v>
      </c>
      <c r="E109" s="7">
        <v>-0.319488817891389</v>
      </c>
      <c r="F109" s="7">
        <v>-0.31949029655919903</v>
      </c>
      <c r="G109" s="7">
        <v>19.599125000000001</v>
      </c>
      <c r="H109" s="7">
        <v>26.6911764705882</v>
      </c>
      <c r="I109" s="7">
        <v>18.79</v>
      </c>
      <c r="J109" s="7">
        <v>18.87</v>
      </c>
      <c r="K109" s="7">
        <v>18.649999999999999</v>
      </c>
      <c r="L109" s="7">
        <v>21.008403361344499</v>
      </c>
    </row>
    <row r="110" spans="1:12" ht="15" customHeight="1" x14ac:dyDescent="0.2">
      <c r="A110" s="3">
        <v>45891</v>
      </c>
      <c r="B110" s="4">
        <v>18.78</v>
      </c>
      <c r="C110" s="5">
        <v>93994120</v>
      </c>
      <c r="D110" s="4">
        <v>0.60999999999999899</v>
      </c>
      <c r="E110" s="4">
        <v>3.3571821684094498</v>
      </c>
      <c r="F110" s="4">
        <v>3.3571837393478101</v>
      </c>
      <c r="G110" s="4">
        <v>19.661943000000001</v>
      </c>
      <c r="H110" s="4">
        <v>27.0972398190045</v>
      </c>
      <c r="I110" s="4">
        <v>18.2</v>
      </c>
      <c r="J110" s="4">
        <v>18.88</v>
      </c>
      <c r="K110" s="4">
        <v>18.170000000000002</v>
      </c>
      <c r="L110" s="4">
        <v>21.396250808015498</v>
      </c>
    </row>
    <row r="111" spans="1:12" ht="15" customHeight="1" x14ac:dyDescent="0.2">
      <c r="A111" s="6">
        <v>45890</v>
      </c>
      <c r="B111" s="7">
        <v>18.170000000000002</v>
      </c>
      <c r="C111" s="8">
        <v>62165870</v>
      </c>
      <c r="D111" s="7">
        <v>0.310000000000002</v>
      </c>
      <c r="E111" s="7">
        <v>1.7357222844344999</v>
      </c>
      <c r="F111" s="7">
        <v>1.73572141606561</v>
      </c>
      <c r="G111" s="7">
        <v>19.023295999999998</v>
      </c>
      <c r="H111" s="7">
        <v>22.968946347769801</v>
      </c>
      <c r="I111" s="7">
        <v>17.87</v>
      </c>
      <c r="J111" s="7">
        <v>18.22</v>
      </c>
      <c r="K111" s="7">
        <v>17.809999999999999</v>
      </c>
      <c r="L111" s="7">
        <v>17.453135100193901</v>
      </c>
    </row>
    <row r="112" spans="1:12" ht="15" customHeight="1" x14ac:dyDescent="0.2">
      <c r="A112" s="3">
        <v>45889</v>
      </c>
      <c r="B112" s="4">
        <v>17.86</v>
      </c>
      <c r="C112" s="5">
        <v>26151970</v>
      </c>
      <c r="D112" s="4">
        <v>-3.0000000000001099E-2</v>
      </c>
      <c r="E112" s="4">
        <v>-0.167691447736173</v>
      </c>
      <c r="F112" s="4">
        <v>-0.16768689363128</v>
      </c>
      <c r="G112" s="4">
        <v>18.698737999999999</v>
      </c>
      <c r="H112" s="4">
        <v>20.8709631544925</v>
      </c>
      <c r="I112" s="4">
        <v>17.75</v>
      </c>
      <c r="J112" s="4">
        <v>17.97</v>
      </c>
      <c r="K112" s="4">
        <v>17.75</v>
      </c>
      <c r="L112" s="4">
        <v>15.4492566257272</v>
      </c>
    </row>
    <row r="113" spans="1:12" ht="15" customHeight="1" x14ac:dyDescent="0.2">
      <c r="A113" s="6">
        <v>45888</v>
      </c>
      <c r="B113" s="7">
        <v>17.89</v>
      </c>
      <c r="C113" s="8">
        <v>40896860</v>
      </c>
      <c r="D113" s="7">
        <v>1.0000000000001501E-2</v>
      </c>
      <c r="E113" s="7">
        <v>5.5928411633110402E-2</v>
      </c>
      <c r="F113" s="7">
        <v>5.5935800167494699E-2</v>
      </c>
      <c r="G113" s="7">
        <v>18.730146000000001</v>
      </c>
      <c r="H113" s="7">
        <v>21.0739883645766</v>
      </c>
      <c r="I113" s="7">
        <v>17.809999999999999</v>
      </c>
      <c r="J113" s="7">
        <v>17.97</v>
      </c>
      <c r="K113" s="7">
        <v>17.809999999999999</v>
      </c>
      <c r="L113" s="7">
        <v>15.6431803490627</v>
      </c>
    </row>
    <row r="114" spans="1:12" ht="15" customHeight="1" x14ac:dyDescent="0.2">
      <c r="A114" s="3">
        <v>45887</v>
      </c>
      <c r="B114" s="4">
        <v>17.88</v>
      </c>
      <c r="C114" s="5">
        <v>42708168</v>
      </c>
      <c r="D114" s="4">
        <v>2.9999999999997501E-2</v>
      </c>
      <c r="E114" s="4">
        <v>0.168067226890733</v>
      </c>
      <c r="F114" s="4">
        <v>0.16805194745430599</v>
      </c>
      <c r="G114" s="4">
        <v>18.719674999999999</v>
      </c>
      <c r="H114" s="4">
        <v>21.006302521008301</v>
      </c>
      <c r="I114" s="4">
        <v>17.760000000000002</v>
      </c>
      <c r="J114" s="4">
        <v>18.18</v>
      </c>
      <c r="K114" s="4">
        <v>17.760000000000002</v>
      </c>
      <c r="L114" s="4">
        <v>15.5785391079508</v>
      </c>
    </row>
    <row r="115" spans="1:12" ht="15" customHeight="1" x14ac:dyDescent="0.2">
      <c r="A115" s="6">
        <v>45884</v>
      </c>
      <c r="B115" s="7">
        <v>17.850000000000001</v>
      </c>
      <c r="C115" s="8">
        <v>31176150</v>
      </c>
      <c r="D115" s="7">
        <v>0.130000000000002</v>
      </c>
      <c r="E115" s="7">
        <v>0.73363431151243197</v>
      </c>
      <c r="F115" s="7">
        <v>0.73364495200074398</v>
      </c>
      <c r="G115" s="7">
        <v>18.688268999999998</v>
      </c>
      <c r="H115" s="7">
        <v>20.803290239172501</v>
      </c>
      <c r="I115" s="7">
        <v>17.55</v>
      </c>
      <c r="J115" s="7">
        <v>17.88</v>
      </c>
      <c r="K115" s="7">
        <v>17.55</v>
      </c>
      <c r="L115" s="7">
        <v>15.3846153846153</v>
      </c>
    </row>
    <row r="116" spans="1:12" ht="15" customHeight="1" x14ac:dyDescent="0.2">
      <c r="A116" s="3">
        <v>45883</v>
      </c>
      <c r="B116" s="4">
        <v>17.72</v>
      </c>
      <c r="C116" s="5">
        <v>30654220</v>
      </c>
      <c r="D116" s="4">
        <v>2.9999999999997501E-2</v>
      </c>
      <c r="E116" s="4">
        <v>0.16958733747878199</v>
      </c>
      <c r="F116" s="4">
        <v>0.16958272865132901</v>
      </c>
      <c r="G116" s="4">
        <v>18.552161999999999</v>
      </c>
      <c r="H116" s="4">
        <v>19.923477698771801</v>
      </c>
      <c r="I116" s="4">
        <v>17.71</v>
      </c>
      <c r="J116" s="4">
        <v>17.8</v>
      </c>
      <c r="K116" s="4">
        <v>17.54</v>
      </c>
      <c r="L116" s="4">
        <v>14.5442792501615</v>
      </c>
    </row>
    <row r="117" spans="1:12" ht="15" customHeight="1" x14ac:dyDescent="0.2">
      <c r="A117" s="6">
        <v>45882</v>
      </c>
      <c r="B117" s="7">
        <v>17.690000000000001</v>
      </c>
      <c r="C117" s="8">
        <v>46841900</v>
      </c>
      <c r="D117" s="7">
        <v>-1.9999999999999501E-2</v>
      </c>
      <c r="E117" s="7">
        <v>-0.112930547713152</v>
      </c>
      <c r="F117" s="7">
        <v>-0.112929277817286</v>
      </c>
      <c r="G117" s="7">
        <v>18.520754</v>
      </c>
      <c r="H117" s="7">
        <v>19.720452488687702</v>
      </c>
      <c r="I117" s="7">
        <v>17.75</v>
      </c>
      <c r="J117" s="7">
        <v>17.79</v>
      </c>
      <c r="K117" s="7">
        <v>17.649999999999999</v>
      </c>
      <c r="L117" s="7">
        <v>14.3503555268261</v>
      </c>
    </row>
    <row r="118" spans="1:12" ht="15" customHeight="1" x14ac:dyDescent="0.2">
      <c r="A118" s="3">
        <v>45881</v>
      </c>
      <c r="B118" s="4">
        <v>17.71</v>
      </c>
      <c r="C118" s="5">
        <v>48760047</v>
      </c>
      <c r="D118" s="4">
        <v>-5.99999999999987E-2</v>
      </c>
      <c r="E118" s="4">
        <v>-0.33764772087787598</v>
      </c>
      <c r="F118" s="4">
        <v>-0.33764929376536301</v>
      </c>
      <c r="G118" s="4">
        <v>18.541692999999999</v>
      </c>
      <c r="H118" s="4">
        <v>19.855804783451799</v>
      </c>
      <c r="I118" s="4">
        <v>17.829999999999998</v>
      </c>
      <c r="J118" s="4">
        <v>17.87</v>
      </c>
      <c r="K118" s="4">
        <v>17.670000000000002</v>
      </c>
      <c r="L118" s="4">
        <v>14.479638009049699</v>
      </c>
    </row>
    <row r="119" spans="1:12" ht="15" customHeight="1" x14ac:dyDescent="0.2">
      <c r="A119" s="6">
        <v>45880</v>
      </c>
      <c r="B119" s="7">
        <v>17.77</v>
      </c>
      <c r="C119" s="8">
        <v>55789953</v>
      </c>
      <c r="D119" s="7">
        <v>5.99999999999987E-2</v>
      </c>
      <c r="E119" s="7">
        <v>0.33879164313945698</v>
      </c>
      <c r="F119" s="7">
        <v>0.338793226702649</v>
      </c>
      <c r="G119" s="7">
        <v>18.604510999999999</v>
      </c>
      <c r="H119" s="7">
        <v>20.261868131868098</v>
      </c>
      <c r="I119" s="7">
        <v>17.62</v>
      </c>
      <c r="J119" s="7">
        <v>17.88</v>
      </c>
      <c r="K119" s="7">
        <v>17.62</v>
      </c>
      <c r="L119" s="7">
        <v>14.867485455720701</v>
      </c>
    </row>
    <row r="120" spans="1:12" ht="15" customHeight="1" x14ac:dyDescent="0.2">
      <c r="A120" s="3">
        <v>45877</v>
      </c>
      <c r="B120" s="4">
        <v>17.71</v>
      </c>
      <c r="C120" s="5">
        <v>26651600</v>
      </c>
      <c r="D120" s="4">
        <v>1.9999999999999501E-2</v>
      </c>
      <c r="E120" s="4">
        <v>0.113058224985862</v>
      </c>
      <c r="F120" s="4">
        <v>0.11305695221695</v>
      </c>
      <c r="G120" s="4">
        <v>18.541692999999999</v>
      </c>
      <c r="H120" s="4">
        <v>19.855804783451799</v>
      </c>
      <c r="I120" s="4">
        <v>17.649999999999999</v>
      </c>
      <c r="J120" s="4">
        <v>17.88</v>
      </c>
      <c r="K120" s="4">
        <v>17.649999999999999</v>
      </c>
      <c r="L120" s="4">
        <v>14.479638009049699</v>
      </c>
    </row>
    <row r="121" spans="1:12" ht="15" customHeight="1" x14ac:dyDescent="0.2">
      <c r="A121" s="6">
        <v>45876</v>
      </c>
      <c r="B121" s="7">
        <v>17.690000000000001</v>
      </c>
      <c r="C121" s="8">
        <v>66837340</v>
      </c>
      <c r="D121" s="7">
        <v>0.86000000000000298</v>
      </c>
      <c r="E121" s="7">
        <v>5.1099227569815797</v>
      </c>
      <c r="F121" s="7">
        <v>5.10992194430455</v>
      </c>
      <c r="G121" s="7">
        <v>18.520754</v>
      </c>
      <c r="H121" s="7">
        <v>19.720452488687702</v>
      </c>
      <c r="I121" s="7">
        <v>16.8</v>
      </c>
      <c r="J121" s="7">
        <v>17.71</v>
      </c>
      <c r="K121" s="7">
        <v>16.8</v>
      </c>
      <c r="L121" s="7">
        <v>14.3503555268261</v>
      </c>
    </row>
    <row r="122" spans="1:12" ht="15" customHeight="1" x14ac:dyDescent="0.2">
      <c r="A122" s="3">
        <v>45875</v>
      </c>
      <c r="B122" s="4">
        <v>16.829999999999998</v>
      </c>
      <c r="C122" s="5">
        <v>65192290</v>
      </c>
      <c r="D122" s="4">
        <v>-0.14000000000000001</v>
      </c>
      <c r="E122" s="4">
        <v>-0.824985268120215</v>
      </c>
      <c r="F122" s="4">
        <v>-0.82498163302280303</v>
      </c>
      <c r="G122" s="4">
        <v>17.620367000000002</v>
      </c>
      <c r="H122" s="4">
        <v>13.9002391725921</v>
      </c>
      <c r="I122" s="4">
        <v>16.95</v>
      </c>
      <c r="J122" s="4">
        <v>17.39</v>
      </c>
      <c r="K122" s="4">
        <v>16.79</v>
      </c>
      <c r="L122" s="4">
        <v>8.7912087912087706</v>
      </c>
    </row>
    <row r="123" spans="1:12" ht="15" customHeight="1" x14ac:dyDescent="0.2">
      <c r="A123" s="6">
        <v>45874</v>
      </c>
      <c r="B123" s="7">
        <v>16.97</v>
      </c>
      <c r="C123" s="8">
        <v>41097168</v>
      </c>
      <c r="D123" s="7"/>
      <c r="E123" s="7"/>
      <c r="F123" s="7"/>
      <c r="G123" s="7">
        <v>17.766940999999999</v>
      </c>
      <c r="H123" s="7">
        <v>14.8477117000646</v>
      </c>
      <c r="I123" s="7">
        <v>16.97</v>
      </c>
      <c r="J123" s="7">
        <v>17.23</v>
      </c>
      <c r="K123" s="7">
        <v>16.850000000000001</v>
      </c>
      <c r="L123" s="7">
        <v>9.6961861667743907</v>
      </c>
    </row>
    <row r="124" spans="1:12" ht="15" customHeight="1" x14ac:dyDescent="0.2">
      <c r="A124" s="3">
        <v>45873</v>
      </c>
      <c r="B124" s="4">
        <v>16.97</v>
      </c>
      <c r="C124" s="5">
        <v>51856020</v>
      </c>
      <c r="D124" s="4">
        <v>4.9999999999997102E-2</v>
      </c>
      <c r="E124" s="4">
        <v>0.29550827423165898</v>
      </c>
      <c r="F124" s="4">
        <v>0.29550211537445698</v>
      </c>
      <c r="G124" s="4">
        <v>17.766940999999999</v>
      </c>
      <c r="H124" s="4">
        <v>14.8477117000646</v>
      </c>
      <c r="I124" s="4">
        <v>17</v>
      </c>
      <c r="J124" s="4">
        <v>17.190000000000001</v>
      </c>
      <c r="K124" s="4">
        <v>16.87</v>
      </c>
      <c r="L124" s="4">
        <v>9.6961861667743907</v>
      </c>
    </row>
    <row r="125" spans="1:12" ht="15" customHeight="1" x14ac:dyDescent="0.2">
      <c r="A125" s="6">
        <v>45870</v>
      </c>
      <c r="B125" s="7">
        <v>16.920000000000002</v>
      </c>
      <c r="C125" s="8">
        <v>36531230</v>
      </c>
      <c r="D125" s="7">
        <v>-0.109999999999999</v>
      </c>
      <c r="E125" s="7">
        <v>-0.64591896652964598</v>
      </c>
      <c r="F125" s="7">
        <v>-0.64592007968698995</v>
      </c>
      <c r="G125" s="7">
        <v>17.714594000000002</v>
      </c>
      <c r="H125" s="7">
        <v>14.5093341952165</v>
      </c>
      <c r="I125" s="7">
        <v>17.11</v>
      </c>
      <c r="J125" s="7">
        <v>17.11</v>
      </c>
      <c r="K125" s="7">
        <v>16.87</v>
      </c>
      <c r="L125" s="7">
        <v>9.3729799612152593</v>
      </c>
    </row>
    <row r="126" spans="1:12" ht="15" customHeight="1" x14ac:dyDescent="0.2">
      <c r="A126" s="3">
        <v>45869</v>
      </c>
      <c r="B126" s="4">
        <v>17.03</v>
      </c>
      <c r="C126" s="5">
        <v>30876670</v>
      </c>
      <c r="D126" s="4">
        <v>-7.9999999999998295E-2</v>
      </c>
      <c r="E126" s="4">
        <v>-0.46756282875510802</v>
      </c>
      <c r="F126" s="4">
        <v>-0.46756312565532299</v>
      </c>
      <c r="G126" s="4">
        <v>17.82976</v>
      </c>
      <c r="H126" s="4">
        <v>15.253781512605</v>
      </c>
      <c r="I126" s="4">
        <v>17.12</v>
      </c>
      <c r="J126" s="4">
        <v>17.22</v>
      </c>
      <c r="K126" s="4">
        <v>16.989999999999998</v>
      </c>
      <c r="L126" s="4">
        <v>10.0840336134453</v>
      </c>
    </row>
    <row r="127" spans="1:12" ht="15" customHeight="1" x14ac:dyDescent="0.2">
      <c r="A127" s="6">
        <v>45868</v>
      </c>
      <c r="B127" s="7">
        <v>17.11</v>
      </c>
      <c r="C127" s="8">
        <v>46086330</v>
      </c>
      <c r="D127" s="7">
        <v>1.9999999999999501E-2</v>
      </c>
      <c r="E127" s="7">
        <v>0.117027501462851</v>
      </c>
      <c r="F127" s="7">
        <v>0.117037367900518</v>
      </c>
      <c r="G127" s="7">
        <v>17.913516999999999</v>
      </c>
      <c r="H127" s="7">
        <v>15.795197155785299</v>
      </c>
      <c r="I127" s="7">
        <v>17.02</v>
      </c>
      <c r="J127" s="7">
        <v>17.18</v>
      </c>
      <c r="K127" s="7">
        <v>16.989999999999998</v>
      </c>
      <c r="L127" s="7">
        <v>10.60116354234</v>
      </c>
    </row>
    <row r="128" spans="1:12" ht="15" customHeight="1" x14ac:dyDescent="0.2">
      <c r="A128" s="3">
        <v>45867</v>
      </c>
      <c r="B128" s="4">
        <v>17.09</v>
      </c>
      <c r="C128" s="5">
        <v>34776290</v>
      </c>
      <c r="D128" s="4">
        <v>7.9999999999998295E-2</v>
      </c>
      <c r="E128" s="4">
        <v>0.47031158142267698</v>
      </c>
      <c r="F128" s="4">
        <v>0.47030628643558398</v>
      </c>
      <c r="G128" s="4">
        <v>17.892575999999998</v>
      </c>
      <c r="H128" s="4">
        <v>15.659831932773001</v>
      </c>
      <c r="I128" s="4">
        <v>17.010000000000002</v>
      </c>
      <c r="J128" s="4">
        <v>17.149999999999999</v>
      </c>
      <c r="K128" s="4">
        <v>16.71</v>
      </c>
      <c r="L128" s="4">
        <v>10.471881060116299</v>
      </c>
    </row>
    <row r="129" spans="1:12" ht="15" customHeight="1" x14ac:dyDescent="0.2">
      <c r="A129" s="6">
        <v>45866</v>
      </c>
      <c r="B129" s="7">
        <v>17.010000000000002</v>
      </c>
      <c r="C129" s="8">
        <v>52165152</v>
      </c>
      <c r="D129" s="7">
        <v>-9.9999999999997799E-2</v>
      </c>
      <c r="E129" s="7">
        <v>-0.58445353594388505</v>
      </c>
      <c r="F129" s="7">
        <v>-0.58445809385169101</v>
      </c>
      <c r="G129" s="7">
        <v>17.808820000000001</v>
      </c>
      <c r="H129" s="7">
        <v>15.1184227537168</v>
      </c>
      <c r="I129" s="7">
        <v>17.03</v>
      </c>
      <c r="J129" s="7">
        <v>17.11</v>
      </c>
      <c r="K129" s="7">
        <v>16.920000000000002</v>
      </c>
      <c r="L129" s="7">
        <v>9.9547511312217196</v>
      </c>
    </row>
    <row r="130" spans="1:12" ht="15" customHeight="1" x14ac:dyDescent="0.2">
      <c r="A130" s="3">
        <v>45863</v>
      </c>
      <c r="B130" s="4">
        <v>17.11</v>
      </c>
      <c r="C130" s="5">
        <v>42979406</v>
      </c>
      <c r="D130" s="4">
        <v>0.12000000000000099</v>
      </c>
      <c r="E130" s="4">
        <v>0.70629782224838</v>
      </c>
      <c r="F130" s="4">
        <v>0.70630676618010901</v>
      </c>
      <c r="G130" s="4">
        <v>17.913516999999999</v>
      </c>
      <c r="H130" s="4">
        <v>15.795197155785299</v>
      </c>
      <c r="I130" s="4">
        <v>16.809999999999999</v>
      </c>
      <c r="J130" s="4">
        <v>17.170000000000002</v>
      </c>
      <c r="K130" s="4">
        <v>16.809999999999999</v>
      </c>
      <c r="L130" s="4">
        <v>10.60116354234</v>
      </c>
    </row>
    <row r="131" spans="1:12" ht="15" customHeight="1" x14ac:dyDescent="0.2">
      <c r="A131" s="6">
        <v>45862</v>
      </c>
      <c r="B131" s="7">
        <v>16.989999999999998</v>
      </c>
      <c r="C131" s="8">
        <v>56216406</v>
      </c>
      <c r="D131" s="7">
        <v>0.42999999999999899</v>
      </c>
      <c r="E131" s="7">
        <v>2.59661835748792</v>
      </c>
      <c r="F131" s="7">
        <v>2.5966151078860902</v>
      </c>
      <c r="G131" s="7">
        <v>17.787880000000001</v>
      </c>
      <c r="H131" s="7">
        <v>14.983063994828701</v>
      </c>
      <c r="I131" s="7">
        <v>16.59</v>
      </c>
      <c r="J131" s="7">
        <v>17</v>
      </c>
      <c r="K131" s="7">
        <v>16.559999999999999</v>
      </c>
      <c r="L131" s="7">
        <v>9.8254686489980401</v>
      </c>
    </row>
    <row r="132" spans="1:12" ht="15" customHeight="1" x14ac:dyDescent="0.2">
      <c r="A132" s="3">
        <v>45861</v>
      </c>
      <c r="B132" s="4">
        <v>16.559999999999999</v>
      </c>
      <c r="C132" s="5">
        <v>106087300</v>
      </c>
      <c r="D132" s="4">
        <v>0.67999999999999705</v>
      </c>
      <c r="E132" s="4">
        <v>4.28211586901761</v>
      </c>
      <c r="F132" s="4">
        <v>4.2821158235660102</v>
      </c>
      <c r="G132" s="4">
        <v>17.337686999999999</v>
      </c>
      <c r="H132" s="4">
        <v>12.0729605688429</v>
      </c>
      <c r="I132" s="4">
        <v>15.95</v>
      </c>
      <c r="J132" s="4">
        <v>16.600000000000001</v>
      </c>
      <c r="K132" s="4">
        <v>15.95</v>
      </c>
      <c r="L132" s="4">
        <v>7.04589528118938</v>
      </c>
    </row>
    <row r="133" spans="1:12" ht="15" customHeight="1" x14ac:dyDescent="0.2">
      <c r="A133" s="6">
        <v>45860</v>
      </c>
      <c r="B133" s="7">
        <v>15.88</v>
      </c>
      <c r="C133" s="8">
        <v>45530820</v>
      </c>
      <c r="D133" s="7">
        <v>-0.13</v>
      </c>
      <c r="E133" s="7">
        <v>-0.81199250468457695</v>
      </c>
      <c r="F133" s="7">
        <v>-0.81199232209222505</v>
      </c>
      <c r="G133" s="7">
        <v>16.625753</v>
      </c>
      <c r="H133" s="7">
        <v>7.470930833872</v>
      </c>
      <c r="I133" s="7">
        <v>16.09</v>
      </c>
      <c r="J133" s="7">
        <v>16.18</v>
      </c>
      <c r="K133" s="7">
        <v>15.84</v>
      </c>
      <c r="L133" s="7">
        <v>2.650290885585</v>
      </c>
    </row>
    <row r="134" spans="1:12" ht="15" customHeight="1" x14ac:dyDescent="0.2">
      <c r="A134" s="3">
        <v>45859</v>
      </c>
      <c r="B134" s="4">
        <v>16.010000000000002</v>
      </c>
      <c r="C134" s="5">
        <v>41112070</v>
      </c>
      <c r="D134" s="4">
        <v>-1.9999999999999501E-2</v>
      </c>
      <c r="E134" s="4">
        <v>-0.124766063630687</v>
      </c>
      <c r="F134" s="4">
        <v>-0.124776564385953</v>
      </c>
      <c r="G134" s="4">
        <v>16.761858</v>
      </c>
      <c r="H134" s="4">
        <v>8.3507304460245599</v>
      </c>
      <c r="I134" s="4">
        <v>16.03</v>
      </c>
      <c r="J134" s="4">
        <v>16.190000000000001</v>
      </c>
      <c r="K134" s="4">
        <v>15.93</v>
      </c>
      <c r="L134" s="4">
        <v>3.4906270200387901</v>
      </c>
    </row>
    <row r="135" spans="1:12" ht="15" customHeight="1" x14ac:dyDescent="0.2">
      <c r="A135" s="6">
        <v>45856</v>
      </c>
      <c r="B135" s="7">
        <v>16.03</v>
      </c>
      <c r="C135" s="8">
        <v>49880594</v>
      </c>
      <c r="D135" s="7">
        <v>-0.25999999999999801</v>
      </c>
      <c r="E135" s="7">
        <v>-1.59607120933086</v>
      </c>
      <c r="F135" s="7">
        <v>-1.5960649212243101</v>
      </c>
      <c r="G135" s="7">
        <v>16.782799000000001</v>
      </c>
      <c r="H135" s="7">
        <v>8.4860956690368408</v>
      </c>
      <c r="I135" s="7">
        <v>16.309999999999999</v>
      </c>
      <c r="J135" s="7">
        <v>16.329999999999998</v>
      </c>
      <c r="K135" s="7">
        <v>16</v>
      </c>
      <c r="L135" s="7">
        <v>3.6199095022624399</v>
      </c>
    </row>
    <row r="136" spans="1:12" ht="15" customHeight="1" x14ac:dyDescent="0.2">
      <c r="A136" s="3">
        <v>45855</v>
      </c>
      <c r="B136" s="4">
        <v>16.29</v>
      </c>
      <c r="C136" s="5">
        <v>51799710</v>
      </c>
      <c r="D136" s="4">
        <v>-0.12000000000000099</v>
      </c>
      <c r="E136" s="4">
        <v>-0.73126142595978305</v>
      </c>
      <c r="F136" s="4">
        <v>-0.73125901050384801</v>
      </c>
      <c r="G136" s="4">
        <v>17.055008000000001</v>
      </c>
      <c r="H136" s="4">
        <v>10.2456884292178</v>
      </c>
      <c r="I136" s="4">
        <v>16.37</v>
      </c>
      <c r="J136" s="4">
        <v>16.43</v>
      </c>
      <c r="K136" s="4">
        <v>16.260000000000002</v>
      </c>
      <c r="L136" s="4">
        <v>5.3005817711699903</v>
      </c>
    </row>
    <row r="137" spans="1:12" ht="15" customHeight="1" x14ac:dyDescent="0.2">
      <c r="A137" s="6">
        <v>45854</v>
      </c>
      <c r="B137" s="7">
        <v>16.41</v>
      </c>
      <c r="C137" s="8">
        <v>70829650</v>
      </c>
      <c r="D137" s="7">
        <v>0.100000000000001</v>
      </c>
      <c r="E137" s="7">
        <v>0.61312078479460697</v>
      </c>
      <c r="F137" s="7">
        <v>0.61311972917226198</v>
      </c>
      <c r="G137" s="7">
        <v>17.180643</v>
      </c>
      <c r="H137" s="7">
        <v>11.0578086619263</v>
      </c>
      <c r="I137" s="7">
        <v>16.22</v>
      </c>
      <c r="J137" s="7">
        <v>16.45</v>
      </c>
      <c r="K137" s="7">
        <v>16.22</v>
      </c>
      <c r="L137" s="7">
        <v>6.0762766645119504</v>
      </c>
    </row>
    <row r="138" spans="1:12" ht="15" customHeight="1" x14ac:dyDescent="0.2">
      <c r="A138" s="3">
        <v>45853</v>
      </c>
      <c r="B138" s="4">
        <v>16.309999999999999</v>
      </c>
      <c r="C138" s="5">
        <v>61450246</v>
      </c>
      <c r="D138" s="4">
        <v>1.9999999999999501E-2</v>
      </c>
      <c r="E138" s="4">
        <v>0.122774708410067</v>
      </c>
      <c r="F138" s="4">
        <v>0.122773322651026</v>
      </c>
      <c r="G138" s="4">
        <v>17.075946999999999</v>
      </c>
      <c r="H138" s="4">
        <v>10.381040723981799</v>
      </c>
      <c r="I138" s="4">
        <v>16.25</v>
      </c>
      <c r="J138" s="4">
        <v>16.47</v>
      </c>
      <c r="K138" s="4">
        <v>16.25</v>
      </c>
      <c r="L138" s="4">
        <v>5.4298642533936503</v>
      </c>
    </row>
    <row r="139" spans="1:12" ht="15" customHeight="1" x14ac:dyDescent="0.2">
      <c r="A139" s="6">
        <v>45852</v>
      </c>
      <c r="B139" s="7">
        <v>16.29</v>
      </c>
      <c r="C139" s="8">
        <v>54512527</v>
      </c>
      <c r="D139" s="7">
        <v>-8.0000000000001806E-2</v>
      </c>
      <c r="E139" s="7">
        <v>-0.48869883934026198</v>
      </c>
      <c r="F139" s="7">
        <v>-0.48869915656115598</v>
      </c>
      <c r="G139" s="7">
        <v>17.055008000000001</v>
      </c>
      <c r="H139" s="7">
        <v>10.2456884292178</v>
      </c>
      <c r="I139" s="7">
        <v>16.34</v>
      </c>
      <c r="J139" s="7">
        <v>16.45</v>
      </c>
      <c r="K139" s="7">
        <v>16.149999999999999</v>
      </c>
      <c r="L139" s="7">
        <v>5.3005817711699903</v>
      </c>
    </row>
    <row r="140" spans="1:12" ht="15" customHeight="1" x14ac:dyDescent="0.2">
      <c r="A140" s="3">
        <v>45849</v>
      </c>
      <c r="B140" s="4">
        <v>16.37</v>
      </c>
      <c r="C140" s="5">
        <v>36126090</v>
      </c>
      <c r="D140" s="4">
        <v>-5.0000000000000697E-2</v>
      </c>
      <c r="E140" s="4">
        <v>-0.30450669914738798</v>
      </c>
      <c r="F140" s="4">
        <v>1.2789306916183001</v>
      </c>
      <c r="G140" s="4">
        <v>17.138764999999999</v>
      </c>
      <c r="H140" s="4">
        <v>10.787104072398099</v>
      </c>
      <c r="I140" s="4">
        <v>16.5</v>
      </c>
      <c r="J140" s="4">
        <v>16.5</v>
      </c>
      <c r="K140" s="4">
        <v>16.14</v>
      </c>
      <c r="L140" s="4">
        <v>5.8177117000646401</v>
      </c>
    </row>
    <row r="141" spans="1:12" ht="15" customHeight="1" x14ac:dyDescent="0.2">
      <c r="A141" s="6">
        <v>45848</v>
      </c>
      <c r="B141" s="7">
        <v>16.420000000000002</v>
      </c>
      <c r="C141" s="8">
        <v>42768550</v>
      </c>
      <c r="D141" s="7">
        <v>-2.9999999999997501E-2</v>
      </c>
      <c r="E141" s="7">
        <v>-0.18237082066867499</v>
      </c>
      <c r="F141" s="7">
        <v>-0.18237791329679301</v>
      </c>
      <c r="G141" s="7">
        <v>16.922339999999998</v>
      </c>
      <c r="H141" s="7">
        <v>9.3881060116354096</v>
      </c>
      <c r="I141" s="7">
        <v>16.36</v>
      </c>
      <c r="J141" s="7">
        <v>16.53</v>
      </c>
      <c r="K141" s="7">
        <v>16.25</v>
      </c>
      <c r="L141" s="7">
        <v>6.1409179056237901</v>
      </c>
    </row>
    <row r="142" spans="1:12" ht="15" customHeight="1" x14ac:dyDescent="0.2">
      <c r="A142" s="3">
        <v>45847</v>
      </c>
      <c r="B142" s="4">
        <v>16.45</v>
      </c>
      <c r="C142" s="5">
        <v>59384340</v>
      </c>
      <c r="D142" s="4">
        <v>-0.12999999999999901</v>
      </c>
      <c r="E142" s="4">
        <v>-0.78407720144751902</v>
      </c>
      <c r="F142" s="4">
        <v>-0.78406487556733595</v>
      </c>
      <c r="G142" s="4">
        <v>16.953258999999999</v>
      </c>
      <c r="H142" s="4">
        <v>9.5879702650290692</v>
      </c>
      <c r="I142" s="4">
        <v>16.489999999999998</v>
      </c>
      <c r="J142" s="4">
        <v>16.649999999999999</v>
      </c>
      <c r="K142" s="4">
        <v>16.39</v>
      </c>
      <c r="L142" s="4">
        <v>6.3348416289592597</v>
      </c>
    </row>
    <row r="143" spans="1:12" ht="15" customHeight="1" x14ac:dyDescent="0.2">
      <c r="A143" s="6">
        <v>45846</v>
      </c>
      <c r="B143" s="7">
        <v>16.579999999999998</v>
      </c>
      <c r="C143" s="8">
        <v>37986610</v>
      </c>
      <c r="D143" s="7">
        <v>-0.23</v>
      </c>
      <c r="E143" s="7">
        <v>-1.36823319452706</v>
      </c>
      <c r="F143" s="7">
        <v>-1.3682308114569901</v>
      </c>
      <c r="G143" s="7">
        <v>17.087233999999999</v>
      </c>
      <c r="H143" s="7">
        <v>10.454001292824801</v>
      </c>
      <c r="I143" s="7">
        <v>16.71</v>
      </c>
      <c r="J143" s="7">
        <v>16.84</v>
      </c>
      <c r="K143" s="7">
        <v>16.52</v>
      </c>
      <c r="L143" s="7">
        <v>7.17517776341304</v>
      </c>
    </row>
    <row r="144" spans="1:12" ht="15" customHeight="1" x14ac:dyDescent="0.2">
      <c r="A144" s="3">
        <v>45845</v>
      </c>
      <c r="B144" s="4">
        <v>16.809999999999999</v>
      </c>
      <c r="C144" s="5">
        <v>41251450</v>
      </c>
      <c r="D144" s="4">
        <v>-0.17999999999999899</v>
      </c>
      <c r="E144" s="4">
        <v>-1.0594467333725699</v>
      </c>
      <c r="F144" s="4">
        <v>-1.05944810148068</v>
      </c>
      <c r="G144" s="4">
        <v>17.324269999999999</v>
      </c>
      <c r="H144" s="4">
        <v>11.9862314156431</v>
      </c>
      <c r="I144" s="4">
        <v>16.97</v>
      </c>
      <c r="J144" s="4">
        <v>17.04</v>
      </c>
      <c r="K144" s="4">
        <v>16.77</v>
      </c>
      <c r="L144" s="4">
        <v>8.6619263089851195</v>
      </c>
    </row>
    <row r="145" spans="1:12" ht="15" customHeight="1" x14ac:dyDescent="0.2">
      <c r="A145" s="6">
        <v>45842</v>
      </c>
      <c r="B145" s="7">
        <v>16.989999999999998</v>
      </c>
      <c r="C145" s="8">
        <v>4499247</v>
      </c>
      <c r="D145" s="7">
        <v>0.13999999999999699</v>
      </c>
      <c r="E145" s="7">
        <v>0.83086053412462202</v>
      </c>
      <c r="F145" s="7">
        <v>0.83084871287293305</v>
      </c>
      <c r="G145" s="7">
        <v>17.509777</v>
      </c>
      <c r="H145" s="7">
        <v>13.1853716871363</v>
      </c>
      <c r="I145" s="7">
        <v>16.920000000000002</v>
      </c>
      <c r="J145" s="7">
        <v>17</v>
      </c>
      <c r="K145" s="7">
        <v>16.84</v>
      </c>
      <c r="L145" s="7">
        <v>9.8254686489980401</v>
      </c>
    </row>
    <row r="146" spans="1:12" ht="15" customHeight="1" x14ac:dyDescent="0.2">
      <c r="A146" s="3">
        <v>45841</v>
      </c>
      <c r="B146" s="4">
        <v>16.850000000000001</v>
      </c>
      <c r="C146" s="5">
        <v>46119770</v>
      </c>
      <c r="D146" s="4">
        <v>-0.13999999999999699</v>
      </c>
      <c r="E146" s="4">
        <v>-0.82401412595642898</v>
      </c>
      <c r="F146" s="4">
        <v>-0.82400249871827902</v>
      </c>
      <c r="G146" s="4">
        <v>17.365496</v>
      </c>
      <c r="H146" s="4">
        <v>12.2527213962508</v>
      </c>
      <c r="I146" s="4">
        <v>16.989999999999998</v>
      </c>
      <c r="J146" s="4">
        <v>17.03</v>
      </c>
      <c r="K146" s="4">
        <v>16.71</v>
      </c>
      <c r="L146" s="4">
        <v>8.9204912734324502</v>
      </c>
    </row>
    <row r="147" spans="1:12" ht="15" customHeight="1" x14ac:dyDescent="0.2">
      <c r="A147" s="6">
        <v>45840</v>
      </c>
      <c r="B147" s="7">
        <v>16.989999999999998</v>
      </c>
      <c r="C147" s="8">
        <v>75569450</v>
      </c>
      <c r="D147" s="7">
        <v>0.16</v>
      </c>
      <c r="E147" s="7">
        <v>0.95068330362448805</v>
      </c>
      <c r="F147" s="7">
        <v>0.95067807606428101</v>
      </c>
      <c r="G147" s="7">
        <v>17.509777</v>
      </c>
      <c r="H147" s="7">
        <v>13.1853716871363</v>
      </c>
      <c r="I147" s="7">
        <v>16.84</v>
      </c>
      <c r="J147" s="7">
        <v>17.03</v>
      </c>
      <c r="K147" s="7">
        <v>16.760000000000002</v>
      </c>
      <c r="L147" s="7">
        <v>9.8254686489980401</v>
      </c>
    </row>
    <row r="148" spans="1:12" ht="15" customHeight="1" x14ac:dyDescent="0.2">
      <c r="A148" s="3">
        <v>45839</v>
      </c>
      <c r="B148" s="4">
        <v>16.829999999999998</v>
      </c>
      <c r="C148" s="5">
        <v>48314992</v>
      </c>
      <c r="D148" s="4">
        <v>4.9999999999997102E-2</v>
      </c>
      <c r="E148" s="4">
        <v>0.297973778307492</v>
      </c>
      <c r="F148" s="4">
        <v>0.29796996002047199</v>
      </c>
      <c r="G148" s="4">
        <v>17.344882999999999</v>
      </c>
      <c r="H148" s="4">
        <v>12.1194764059469</v>
      </c>
      <c r="I148" s="4">
        <v>16.690000000000001</v>
      </c>
      <c r="J148" s="4">
        <v>16.89</v>
      </c>
      <c r="K148" s="4">
        <v>16.690000000000001</v>
      </c>
      <c r="L148" s="4">
        <v>8.7912087912087706</v>
      </c>
    </row>
    <row r="149" spans="1:12" ht="15" customHeight="1" x14ac:dyDescent="0.2">
      <c r="A149" s="6">
        <v>45838</v>
      </c>
      <c r="B149" s="7">
        <v>16.78</v>
      </c>
      <c r="C149" s="8">
        <v>48002810</v>
      </c>
      <c r="D149" s="7">
        <v>0.33999999999999903</v>
      </c>
      <c r="E149" s="7">
        <v>2.0681265206812598</v>
      </c>
      <c r="F149" s="7">
        <v>2.06813441176805</v>
      </c>
      <c r="G149" s="7">
        <v>17.293354000000001</v>
      </c>
      <c r="H149" s="7">
        <v>11.786386554621799</v>
      </c>
      <c r="I149" s="7">
        <v>16.53</v>
      </c>
      <c r="J149" s="7">
        <v>16.899999999999999</v>
      </c>
      <c r="K149" s="7">
        <v>16.53</v>
      </c>
      <c r="L149" s="7">
        <v>8.4680025856496393</v>
      </c>
    </row>
    <row r="150" spans="1:12" ht="15" customHeight="1" x14ac:dyDescent="0.2">
      <c r="A150" s="3">
        <v>45835</v>
      </c>
      <c r="B150" s="4">
        <v>16.440000000000001</v>
      </c>
      <c r="C150" s="5">
        <v>48773793</v>
      </c>
      <c r="D150" s="4">
        <v>-0.12999999999999901</v>
      </c>
      <c r="E150" s="4">
        <v>-0.78455039227518497</v>
      </c>
      <c r="F150" s="4">
        <v>-0.78456139364627697</v>
      </c>
      <c r="G150" s="4">
        <v>16.942951000000001</v>
      </c>
      <c r="H150" s="4">
        <v>9.5213380736910107</v>
      </c>
      <c r="I150" s="4">
        <v>16.649999999999999</v>
      </c>
      <c r="J150" s="4">
        <v>16.73</v>
      </c>
      <c r="K150" s="4">
        <v>16.39</v>
      </c>
      <c r="L150" s="4">
        <v>6.2702003878474502</v>
      </c>
    </row>
    <row r="151" spans="1:12" ht="15" customHeight="1" x14ac:dyDescent="0.2">
      <c r="A151" s="6">
        <v>45834</v>
      </c>
      <c r="B151" s="7">
        <v>16.57</v>
      </c>
      <c r="C151" s="8">
        <v>35065960</v>
      </c>
      <c r="D151" s="7">
        <v>0.16</v>
      </c>
      <c r="E151" s="7">
        <v>0.97501523461305195</v>
      </c>
      <c r="F151" s="7">
        <v>0.97502766225681103</v>
      </c>
      <c r="G151" s="7">
        <v>17.076930000000001</v>
      </c>
      <c r="H151" s="7">
        <v>10.3873949579831</v>
      </c>
      <c r="I151" s="7">
        <v>16.47</v>
      </c>
      <c r="J151" s="7">
        <v>16.64</v>
      </c>
      <c r="K151" s="7">
        <v>16.38</v>
      </c>
      <c r="L151" s="7">
        <v>7.1105365223012198</v>
      </c>
    </row>
    <row r="152" spans="1:12" ht="15" customHeight="1" x14ac:dyDescent="0.2">
      <c r="A152" s="3">
        <v>45833</v>
      </c>
      <c r="B152" s="4">
        <v>16.41</v>
      </c>
      <c r="C152" s="5">
        <v>71942086</v>
      </c>
      <c r="D152" s="4">
        <v>3.9999999999999099E-2</v>
      </c>
      <c r="E152" s="4">
        <v>0.24434941967013099</v>
      </c>
      <c r="F152" s="4">
        <v>0.24433917255075599</v>
      </c>
      <c r="G152" s="4">
        <v>16.912033000000001</v>
      </c>
      <c r="H152" s="4">
        <v>9.3214802844214599</v>
      </c>
      <c r="I152" s="4">
        <v>16.45</v>
      </c>
      <c r="J152" s="4">
        <v>16.53</v>
      </c>
      <c r="K152" s="4">
        <v>16.29</v>
      </c>
      <c r="L152" s="4">
        <v>6.0762766645119504</v>
      </c>
    </row>
    <row r="153" spans="1:12" ht="15" customHeight="1" x14ac:dyDescent="0.2">
      <c r="A153" s="6">
        <v>45832</v>
      </c>
      <c r="B153" s="7">
        <v>16.37</v>
      </c>
      <c r="C153" s="8">
        <v>32365780</v>
      </c>
      <c r="D153" s="7">
        <v>0.130000000000002</v>
      </c>
      <c r="E153" s="7">
        <v>0.80049261083745504</v>
      </c>
      <c r="F153" s="7">
        <v>0.80049189709354696</v>
      </c>
      <c r="G153" s="7">
        <v>16.870811</v>
      </c>
      <c r="H153" s="7">
        <v>9.0550161603102701</v>
      </c>
      <c r="I153" s="7">
        <v>16.29</v>
      </c>
      <c r="J153" s="7">
        <v>16.420000000000002</v>
      </c>
      <c r="K153" s="7">
        <v>16.149999999999999</v>
      </c>
      <c r="L153" s="7">
        <v>5.8177117000646401</v>
      </c>
    </row>
    <row r="154" spans="1:12" ht="15" customHeight="1" x14ac:dyDescent="0.2">
      <c r="A154" s="3">
        <v>45831</v>
      </c>
      <c r="B154" s="4">
        <v>16.239999999999998</v>
      </c>
      <c r="C154" s="5">
        <v>48542220</v>
      </c>
      <c r="D154" s="4">
        <v>4.9999999999997102E-2</v>
      </c>
      <c r="E154" s="4">
        <v>0.30883261272387402</v>
      </c>
      <c r="F154" s="4">
        <v>0.30882863693533202</v>
      </c>
      <c r="G154" s="4">
        <v>16.736834000000002</v>
      </c>
      <c r="H154" s="4">
        <v>8.1889722042663298</v>
      </c>
      <c r="I154" s="4">
        <v>16.25</v>
      </c>
      <c r="J154" s="4">
        <v>16.36</v>
      </c>
      <c r="K154" s="4">
        <v>16.09</v>
      </c>
      <c r="L154" s="4">
        <v>4.9773755656108403</v>
      </c>
    </row>
    <row r="155" spans="1:12" ht="15" customHeight="1" x14ac:dyDescent="0.2">
      <c r="A155" s="6">
        <v>45828</v>
      </c>
      <c r="B155" s="7">
        <v>16.190000000000001</v>
      </c>
      <c r="C155" s="8">
        <v>424456800</v>
      </c>
      <c r="D155" s="7">
        <v>5.0000000000000697E-2</v>
      </c>
      <c r="E155" s="7">
        <v>0.30978934324659102</v>
      </c>
      <c r="F155" s="7">
        <v>0.30979740376417803</v>
      </c>
      <c r="G155" s="7">
        <v>16.685305</v>
      </c>
      <c r="H155" s="7">
        <v>7.8558823529411699</v>
      </c>
      <c r="I155" s="7">
        <v>16.22</v>
      </c>
      <c r="J155" s="7">
        <v>16.399999999999999</v>
      </c>
      <c r="K155" s="7">
        <v>16.100000000000001</v>
      </c>
      <c r="L155" s="7">
        <v>4.6541693600517098</v>
      </c>
    </row>
    <row r="156" spans="1:12" ht="15" customHeight="1" x14ac:dyDescent="0.2">
      <c r="A156" s="3">
        <v>45827</v>
      </c>
      <c r="B156" s="4">
        <v>16.14</v>
      </c>
      <c r="C156" s="5">
        <v>6151847</v>
      </c>
      <c r="D156" s="4">
        <v>-0.23999999999999799</v>
      </c>
      <c r="E156" s="4">
        <v>-1.46520146520146</v>
      </c>
      <c r="F156" s="4">
        <v>-1.4651935017325699</v>
      </c>
      <c r="G156" s="4">
        <v>16.633773999999999</v>
      </c>
      <c r="H156" s="4">
        <v>7.5227795733677896</v>
      </c>
      <c r="I156" s="4">
        <v>16.46</v>
      </c>
      <c r="J156" s="4">
        <v>16.46</v>
      </c>
      <c r="K156" s="4">
        <v>16.11</v>
      </c>
      <c r="L156" s="4">
        <v>4.3309631544925598</v>
      </c>
    </row>
    <row r="157" spans="1:12" ht="15" customHeight="1" x14ac:dyDescent="0.2">
      <c r="A157" s="6">
        <v>45826</v>
      </c>
      <c r="B157" s="7">
        <v>16.38</v>
      </c>
      <c r="C157" s="8">
        <v>62137793</v>
      </c>
      <c r="D157" s="7">
        <v>2.9999999999997501E-2</v>
      </c>
      <c r="E157" s="7">
        <v>0.183486238532104</v>
      </c>
      <c r="F157" s="7">
        <v>0.183475577944225</v>
      </c>
      <c r="G157" s="7">
        <v>16.881115000000001</v>
      </c>
      <c r="H157" s="7">
        <v>9.1216224951519091</v>
      </c>
      <c r="I157" s="7">
        <v>16.3</v>
      </c>
      <c r="J157" s="7">
        <v>16.61</v>
      </c>
      <c r="K157" s="7">
        <v>16.3</v>
      </c>
      <c r="L157" s="7">
        <v>5.8823529411764497</v>
      </c>
    </row>
    <row r="158" spans="1:12" ht="15" customHeight="1" x14ac:dyDescent="0.2">
      <c r="A158" s="3">
        <v>45825</v>
      </c>
      <c r="B158" s="4">
        <v>16.350000000000001</v>
      </c>
      <c r="C158" s="5">
        <v>58919030</v>
      </c>
      <c r="D158" s="4">
        <v>-0.119999999999997</v>
      </c>
      <c r="E158" s="4">
        <v>-0.72859744990890696</v>
      </c>
      <c r="F158" s="4">
        <v>-0.72859636606149503</v>
      </c>
      <c r="G158" s="4">
        <v>16.850199</v>
      </c>
      <c r="H158" s="4">
        <v>8.9217776341305601</v>
      </c>
      <c r="I158" s="4">
        <v>16.329999999999998</v>
      </c>
      <c r="J158" s="4">
        <v>16.38</v>
      </c>
      <c r="K158" s="4">
        <v>16.03</v>
      </c>
      <c r="L158" s="4">
        <v>5.6884292178409801</v>
      </c>
    </row>
    <row r="159" spans="1:12" ht="15" customHeight="1" x14ac:dyDescent="0.2">
      <c r="A159" s="6">
        <v>45824</v>
      </c>
      <c r="B159" s="7">
        <v>16.47</v>
      </c>
      <c r="C159" s="8">
        <v>70721220</v>
      </c>
      <c r="D159" s="7">
        <v>5.99999999999987E-2</v>
      </c>
      <c r="E159" s="7">
        <v>0.36563071297987998</v>
      </c>
      <c r="F159" s="7">
        <v>0.36563906893984899</v>
      </c>
      <c r="G159" s="7">
        <v>16.973870000000002</v>
      </c>
      <c r="H159" s="7">
        <v>9.7212023270846792</v>
      </c>
      <c r="I159" s="7">
        <v>16.399999999999999</v>
      </c>
      <c r="J159" s="7">
        <v>16.64</v>
      </c>
      <c r="K159" s="7">
        <v>16.350000000000001</v>
      </c>
      <c r="L159" s="7">
        <v>6.4641241111829197</v>
      </c>
    </row>
    <row r="160" spans="1:12" ht="15" customHeight="1" x14ac:dyDescent="0.2">
      <c r="A160" s="3">
        <v>45821</v>
      </c>
      <c r="B160" s="4">
        <v>16.41</v>
      </c>
      <c r="C160" s="5">
        <v>63890970</v>
      </c>
      <c r="D160" s="4">
        <v>5.0000000000000697E-2</v>
      </c>
      <c r="E160" s="4">
        <v>0.30562347188265399</v>
      </c>
      <c r="F160" s="4">
        <v>0.305619571040116</v>
      </c>
      <c r="G160" s="4">
        <v>16.912033000000001</v>
      </c>
      <c r="H160" s="4">
        <v>9.3214802844214599</v>
      </c>
      <c r="I160" s="4">
        <v>16.25</v>
      </c>
      <c r="J160" s="4">
        <v>16.48</v>
      </c>
      <c r="K160" s="4">
        <v>16.23</v>
      </c>
      <c r="L160" s="4">
        <v>6.0762766645119504</v>
      </c>
    </row>
    <row r="161" spans="1:12" ht="15" customHeight="1" x14ac:dyDescent="0.2">
      <c r="A161" s="6">
        <v>45820</v>
      </c>
      <c r="B161" s="7">
        <v>16.36</v>
      </c>
      <c r="C161" s="8">
        <v>57814290</v>
      </c>
      <c r="D161" s="7">
        <v>0.219999999999998</v>
      </c>
      <c r="E161" s="7">
        <v>1.363073110285</v>
      </c>
      <c r="F161" s="7">
        <v>1.3630701006277901</v>
      </c>
      <c r="G161" s="7">
        <v>16.860503999999999</v>
      </c>
      <c r="H161" s="7">
        <v>8.9883904330962991</v>
      </c>
      <c r="I161" s="7">
        <v>16.05</v>
      </c>
      <c r="J161" s="7">
        <v>16.41</v>
      </c>
      <c r="K161" s="7">
        <v>16.05</v>
      </c>
      <c r="L161" s="7">
        <v>5.7530704589528003</v>
      </c>
    </row>
    <row r="162" spans="1:12" ht="15" customHeight="1" x14ac:dyDescent="0.2">
      <c r="A162" s="3">
        <v>45819</v>
      </c>
      <c r="B162" s="4">
        <v>16.14</v>
      </c>
      <c r="C162" s="5">
        <v>61877280</v>
      </c>
      <c r="D162" s="4">
        <v>-5.99999999999987E-2</v>
      </c>
      <c r="E162" s="4">
        <v>-0.37037037037036502</v>
      </c>
      <c r="F162" s="4">
        <v>-0.37037281057714599</v>
      </c>
      <c r="G162" s="4">
        <v>16.633773999999999</v>
      </c>
      <c r="H162" s="4">
        <v>7.5227795733677896</v>
      </c>
      <c r="I162" s="4">
        <v>16.13</v>
      </c>
      <c r="J162" s="4">
        <v>16.440000000000001</v>
      </c>
      <c r="K162" s="4">
        <v>16.100000000000001</v>
      </c>
      <c r="L162" s="4">
        <v>4.3309631544925598</v>
      </c>
    </row>
    <row r="163" spans="1:12" ht="15" customHeight="1" x14ac:dyDescent="0.2">
      <c r="A163" s="6">
        <v>45818</v>
      </c>
      <c r="B163" s="7">
        <v>16.2</v>
      </c>
      <c r="C163" s="8">
        <v>52885640</v>
      </c>
      <c r="D163" s="7">
        <v>0.22999999999999801</v>
      </c>
      <c r="E163" s="7">
        <v>1.4402003757044399</v>
      </c>
      <c r="F163" s="7">
        <v>1.44021000120786</v>
      </c>
      <c r="G163" s="7">
        <v>16.695609999999999</v>
      </c>
      <c r="H163" s="7">
        <v>7.9224951519069</v>
      </c>
      <c r="I163" s="7">
        <v>16</v>
      </c>
      <c r="J163" s="7">
        <v>16.260000000000002</v>
      </c>
      <c r="K163" s="7">
        <v>15.99</v>
      </c>
      <c r="L163" s="7">
        <v>4.71881060116353</v>
      </c>
    </row>
    <row r="164" spans="1:12" ht="15" customHeight="1" x14ac:dyDescent="0.2">
      <c r="A164" s="3">
        <v>45817</v>
      </c>
      <c r="B164" s="4">
        <v>15.97</v>
      </c>
      <c r="C164" s="5">
        <v>46593940</v>
      </c>
      <c r="D164" s="4">
        <v>-0.22999999999999801</v>
      </c>
      <c r="E164" s="4">
        <v>-1.4197530864197301</v>
      </c>
      <c r="F164" s="4">
        <v>-1.4197624405457301</v>
      </c>
      <c r="G164" s="4">
        <v>16.458572</v>
      </c>
      <c r="H164" s="4">
        <v>6.3902521008403301</v>
      </c>
      <c r="I164" s="4">
        <v>16.16</v>
      </c>
      <c r="J164" s="4">
        <v>16.170000000000002</v>
      </c>
      <c r="K164" s="4">
        <v>15.93</v>
      </c>
      <c r="L164" s="4">
        <v>3.2320620555914599</v>
      </c>
    </row>
    <row r="165" spans="1:12" ht="15" customHeight="1" x14ac:dyDescent="0.2">
      <c r="A165" s="6">
        <v>45814</v>
      </c>
      <c r="B165" s="7">
        <v>16.2</v>
      </c>
      <c r="C165" s="8">
        <v>64372810</v>
      </c>
      <c r="D165" s="7">
        <v>0.23999999999999799</v>
      </c>
      <c r="E165" s="7">
        <v>1.5037593984962201</v>
      </c>
      <c r="F165" s="7">
        <v>1.50376328399823</v>
      </c>
      <c r="G165" s="7">
        <v>16.695609999999999</v>
      </c>
      <c r="H165" s="7">
        <v>7.9224951519069</v>
      </c>
      <c r="I165" s="7">
        <v>15.91</v>
      </c>
      <c r="J165" s="7">
        <v>16.28</v>
      </c>
      <c r="K165" s="7">
        <v>15.91</v>
      </c>
      <c r="L165" s="7">
        <v>4.71881060116353</v>
      </c>
    </row>
    <row r="166" spans="1:12" ht="15" customHeight="1" x14ac:dyDescent="0.2">
      <c r="A166" s="3">
        <v>45813</v>
      </c>
      <c r="B166" s="4">
        <v>15.96</v>
      </c>
      <c r="C166" s="5">
        <v>60578450</v>
      </c>
      <c r="D166" s="4">
        <v>-0.119999999999997</v>
      </c>
      <c r="E166" s="4">
        <v>-0.74626865671639697</v>
      </c>
      <c r="F166" s="4">
        <v>-0.74626757594674598</v>
      </c>
      <c r="G166" s="4">
        <v>16.448267000000001</v>
      </c>
      <c r="H166" s="4">
        <v>6.3236393018746</v>
      </c>
      <c r="I166" s="4">
        <v>16.11</v>
      </c>
      <c r="J166" s="4">
        <v>16.260000000000002</v>
      </c>
      <c r="K166" s="4">
        <v>15.91</v>
      </c>
      <c r="L166" s="4">
        <v>3.1674208144796299</v>
      </c>
    </row>
    <row r="167" spans="1:12" ht="15" customHeight="1" x14ac:dyDescent="0.2">
      <c r="A167" s="6">
        <v>45812</v>
      </c>
      <c r="B167" s="7">
        <v>16.079999999999998</v>
      </c>
      <c r="C167" s="8">
        <v>87480240</v>
      </c>
      <c r="D167" s="7">
        <v>-0.26000000000000101</v>
      </c>
      <c r="E167" s="7">
        <v>-1.5911872705018399</v>
      </c>
      <c r="F167" s="7">
        <v>-1.5911801329355499</v>
      </c>
      <c r="G167" s="7">
        <v>16.571937999999999</v>
      </c>
      <c r="H167" s="7">
        <v>7.1230639948286898</v>
      </c>
      <c r="I167" s="7">
        <v>16.29</v>
      </c>
      <c r="J167" s="7">
        <v>16.510000000000002</v>
      </c>
      <c r="K167" s="7">
        <v>16.059999999999999</v>
      </c>
      <c r="L167" s="7">
        <v>3.9431157078215699</v>
      </c>
    </row>
    <row r="168" spans="1:12" ht="15" customHeight="1" x14ac:dyDescent="0.2">
      <c r="A168" s="3">
        <v>45811</v>
      </c>
      <c r="B168" s="4">
        <v>16.34</v>
      </c>
      <c r="C168" s="5">
        <v>73526000</v>
      </c>
      <c r="D168" s="4">
        <v>1.0000000000001501E-2</v>
      </c>
      <c r="E168" s="4">
        <v>6.12369871402451E-2</v>
      </c>
      <c r="F168" s="4">
        <v>6.12314527523194E-2</v>
      </c>
      <c r="G168" s="4">
        <v>16.839891000000001</v>
      </c>
      <c r="H168" s="4">
        <v>8.8551454427924998</v>
      </c>
      <c r="I168" s="4">
        <v>16.29</v>
      </c>
      <c r="J168" s="4">
        <v>16.440000000000001</v>
      </c>
      <c r="K168" s="4">
        <v>16.29</v>
      </c>
      <c r="L168" s="4">
        <v>5.6237879767291403</v>
      </c>
    </row>
    <row r="169" spans="1:12" ht="15" customHeight="1" x14ac:dyDescent="0.2">
      <c r="A169" s="6">
        <v>45810</v>
      </c>
      <c r="B169" s="7">
        <v>16.329999999999998</v>
      </c>
      <c r="C169" s="8">
        <v>63727610</v>
      </c>
      <c r="D169" s="7">
        <v>-6.0000000000002197E-2</v>
      </c>
      <c r="E169" s="7">
        <v>-0.36607687614400503</v>
      </c>
      <c r="F169" s="7">
        <v>-0.36606750646186398</v>
      </c>
      <c r="G169" s="7">
        <v>16.829585999999999</v>
      </c>
      <c r="H169" s="7">
        <v>8.7885326438267501</v>
      </c>
      <c r="I169" s="7">
        <v>16.39</v>
      </c>
      <c r="J169" s="7">
        <v>16.600000000000001</v>
      </c>
      <c r="K169" s="7">
        <v>16.29</v>
      </c>
      <c r="L169" s="7">
        <v>5.5591467356172997</v>
      </c>
    </row>
    <row r="170" spans="1:12" ht="15" customHeight="1" x14ac:dyDescent="0.2">
      <c r="A170" s="3">
        <v>45807</v>
      </c>
      <c r="B170" s="4">
        <v>16.39</v>
      </c>
      <c r="C170" s="5">
        <v>185971200</v>
      </c>
      <c r="D170" s="4">
        <v>-0.32</v>
      </c>
      <c r="E170" s="4">
        <v>-1.9150209455415901</v>
      </c>
      <c r="F170" s="4">
        <v>-1.9150222313066101</v>
      </c>
      <c r="G170" s="4">
        <v>16.89142</v>
      </c>
      <c r="H170" s="4">
        <v>9.1882352941176393</v>
      </c>
      <c r="I170" s="4">
        <v>16.690000000000001</v>
      </c>
      <c r="J170" s="4">
        <v>16.7</v>
      </c>
      <c r="K170" s="4">
        <v>16.32</v>
      </c>
      <c r="L170" s="4">
        <v>5.9469941822883001</v>
      </c>
    </row>
    <row r="171" spans="1:12" ht="15" customHeight="1" x14ac:dyDescent="0.2">
      <c r="A171" s="6">
        <v>45806</v>
      </c>
      <c r="B171" s="7">
        <v>16.71</v>
      </c>
      <c r="C171" s="8">
        <v>44760610</v>
      </c>
      <c r="D171" s="7">
        <v>-0.16999999999999801</v>
      </c>
      <c r="E171" s="7">
        <v>-1.0071090047393201</v>
      </c>
      <c r="F171" s="7">
        <v>-1.0071157201841401</v>
      </c>
      <c r="G171" s="7">
        <v>17.221209999999999</v>
      </c>
      <c r="H171" s="7">
        <v>11.3200387847446</v>
      </c>
      <c r="I171" s="7">
        <v>16.95</v>
      </c>
      <c r="J171" s="7">
        <v>16.95</v>
      </c>
      <c r="K171" s="7">
        <v>16.68</v>
      </c>
      <c r="L171" s="7">
        <v>8.0155138978668408</v>
      </c>
    </row>
    <row r="172" spans="1:12" ht="15" customHeight="1" x14ac:dyDescent="0.2">
      <c r="A172" s="3">
        <v>45805</v>
      </c>
      <c r="B172" s="4">
        <v>16.88</v>
      </c>
      <c r="C172" s="5">
        <v>59751566</v>
      </c>
      <c r="D172" s="4">
        <v>2.9999999999997501E-2</v>
      </c>
      <c r="E172" s="4">
        <v>0.178041543026696</v>
      </c>
      <c r="F172" s="4">
        <v>0.17803119473236401</v>
      </c>
      <c r="G172" s="4">
        <v>17.396412000000002</v>
      </c>
      <c r="H172" s="4">
        <v>12.4525662572721</v>
      </c>
      <c r="I172" s="4">
        <v>16.850000000000001</v>
      </c>
      <c r="J172" s="4">
        <v>17.05</v>
      </c>
      <c r="K172" s="4">
        <v>16.829999999999998</v>
      </c>
      <c r="L172" s="4">
        <v>9.1144149967679198</v>
      </c>
    </row>
    <row r="173" spans="1:12" ht="15" customHeight="1" x14ac:dyDescent="0.2">
      <c r="A173" s="6">
        <v>45804</v>
      </c>
      <c r="B173" s="7">
        <v>16.850000000000001</v>
      </c>
      <c r="C173" s="8">
        <v>79914625</v>
      </c>
      <c r="D173" s="7">
        <v>6.0000000000002197E-2</v>
      </c>
      <c r="E173" s="7">
        <v>0.35735556879095098</v>
      </c>
      <c r="F173" s="7">
        <v>0.35735792312145898</v>
      </c>
      <c r="G173" s="7">
        <v>17.365496</v>
      </c>
      <c r="H173" s="7">
        <v>12.2527213962508</v>
      </c>
      <c r="I173" s="7">
        <v>16.79</v>
      </c>
      <c r="J173" s="7">
        <v>17.25</v>
      </c>
      <c r="K173" s="7">
        <v>16.75</v>
      </c>
      <c r="L173" s="7">
        <v>8.9204912734324502</v>
      </c>
    </row>
    <row r="174" spans="1:12" ht="15" customHeight="1" x14ac:dyDescent="0.2">
      <c r="A174" s="3">
        <v>45803</v>
      </c>
      <c r="B174" s="4">
        <v>16.79</v>
      </c>
      <c r="C174" s="5">
        <v>9161350</v>
      </c>
      <c r="D174" s="4">
        <v>-3.9999999999999099E-2</v>
      </c>
      <c r="E174" s="4">
        <v>-0.23767082590611099</v>
      </c>
      <c r="F174" s="4">
        <v>-0.23766663632149801</v>
      </c>
      <c r="G174" s="4">
        <v>17.303660000000001</v>
      </c>
      <c r="H174" s="4">
        <v>11.853005817711701</v>
      </c>
      <c r="I174" s="4">
        <v>16.809999999999999</v>
      </c>
      <c r="J174" s="4">
        <v>16.89</v>
      </c>
      <c r="K174" s="4">
        <v>16.73</v>
      </c>
      <c r="L174" s="4">
        <v>8.5326438267614595</v>
      </c>
    </row>
    <row r="175" spans="1:12" ht="15" customHeight="1" x14ac:dyDescent="0.2">
      <c r="A175" s="6">
        <v>45800</v>
      </c>
      <c r="B175" s="7">
        <v>16.829999999999998</v>
      </c>
      <c r="C175" s="8">
        <v>65569440</v>
      </c>
      <c r="D175" s="7">
        <v>9.9999999999980105E-3</v>
      </c>
      <c r="E175" s="7">
        <v>5.9453032104617103E-2</v>
      </c>
      <c r="F175" s="7">
        <v>5.9459198771283299E-2</v>
      </c>
      <c r="G175" s="7">
        <v>17.344882999999999</v>
      </c>
      <c r="H175" s="7">
        <v>12.1194764059469</v>
      </c>
      <c r="I175" s="7">
        <v>16.71</v>
      </c>
      <c r="J175" s="7">
        <v>16.97</v>
      </c>
      <c r="K175" s="7">
        <v>16.670000000000002</v>
      </c>
      <c r="L175" s="7">
        <v>8.7912087912087706</v>
      </c>
    </row>
    <row r="176" spans="1:12" ht="15" customHeight="1" x14ac:dyDescent="0.2">
      <c r="A176" s="3">
        <v>45799</v>
      </c>
      <c r="B176" s="4">
        <v>16.82</v>
      </c>
      <c r="C176" s="5">
        <v>78333840</v>
      </c>
      <c r="D176" s="4">
        <v>-0.16999999999999801</v>
      </c>
      <c r="E176" s="4">
        <v>-1.00058858151852</v>
      </c>
      <c r="F176" s="4">
        <v>-1.0005895563375899</v>
      </c>
      <c r="G176" s="4">
        <v>17.334575999999998</v>
      </c>
      <c r="H176" s="4">
        <v>12.052850678733</v>
      </c>
      <c r="I176" s="4">
        <v>16.87</v>
      </c>
      <c r="J176" s="4">
        <v>17.05</v>
      </c>
      <c r="K176" s="4">
        <v>16.75</v>
      </c>
      <c r="L176" s="4">
        <v>8.7265675500969593</v>
      </c>
    </row>
    <row r="177" spans="1:12" ht="15" customHeight="1" x14ac:dyDescent="0.2">
      <c r="A177" s="6">
        <v>45798</v>
      </c>
      <c r="B177" s="7">
        <v>16.989999999999998</v>
      </c>
      <c r="C177" s="8">
        <v>55431440</v>
      </c>
      <c r="D177" s="7">
        <v>8.9999999999999802E-2</v>
      </c>
      <c r="E177" s="7">
        <v>0.53254437869822902</v>
      </c>
      <c r="F177" s="7">
        <v>0.532536411930295</v>
      </c>
      <c r="G177" s="7">
        <v>17.509777</v>
      </c>
      <c r="H177" s="7">
        <v>13.1853716871363</v>
      </c>
      <c r="I177" s="7">
        <v>16.899999999999999</v>
      </c>
      <c r="J177" s="7">
        <v>17.02</v>
      </c>
      <c r="K177" s="7">
        <v>16.73</v>
      </c>
      <c r="L177" s="7">
        <v>9.8254686489980401</v>
      </c>
    </row>
    <row r="178" spans="1:12" ht="15" customHeight="1" x14ac:dyDescent="0.2">
      <c r="A178" s="3">
        <v>45797</v>
      </c>
      <c r="B178" s="4">
        <v>16.899999999999999</v>
      </c>
      <c r="C178" s="5">
        <v>72931540</v>
      </c>
      <c r="D178" s="4">
        <v>0.189999999999997</v>
      </c>
      <c r="E178" s="4">
        <v>1.13704368641529</v>
      </c>
      <c r="F178" s="4">
        <v>1.1370571521977799</v>
      </c>
      <c r="G178" s="4">
        <v>17.417024999999999</v>
      </c>
      <c r="H178" s="4">
        <v>12.585811247575901</v>
      </c>
      <c r="I178" s="4">
        <v>16.77</v>
      </c>
      <c r="J178" s="4">
        <v>17.059999999999999</v>
      </c>
      <c r="K178" s="4">
        <v>16.75</v>
      </c>
      <c r="L178" s="4">
        <v>9.2436974789915798</v>
      </c>
    </row>
    <row r="179" spans="1:12" ht="15" customHeight="1" x14ac:dyDescent="0.2">
      <c r="A179" s="6">
        <v>45796</v>
      </c>
      <c r="B179" s="7">
        <v>16.71</v>
      </c>
      <c r="C179" s="8">
        <v>52499240</v>
      </c>
      <c r="D179" s="7">
        <v>-0.109999999999999</v>
      </c>
      <c r="E179" s="7">
        <v>-0.65398335315100997</v>
      </c>
      <c r="F179" s="7">
        <v>-0.653987729495075</v>
      </c>
      <c r="G179" s="7">
        <v>17.221209999999999</v>
      </c>
      <c r="H179" s="7">
        <v>11.3200387847446</v>
      </c>
      <c r="I179" s="7">
        <v>16.79</v>
      </c>
      <c r="J179" s="7">
        <v>16.920000000000002</v>
      </c>
      <c r="K179" s="7">
        <v>16.64</v>
      </c>
      <c r="L179" s="7">
        <v>8.0155138978668408</v>
      </c>
    </row>
    <row r="180" spans="1:12" ht="15" customHeight="1" x14ac:dyDescent="0.2">
      <c r="A180" s="3">
        <v>45793</v>
      </c>
      <c r="B180" s="4">
        <v>16.82</v>
      </c>
      <c r="C180" s="5">
        <v>36257390</v>
      </c>
      <c r="D180" s="4">
        <v>-7.9999999999998295E-2</v>
      </c>
      <c r="E180" s="4">
        <v>-0.47337278106507302</v>
      </c>
      <c r="F180" s="4">
        <v>-0.47338164812876699</v>
      </c>
      <c r="G180" s="4">
        <v>17.334575999999998</v>
      </c>
      <c r="H180" s="4">
        <v>12.052850678733</v>
      </c>
      <c r="I180" s="4">
        <v>16.97</v>
      </c>
      <c r="J180" s="4">
        <v>16.97</v>
      </c>
      <c r="K180" s="4">
        <v>16.71</v>
      </c>
      <c r="L180" s="4">
        <v>8.7265675500969593</v>
      </c>
    </row>
    <row r="181" spans="1:12" ht="15" customHeight="1" x14ac:dyDescent="0.2">
      <c r="A181" s="6">
        <v>45792</v>
      </c>
      <c r="B181" s="7">
        <v>16.899999999999999</v>
      </c>
      <c r="C181" s="8">
        <v>40639490</v>
      </c>
      <c r="D181" s="7"/>
      <c r="E181" s="7"/>
      <c r="F181" s="7"/>
      <c r="G181" s="7">
        <v>17.417024999999999</v>
      </c>
      <c r="H181" s="7">
        <v>12.585811247575901</v>
      </c>
      <c r="I181" s="7">
        <v>16.97</v>
      </c>
      <c r="J181" s="7">
        <v>17.16</v>
      </c>
      <c r="K181" s="7">
        <v>16.87</v>
      </c>
      <c r="L181" s="7">
        <v>9.2436974789915798</v>
      </c>
    </row>
    <row r="182" spans="1:12" ht="15" customHeight="1" x14ac:dyDescent="0.2">
      <c r="A182" s="3">
        <v>45791</v>
      </c>
      <c r="B182" s="4">
        <v>16.899999999999999</v>
      </c>
      <c r="C182" s="5">
        <v>44666160</v>
      </c>
      <c r="D182" s="4">
        <v>0.149999999999998</v>
      </c>
      <c r="E182" s="4">
        <v>0.89552238805969897</v>
      </c>
      <c r="F182" s="4">
        <v>0.89552250910589404</v>
      </c>
      <c r="G182" s="4">
        <v>17.417024999999999</v>
      </c>
      <c r="H182" s="4">
        <v>12.585811247575901</v>
      </c>
      <c r="I182" s="4">
        <v>16.8</v>
      </c>
      <c r="J182" s="4">
        <v>16.93</v>
      </c>
      <c r="K182" s="4">
        <v>16.559999999999999</v>
      </c>
      <c r="L182" s="4">
        <v>9.2436974789915798</v>
      </c>
    </row>
    <row r="183" spans="1:12" ht="15" customHeight="1" x14ac:dyDescent="0.2">
      <c r="A183" s="6">
        <v>45790</v>
      </c>
      <c r="B183" s="7">
        <v>16.75</v>
      </c>
      <c r="C183" s="8">
        <v>55336600</v>
      </c>
      <c r="D183" s="7">
        <v>0.16</v>
      </c>
      <c r="E183" s="7">
        <v>0.96443640747438897</v>
      </c>
      <c r="F183" s="7">
        <v>0.96444283797554298</v>
      </c>
      <c r="G183" s="7">
        <v>17.262436000000001</v>
      </c>
      <c r="H183" s="7">
        <v>11.586528765352201</v>
      </c>
      <c r="I183" s="7">
        <v>16.53</v>
      </c>
      <c r="J183" s="7">
        <v>16.79</v>
      </c>
      <c r="K183" s="7">
        <v>16.39</v>
      </c>
      <c r="L183" s="7">
        <v>8.2740788623141501</v>
      </c>
    </row>
    <row r="184" spans="1:12" ht="15" customHeight="1" x14ac:dyDescent="0.2">
      <c r="A184" s="3">
        <v>45789</v>
      </c>
      <c r="B184" s="4">
        <v>16.59</v>
      </c>
      <c r="C184" s="5">
        <v>51099860</v>
      </c>
      <c r="D184" s="4">
        <v>1.0000000000001501E-2</v>
      </c>
      <c r="E184" s="4">
        <v>6.0313630880592897E-2</v>
      </c>
      <c r="F184" s="4">
        <v>6.03140332718465E-2</v>
      </c>
      <c r="G184" s="4">
        <v>17.097539999999999</v>
      </c>
      <c r="H184" s="4">
        <v>10.520620555914601</v>
      </c>
      <c r="I184" s="4">
        <v>16.690000000000001</v>
      </c>
      <c r="J184" s="4">
        <v>16.7</v>
      </c>
      <c r="K184" s="4">
        <v>16.37</v>
      </c>
      <c r="L184" s="4">
        <v>7.2398190045248798</v>
      </c>
    </row>
    <row r="185" spans="1:12" ht="15" customHeight="1" x14ac:dyDescent="0.2">
      <c r="A185" s="6">
        <v>45786</v>
      </c>
      <c r="B185" s="7">
        <v>16.579999999999998</v>
      </c>
      <c r="C185" s="8">
        <v>43254670</v>
      </c>
      <c r="D185" s="7">
        <v>7.9999999999998295E-2</v>
      </c>
      <c r="E185" s="7">
        <v>0.48484848484846499</v>
      </c>
      <c r="F185" s="7">
        <v>0.484845826060609</v>
      </c>
      <c r="G185" s="7">
        <v>17.087233999999999</v>
      </c>
      <c r="H185" s="7">
        <v>10.454001292824801</v>
      </c>
      <c r="I185" s="7">
        <v>16.5</v>
      </c>
      <c r="J185" s="7">
        <v>16.649999999999999</v>
      </c>
      <c r="K185" s="7">
        <v>16.41</v>
      </c>
      <c r="L185" s="7">
        <v>7.17517776341304</v>
      </c>
    </row>
    <row r="186" spans="1:12" ht="15" customHeight="1" x14ac:dyDescent="0.2">
      <c r="A186" s="3">
        <v>45785</v>
      </c>
      <c r="B186" s="4">
        <v>16.5</v>
      </c>
      <c r="C186" s="5">
        <v>63592754</v>
      </c>
      <c r="D186" s="4">
        <v>-0.33999999999999903</v>
      </c>
      <c r="E186" s="4">
        <v>-2.0190023752969002</v>
      </c>
      <c r="F186" s="4">
        <v>-2.0189985841697502</v>
      </c>
      <c r="G186" s="4">
        <v>17.004787</v>
      </c>
      <c r="H186" s="4">
        <v>9.9210536522301194</v>
      </c>
      <c r="I186" s="4">
        <v>16.98</v>
      </c>
      <c r="J186" s="4">
        <v>16.98</v>
      </c>
      <c r="K186" s="4">
        <v>16.440000000000001</v>
      </c>
      <c r="L186" s="4">
        <v>6.6580478345184098</v>
      </c>
    </row>
    <row r="187" spans="1:12" ht="15" customHeight="1" x14ac:dyDescent="0.2">
      <c r="A187" s="6">
        <v>45784</v>
      </c>
      <c r="B187" s="7">
        <v>16.84</v>
      </c>
      <c r="C187" s="8">
        <v>85691070</v>
      </c>
      <c r="D187" s="7">
        <v>-7.0000000000000201E-2</v>
      </c>
      <c r="E187" s="7">
        <v>-0.41395623891188299</v>
      </c>
      <c r="F187" s="7">
        <v>-0.41395899429231803</v>
      </c>
      <c r="G187" s="7">
        <v>17.355187999999998</v>
      </c>
      <c r="H187" s="7">
        <v>12.186089204912699</v>
      </c>
      <c r="I187" s="7">
        <v>16.88</v>
      </c>
      <c r="J187" s="7">
        <v>17.21</v>
      </c>
      <c r="K187" s="7">
        <v>16.8</v>
      </c>
      <c r="L187" s="7">
        <v>8.8558500323206104</v>
      </c>
    </row>
    <row r="188" spans="1:12" ht="15" customHeight="1" x14ac:dyDescent="0.2">
      <c r="A188" s="3">
        <v>45783</v>
      </c>
      <c r="B188" s="4">
        <v>16.91</v>
      </c>
      <c r="C188" s="5">
        <v>53810930</v>
      </c>
      <c r="D188" s="4">
        <v>0.149999999999998</v>
      </c>
      <c r="E188" s="4">
        <v>0.89498806682577403</v>
      </c>
      <c r="F188" s="4">
        <v>0.89498823608831202</v>
      </c>
      <c r="G188" s="4">
        <v>17.427330000000001</v>
      </c>
      <c r="H188" s="4">
        <v>12.652424046541601</v>
      </c>
      <c r="I188" s="4">
        <v>16.62</v>
      </c>
      <c r="J188" s="4">
        <v>16.95</v>
      </c>
      <c r="K188" s="4">
        <v>16.62</v>
      </c>
      <c r="L188" s="4">
        <v>9.3083387201034196</v>
      </c>
    </row>
    <row r="189" spans="1:12" ht="15" customHeight="1" x14ac:dyDescent="0.2">
      <c r="A189" s="6">
        <v>45782</v>
      </c>
      <c r="B189" s="7">
        <v>16.760000000000002</v>
      </c>
      <c r="C189" s="8">
        <v>38351793</v>
      </c>
      <c r="D189" s="7">
        <v>-0.109999999999999</v>
      </c>
      <c r="E189" s="7">
        <v>-0.65204505038529703</v>
      </c>
      <c r="F189" s="7">
        <v>-0.65204364910694801</v>
      </c>
      <c r="G189" s="7">
        <v>17.272741</v>
      </c>
      <c r="H189" s="7">
        <v>11.653141564318</v>
      </c>
      <c r="I189" s="7">
        <v>16.78</v>
      </c>
      <c r="J189" s="7">
        <v>16.989999999999998</v>
      </c>
      <c r="K189" s="7">
        <v>16.690000000000001</v>
      </c>
      <c r="L189" s="7">
        <v>8.3387201034259899</v>
      </c>
    </row>
    <row r="190" spans="1:12" ht="15" customHeight="1" x14ac:dyDescent="0.2">
      <c r="A190" s="3">
        <v>45779</v>
      </c>
      <c r="B190" s="4">
        <v>16.87</v>
      </c>
      <c r="C190" s="5">
        <v>63932313</v>
      </c>
      <c r="D190" s="4">
        <v>-5.0000000000000697E-2</v>
      </c>
      <c r="E190" s="4">
        <v>-0.29550827423168102</v>
      </c>
      <c r="F190" s="4">
        <v>-0.29550452225888202</v>
      </c>
      <c r="G190" s="4">
        <v>17.386106000000002</v>
      </c>
      <c r="H190" s="4">
        <v>12.3859469941822</v>
      </c>
      <c r="I190" s="4">
        <v>16.920000000000002</v>
      </c>
      <c r="J190" s="4">
        <v>17.09</v>
      </c>
      <c r="K190" s="4">
        <v>16.78</v>
      </c>
      <c r="L190" s="4">
        <v>9.0497737556561102</v>
      </c>
    </row>
    <row r="191" spans="1:12" ht="15" customHeight="1" x14ac:dyDescent="0.2">
      <c r="A191" s="6">
        <v>45777</v>
      </c>
      <c r="B191" s="7">
        <v>16.920000000000002</v>
      </c>
      <c r="C191" s="8">
        <v>66003679.999999903</v>
      </c>
      <c r="D191" s="7">
        <v>0.15000000000000199</v>
      </c>
      <c r="E191" s="7">
        <v>0.89445438282649203</v>
      </c>
      <c r="F191" s="7">
        <v>0.89443708688208201</v>
      </c>
      <c r="G191" s="7">
        <v>17.437635</v>
      </c>
      <c r="H191" s="7">
        <v>12.7190368455074</v>
      </c>
      <c r="I191" s="7">
        <v>16.7</v>
      </c>
      <c r="J191" s="7">
        <v>16.97</v>
      </c>
      <c r="K191" s="7">
        <v>16.47</v>
      </c>
      <c r="L191" s="7">
        <v>9.3729799612152593</v>
      </c>
    </row>
    <row r="192" spans="1:12" ht="15" customHeight="1" x14ac:dyDescent="0.2">
      <c r="A192" s="3">
        <v>45776</v>
      </c>
      <c r="B192" s="4">
        <v>16.77</v>
      </c>
      <c r="C192" s="5">
        <v>69108550</v>
      </c>
      <c r="D192" s="4">
        <v>-7.0000000000000201E-2</v>
      </c>
      <c r="E192" s="4">
        <v>-0.41567695961995899</v>
      </c>
      <c r="F192" s="4">
        <v>-0.41566245205756303</v>
      </c>
      <c r="G192" s="4">
        <v>17.283048999999998</v>
      </c>
      <c r="H192" s="4">
        <v>11.719773755656</v>
      </c>
      <c r="I192" s="4">
        <v>16.75</v>
      </c>
      <c r="J192" s="4">
        <v>16.989999999999998</v>
      </c>
      <c r="K192" s="4">
        <v>16.7</v>
      </c>
      <c r="L192" s="4">
        <v>8.4033613445377995</v>
      </c>
    </row>
    <row r="193" spans="1:12" ht="15" customHeight="1" x14ac:dyDescent="0.2">
      <c r="A193" s="6">
        <v>45775</v>
      </c>
      <c r="B193" s="7">
        <v>16.84</v>
      </c>
      <c r="C193" s="8">
        <v>57088940</v>
      </c>
      <c r="D193" s="7">
        <v>0.190000000000001</v>
      </c>
      <c r="E193" s="7">
        <v>1.1411411411411401</v>
      </c>
      <c r="F193" s="7">
        <v>1.1411370669889001</v>
      </c>
      <c r="G193" s="7">
        <v>17.355187999999998</v>
      </c>
      <c r="H193" s="7">
        <v>12.186089204912699</v>
      </c>
      <c r="I193" s="7">
        <v>16.55</v>
      </c>
      <c r="J193" s="7">
        <v>16.93</v>
      </c>
      <c r="K193" s="7">
        <v>16.55</v>
      </c>
      <c r="L193" s="7">
        <v>8.8558500323206104</v>
      </c>
    </row>
    <row r="194" spans="1:12" ht="15" customHeight="1" x14ac:dyDescent="0.2">
      <c r="A194" s="3">
        <v>45772</v>
      </c>
      <c r="B194" s="4">
        <v>16.649999999999999</v>
      </c>
      <c r="C194" s="5">
        <v>50548780</v>
      </c>
      <c r="D194" s="4">
        <v>-0.110000000000002</v>
      </c>
      <c r="E194" s="4">
        <v>-0.65632458233891799</v>
      </c>
      <c r="F194" s="4">
        <v>-0.65632316260631995</v>
      </c>
      <c r="G194" s="4">
        <v>17.159376000000002</v>
      </c>
      <c r="H194" s="4">
        <v>10.9203361344537</v>
      </c>
      <c r="I194" s="4">
        <v>16.829999999999998</v>
      </c>
      <c r="J194" s="4">
        <v>16.88</v>
      </c>
      <c r="K194" s="4">
        <v>16.52</v>
      </c>
      <c r="L194" s="4">
        <v>7.6276664511958501</v>
      </c>
    </row>
    <row r="195" spans="1:12" ht="15" customHeight="1" x14ac:dyDescent="0.2">
      <c r="A195" s="6">
        <v>45771</v>
      </c>
      <c r="B195" s="7">
        <v>16.760000000000002</v>
      </c>
      <c r="C195" s="8">
        <v>69432460</v>
      </c>
      <c r="D195" s="7">
        <v>0.18000000000000299</v>
      </c>
      <c r="E195" s="7">
        <v>1.08564535585045</v>
      </c>
      <c r="F195" s="7">
        <v>1.0856467465711599</v>
      </c>
      <c r="G195" s="7">
        <v>17.272741</v>
      </c>
      <c r="H195" s="7">
        <v>11.653141564318</v>
      </c>
      <c r="I195" s="7">
        <v>16.54</v>
      </c>
      <c r="J195" s="7">
        <v>16.8</v>
      </c>
      <c r="K195" s="7">
        <v>16.48</v>
      </c>
      <c r="L195" s="7">
        <v>8.3387201034259899</v>
      </c>
    </row>
    <row r="196" spans="1:12" ht="15" customHeight="1" x14ac:dyDescent="0.2">
      <c r="A196" s="3">
        <v>45770</v>
      </c>
      <c r="B196" s="4">
        <v>16.579999999999998</v>
      </c>
      <c r="C196" s="5">
        <v>64356600</v>
      </c>
      <c r="D196" s="4">
        <v>0.29999999999999699</v>
      </c>
      <c r="E196" s="4">
        <v>1.8427518427518199</v>
      </c>
      <c r="F196" s="4">
        <v>1.8427461535027501</v>
      </c>
      <c r="G196" s="4">
        <v>17.087233999999999</v>
      </c>
      <c r="H196" s="4">
        <v>10.454001292824801</v>
      </c>
      <c r="I196" s="4">
        <v>16.3</v>
      </c>
      <c r="J196" s="4">
        <v>16.649999999999999</v>
      </c>
      <c r="K196" s="4">
        <v>16.260000000000002</v>
      </c>
      <c r="L196" s="4">
        <v>7.17517776341304</v>
      </c>
    </row>
    <row r="197" spans="1:12" ht="15" customHeight="1" x14ac:dyDescent="0.2">
      <c r="A197" s="6">
        <v>45769</v>
      </c>
      <c r="B197" s="7">
        <v>16.28</v>
      </c>
      <c r="C197" s="8">
        <v>61533460</v>
      </c>
      <c r="D197" s="7">
        <v>0.36000000000000099</v>
      </c>
      <c r="E197" s="7">
        <v>2.2613065326633199</v>
      </c>
      <c r="F197" s="7">
        <v>2.2613093657400398</v>
      </c>
      <c r="G197" s="7">
        <v>16.778057</v>
      </c>
      <c r="H197" s="7">
        <v>8.4554427925016107</v>
      </c>
      <c r="I197" s="7">
        <v>15.85</v>
      </c>
      <c r="J197" s="7">
        <v>16.329999999999998</v>
      </c>
      <c r="K197" s="7">
        <v>15.84</v>
      </c>
      <c r="L197" s="7">
        <v>5.2359405300581798</v>
      </c>
    </row>
    <row r="198" spans="1:12" ht="15" customHeight="1" x14ac:dyDescent="0.2">
      <c r="A198" s="3">
        <v>45768</v>
      </c>
      <c r="B198" s="4">
        <v>15.92</v>
      </c>
      <c r="C198" s="5">
        <v>65844899.999999903</v>
      </c>
      <c r="D198" s="4">
        <v>0.60999999999999899</v>
      </c>
      <c r="E198" s="4">
        <v>3.9843239712605998</v>
      </c>
      <c r="F198" s="4">
        <v>3.9843251344989099</v>
      </c>
      <c r="G198" s="4">
        <v>16.407043000000002</v>
      </c>
      <c r="H198" s="4">
        <v>6.0571622495151898</v>
      </c>
      <c r="I198" s="4">
        <v>15.45</v>
      </c>
      <c r="J198" s="4">
        <v>16</v>
      </c>
      <c r="K198" s="4">
        <v>15.45</v>
      </c>
      <c r="L198" s="4">
        <v>2.9088558500323098</v>
      </c>
    </row>
    <row r="199" spans="1:12" ht="15" customHeight="1" x14ac:dyDescent="0.2">
      <c r="A199" s="6">
        <v>45763</v>
      </c>
      <c r="B199" s="7">
        <v>15.31</v>
      </c>
      <c r="C199" s="8">
        <v>47053880</v>
      </c>
      <c r="D199" s="7">
        <v>2.0000000000001301E-2</v>
      </c>
      <c r="E199" s="7">
        <v>0.13080444735122901</v>
      </c>
      <c r="F199" s="7">
        <v>0.130798964574285</v>
      </c>
      <c r="G199" s="7">
        <v>15.778381</v>
      </c>
      <c r="H199" s="7">
        <v>1.9934130575306901</v>
      </c>
      <c r="I199" s="7">
        <v>15.15</v>
      </c>
      <c r="J199" s="7">
        <v>15.49</v>
      </c>
      <c r="K199" s="7">
        <v>15.13</v>
      </c>
      <c r="L199" s="7">
        <v>-1.0342598577892701</v>
      </c>
    </row>
    <row r="200" spans="1:12" ht="15" customHeight="1" x14ac:dyDescent="0.2">
      <c r="A200" s="3">
        <v>45762</v>
      </c>
      <c r="B200" s="4">
        <v>15.29</v>
      </c>
      <c r="C200" s="5">
        <v>61489390</v>
      </c>
      <c r="D200" s="4">
        <v>0.31999999999999801</v>
      </c>
      <c r="E200" s="4">
        <v>2.1376085504341802</v>
      </c>
      <c r="F200" s="4">
        <v>2.1376163397681598</v>
      </c>
      <c r="G200" s="4">
        <v>15.757770000000001</v>
      </c>
      <c r="H200" s="4">
        <v>1.8601809954751101</v>
      </c>
      <c r="I200" s="4">
        <v>14.88</v>
      </c>
      <c r="J200" s="4">
        <v>15.4</v>
      </c>
      <c r="K200" s="4">
        <v>14.87</v>
      </c>
      <c r="L200" s="4">
        <v>-1.1635423400129301</v>
      </c>
    </row>
    <row r="201" spans="1:12" ht="15" customHeight="1" x14ac:dyDescent="0.2">
      <c r="A201" s="6">
        <v>45761</v>
      </c>
      <c r="B201" s="7">
        <v>14.97</v>
      </c>
      <c r="C201" s="8">
        <v>28529470</v>
      </c>
      <c r="D201" s="7">
        <v>0.62000000000000099</v>
      </c>
      <c r="E201" s="7">
        <v>4.3205574912892102</v>
      </c>
      <c r="F201" s="7">
        <v>4.3205523127576004</v>
      </c>
      <c r="G201" s="7">
        <v>15.427979000000001</v>
      </c>
      <c r="H201" s="7">
        <v>-0.27162895927601799</v>
      </c>
      <c r="I201" s="7">
        <v>14.42</v>
      </c>
      <c r="J201" s="7">
        <v>15</v>
      </c>
      <c r="K201" s="7">
        <v>14.42</v>
      </c>
      <c r="L201" s="7">
        <v>-3.2320620555914599</v>
      </c>
    </row>
    <row r="202" spans="1:12" ht="15" customHeight="1" x14ac:dyDescent="0.2">
      <c r="A202" s="3">
        <v>45758</v>
      </c>
      <c r="B202" s="4">
        <v>14.35</v>
      </c>
      <c r="C202" s="5">
        <v>60305520</v>
      </c>
      <c r="D202" s="4">
        <v>8.9999999999999802E-2</v>
      </c>
      <c r="E202" s="4">
        <v>0.63113604488078601</v>
      </c>
      <c r="F202" s="4">
        <v>0.63113340612737101</v>
      </c>
      <c r="G202" s="4">
        <v>14.789012</v>
      </c>
      <c r="H202" s="4">
        <v>-4.4019909502262502</v>
      </c>
      <c r="I202" s="4">
        <v>14.33</v>
      </c>
      <c r="J202" s="4">
        <v>14.65</v>
      </c>
      <c r="K202" s="4">
        <v>14.28</v>
      </c>
      <c r="L202" s="4">
        <v>-7.2398190045248896</v>
      </c>
    </row>
    <row r="203" spans="1:12" ht="15" customHeight="1" x14ac:dyDescent="0.2">
      <c r="A203" s="6">
        <v>45757</v>
      </c>
      <c r="B203" s="7">
        <v>14.26</v>
      </c>
      <c r="C203" s="8">
        <v>54398793</v>
      </c>
      <c r="D203" s="7">
        <v>-9.9999999999997799E-3</v>
      </c>
      <c r="E203" s="7">
        <v>-7.0077084793274097E-2</v>
      </c>
      <c r="F203" s="7">
        <v>-7.0077547000268997E-2</v>
      </c>
      <c r="G203" s="7">
        <v>14.696259</v>
      </c>
      <c r="H203" s="7">
        <v>-5.0015578539107999</v>
      </c>
      <c r="I203" s="7">
        <v>14.34</v>
      </c>
      <c r="J203" s="7">
        <v>14.41</v>
      </c>
      <c r="K203" s="7">
        <v>14.05</v>
      </c>
      <c r="L203" s="7">
        <v>-7.8215901745313499</v>
      </c>
    </row>
    <row r="204" spans="1:12" ht="15" customHeight="1" x14ac:dyDescent="0.2">
      <c r="A204" s="3">
        <v>45756</v>
      </c>
      <c r="B204" s="4">
        <v>14.27</v>
      </c>
      <c r="C204" s="5">
        <v>93632970</v>
      </c>
      <c r="D204" s="4">
        <v>0.28999999999999898</v>
      </c>
      <c r="E204" s="4">
        <v>2.0743919885550799</v>
      </c>
      <c r="F204" s="4">
        <v>2.0743988697148499</v>
      </c>
      <c r="G204" s="4">
        <v>14.706564999999999</v>
      </c>
      <c r="H204" s="4">
        <v>-4.9349385908209502</v>
      </c>
      <c r="I204" s="4">
        <v>14.08</v>
      </c>
      <c r="J204" s="4">
        <v>14.41</v>
      </c>
      <c r="K204" s="4">
        <v>13.76</v>
      </c>
      <c r="L204" s="4">
        <v>-7.7569489334195199</v>
      </c>
    </row>
    <row r="205" spans="1:12" ht="15" customHeight="1" x14ac:dyDescent="0.2">
      <c r="A205" s="6">
        <v>45755</v>
      </c>
      <c r="B205" s="7">
        <v>13.98</v>
      </c>
      <c r="C205" s="8">
        <v>67363086</v>
      </c>
      <c r="D205" s="7">
        <v>-0.369999999999999</v>
      </c>
      <c r="E205" s="7">
        <v>-2.5783972125435399</v>
      </c>
      <c r="F205" s="7">
        <v>-2.5784007748455302</v>
      </c>
      <c r="G205" s="7">
        <v>14.407692000000001</v>
      </c>
      <c r="H205" s="7">
        <v>-6.8668907563025199</v>
      </c>
      <c r="I205" s="7">
        <v>14.54</v>
      </c>
      <c r="J205" s="7">
        <v>14.58</v>
      </c>
      <c r="K205" s="7">
        <v>13.93</v>
      </c>
      <c r="L205" s="7">
        <v>-9.6315449256625705</v>
      </c>
    </row>
    <row r="206" spans="1:12" ht="15" customHeight="1" x14ac:dyDescent="0.2">
      <c r="A206" s="3">
        <v>45754</v>
      </c>
      <c r="B206" s="4">
        <v>14.35</v>
      </c>
      <c r="C206" s="5">
        <v>74379690</v>
      </c>
      <c r="D206" s="4">
        <v>-0.15</v>
      </c>
      <c r="E206" s="4">
        <v>-1.0344827586206899</v>
      </c>
      <c r="F206" s="4">
        <v>-1.03448292014756</v>
      </c>
      <c r="G206" s="4">
        <v>14.789012</v>
      </c>
      <c r="H206" s="4">
        <v>-4.4019909502262502</v>
      </c>
      <c r="I206" s="4">
        <v>14.44</v>
      </c>
      <c r="J206" s="4">
        <v>14.64</v>
      </c>
      <c r="K206" s="4">
        <v>13.99</v>
      </c>
      <c r="L206" s="4">
        <v>-7.2398190045248896</v>
      </c>
    </row>
    <row r="207" spans="1:12" ht="15" customHeight="1" x14ac:dyDescent="0.2">
      <c r="A207" s="6">
        <v>45751</v>
      </c>
      <c r="B207" s="7">
        <v>14.5</v>
      </c>
      <c r="C207" s="8">
        <v>31785410</v>
      </c>
      <c r="D207" s="7">
        <v>-0.49</v>
      </c>
      <c r="E207" s="7">
        <v>-3.26884589726484</v>
      </c>
      <c r="F207" s="7">
        <v>-3.2688417992294601</v>
      </c>
      <c r="G207" s="7">
        <v>14.943600999999999</v>
      </c>
      <c r="H207" s="7">
        <v>-3.4027084680025901</v>
      </c>
      <c r="I207" s="7">
        <v>14.98</v>
      </c>
      <c r="J207" s="7">
        <v>15.07</v>
      </c>
      <c r="K207" s="7">
        <v>14.45</v>
      </c>
      <c r="L207" s="7">
        <v>-6.2702003878474502</v>
      </c>
    </row>
    <row r="208" spans="1:12" ht="15" customHeight="1" x14ac:dyDescent="0.2">
      <c r="A208" s="3">
        <v>45750</v>
      </c>
      <c r="B208" s="4">
        <v>14.99</v>
      </c>
      <c r="C208" s="5">
        <v>64311848</v>
      </c>
      <c r="D208" s="4">
        <v>0.13</v>
      </c>
      <c r="E208" s="4">
        <v>0.87483176312248501</v>
      </c>
      <c r="F208" s="4">
        <v>0.874831060058056</v>
      </c>
      <c r="G208" s="4">
        <v>15.448591</v>
      </c>
      <c r="H208" s="4">
        <v>-0.13839043309631599</v>
      </c>
      <c r="I208" s="4">
        <v>14.71</v>
      </c>
      <c r="J208" s="4">
        <v>15.22</v>
      </c>
      <c r="K208" s="4">
        <v>14.55</v>
      </c>
      <c r="L208" s="4">
        <v>-3.1027795733678101</v>
      </c>
    </row>
    <row r="209" spans="1:12" ht="15" customHeight="1" x14ac:dyDescent="0.2">
      <c r="A209" s="6">
        <v>45749</v>
      </c>
      <c r="B209" s="7">
        <v>14.86</v>
      </c>
      <c r="C209" s="8">
        <v>45114330</v>
      </c>
      <c r="D209" s="7">
        <v>9.9999999999997799E-3</v>
      </c>
      <c r="E209" s="7">
        <v>6.7340067340060303E-2</v>
      </c>
      <c r="F209" s="7">
        <v>6.7333977639894002E-2</v>
      </c>
      <c r="G209" s="7">
        <v>15.314614000000001</v>
      </c>
      <c r="H209" s="7">
        <v>-1.0044343891402701</v>
      </c>
      <c r="I209" s="7">
        <v>14.77</v>
      </c>
      <c r="J209" s="7">
        <v>14.95</v>
      </c>
      <c r="K209" s="7">
        <v>14.76</v>
      </c>
      <c r="L209" s="7">
        <v>-3.9431157078215899</v>
      </c>
    </row>
    <row r="210" spans="1:12" ht="15" customHeight="1" x14ac:dyDescent="0.2">
      <c r="A210" s="3">
        <v>45748</v>
      </c>
      <c r="B210" s="4">
        <v>14.85</v>
      </c>
      <c r="C210" s="5">
        <v>42043727</v>
      </c>
      <c r="D210" s="4">
        <v>0.26999999999999902</v>
      </c>
      <c r="E210" s="4">
        <v>1.8518518518518301</v>
      </c>
      <c r="F210" s="4">
        <v>1.8518575210195001</v>
      </c>
      <c r="G210" s="4">
        <v>15.304309</v>
      </c>
      <c r="H210" s="4">
        <v>-1.07104718810601</v>
      </c>
      <c r="I210" s="4">
        <v>14.65</v>
      </c>
      <c r="J210" s="4">
        <v>14.87</v>
      </c>
      <c r="K210" s="4">
        <v>14.5</v>
      </c>
      <c r="L210" s="4">
        <v>-4.0077569489334204</v>
      </c>
    </row>
    <row r="211" spans="1:12" ht="15" customHeight="1" x14ac:dyDescent="0.2">
      <c r="A211" s="6">
        <v>45747</v>
      </c>
      <c r="B211" s="7">
        <v>14.58</v>
      </c>
      <c r="C211" s="8">
        <v>57960540</v>
      </c>
      <c r="D211" s="7">
        <v>-0.14000000000000001</v>
      </c>
      <c r="E211" s="7">
        <v>-0.95108695652174002</v>
      </c>
      <c r="F211" s="7">
        <v>-0.95109322590962697</v>
      </c>
      <c r="G211" s="7">
        <v>15.026047999999999</v>
      </c>
      <c r="H211" s="7">
        <v>-2.8697608274078901</v>
      </c>
      <c r="I211" s="7">
        <v>14.72</v>
      </c>
      <c r="J211" s="7">
        <v>14.73</v>
      </c>
      <c r="K211" s="7">
        <v>14.52</v>
      </c>
      <c r="L211" s="7">
        <v>-5.7530704589528101</v>
      </c>
    </row>
    <row r="212" spans="1:12" ht="15" customHeight="1" x14ac:dyDescent="0.2">
      <c r="A212" s="3">
        <v>45744</v>
      </c>
      <c r="B212" s="4">
        <v>14.72</v>
      </c>
      <c r="C212" s="5">
        <v>57787870</v>
      </c>
      <c r="D212" s="4">
        <v>-9.9999999999997799E-3</v>
      </c>
      <c r="E212" s="4">
        <v>-6.7888662593340504E-2</v>
      </c>
      <c r="F212" s="4">
        <v>-6.7875944064532595E-2</v>
      </c>
      <c r="G212" s="4">
        <v>15.170332</v>
      </c>
      <c r="H212" s="4">
        <v>-1.9370911441499701</v>
      </c>
      <c r="I212" s="4">
        <v>14.68</v>
      </c>
      <c r="J212" s="4">
        <v>14.89</v>
      </c>
      <c r="K212" s="4">
        <v>14.66</v>
      </c>
      <c r="L212" s="4">
        <v>-4.8480930833871998</v>
      </c>
    </row>
    <row r="213" spans="1:12" ht="15" customHeight="1" x14ac:dyDescent="0.2">
      <c r="A213" s="6">
        <v>45743</v>
      </c>
      <c r="B213" s="7">
        <v>14.73</v>
      </c>
      <c r="C213" s="8">
        <v>95307760</v>
      </c>
      <c r="D213" s="7">
        <v>0.25999999999999901</v>
      </c>
      <c r="E213" s="7">
        <v>1.7968210089840999</v>
      </c>
      <c r="F213" s="7">
        <v>1.7968094072404901</v>
      </c>
      <c r="G213" s="7">
        <v>15.180636</v>
      </c>
      <c r="H213" s="7">
        <v>-1.8704848093083399</v>
      </c>
      <c r="I213" s="7">
        <v>14.47</v>
      </c>
      <c r="J213" s="7">
        <v>14.83</v>
      </c>
      <c r="K213" s="7">
        <v>14.47</v>
      </c>
      <c r="L213" s="7">
        <v>-4.7834518422753698</v>
      </c>
    </row>
    <row r="214" spans="1:12" ht="15" customHeight="1" x14ac:dyDescent="0.2">
      <c r="A214" s="3">
        <v>45742</v>
      </c>
      <c r="B214" s="4">
        <v>14.47</v>
      </c>
      <c r="C214" s="5">
        <v>76897250</v>
      </c>
      <c r="D214" s="4">
        <v>0.13</v>
      </c>
      <c r="E214" s="4">
        <v>0.90655509065551398</v>
      </c>
      <c r="F214" s="4">
        <v>0.90655771892342796</v>
      </c>
      <c r="G214" s="4">
        <v>14.9126835</v>
      </c>
      <c r="H214" s="4">
        <v>-3.6025630252100802</v>
      </c>
      <c r="I214" s="4">
        <v>14.34</v>
      </c>
      <c r="J214" s="4">
        <v>14.54</v>
      </c>
      <c r="K214" s="4">
        <v>14.3</v>
      </c>
      <c r="L214" s="4">
        <v>-6.4641241111829304</v>
      </c>
    </row>
    <row r="215" spans="1:12" ht="15" customHeight="1" x14ac:dyDescent="0.2">
      <c r="A215" s="6">
        <v>45741</v>
      </c>
      <c r="B215" s="7">
        <v>14.34</v>
      </c>
      <c r="C215" s="8">
        <v>56625832</v>
      </c>
      <c r="D215" s="7">
        <v>6.0000000000000497E-2</v>
      </c>
      <c r="E215" s="7">
        <v>0.42016806722688899</v>
      </c>
      <c r="F215" s="7">
        <v>0.42017086513639301</v>
      </c>
      <c r="G215" s="7">
        <v>14.778706</v>
      </c>
      <c r="H215" s="7">
        <v>-4.4686102133160999</v>
      </c>
      <c r="I215" s="7">
        <v>14.28</v>
      </c>
      <c r="J215" s="7">
        <v>14.45</v>
      </c>
      <c r="K215" s="7">
        <v>14.21</v>
      </c>
      <c r="L215" s="7">
        <v>-7.3044602456367196</v>
      </c>
    </row>
    <row r="216" spans="1:12" ht="15" customHeight="1" x14ac:dyDescent="0.2">
      <c r="A216" s="3">
        <v>45740</v>
      </c>
      <c r="B216" s="4">
        <v>14.28</v>
      </c>
      <c r="C216" s="5">
        <v>62423880</v>
      </c>
      <c r="D216" s="4">
        <v>2.9999999999999302E-2</v>
      </c>
      <c r="E216" s="4">
        <v>0.21052631578946099</v>
      </c>
      <c r="F216" s="4">
        <v>0.21052772064078501</v>
      </c>
      <c r="G216" s="4">
        <v>14.71687</v>
      </c>
      <c r="H216" s="4">
        <v>-4.8683257918551996</v>
      </c>
      <c r="I216" s="4">
        <v>14.44</v>
      </c>
      <c r="J216" s="4">
        <v>14.44</v>
      </c>
      <c r="K216" s="4">
        <v>14.23</v>
      </c>
      <c r="L216" s="4">
        <v>-7.6923076923076996</v>
      </c>
    </row>
    <row r="217" spans="1:12" ht="15" customHeight="1" x14ac:dyDescent="0.2">
      <c r="A217" s="6">
        <v>45737</v>
      </c>
      <c r="B217" s="7">
        <v>14.25</v>
      </c>
      <c r="C217" s="8">
        <v>188924000</v>
      </c>
      <c r="D217" s="7">
        <v>-7.0000000000000201E-2</v>
      </c>
      <c r="E217" s="7">
        <v>-0.488826815642462</v>
      </c>
      <c r="F217" s="7">
        <v>-0.48883006165971699</v>
      </c>
      <c r="G217" s="7">
        <v>14.685952</v>
      </c>
      <c r="H217" s="7">
        <v>-5.0681835811247504</v>
      </c>
      <c r="I217" s="7">
        <v>14.4</v>
      </c>
      <c r="J217" s="7">
        <v>14.41</v>
      </c>
      <c r="K217" s="7">
        <v>14.18</v>
      </c>
      <c r="L217" s="7">
        <v>-7.8862314156431799</v>
      </c>
    </row>
    <row r="218" spans="1:12" ht="15" customHeight="1" x14ac:dyDescent="0.2">
      <c r="A218" s="3">
        <v>45736</v>
      </c>
      <c r="B218" s="4">
        <v>14.32</v>
      </c>
      <c r="C218" s="5">
        <v>83202610</v>
      </c>
      <c r="D218" s="4">
        <v>9.9999999999999603E-2</v>
      </c>
      <c r="E218" s="4">
        <v>0.70323488045007598</v>
      </c>
      <c r="F218" s="4">
        <v>0.70323271148788802</v>
      </c>
      <c r="G218" s="4">
        <v>14.758094</v>
      </c>
      <c r="H218" s="4">
        <v>-4.6018487394958001</v>
      </c>
      <c r="I218" s="4">
        <v>14.28</v>
      </c>
      <c r="J218" s="4">
        <v>14.37</v>
      </c>
      <c r="K218" s="4">
        <v>14.13</v>
      </c>
      <c r="L218" s="4">
        <v>-7.4337427278603698</v>
      </c>
    </row>
    <row r="219" spans="1:12" ht="15" customHeight="1" x14ac:dyDescent="0.2">
      <c r="A219" s="6">
        <v>45735</v>
      </c>
      <c r="B219" s="7">
        <v>14.22</v>
      </c>
      <c r="C219" s="8">
        <v>80919750</v>
      </c>
      <c r="D219" s="7">
        <v>-8.9999999999999802E-2</v>
      </c>
      <c r="E219" s="7">
        <v>-0.62893081761006198</v>
      </c>
      <c r="F219" s="7">
        <v>-0.62892821621791595</v>
      </c>
      <c r="G219" s="7">
        <v>14.655035</v>
      </c>
      <c r="H219" s="7">
        <v>-5.2680349062702003</v>
      </c>
      <c r="I219" s="7">
        <v>14.29</v>
      </c>
      <c r="J219" s="7">
        <v>14.47</v>
      </c>
      <c r="K219" s="7">
        <v>14.15</v>
      </c>
      <c r="L219" s="7">
        <v>-8.0801551389786592</v>
      </c>
    </row>
    <row r="220" spans="1:12" ht="15" customHeight="1" x14ac:dyDescent="0.2">
      <c r="A220" s="3">
        <v>45734</v>
      </c>
      <c r="B220" s="4">
        <v>14.31</v>
      </c>
      <c r="C220" s="5">
        <v>69661990</v>
      </c>
      <c r="D220" s="4">
        <v>-3.9999999999999099E-2</v>
      </c>
      <c r="E220" s="4">
        <v>-0.27874564459929801</v>
      </c>
      <c r="F220" s="4">
        <v>-0.278747491718844</v>
      </c>
      <c r="G220" s="4">
        <v>14.747788</v>
      </c>
      <c r="H220" s="4">
        <v>-4.6684680025856498</v>
      </c>
      <c r="I220" s="4">
        <v>14.37</v>
      </c>
      <c r="J220" s="4">
        <v>14.65</v>
      </c>
      <c r="K220" s="4">
        <v>14.26</v>
      </c>
      <c r="L220" s="4">
        <v>-7.4983839689721998</v>
      </c>
    </row>
    <row r="221" spans="1:12" ht="15" customHeight="1" x14ac:dyDescent="0.2">
      <c r="A221" s="6">
        <v>45730</v>
      </c>
      <c r="B221" s="7">
        <v>14.35</v>
      </c>
      <c r="C221" s="8">
        <v>83871880</v>
      </c>
      <c r="D221" s="7"/>
      <c r="E221" s="7"/>
      <c r="F221" s="7"/>
      <c r="G221" s="7">
        <v>14.789012</v>
      </c>
      <c r="H221" s="7">
        <v>-4.4019909502262502</v>
      </c>
      <c r="I221" s="7">
        <v>14.43</v>
      </c>
      <c r="J221" s="7">
        <v>14.47</v>
      </c>
      <c r="K221" s="7">
        <v>14.24</v>
      </c>
      <c r="L221" s="7">
        <v>-7.2398190045248896</v>
      </c>
    </row>
    <row r="222" spans="1:12" ht="15" customHeight="1" x14ac:dyDescent="0.2">
      <c r="A222" s="3">
        <v>45729</v>
      </c>
      <c r="B222" s="4">
        <v>14.35</v>
      </c>
      <c r="C222" s="5">
        <v>66917050</v>
      </c>
      <c r="D222" s="4">
        <v>-0.12000000000000099</v>
      </c>
      <c r="E222" s="4">
        <v>-0.829302004146514</v>
      </c>
      <c r="F222" s="4">
        <v>-0.829304128931596</v>
      </c>
      <c r="G222" s="4">
        <v>14.789012</v>
      </c>
      <c r="H222" s="4">
        <v>-4.4019909502262502</v>
      </c>
      <c r="I222" s="4">
        <v>14.44</v>
      </c>
      <c r="J222" s="4">
        <v>14.59</v>
      </c>
      <c r="K222" s="4">
        <v>14.32</v>
      </c>
      <c r="L222" s="4">
        <v>-7.2398190045248896</v>
      </c>
    </row>
    <row r="223" spans="1:12" ht="15" customHeight="1" x14ac:dyDescent="0.2">
      <c r="A223" s="6">
        <v>45728</v>
      </c>
      <c r="B223" s="7">
        <v>14.47</v>
      </c>
      <c r="C223" s="8">
        <v>61240180</v>
      </c>
      <c r="D223" s="7">
        <v>-0.26999999999999902</v>
      </c>
      <c r="E223" s="7">
        <v>-1.8317503392130201</v>
      </c>
      <c r="F223" s="7">
        <v>-1.83174606079425</v>
      </c>
      <c r="G223" s="7">
        <v>14.9126835</v>
      </c>
      <c r="H223" s="7">
        <v>-3.6025630252100802</v>
      </c>
      <c r="I223" s="7">
        <v>14.75</v>
      </c>
      <c r="J223" s="7">
        <v>14.82</v>
      </c>
      <c r="K223" s="7">
        <v>14.42</v>
      </c>
      <c r="L223" s="7">
        <v>-6.4641241111829304</v>
      </c>
    </row>
    <row r="224" spans="1:12" ht="15" customHeight="1" x14ac:dyDescent="0.2">
      <c r="A224" s="3">
        <v>45727</v>
      </c>
      <c r="B224" s="4">
        <v>14.74</v>
      </c>
      <c r="C224" s="5">
        <v>56467140</v>
      </c>
      <c r="D224" s="4">
        <v>-0.14000000000000001</v>
      </c>
      <c r="E224" s="4">
        <v>-0.94086021505376205</v>
      </c>
      <c r="F224" s="4">
        <v>-0.94085995211286</v>
      </c>
      <c r="G224" s="4">
        <v>15.190943000000001</v>
      </c>
      <c r="H224" s="4">
        <v>-1.8038590820943701</v>
      </c>
      <c r="I224" s="4">
        <v>14.9</v>
      </c>
      <c r="J224" s="4">
        <v>15.07</v>
      </c>
      <c r="K224" s="4">
        <v>14.63</v>
      </c>
      <c r="L224" s="4">
        <v>-4.7188106011635398</v>
      </c>
    </row>
    <row r="225" spans="1:12" ht="15" customHeight="1" x14ac:dyDescent="0.2">
      <c r="A225" s="6">
        <v>45726</v>
      </c>
      <c r="B225" s="7">
        <v>14.88</v>
      </c>
      <c r="C225" s="8">
        <v>48336660</v>
      </c>
      <c r="D225" s="7">
        <v>-0.25999999999999901</v>
      </c>
      <c r="E225" s="7">
        <v>-1.7173051519154401</v>
      </c>
      <c r="F225" s="7">
        <v>-1.71731007927165</v>
      </c>
      <c r="G225" s="7">
        <v>15.335226</v>
      </c>
      <c r="H225" s="7">
        <v>-0.87119586296056895</v>
      </c>
      <c r="I225" s="7">
        <v>15.12</v>
      </c>
      <c r="J225" s="7">
        <v>15.18</v>
      </c>
      <c r="K225" s="7">
        <v>14.8</v>
      </c>
      <c r="L225" s="7">
        <v>-3.8138332255979299</v>
      </c>
    </row>
    <row r="226" spans="1:12" ht="15" customHeight="1" x14ac:dyDescent="0.2">
      <c r="A226" s="3">
        <v>45723</v>
      </c>
      <c r="B226" s="4">
        <v>15.14</v>
      </c>
      <c r="C226" s="5">
        <v>50669633</v>
      </c>
      <c r="D226" s="4">
        <v>0.13</v>
      </c>
      <c r="E226" s="4">
        <v>0.86608927381746004</v>
      </c>
      <c r="F226" s="4">
        <v>0.86608852013330095</v>
      </c>
      <c r="G226" s="4">
        <v>15.603180999999999</v>
      </c>
      <c r="H226" s="4">
        <v>0.86089851325144495</v>
      </c>
      <c r="I226" s="4">
        <v>14.93</v>
      </c>
      <c r="J226" s="4">
        <v>15.17</v>
      </c>
      <c r="K226" s="4">
        <v>14.81</v>
      </c>
      <c r="L226" s="4">
        <v>-2.13316095669036</v>
      </c>
    </row>
    <row r="227" spans="1:12" ht="15" customHeight="1" x14ac:dyDescent="0.2">
      <c r="A227" s="6">
        <v>45722</v>
      </c>
      <c r="B227" s="7">
        <v>15.01</v>
      </c>
      <c r="C227" s="8">
        <v>63708700</v>
      </c>
      <c r="D227" s="7">
        <v>0.48</v>
      </c>
      <c r="E227" s="7">
        <v>3.3035099793530698</v>
      </c>
      <c r="F227" s="7">
        <v>3.3035117855872298</v>
      </c>
      <c r="G227" s="7">
        <v>15.469204</v>
      </c>
      <c r="H227" s="7">
        <v>-5.1454427925089101E-3</v>
      </c>
      <c r="I227" s="7">
        <v>14.49</v>
      </c>
      <c r="J227" s="7">
        <v>15.03</v>
      </c>
      <c r="K227" s="7">
        <v>14.41</v>
      </c>
      <c r="L227" s="7">
        <v>-2.9734970911441501</v>
      </c>
    </row>
    <row r="228" spans="1:12" ht="15" customHeight="1" x14ac:dyDescent="0.2">
      <c r="A228" s="3">
        <v>45721</v>
      </c>
      <c r="B228" s="4">
        <v>14.53</v>
      </c>
      <c r="C228" s="5">
        <v>61345920</v>
      </c>
      <c r="D228" s="4">
        <v>-0.16</v>
      </c>
      <c r="E228" s="4">
        <v>-1.0891763104152501</v>
      </c>
      <c r="F228" s="4">
        <v>-1.0891703661165599</v>
      </c>
      <c r="G228" s="4">
        <v>14.974519000000001</v>
      </c>
      <c r="H228" s="4">
        <v>-3.20285067873303</v>
      </c>
      <c r="I228" s="4">
        <v>14.75</v>
      </c>
      <c r="J228" s="4">
        <v>14.89</v>
      </c>
      <c r="K228" s="4">
        <v>14.48</v>
      </c>
      <c r="L228" s="4">
        <v>-6.0762766645119601</v>
      </c>
    </row>
    <row r="229" spans="1:12" ht="15" customHeight="1" x14ac:dyDescent="0.2">
      <c r="A229" s="6">
        <v>45720</v>
      </c>
      <c r="B229" s="7">
        <v>14.69</v>
      </c>
      <c r="C229" s="8">
        <v>58551580</v>
      </c>
      <c r="D229" s="7">
        <v>0.08</v>
      </c>
      <c r="E229" s="7">
        <v>0.54757015742641302</v>
      </c>
      <c r="F229" s="7">
        <v>0.54756715263886102</v>
      </c>
      <c r="G229" s="7">
        <v>15.139412999999999</v>
      </c>
      <c r="H229" s="7">
        <v>-2.1369553975436402</v>
      </c>
      <c r="I229" s="7">
        <v>14.54</v>
      </c>
      <c r="J229" s="7">
        <v>14.79</v>
      </c>
      <c r="K229" s="7">
        <v>14.45</v>
      </c>
      <c r="L229" s="7">
        <v>-5.0420168067226898</v>
      </c>
    </row>
    <row r="230" spans="1:12" ht="15" customHeight="1" x14ac:dyDescent="0.2">
      <c r="A230" s="3">
        <v>45719</v>
      </c>
      <c r="B230" s="4">
        <v>14.61</v>
      </c>
      <c r="C230" s="5">
        <v>43880727</v>
      </c>
      <c r="D230" s="4"/>
      <c r="E230" s="4"/>
      <c r="F230" s="4"/>
      <c r="G230" s="4">
        <v>15.056965999999999</v>
      </c>
      <c r="H230" s="4">
        <v>-2.6699030381383402</v>
      </c>
      <c r="I230" s="4">
        <v>14.62</v>
      </c>
      <c r="J230" s="4">
        <v>14.86</v>
      </c>
      <c r="K230" s="4">
        <v>14.54</v>
      </c>
      <c r="L230" s="4">
        <v>-5.5591467356173299</v>
      </c>
    </row>
    <row r="231" spans="1:12" ht="15" customHeight="1" x14ac:dyDescent="0.2">
      <c r="A231" s="6">
        <v>45716</v>
      </c>
      <c r="B231" s="7">
        <v>14.61</v>
      </c>
      <c r="C231" s="8">
        <v>95169110</v>
      </c>
      <c r="D231" s="7">
        <v>-0.22</v>
      </c>
      <c r="E231" s="7">
        <v>-1.4834794335805801</v>
      </c>
      <c r="F231" s="7">
        <v>-1.4834762481535999</v>
      </c>
      <c r="G231" s="7">
        <v>15.056965999999999</v>
      </c>
      <c r="H231" s="7">
        <v>-2.6699030381383402</v>
      </c>
      <c r="I231" s="7">
        <v>14.88</v>
      </c>
      <c r="J231" s="7">
        <v>14.89</v>
      </c>
      <c r="K231" s="7">
        <v>14.53</v>
      </c>
      <c r="L231" s="7">
        <v>-5.5591467356173299</v>
      </c>
    </row>
    <row r="232" spans="1:12" ht="15" customHeight="1" x14ac:dyDescent="0.2">
      <c r="A232" s="3">
        <v>45715</v>
      </c>
      <c r="B232" s="4">
        <v>14.83</v>
      </c>
      <c r="C232" s="5">
        <v>71912290</v>
      </c>
      <c r="D232" s="4">
        <v>-0.17999999999999899</v>
      </c>
      <c r="E232" s="4">
        <v>-1.19920053297801</v>
      </c>
      <c r="F232" s="4">
        <v>-1.1992084402015699</v>
      </c>
      <c r="G232" s="4">
        <v>15.283696000000001</v>
      </c>
      <c r="H232" s="4">
        <v>-1.2042921784098199</v>
      </c>
      <c r="I232" s="4">
        <v>15.02</v>
      </c>
      <c r="J232" s="4">
        <v>15.07</v>
      </c>
      <c r="K232" s="4">
        <v>14.74</v>
      </c>
      <c r="L232" s="4">
        <v>-4.1370394311570804</v>
      </c>
    </row>
    <row r="233" spans="1:12" ht="15" customHeight="1" x14ac:dyDescent="0.2">
      <c r="A233" s="6">
        <v>45714</v>
      </c>
      <c r="B233" s="7">
        <v>15.01</v>
      </c>
      <c r="C233" s="8">
        <v>79201080</v>
      </c>
      <c r="D233" s="7">
        <v>0.16999999999999901</v>
      </c>
      <c r="E233" s="7">
        <v>1.1455525606468999</v>
      </c>
      <c r="F233" s="7">
        <v>1.1455535872459199</v>
      </c>
      <c r="G233" s="7">
        <v>15.469204</v>
      </c>
      <c r="H233" s="7">
        <v>-5.1454427925089101E-3</v>
      </c>
      <c r="I233" s="7">
        <v>14.88</v>
      </c>
      <c r="J233" s="7">
        <v>15.06</v>
      </c>
      <c r="K233" s="7">
        <v>14.67</v>
      </c>
      <c r="L233" s="7">
        <v>-2.9734970911441501</v>
      </c>
    </row>
    <row r="234" spans="1:12" ht="15" customHeight="1" x14ac:dyDescent="0.2">
      <c r="A234" s="3">
        <v>45713</v>
      </c>
      <c r="B234" s="4">
        <v>14.84</v>
      </c>
      <c r="C234" s="5">
        <v>67860016</v>
      </c>
      <c r="D234" s="4">
        <v>-5.0000000000000697E-2</v>
      </c>
      <c r="E234" s="4">
        <v>-0.33579583613163599</v>
      </c>
      <c r="F234" s="4">
        <v>-0.33579155157344998</v>
      </c>
      <c r="G234" s="4">
        <v>15.294003</v>
      </c>
      <c r="H234" s="4">
        <v>-1.1376664511958601</v>
      </c>
      <c r="I234" s="4">
        <v>14.89</v>
      </c>
      <c r="J234" s="4">
        <v>14.96</v>
      </c>
      <c r="K234" s="4">
        <v>14.72</v>
      </c>
      <c r="L234" s="4">
        <v>-4.0723981900452504</v>
      </c>
    </row>
    <row r="235" spans="1:12" ht="15" customHeight="1" x14ac:dyDescent="0.2">
      <c r="A235" s="6">
        <v>45712</v>
      </c>
      <c r="B235" s="7">
        <v>14.89</v>
      </c>
      <c r="C235" s="8">
        <v>43968970</v>
      </c>
      <c r="D235" s="7">
        <v>-0.16999999999999901</v>
      </c>
      <c r="E235" s="7">
        <v>-1.12881806108897</v>
      </c>
      <c r="F235" s="7">
        <v>-1.1288254795166099</v>
      </c>
      <c r="G235" s="7">
        <v>15.345532</v>
      </c>
      <c r="H235" s="7">
        <v>-0.80457659987071894</v>
      </c>
      <c r="I235" s="7">
        <v>14.98</v>
      </c>
      <c r="J235" s="7">
        <v>15.11</v>
      </c>
      <c r="K235" s="7">
        <v>14.8</v>
      </c>
      <c r="L235" s="7">
        <v>-3.7491919844860999</v>
      </c>
    </row>
    <row r="236" spans="1:12" ht="15" customHeight="1" x14ac:dyDescent="0.2">
      <c r="A236" s="3">
        <v>45709</v>
      </c>
      <c r="B236" s="4">
        <v>15.06</v>
      </c>
      <c r="C236" s="5">
        <v>17975260</v>
      </c>
      <c r="D236" s="4">
        <v>9.9999999999997799E-3</v>
      </c>
      <c r="E236" s="4">
        <v>6.6445182724250706E-2</v>
      </c>
      <c r="F236" s="4">
        <v>6.6452071242140101E-2</v>
      </c>
      <c r="G236" s="4">
        <v>15.520733999999999</v>
      </c>
      <c r="H236" s="4">
        <v>0.327950872656745</v>
      </c>
      <c r="I236" s="4">
        <v>15.12</v>
      </c>
      <c r="J236" s="4">
        <v>15.13</v>
      </c>
      <c r="K236" s="4">
        <v>14.87</v>
      </c>
      <c r="L236" s="4">
        <v>-2.650290885585</v>
      </c>
    </row>
    <row r="237" spans="1:12" ht="15" customHeight="1" x14ac:dyDescent="0.2">
      <c r="A237" s="6">
        <v>45708</v>
      </c>
      <c r="B237" s="7">
        <v>15.05</v>
      </c>
      <c r="C237" s="8">
        <v>21234930</v>
      </c>
      <c r="D237" s="7">
        <v>0.15</v>
      </c>
      <c r="E237" s="7">
        <v>1.0067114093959599</v>
      </c>
      <c r="F237" s="7">
        <v>1.0067115842196299</v>
      </c>
      <c r="G237" s="7">
        <v>15.510427</v>
      </c>
      <c r="H237" s="7">
        <v>0.26132514544278801</v>
      </c>
      <c r="I237" s="7">
        <v>14.91</v>
      </c>
      <c r="J237" s="7">
        <v>15.23</v>
      </c>
      <c r="K237" s="7">
        <v>14.82</v>
      </c>
      <c r="L237" s="7">
        <v>-2.71493212669683</v>
      </c>
    </row>
    <row r="238" spans="1:12" ht="15" customHeight="1" x14ac:dyDescent="0.2">
      <c r="A238" s="3">
        <v>45707</v>
      </c>
      <c r="B238" s="4">
        <v>14.9</v>
      </c>
      <c r="C238" s="5">
        <v>37850047</v>
      </c>
      <c r="D238" s="4">
        <v>-0.54999999999999805</v>
      </c>
      <c r="E238" s="4">
        <v>-3.5598705501618002</v>
      </c>
      <c r="F238" s="4">
        <v>-3.5598691274274099</v>
      </c>
      <c r="G238" s="4">
        <v>15.355838</v>
      </c>
      <c r="H238" s="4">
        <v>-0.73795733678086795</v>
      </c>
      <c r="I238" s="4">
        <v>15.49</v>
      </c>
      <c r="J238" s="4">
        <v>15.49</v>
      </c>
      <c r="K238" s="4">
        <v>14.86</v>
      </c>
      <c r="L238" s="4">
        <v>-3.6845507433742699</v>
      </c>
    </row>
    <row r="239" spans="1:12" ht="15" customHeight="1" x14ac:dyDescent="0.2">
      <c r="A239" s="6">
        <v>45706</v>
      </c>
      <c r="B239" s="7">
        <v>15.45</v>
      </c>
      <c r="C239" s="8">
        <v>46576313</v>
      </c>
      <c r="D239" s="7">
        <v>-0.31</v>
      </c>
      <c r="E239" s="7">
        <v>-1.96700507614213</v>
      </c>
      <c r="F239" s="7">
        <v>-1.9670179132688601</v>
      </c>
      <c r="G239" s="7">
        <v>15.922663999999999</v>
      </c>
      <c r="H239" s="7">
        <v>2.9260762766644999</v>
      </c>
      <c r="I239" s="7">
        <v>15.7</v>
      </c>
      <c r="J239" s="7">
        <v>15.7</v>
      </c>
      <c r="K239" s="7">
        <v>15.39</v>
      </c>
      <c r="L239" s="7">
        <v>-0.12928248222366701</v>
      </c>
    </row>
    <row r="240" spans="1:12" ht="15" customHeight="1" x14ac:dyDescent="0.2">
      <c r="A240" s="3">
        <v>45705</v>
      </c>
      <c r="B240" s="4">
        <v>15.76</v>
      </c>
      <c r="C240" s="5">
        <v>6868823</v>
      </c>
      <c r="D240" s="4">
        <v>0.19999999999999901</v>
      </c>
      <c r="E240" s="4">
        <v>1.2853470437018</v>
      </c>
      <c r="F240" s="4">
        <v>1.2853555399933601</v>
      </c>
      <c r="G240" s="4">
        <v>16.242149999999999</v>
      </c>
      <c r="H240" s="4">
        <v>4.9912734324498897</v>
      </c>
      <c r="I240" s="4">
        <v>15.51</v>
      </c>
      <c r="J240" s="4">
        <v>15.79</v>
      </c>
      <c r="K240" s="4">
        <v>15.47</v>
      </c>
      <c r="L240" s="4">
        <v>1.87459599224304</v>
      </c>
    </row>
    <row r="241" spans="1:12" ht="15" customHeight="1" x14ac:dyDescent="0.2">
      <c r="A241" s="6">
        <v>45702</v>
      </c>
      <c r="B241" s="7">
        <v>15.56</v>
      </c>
      <c r="C241" s="8">
        <v>90200880</v>
      </c>
      <c r="D241" s="7">
        <v>0.33999999999999903</v>
      </c>
      <c r="E241" s="7">
        <v>2.2339027595269201</v>
      </c>
      <c r="F241" s="7">
        <v>2.2339048203871599</v>
      </c>
      <c r="G241" s="7">
        <v>16.03603</v>
      </c>
      <c r="H241" s="7">
        <v>3.6588881706528702</v>
      </c>
      <c r="I241" s="7">
        <v>15.12</v>
      </c>
      <c r="J241" s="7">
        <v>15.59</v>
      </c>
      <c r="K241" s="7">
        <v>15.11</v>
      </c>
      <c r="L241" s="7">
        <v>0.58177117000646295</v>
      </c>
    </row>
    <row r="242" spans="1:12" ht="15" customHeight="1" x14ac:dyDescent="0.2">
      <c r="A242" s="3">
        <v>45701</v>
      </c>
      <c r="B242" s="4">
        <v>15.22</v>
      </c>
      <c r="C242" s="5">
        <v>66741860</v>
      </c>
      <c r="D242" s="4">
        <v>9.9999999999997799E-3</v>
      </c>
      <c r="E242" s="4">
        <v>6.5746219592366303E-2</v>
      </c>
      <c r="F242" s="4">
        <v>6.5746655794374206E-2</v>
      </c>
      <c r="G242" s="4">
        <v>15.685627999999999</v>
      </c>
      <c r="H242" s="4">
        <v>1.39384615384614</v>
      </c>
      <c r="I242" s="4">
        <v>15.28</v>
      </c>
      <c r="J242" s="4">
        <v>15.31</v>
      </c>
      <c r="K242" s="4">
        <v>15</v>
      </c>
      <c r="L242" s="4">
        <v>-1.6160310277957299</v>
      </c>
    </row>
    <row r="243" spans="1:12" ht="15" customHeight="1" x14ac:dyDescent="0.2">
      <c r="A243" s="6">
        <v>45700</v>
      </c>
      <c r="B243" s="7">
        <v>15.21</v>
      </c>
      <c r="C243" s="8">
        <v>85406430</v>
      </c>
      <c r="D243" s="7">
        <v>5.0000000000000697E-2</v>
      </c>
      <c r="E243" s="7">
        <v>0.32981530343008097</v>
      </c>
      <c r="F243" s="7">
        <v>0.32981749885045902</v>
      </c>
      <c r="G243" s="7">
        <v>15.675322</v>
      </c>
      <c r="H243" s="7">
        <v>1.3272268907562901</v>
      </c>
      <c r="I243" s="7">
        <v>15.17</v>
      </c>
      <c r="J243" s="7">
        <v>15.29</v>
      </c>
      <c r="K243" s="7">
        <v>14.72</v>
      </c>
      <c r="L243" s="7">
        <v>-1.6806722689075599</v>
      </c>
    </row>
    <row r="244" spans="1:12" ht="15" customHeight="1" x14ac:dyDescent="0.2">
      <c r="A244" s="3">
        <v>45699</v>
      </c>
      <c r="B244" s="4">
        <v>15.16</v>
      </c>
      <c r="C244" s="5">
        <v>68784780</v>
      </c>
      <c r="D244" s="4">
        <v>0.16999999999999901</v>
      </c>
      <c r="E244" s="4">
        <v>1.13408939292862</v>
      </c>
      <c r="F244" s="4">
        <v>1.1340904811319099</v>
      </c>
      <c r="G244" s="4">
        <v>15.623792</v>
      </c>
      <c r="H244" s="4">
        <v>0.99413057530704096</v>
      </c>
      <c r="I244" s="4">
        <v>14.95</v>
      </c>
      <c r="J244" s="4">
        <v>15.22</v>
      </c>
      <c r="K244" s="4">
        <v>14.87</v>
      </c>
      <c r="L244" s="4">
        <v>-2.0038784744667102</v>
      </c>
    </row>
    <row r="245" spans="1:12" ht="15" customHeight="1" x14ac:dyDescent="0.2">
      <c r="A245" s="6">
        <v>45698</v>
      </c>
      <c r="B245" s="7">
        <v>14.99</v>
      </c>
      <c r="C245" s="8">
        <v>55577300</v>
      </c>
      <c r="D245" s="7">
        <v>-3.9999999999999099E-2</v>
      </c>
      <c r="E245" s="7">
        <v>-0.26613439787092003</v>
      </c>
      <c r="F245" s="7">
        <v>-0.26613616753976499</v>
      </c>
      <c r="G245" s="7">
        <v>15.448591</v>
      </c>
      <c r="H245" s="7">
        <v>-0.13839043309631599</v>
      </c>
      <c r="I245" s="7">
        <v>15.09</v>
      </c>
      <c r="J245" s="7">
        <v>15.09</v>
      </c>
      <c r="K245" s="7">
        <v>14.83</v>
      </c>
      <c r="L245" s="7">
        <v>-3.1027795733678101</v>
      </c>
    </row>
    <row r="246" spans="1:12" ht="15" customHeight="1" x14ac:dyDescent="0.2">
      <c r="A246" s="3">
        <v>45695</v>
      </c>
      <c r="B246" s="4">
        <v>15.03</v>
      </c>
      <c r="C246" s="5">
        <v>51358754</v>
      </c>
      <c r="D246" s="4">
        <v>9.9999999999999603E-2</v>
      </c>
      <c r="E246" s="4">
        <v>0.66979236436703804</v>
      </c>
      <c r="F246" s="4">
        <v>0.66979030537690498</v>
      </c>
      <c r="G246" s="4">
        <v>15.489815</v>
      </c>
      <c r="H246" s="4">
        <v>0.12808661926308601</v>
      </c>
      <c r="I246" s="4">
        <v>14.96</v>
      </c>
      <c r="J246" s="4">
        <v>15.1</v>
      </c>
      <c r="K246" s="4">
        <v>14.81</v>
      </c>
      <c r="L246" s="4">
        <v>-2.8442146089204901</v>
      </c>
    </row>
    <row r="247" spans="1:12" ht="15" customHeight="1" x14ac:dyDescent="0.2">
      <c r="A247" s="6">
        <v>45694</v>
      </c>
      <c r="B247" s="7">
        <v>14.93</v>
      </c>
      <c r="C247" s="8">
        <v>77414625</v>
      </c>
      <c r="D247" s="7">
        <v>0.33</v>
      </c>
      <c r="E247" s="7">
        <v>2.2602739726027301</v>
      </c>
      <c r="F247" s="7">
        <v>2.2602757023817799</v>
      </c>
      <c r="G247" s="7">
        <v>15.386756</v>
      </c>
      <c r="H247" s="7">
        <v>-0.53809954751131495</v>
      </c>
      <c r="I247" s="7">
        <v>14.63</v>
      </c>
      <c r="J247" s="7">
        <v>14.99</v>
      </c>
      <c r="K247" s="7">
        <v>14.43</v>
      </c>
      <c r="L247" s="7">
        <v>-3.4906270200387901</v>
      </c>
    </row>
    <row r="248" spans="1:12" ht="15" customHeight="1" x14ac:dyDescent="0.2">
      <c r="A248" s="3">
        <v>45693</v>
      </c>
      <c r="B248" s="4">
        <v>14.6</v>
      </c>
      <c r="C248" s="5">
        <v>64456450</v>
      </c>
      <c r="D248" s="4">
        <v>-6.0000000000000497E-2</v>
      </c>
      <c r="E248" s="4">
        <v>-0.40927694406548398</v>
      </c>
      <c r="F248" s="4">
        <v>-0.40927965298466201</v>
      </c>
      <c r="G248" s="4">
        <v>15.046659999999999</v>
      </c>
      <c r="H248" s="4">
        <v>-2.7365223012281898</v>
      </c>
      <c r="I248" s="4">
        <v>14.7</v>
      </c>
      <c r="J248" s="4">
        <v>14.83</v>
      </c>
      <c r="K248" s="4">
        <v>14.53</v>
      </c>
      <c r="L248" s="4">
        <v>-5.6237879767291501</v>
      </c>
    </row>
    <row r="249" spans="1:12" ht="15" customHeight="1" x14ac:dyDescent="0.2">
      <c r="A249" s="6">
        <v>45692</v>
      </c>
      <c r="B249" s="7">
        <v>14.66</v>
      </c>
      <c r="C249" s="8">
        <v>76522850</v>
      </c>
      <c r="D249" s="7">
        <v>0.189999999999999</v>
      </c>
      <c r="E249" s="7">
        <v>1.31306150656529</v>
      </c>
      <c r="F249" s="7">
        <v>1.3130601209366599</v>
      </c>
      <c r="G249" s="7">
        <v>15.108496000000001</v>
      </c>
      <c r="H249" s="7">
        <v>-2.3368067226890701</v>
      </c>
      <c r="I249" s="7">
        <v>14.55</v>
      </c>
      <c r="J249" s="7">
        <v>14.79</v>
      </c>
      <c r="K249" s="7">
        <v>14.46</v>
      </c>
      <c r="L249" s="7">
        <v>-5.2359405300581798</v>
      </c>
    </row>
    <row r="250" spans="1:12" ht="15" customHeight="1" x14ac:dyDescent="0.2">
      <c r="A250" s="3">
        <v>45688</v>
      </c>
      <c r="B250" s="4">
        <v>14.47</v>
      </c>
      <c r="C250" s="5">
        <v>64033980</v>
      </c>
      <c r="D250" s="4">
        <v>-0.28999999999999898</v>
      </c>
      <c r="E250" s="4">
        <v>-1.96476964769647</v>
      </c>
      <c r="F250" s="4">
        <v>-1.9647694806753899</v>
      </c>
      <c r="G250" s="4">
        <v>14.9126835</v>
      </c>
      <c r="H250" s="4">
        <v>-3.6025630252100802</v>
      </c>
      <c r="I250" s="4">
        <v>14.83</v>
      </c>
      <c r="J250" s="4">
        <v>14.83</v>
      </c>
      <c r="K250" s="4">
        <v>14.43</v>
      </c>
      <c r="L250" s="4">
        <v>-6.4641241111829304</v>
      </c>
    </row>
    <row r="251" spans="1:12" ht="15" customHeight="1" x14ac:dyDescent="0.2">
      <c r="A251" s="6">
        <v>45687</v>
      </c>
      <c r="B251" s="7">
        <v>14.76</v>
      </c>
      <c r="C251" s="8">
        <v>49680280</v>
      </c>
      <c r="D251" s="7">
        <v>4.9999999999998899E-2</v>
      </c>
      <c r="E251" s="7">
        <v>0.33990482664853999</v>
      </c>
      <c r="F251" s="7">
        <v>0.33990377061356902</v>
      </c>
      <c r="G251" s="7">
        <v>15.211555499999999</v>
      </c>
      <c r="H251" s="7">
        <v>-1.6706173238526201</v>
      </c>
      <c r="I251" s="7">
        <v>14.75</v>
      </c>
      <c r="J251" s="7">
        <v>14.88</v>
      </c>
      <c r="K251" s="7">
        <v>14.6</v>
      </c>
      <c r="L251" s="7">
        <v>-4.5895281189398798</v>
      </c>
    </row>
    <row r="252" spans="1:12" ht="15" customHeight="1" x14ac:dyDescent="0.2">
      <c r="A252" s="3">
        <v>45686</v>
      </c>
      <c r="B252" s="4">
        <v>14.71</v>
      </c>
      <c r="C252" s="5">
        <v>53209420</v>
      </c>
      <c r="D252" s="4">
        <v>0.14000000000000001</v>
      </c>
      <c r="E252" s="4">
        <v>0.96087851750172804</v>
      </c>
      <c r="F252" s="4">
        <v>0.96088491664281195</v>
      </c>
      <c r="G252" s="4">
        <v>15.160026</v>
      </c>
      <c r="H252" s="4">
        <v>-2.00371040723982</v>
      </c>
      <c r="I252" s="4">
        <v>14.57</v>
      </c>
      <c r="J252" s="4">
        <v>14.76</v>
      </c>
      <c r="K252" s="4">
        <v>14.52</v>
      </c>
      <c r="L252" s="4">
        <v>-4.91273432449902</v>
      </c>
    </row>
    <row r="253" spans="1:12" ht="15" customHeight="1" x14ac:dyDescent="0.2">
      <c r="A253" s="6">
        <v>45685</v>
      </c>
      <c r="B253" s="7">
        <v>14.57</v>
      </c>
      <c r="C253" s="8">
        <v>56793633</v>
      </c>
      <c r="D253" s="7">
        <v>-4.9999999999998899E-2</v>
      </c>
      <c r="E253" s="7">
        <v>-0.34199726402187602</v>
      </c>
      <c r="F253" s="7">
        <v>-0.34199953382404402</v>
      </c>
      <c r="G253" s="7">
        <v>15.015741999999999</v>
      </c>
      <c r="H253" s="7">
        <v>-2.9363800904977402</v>
      </c>
      <c r="I253" s="7">
        <v>14.62</v>
      </c>
      <c r="J253" s="7">
        <v>14.78</v>
      </c>
      <c r="K253" s="7">
        <v>14.51</v>
      </c>
      <c r="L253" s="7">
        <v>-5.8177117000646401</v>
      </c>
    </row>
    <row r="254" spans="1:12" ht="15" customHeight="1" x14ac:dyDescent="0.2">
      <c r="A254" s="3">
        <v>45684</v>
      </c>
      <c r="B254" s="4">
        <v>14.62</v>
      </c>
      <c r="C254" s="5">
        <v>42710760</v>
      </c>
      <c r="D254" s="4">
        <v>0.23999999999999799</v>
      </c>
      <c r="E254" s="4">
        <v>1.6689847009735601</v>
      </c>
      <c r="F254" s="4">
        <v>1.6689822421563401</v>
      </c>
      <c r="G254" s="4">
        <v>15.067272000000001</v>
      </c>
      <c r="H254" s="4">
        <v>-2.6032837750484701</v>
      </c>
      <c r="I254" s="4">
        <v>14.3</v>
      </c>
      <c r="J254" s="4">
        <v>14.67</v>
      </c>
      <c r="K254" s="4">
        <v>14.3</v>
      </c>
      <c r="L254" s="4">
        <v>-5.4945054945054999</v>
      </c>
    </row>
    <row r="255" spans="1:12" ht="15" customHeight="1" x14ac:dyDescent="0.2">
      <c r="A255" s="6">
        <v>45681</v>
      </c>
      <c r="B255" s="7">
        <v>14.38</v>
      </c>
      <c r="C255" s="8">
        <v>62641870</v>
      </c>
      <c r="D255" s="7">
        <v>-6.9999999999998494E-2</v>
      </c>
      <c r="E255" s="7">
        <v>-0.48442906574392902</v>
      </c>
      <c r="F255" s="7">
        <v>-0.48442557116468099</v>
      </c>
      <c r="G255" s="7">
        <v>14.819929999999999</v>
      </c>
      <c r="H255" s="7">
        <v>-4.2021331609566897</v>
      </c>
      <c r="I255" s="7">
        <v>14.47</v>
      </c>
      <c r="J255" s="7">
        <v>14.51</v>
      </c>
      <c r="K255" s="7">
        <v>14.32</v>
      </c>
      <c r="L255" s="7">
        <v>-7.0458952811893898</v>
      </c>
    </row>
    <row r="256" spans="1:12" ht="15" customHeight="1" x14ac:dyDescent="0.2">
      <c r="A256" s="3">
        <v>45680</v>
      </c>
      <c r="B256" s="4">
        <v>14.45</v>
      </c>
      <c r="C256" s="5">
        <v>69143990</v>
      </c>
      <c r="D256" s="4">
        <v>-0.08</v>
      </c>
      <c r="E256" s="4">
        <v>-0.55058499655884496</v>
      </c>
      <c r="F256" s="4">
        <v>-0.55058863660328805</v>
      </c>
      <c r="G256" s="4">
        <v>14.892071</v>
      </c>
      <c r="H256" s="4">
        <v>-3.7358047834518402</v>
      </c>
      <c r="I256" s="4">
        <v>14.59</v>
      </c>
      <c r="J256" s="4">
        <v>14.6</v>
      </c>
      <c r="K256" s="4">
        <v>14.31</v>
      </c>
      <c r="L256" s="4">
        <v>-6.5934065934066002</v>
      </c>
    </row>
    <row r="257" spans="1:12" ht="15" customHeight="1" x14ac:dyDescent="0.2">
      <c r="A257" s="6">
        <v>45679</v>
      </c>
      <c r="B257" s="7">
        <v>14.53</v>
      </c>
      <c r="C257" s="8">
        <v>82726630</v>
      </c>
      <c r="D257" s="7">
        <v>0.25</v>
      </c>
      <c r="E257" s="7">
        <v>1.7507002801120299</v>
      </c>
      <c r="F257" s="7">
        <v>1.7507051431452501</v>
      </c>
      <c r="G257" s="7">
        <v>14.974519000000001</v>
      </c>
      <c r="H257" s="7">
        <v>-3.20285067873303</v>
      </c>
      <c r="I257" s="7">
        <v>14.34</v>
      </c>
      <c r="J257" s="7">
        <v>14.78</v>
      </c>
      <c r="K257" s="7">
        <v>14.1</v>
      </c>
      <c r="L257" s="7">
        <v>-6.0762766645119601</v>
      </c>
    </row>
    <row r="258" spans="1:12" ht="15" customHeight="1" x14ac:dyDescent="0.2">
      <c r="A258" s="3">
        <v>45678</v>
      </c>
      <c r="B258" s="4">
        <v>14.28</v>
      </c>
      <c r="C258" s="5">
        <v>44981207</v>
      </c>
      <c r="D258" s="4">
        <v>-0.14000000000000001</v>
      </c>
      <c r="E258" s="4">
        <v>-0.970873786407766</v>
      </c>
      <c r="F258" s="4">
        <v>-0.970880188712131</v>
      </c>
      <c r="G258" s="4">
        <v>14.71687</v>
      </c>
      <c r="H258" s="4">
        <v>-4.8683257918551996</v>
      </c>
      <c r="I258" s="4">
        <v>14.34</v>
      </c>
      <c r="J258" s="4">
        <v>14.37</v>
      </c>
      <c r="K258" s="4">
        <v>14.19</v>
      </c>
      <c r="L258" s="4">
        <v>-7.6923076923076996</v>
      </c>
    </row>
    <row r="259" spans="1:12" ht="15" customHeight="1" x14ac:dyDescent="0.2">
      <c r="A259" s="6">
        <v>45677</v>
      </c>
      <c r="B259" s="7">
        <v>14.42</v>
      </c>
      <c r="C259" s="8">
        <v>5220353</v>
      </c>
      <c r="D259" s="7">
        <v>0.15</v>
      </c>
      <c r="E259" s="7">
        <v>1.0511562718990799</v>
      </c>
      <c r="F259" s="7">
        <v>1.05115640531967</v>
      </c>
      <c r="G259" s="7">
        <v>14.861154000000001</v>
      </c>
      <c r="H259" s="7">
        <v>-3.9356561085972799</v>
      </c>
      <c r="I259" s="7">
        <v>14.23</v>
      </c>
      <c r="J259" s="7">
        <v>14.54</v>
      </c>
      <c r="K259" s="7">
        <v>14.23</v>
      </c>
      <c r="L259" s="7">
        <v>-6.7873303167420804</v>
      </c>
    </row>
    <row r="260" spans="1:12" ht="15" customHeight="1" x14ac:dyDescent="0.2">
      <c r="A260" s="3">
        <v>45674</v>
      </c>
      <c r="B260" s="4">
        <v>14.27</v>
      </c>
      <c r="C260" s="5">
        <v>49798620</v>
      </c>
      <c r="D260" s="4">
        <v>-0.17999999999999899</v>
      </c>
      <c r="E260" s="4">
        <v>-1.24567474048442</v>
      </c>
      <c r="F260" s="4">
        <v>-1.2456695915564699</v>
      </c>
      <c r="G260" s="4">
        <v>14.706564999999999</v>
      </c>
      <c r="H260" s="4">
        <v>-4.9349385908209502</v>
      </c>
      <c r="I260" s="4">
        <v>14.39</v>
      </c>
      <c r="J260" s="4">
        <v>14.53</v>
      </c>
      <c r="K260" s="4">
        <v>14.24</v>
      </c>
      <c r="L260" s="4">
        <v>-7.7569489334195199</v>
      </c>
    </row>
    <row r="261" spans="1:12" ht="15" customHeight="1" x14ac:dyDescent="0.2">
      <c r="A261" s="6">
        <v>45673</v>
      </c>
      <c r="B261" s="7">
        <v>14.45</v>
      </c>
      <c r="C261" s="8">
        <v>61354090</v>
      </c>
      <c r="D261" s="7">
        <v>9.9999999999997799E-3</v>
      </c>
      <c r="E261" s="7">
        <v>6.9252077562320602E-2</v>
      </c>
      <c r="F261" s="7">
        <v>6.9259262544418804E-2</v>
      </c>
      <c r="G261" s="7">
        <v>14.892071</v>
      </c>
      <c r="H261" s="7">
        <v>-3.7358047834518402</v>
      </c>
      <c r="I261" s="7">
        <v>14.45</v>
      </c>
      <c r="J261" s="7">
        <v>14.52</v>
      </c>
      <c r="K261" s="7">
        <v>14.3</v>
      </c>
      <c r="L261" s="7">
        <v>-6.5934065934066002</v>
      </c>
    </row>
    <row r="262" spans="1:12" ht="15" customHeight="1" x14ac:dyDescent="0.2">
      <c r="A262" s="3">
        <v>45672</v>
      </c>
      <c r="B262" s="4">
        <v>14.44</v>
      </c>
      <c r="C262" s="5">
        <v>65118434</v>
      </c>
      <c r="D262" s="4">
        <v>0.109999999999999</v>
      </c>
      <c r="E262" s="4">
        <v>0.76762037683182305</v>
      </c>
      <c r="F262" s="4">
        <v>0.76761192817096302</v>
      </c>
      <c r="G262" s="4">
        <v>14.881764</v>
      </c>
      <c r="H262" s="4">
        <v>-3.8024305106658001</v>
      </c>
      <c r="I262" s="4">
        <v>14.26</v>
      </c>
      <c r="J262" s="4">
        <v>14.47</v>
      </c>
      <c r="K262" s="4">
        <v>14.26</v>
      </c>
      <c r="L262" s="4">
        <v>-6.6580478345184302</v>
      </c>
    </row>
    <row r="263" spans="1:12" ht="15" customHeight="1" x14ac:dyDescent="0.2">
      <c r="A263" s="6">
        <v>45671</v>
      </c>
      <c r="B263" s="7">
        <v>14.33</v>
      </c>
      <c r="C263" s="8">
        <v>45593240</v>
      </c>
      <c r="D263" s="7">
        <v>-0.08</v>
      </c>
      <c r="E263" s="7">
        <v>-0.55517002081887301</v>
      </c>
      <c r="F263" s="7">
        <v>-0.555166988118593</v>
      </c>
      <c r="G263" s="7">
        <v>14.7684</v>
      </c>
      <c r="H263" s="7">
        <v>-4.5352294764059504</v>
      </c>
      <c r="I263" s="7">
        <v>14.36</v>
      </c>
      <c r="J263" s="7">
        <v>14.49</v>
      </c>
      <c r="K263" s="7">
        <v>14.24</v>
      </c>
      <c r="L263" s="7">
        <v>-7.3691014867485398</v>
      </c>
    </row>
    <row r="264" spans="1:12" ht="15" customHeight="1" x14ac:dyDescent="0.2">
      <c r="A264" s="3">
        <v>45670</v>
      </c>
      <c r="B264" s="4">
        <v>14.41</v>
      </c>
      <c r="C264" s="5">
        <v>50756520</v>
      </c>
      <c r="D264" s="4">
        <v>0.15</v>
      </c>
      <c r="E264" s="4">
        <v>1.05189340813465</v>
      </c>
      <c r="F264" s="4">
        <v>1.05188674206135</v>
      </c>
      <c r="G264" s="4">
        <v>14.850847</v>
      </c>
      <c r="H264" s="4">
        <v>-4.0022818358112504</v>
      </c>
      <c r="I264" s="4">
        <v>14.33</v>
      </c>
      <c r="J264" s="4">
        <v>14.45</v>
      </c>
      <c r="K264" s="4">
        <v>14.23</v>
      </c>
      <c r="L264" s="4">
        <v>-6.8519715578539104</v>
      </c>
    </row>
    <row r="265" spans="1:12" ht="15" customHeight="1" x14ac:dyDescent="0.2">
      <c r="A265" s="6">
        <v>45667</v>
      </c>
      <c r="B265" s="7">
        <v>14.26</v>
      </c>
      <c r="C265" s="8">
        <v>43424140</v>
      </c>
      <c r="D265" s="7"/>
      <c r="E265" s="7"/>
      <c r="F265" s="7"/>
      <c r="G265" s="7">
        <v>14.696259</v>
      </c>
      <c r="H265" s="7">
        <v>-5.0015578539107999</v>
      </c>
      <c r="I265" s="7">
        <v>14.26</v>
      </c>
      <c r="J265" s="7">
        <v>14.38</v>
      </c>
      <c r="K265" s="7">
        <v>14.18</v>
      </c>
      <c r="L265" s="7">
        <v>-7.8215901745313499</v>
      </c>
    </row>
    <row r="266" spans="1:12" ht="15" customHeight="1" x14ac:dyDescent="0.2">
      <c r="A266" s="3">
        <v>45666</v>
      </c>
      <c r="B266" s="4">
        <v>14.26</v>
      </c>
      <c r="C266" s="5">
        <v>15550750</v>
      </c>
      <c r="D266" s="4">
        <v>9.9999999999997799E-3</v>
      </c>
      <c r="E266" s="4">
        <v>7.0175438596487005E-2</v>
      </c>
      <c r="F266" s="4">
        <v>7.0182716108568799E-2</v>
      </c>
      <c r="G266" s="4">
        <v>14.696259</v>
      </c>
      <c r="H266" s="4">
        <v>-5.0015578539107999</v>
      </c>
      <c r="I266" s="4">
        <v>14.39</v>
      </c>
      <c r="J266" s="4">
        <v>14.59</v>
      </c>
      <c r="K266" s="4">
        <v>14.23</v>
      </c>
      <c r="L266" s="4">
        <v>-7.8215901745313499</v>
      </c>
    </row>
    <row r="267" spans="1:12" ht="15" customHeight="1" x14ac:dyDescent="0.2">
      <c r="A267" s="6">
        <v>45665</v>
      </c>
      <c r="B267" s="7">
        <v>14.25</v>
      </c>
      <c r="C267" s="8">
        <v>50177500</v>
      </c>
      <c r="D267" s="7">
        <v>-0.42999999999999899</v>
      </c>
      <c r="E267" s="7">
        <v>-2.9291553133514898</v>
      </c>
      <c r="F267" s="7">
        <v>-2.9291550386946001</v>
      </c>
      <c r="G267" s="7">
        <v>14.685952</v>
      </c>
      <c r="H267" s="7">
        <v>-5.0681835811247504</v>
      </c>
      <c r="I267" s="7">
        <v>14.71</v>
      </c>
      <c r="J267" s="7">
        <v>14.71</v>
      </c>
      <c r="K267" s="7">
        <v>14.22</v>
      </c>
      <c r="L267" s="7">
        <v>-7.8862314156431799</v>
      </c>
    </row>
    <row r="268" spans="1:12" ht="15" customHeight="1" x14ac:dyDescent="0.2">
      <c r="A268" s="3">
        <v>45664</v>
      </c>
      <c r="B268" s="4">
        <v>14.68</v>
      </c>
      <c r="C268" s="5">
        <v>44042168</v>
      </c>
      <c r="D268" s="4">
        <v>0.24</v>
      </c>
      <c r="E268" s="4">
        <v>1.6620498614958501</v>
      </c>
      <c r="F268" s="4">
        <v>1.6620543102282701</v>
      </c>
      <c r="G268" s="4">
        <v>15.129106999999999</v>
      </c>
      <c r="H268" s="4">
        <v>-2.2035746606334898</v>
      </c>
      <c r="I268" s="4">
        <v>14.51</v>
      </c>
      <c r="J268" s="4">
        <v>14.83</v>
      </c>
      <c r="K268" s="4">
        <v>14.46</v>
      </c>
      <c r="L268" s="4">
        <v>-5.1066580478345198</v>
      </c>
    </row>
    <row r="269" spans="1:12" ht="15" customHeight="1" x14ac:dyDescent="0.2">
      <c r="A269" s="6">
        <v>45663</v>
      </c>
      <c r="B269" s="7">
        <v>14.44</v>
      </c>
      <c r="C269" s="8">
        <v>36783793</v>
      </c>
      <c r="D269" s="7">
        <v>1.9999999999999501E-2</v>
      </c>
      <c r="E269" s="7">
        <v>0.13869625520110901</v>
      </c>
      <c r="F269" s="7">
        <v>0.13868371191092499</v>
      </c>
      <c r="G269" s="7">
        <v>14.881764</v>
      </c>
      <c r="H269" s="7">
        <v>-3.8024305106658001</v>
      </c>
      <c r="I269" s="7">
        <v>14.49</v>
      </c>
      <c r="J269" s="7">
        <v>14.64</v>
      </c>
      <c r="K269" s="7">
        <v>14.31</v>
      </c>
      <c r="L269" s="7">
        <v>-6.6580478345184302</v>
      </c>
    </row>
    <row r="270" spans="1:12" ht="15" customHeight="1" x14ac:dyDescent="0.2">
      <c r="A270" s="3">
        <v>45660</v>
      </c>
      <c r="B270" s="4">
        <v>14.42</v>
      </c>
      <c r="C270" s="5">
        <v>24023810</v>
      </c>
      <c r="D270" s="4">
        <v>-0.42999999999999899</v>
      </c>
      <c r="E270" s="4">
        <v>-2.89562289562289</v>
      </c>
      <c r="F270" s="4">
        <v>-2.8956224028147699</v>
      </c>
      <c r="G270" s="4">
        <v>14.861154000000001</v>
      </c>
      <c r="H270" s="4">
        <v>-3.9356561085972799</v>
      </c>
      <c r="I270" s="4">
        <v>14.77</v>
      </c>
      <c r="J270" s="4">
        <v>14.89</v>
      </c>
      <c r="K270" s="4">
        <v>14.4</v>
      </c>
      <c r="L270" s="4">
        <v>-6.7873303167420804</v>
      </c>
    </row>
    <row r="271" spans="1:12" ht="15" customHeight="1" x14ac:dyDescent="0.2">
      <c r="A271" s="6">
        <v>45659</v>
      </c>
      <c r="B271" s="7">
        <v>14.85</v>
      </c>
      <c r="C271" s="8">
        <v>21321780</v>
      </c>
      <c r="D271" s="7">
        <v>-9.9999999999999603E-2</v>
      </c>
      <c r="E271" s="7">
        <v>-0.668896321070233</v>
      </c>
      <c r="F271" s="7">
        <v>-0.668894258902619</v>
      </c>
      <c r="G271" s="7">
        <v>15.304309</v>
      </c>
      <c r="H271" s="7">
        <v>-1.07104718810601</v>
      </c>
      <c r="I271" s="7">
        <v>15.02</v>
      </c>
      <c r="J271" s="7">
        <v>15.12</v>
      </c>
      <c r="K271" s="7">
        <v>14.78</v>
      </c>
      <c r="L271" s="7">
        <v>-4.0077569489334204</v>
      </c>
    </row>
    <row r="272" spans="1:12" ht="15" customHeight="1" x14ac:dyDescent="0.2">
      <c r="A272" s="3">
        <v>45657</v>
      </c>
      <c r="B272" s="4">
        <v>14.95</v>
      </c>
      <c r="C272" s="5">
        <v>17978760</v>
      </c>
      <c r="D272" s="4">
        <v>0.31999999999999801</v>
      </c>
      <c r="E272" s="4">
        <v>2.1872863978126902</v>
      </c>
      <c r="F272" s="4">
        <v>2.1872876399644499</v>
      </c>
      <c r="G272" s="4">
        <v>15.407368</v>
      </c>
      <c r="H272" s="4">
        <v>-0.404861021331614</v>
      </c>
      <c r="I272" s="4">
        <v>14.7</v>
      </c>
      <c r="J272" s="4">
        <v>15.05</v>
      </c>
      <c r="K272" s="4">
        <v>14.69</v>
      </c>
      <c r="L272" s="4">
        <v>-3.3613445378151301</v>
      </c>
    </row>
    <row r="273" spans="1:12" ht="15" customHeight="1" x14ac:dyDescent="0.2">
      <c r="A273" s="6">
        <v>45656</v>
      </c>
      <c r="B273" s="7">
        <v>14.63</v>
      </c>
      <c r="C273" s="8">
        <v>29304340</v>
      </c>
      <c r="D273" s="7">
        <v>-0.149999999999998</v>
      </c>
      <c r="E273" s="7">
        <v>-1.0148849797022901</v>
      </c>
      <c r="F273" s="7">
        <v>-1.01487864562399</v>
      </c>
      <c r="G273" s="7">
        <v>15.077578000000001</v>
      </c>
      <c r="H273" s="7">
        <v>-2.53666451195862</v>
      </c>
      <c r="I273" s="7">
        <v>14.77</v>
      </c>
      <c r="J273" s="7">
        <v>14.82</v>
      </c>
      <c r="K273" s="7">
        <v>14.61</v>
      </c>
      <c r="L273" s="7">
        <v>-5.4298642533936601</v>
      </c>
    </row>
    <row r="274" spans="1:12" ht="15" customHeight="1" x14ac:dyDescent="0.2">
      <c r="A274" s="3">
        <v>45653</v>
      </c>
      <c r="B274" s="4">
        <v>14.78</v>
      </c>
      <c r="C274" s="5">
        <v>35591870</v>
      </c>
      <c r="D274" s="4">
        <v>0.119999999999999</v>
      </c>
      <c r="E274" s="4">
        <v>0.81855388813096797</v>
      </c>
      <c r="F274" s="4">
        <v>0.818546068384296</v>
      </c>
      <c r="G274" s="4">
        <v>15.232165999999999</v>
      </c>
      <c r="H274" s="4">
        <v>-1.5373884938590801</v>
      </c>
      <c r="I274" s="4">
        <v>14.65</v>
      </c>
      <c r="J274" s="4">
        <v>14.93</v>
      </c>
      <c r="K274" s="4">
        <v>14.54</v>
      </c>
      <c r="L274" s="4">
        <v>-4.4602456367162304</v>
      </c>
    </row>
    <row r="275" spans="1:12" ht="15" customHeight="1" x14ac:dyDescent="0.2">
      <c r="A275" s="6">
        <v>45652</v>
      </c>
      <c r="B275" s="7">
        <v>14.66</v>
      </c>
      <c r="C275" s="8">
        <v>29848100</v>
      </c>
      <c r="D275" s="7">
        <v>0.33</v>
      </c>
      <c r="E275" s="7">
        <v>2.30286113049547</v>
      </c>
      <c r="F275" s="7">
        <v>2.3028628693697302</v>
      </c>
      <c r="G275" s="7">
        <v>15.108496000000001</v>
      </c>
      <c r="H275" s="7">
        <v>-2.3368067226890701</v>
      </c>
      <c r="I275" s="7">
        <v>14.37</v>
      </c>
      <c r="J275" s="7">
        <v>14.7</v>
      </c>
      <c r="K275" s="7">
        <v>14.23</v>
      </c>
      <c r="L275" s="7">
        <v>-5.2359405300581798</v>
      </c>
    </row>
    <row r="276" spans="1:12" ht="15" customHeight="1" x14ac:dyDescent="0.2">
      <c r="A276" s="3">
        <v>45650</v>
      </c>
      <c r="B276" s="4">
        <v>14.33</v>
      </c>
      <c r="C276" s="5">
        <v>11103680</v>
      </c>
      <c r="D276" s="4">
        <v>0.119999999999999</v>
      </c>
      <c r="E276" s="4">
        <v>0.84447572132300097</v>
      </c>
      <c r="F276" s="4">
        <v>0.84447448634932198</v>
      </c>
      <c r="G276" s="4">
        <v>14.7684</v>
      </c>
      <c r="H276" s="4">
        <v>-4.5352294764059504</v>
      </c>
      <c r="I276" s="4">
        <v>14.28</v>
      </c>
      <c r="J276" s="4">
        <v>14.37</v>
      </c>
      <c r="K276" s="4">
        <v>14.09</v>
      </c>
      <c r="L276" s="4">
        <v>-7.3691014867485398</v>
      </c>
    </row>
    <row r="277" spans="1:12" ht="15" customHeight="1" x14ac:dyDescent="0.2">
      <c r="A277" s="6">
        <v>45649</v>
      </c>
      <c r="B277" s="7">
        <v>14.21</v>
      </c>
      <c r="C277" s="8">
        <v>26159110</v>
      </c>
      <c r="D277" s="7">
        <v>-0.13999999999999799</v>
      </c>
      <c r="E277" s="7">
        <v>-0.97560975609754996</v>
      </c>
      <c r="F277" s="7">
        <v>-0.97560945923905695</v>
      </c>
      <c r="G277" s="7">
        <v>14.644729</v>
      </c>
      <c r="H277" s="7">
        <v>-5.33465416936005</v>
      </c>
      <c r="I277" s="7">
        <v>14.37</v>
      </c>
      <c r="J277" s="7">
        <v>14.47</v>
      </c>
      <c r="K277" s="7">
        <v>14.09</v>
      </c>
      <c r="L277" s="7">
        <v>-8.1447963800904901</v>
      </c>
    </row>
    <row r="278" spans="1:12" ht="15" customHeight="1" x14ac:dyDescent="0.2">
      <c r="A278" s="3">
        <v>45646</v>
      </c>
      <c r="B278" s="4">
        <v>14.35</v>
      </c>
      <c r="C278" s="5">
        <v>146492000</v>
      </c>
      <c r="D278" s="4">
        <v>-0.189999999999999</v>
      </c>
      <c r="E278" s="4">
        <v>-1.30674002751031</v>
      </c>
      <c r="F278" s="4">
        <v>-1.30673540109647</v>
      </c>
      <c r="G278" s="4">
        <v>14.789012</v>
      </c>
      <c r="H278" s="4">
        <v>-4.4019909502262502</v>
      </c>
      <c r="I278" s="4">
        <v>14.52</v>
      </c>
      <c r="J278" s="4">
        <v>14.53</v>
      </c>
      <c r="K278" s="4">
        <v>14.2</v>
      </c>
      <c r="L278" s="4">
        <v>-7.2398190045248896</v>
      </c>
    </row>
    <row r="279" spans="1:12" ht="15" customHeight="1" x14ac:dyDescent="0.2">
      <c r="A279" s="6">
        <v>45645</v>
      </c>
      <c r="B279" s="7">
        <v>14.54</v>
      </c>
      <c r="C279" s="8">
        <v>49565090</v>
      </c>
      <c r="D279" s="7">
        <v>-0.13</v>
      </c>
      <c r="E279" s="7">
        <v>-0.88616223585549203</v>
      </c>
      <c r="F279" s="7">
        <v>-0.88616809718125</v>
      </c>
      <c r="G279" s="7">
        <v>14.984824</v>
      </c>
      <c r="H279" s="7">
        <v>-3.1362378797672901</v>
      </c>
      <c r="I279" s="7">
        <v>14.75</v>
      </c>
      <c r="J279" s="7">
        <v>14.95</v>
      </c>
      <c r="K279" s="7">
        <v>14.49</v>
      </c>
      <c r="L279" s="7">
        <v>-6.0116354234001301</v>
      </c>
    </row>
    <row r="280" spans="1:12" ht="15" customHeight="1" x14ac:dyDescent="0.2">
      <c r="A280" s="3">
        <v>45644</v>
      </c>
      <c r="B280" s="4">
        <v>14.67</v>
      </c>
      <c r="C280" s="5">
        <v>81377590</v>
      </c>
      <c r="D280" s="4">
        <v>-0.44999999999999901</v>
      </c>
      <c r="E280" s="4">
        <v>-2.9761904761904701</v>
      </c>
      <c r="F280" s="4">
        <v>-2.9761846699465599</v>
      </c>
      <c r="G280" s="4">
        <v>15.118802000000001</v>
      </c>
      <c r="H280" s="4">
        <v>-2.27018745959922</v>
      </c>
      <c r="I280" s="4">
        <v>15.02</v>
      </c>
      <c r="J280" s="4">
        <v>15.07</v>
      </c>
      <c r="K280" s="4">
        <v>14.63</v>
      </c>
      <c r="L280" s="4">
        <v>-5.1712992889463498</v>
      </c>
    </row>
    <row r="281" spans="1:12" ht="15" customHeight="1" x14ac:dyDescent="0.2">
      <c r="A281" s="6">
        <v>45643</v>
      </c>
      <c r="B281" s="7">
        <v>15.12</v>
      </c>
      <c r="C281" s="8">
        <v>111148900</v>
      </c>
      <c r="D281" s="7">
        <v>0.35999999999999899</v>
      </c>
      <c r="E281" s="7">
        <v>2.4390243902439002</v>
      </c>
      <c r="F281" s="7">
        <v>2.4390174956137902</v>
      </c>
      <c r="G281" s="7">
        <v>15.582568</v>
      </c>
      <c r="H281" s="7">
        <v>0.72765352294763697</v>
      </c>
      <c r="I281" s="7">
        <v>14.83</v>
      </c>
      <c r="J281" s="7">
        <v>15.17</v>
      </c>
      <c r="K281" s="7">
        <v>14.66</v>
      </c>
      <c r="L281" s="7">
        <v>-2.2624434389140302</v>
      </c>
    </row>
    <row r="282" spans="1:12" ht="15" customHeight="1" x14ac:dyDescent="0.2">
      <c r="A282" s="3">
        <v>45642</v>
      </c>
      <c r="B282" s="4">
        <v>14.76</v>
      </c>
      <c r="C282" s="5">
        <v>85069850</v>
      </c>
      <c r="D282" s="4">
        <v>-0.38</v>
      </c>
      <c r="E282" s="4">
        <v>-2.5099075297225899</v>
      </c>
      <c r="F282" s="4">
        <v>-2.5099080757955701</v>
      </c>
      <c r="G282" s="4">
        <v>15.211555499999999</v>
      </c>
      <c r="H282" s="4">
        <v>-1.6706173238526201</v>
      </c>
      <c r="I282" s="4">
        <v>15.21</v>
      </c>
      <c r="J282" s="4">
        <v>15.21</v>
      </c>
      <c r="K282" s="4">
        <v>14.69</v>
      </c>
      <c r="L282" s="4">
        <v>-4.5895281189398798</v>
      </c>
    </row>
    <row r="283" spans="1:12" ht="15" customHeight="1" x14ac:dyDescent="0.2">
      <c r="A283" s="6">
        <v>45639</v>
      </c>
      <c r="B283" s="7">
        <v>15.14</v>
      </c>
      <c r="C283" s="8">
        <v>71425890</v>
      </c>
      <c r="D283" s="7">
        <v>-0.17999999999999899</v>
      </c>
      <c r="E283" s="7">
        <v>-1.1749347258485601</v>
      </c>
      <c r="F283" s="7">
        <v>-1.174929872256</v>
      </c>
      <c r="G283" s="7">
        <v>15.603180999999999</v>
      </c>
      <c r="H283" s="7">
        <v>0.86089851325144495</v>
      </c>
      <c r="I283" s="7">
        <v>15.2</v>
      </c>
      <c r="J283" s="7">
        <v>15.29</v>
      </c>
      <c r="K283" s="7">
        <v>15</v>
      </c>
      <c r="L283" s="7">
        <v>-2.13316095669036</v>
      </c>
    </row>
    <row r="284" spans="1:12" ht="15" customHeight="1" x14ac:dyDescent="0.2">
      <c r="A284" s="3">
        <v>45637</v>
      </c>
      <c r="B284" s="4">
        <v>15.32</v>
      </c>
      <c r="C284" s="5">
        <v>70342600</v>
      </c>
      <c r="D284" s="4">
        <v>0.13</v>
      </c>
      <c r="E284" s="4">
        <v>0.85582620144832799</v>
      </c>
      <c r="F284" s="4">
        <v>0.85582549916287598</v>
      </c>
      <c r="G284" s="4">
        <v>15.788686999999999</v>
      </c>
      <c r="H284" s="4">
        <v>2.06003232062054</v>
      </c>
      <c r="I284" s="4">
        <v>15.25</v>
      </c>
      <c r="J284" s="4">
        <v>15.35</v>
      </c>
      <c r="K284" s="4">
        <v>14.88</v>
      </c>
      <c r="L284" s="4">
        <v>-0.96961861667744198</v>
      </c>
    </row>
    <row r="285" spans="1:12" ht="15" customHeight="1" x14ac:dyDescent="0.2">
      <c r="A285" s="6">
        <v>45636</v>
      </c>
      <c r="B285" s="7">
        <v>15.19</v>
      </c>
      <c r="C285" s="8">
        <v>56265070</v>
      </c>
      <c r="D285" s="7">
        <v>-8.9999999999999802E-2</v>
      </c>
      <c r="E285" s="7">
        <v>-0.58900523560209095</v>
      </c>
      <c r="F285" s="7">
        <v>-0.58900281270704002</v>
      </c>
      <c r="G285" s="7">
        <v>15.65471</v>
      </c>
      <c r="H285" s="7">
        <v>1.1939883645765901</v>
      </c>
      <c r="I285" s="7">
        <v>15.3</v>
      </c>
      <c r="J285" s="7">
        <v>15.39</v>
      </c>
      <c r="K285" s="7">
        <v>15.11</v>
      </c>
      <c r="L285" s="7">
        <v>-1.80995475113122</v>
      </c>
    </row>
    <row r="286" spans="1:12" ht="15" customHeight="1" x14ac:dyDescent="0.2">
      <c r="A286" s="3">
        <v>45635</v>
      </c>
      <c r="B286" s="4">
        <v>15.28</v>
      </c>
      <c r="C286" s="5">
        <v>64842140</v>
      </c>
      <c r="D286" s="4">
        <v>0.19999999999999901</v>
      </c>
      <c r="E286" s="4">
        <v>1.3262599469495899</v>
      </c>
      <c r="F286" s="4">
        <v>1.3262558678158001</v>
      </c>
      <c r="G286" s="4">
        <v>15.747463</v>
      </c>
      <c r="H286" s="4">
        <v>1.79355526826114</v>
      </c>
      <c r="I286" s="4">
        <v>15.14</v>
      </c>
      <c r="J286" s="4">
        <v>15.41</v>
      </c>
      <c r="K286" s="4">
        <v>15.08</v>
      </c>
      <c r="L286" s="4">
        <v>-1.2281835811247599</v>
      </c>
    </row>
    <row r="287" spans="1:12" ht="15" customHeight="1" x14ac:dyDescent="0.2">
      <c r="A287" s="6">
        <v>45632</v>
      </c>
      <c r="B287" s="7">
        <v>15.08</v>
      </c>
      <c r="C287" s="8">
        <v>60102910</v>
      </c>
      <c r="D287" s="7">
        <v>-0.22</v>
      </c>
      <c r="E287" s="7">
        <v>-1.4379084967320299</v>
      </c>
      <c r="F287" s="7">
        <v>-1.4379116386805799</v>
      </c>
      <c r="G287" s="7">
        <v>15.541345</v>
      </c>
      <c r="H287" s="7">
        <v>0.46118293471234001</v>
      </c>
      <c r="I287" s="7">
        <v>15.3</v>
      </c>
      <c r="J287" s="7">
        <v>15.32</v>
      </c>
      <c r="K287" s="7">
        <v>15.05</v>
      </c>
      <c r="L287" s="7">
        <v>-2.52100840336134</v>
      </c>
    </row>
    <row r="288" spans="1:12" ht="15" customHeight="1" x14ac:dyDescent="0.2">
      <c r="A288" s="3">
        <v>45631</v>
      </c>
      <c r="B288" s="4">
        <v>15.3</v>
      </c>
      <c r="C288" s="5">
        <v>58817047</v>
      </c>
      <c r="D288" s="4">
        <v>-2.9999999999999302E-2</v>
      </c>
      <c r="E288" s="4">
        <v>-0.195694716242655</v>
      </c>
      <c r="F288" s="4">
        <v>-0.195689687311073</v>
      </c>
      <c r="G288" s="4">
        <v>15.768076000000001</v>
      </c>
      <c r="H288" s="4">
        <v>1.92680025856496</v>
      </c>
      <c r="I288" s="4">
        <v>15.33</v>
      </c>
      <c r="J288" s="4">
        <v>15.43</v>
      </c>
      <c r="K288" s="4">
        <v>15.26</v>
      </c>
      <c r="L288" s="4">
        <v>-1.0989010989010899</v>
      </c>
    </row>
    <row r="289" spans="1:12" ht="15" customHeight="1" x14ac:dyDescent="0.2">
      <c r="A289" s="6">
        <v>45630</v>
      </c>
      <c r="B289" s="7">
        <v>15.33</v>
      </c>
      <c r="C289" s="8">
        <v>57116100</v>
      </c>
      <c r="D289" s="7">
        <v>5.0000000000000697E-2</v>
      </c>
      <c r="E289" s="7">
        <v>0.32722513089005201</v>
      </c>
      <c r="F289" s="7">
        <v>0.32722731274237299</v>
      </c>
      <c r="G289" s="7">
        <v>15.798992999999999</v>
      </c>
      <c r="H289" s="7">
        <v>2.1266515837103901</v>
      </c>
      <c r="I289" s="7">
        <v>15.32</v>
      </c>
      <c r="J289" s="7">
        <v>15.57</v>
      </c>
      <c r="K289" s="7">
        <v>15.24</v>
      </c>
      <c r="L289" s="7">
        <v>-0.90497737556561397</v>
      </c>
    </row>
    <row r="290" spans="1:12" ht="15" customHeight="1" x14ac:dyDescent="0.2">
      <c r="A290" s="3">
        <v>45629</v>
      </c>
      <c r="B290" s="4">
        <v>15.28</v>
      </c>
      <c r="C290" s="5">
        <v>68860610</v>
      </c>
      <c r="D290" s="4">
        <v>0.08</v>
      </c>
      <c r="E290" s="4">
        <v>0.52631578947368496</v>
      </c>
      <c r="F290" s="4">
        <v>0.52631290003151099</v>
      </c>
      <c r="G290" s="4">
        <v>15.747463</v>
      </c>
      <c r="H290" s="4">
        <v>1.79355526826114</v>
      </c>
      <c r="I290" s="4">
        <v>15.27</v>
      </c>
      <c r="J290" s="4">
        <v>15.41</v>
      </c>
      <c r="K290" s="4">
        <v>15.11</v>
      </c>
      <c r="L290" s="4">
        <v>-1.2281835811247599</v>
      </c>
    </row>
    <row r="291" spans="1:12" ht="15" customHeight="1" x14ac:dyDescent="0.2">
      <c r="A291" s="6">
        <v>45628</v>
      </c>
      <c r="B291" s="7">
        <v>15.2</v>
      </c>
      <c r="C291" s="8">
        <v>73267330</v>
      </c>
      <c r="D291" s="7">
        <v>-1.0000000000001501E-2</v>
      </c>
      <c r="E291" s="7">
        <v>-6.5746219592388494E-2</v>
      </c>
      <c r="F291" s="7">
        <v>-6.5746655794374206E-2</v>
      </c>
      <c r="G291" s="7">
        <v>15.665016</v>
      </c>
      <c r="H291" s="7">
        <v>1.26060762766644</v>
      </c>
      <c r="I291" s="7">
        <v>15.26</v>
      </c>
      <c r="J291" s="7">
        <v>15.33</v>
      </c>
      <c r="K291" s="7">
        <v>15.03</v>
      </c>
      <c r="L291" s="7">
        <v>-1.7453135100193999</v>
      </c>
    </row>
    <row r="292" spans="1:12" ht="15" customHeight="1" x14ac:dyDescent="0.2">
      <c r="A292" s="3">
        <v>45625</v>
      </c>
      <c r="B292" s="4">
        <v>15.21</v>
      </c>
      <c r="C292" s="5">
        <v>55658727</v>
      </c>
      <c r="D292" s="4">
        <v>2.0000000000001301E-2</v>
      </c>
      <c r="E292" s="4">
        <v>0.13166556945358701</v>
      </c>
      <c r="F292" s="4">
        <v>0.13166644415643</v>
      </c>
      <c r="G292" s="4">
        <v>15.675322</v>
      </c>
      <c r="H292" s="4">
        <v>1.3272268907562901</v>
      </c>
      <c r="I292" s="4">
        <v>15.03</v>
      </c>
      <c r="J292" s="4">
        <v>15.44</v>
      </c>
      <c r="K292" s="4">
        <v>14.88</v>
      </c>
      <c r="L292" s="4">
        <v>-1.6806722689075599</v>
      </c>
    </row>
    <row r="293" spans="1:12" ht="15" customHeight="1" x14ac:dyDescent="0.2">
      <c r="A293" s="6">
        <v>45624</v>
      </c>
      <c r="B293" s="7">
        <v>15.19</v>
      </c>
      <c r="C293" s="8">
        <v>8583798</v>
      </c>
      <c r="D293" s="7">
        <v>-9.9999999999997799E-3</v>
      </c>
      <c r="E293" s="7">
        <v>-6.57894736842079E-2</v>
      </c>
      <c r="F293" s="7">
        <v>-6.5789910460356496E-2</v>
      </c>
      <c r="G293" s="7">
        <v>15.65471</v>
      </c>
      <c r="H293" s="7">
        <v>1.1939883645765901</v>
      </c>
      <c r="I293" s="7">
        <v>15.19</v>
      </c>
      <c r="J293" s="7">
        <v>15.28</v>
      </c>
      <c r="K293" s="7">
        <v>15.03</v>
      </c>
      <c r="L293" s="7">
        <v>-1.80995475113122</v>
      </c>
    </row>
    <row r="294" spans="1:12" ht="15" customHeight="1" x14ac:dyDescent="0.2">
      <c r="A294" s="3">
        <v>45623</v>
      </c>
      <c r="B294" s="4">
        <v>15.2</v>
      </c>
      <c r="C294" s="5">
        <v>70821555</v>
      </c>
      <c r="D294" s="4">
        <v>-0.16</v>
      </c>
      <c r="E294" s="4">
        <v>-1.0416666666666601</v>
      </c>
      <c r="F294" s="4">
        <v>-1.0416610075483601</v>
      </c>
      <c r="G294" s="4">
        <v>15.665016</v>
      </c>
      <c r="H294" s="4">
        <v>1.26060762766644</v>
      </c>
      <c r="I294" s="4">
        <v>15.38</v>
      </c>
      <c r="J294" s="4">
        <v>15.5</v>
      </c>
      <c r="K294" s="4">
        <v>15.14</v>
      </c>
      <c r="L294" s="4">
        <v>-1.7453135100193999</v>
      </c>
    </row>
    <row r="295" spans="1:12" ht="15" customHeight="1" x14ac:dyDescent="0.2">
      <c r="A295" s="6">
        <v>45622</v>
      </c>
      <c r="B295" s="7">
        <v>15.36</v>
      </c>
      <c r="C295" s="8">
        <v>75540980</v>
      </c>
      <c r="D295" s="7">
        <v>0.32</v>
      </c>
      <c r="E295" s="7">
        <v>2.12765957446807</v>
      </c>
      <c r="F295" s="7">
        <v>2.12765435831114</v>
      </c>
      <c r="G295" s="7">
        <v>15.82991</v>
      </c>
      <c r="H295" s="7">
        <v>2.32650290885584</v>
      </c>
      <c r="I295" s="7">
        <v>15.08</v>
      </c>
      <c r="J295" s="7">
        <v>15.45</v>
      </c>
      <c r="K295" s="7">
        <v>15.07</v>
      </c>
      <c r="L295" s="7">
        <v>-0.71105365223012995</v>
      </c>
    </row>
    <row r="296" spans="1:12" ht="15" customHeight="1" x14ac:dyDescent="0.2">
      <c r="A296" s="3">
        <v>45621</v>
      </c>
      <c r="B296" s="4">
        <v>15.04</v>
      </c>
      <c r="C296" s="5">
        <v>206414500</v>
      </c>
      <c r="D296" s="4">
        <v>-0.36000000000000099</v>
      </c>
      <c r="E296" s="4">
        <v>-2.3376623376623402</v>
      </c>
      <c r="F296" s="4">
        <v>-2.3376590481814201</v>
      </c>
      <c r="G296" s="4">
        <v>15.500121</v>
      </c>
      <c r="H296" s="4">
        <v>0.19470588235293701</v>
      </c>
      <c r="I296" s="4">
        <v>15.46</v>
      </c>
      <c r="J296" s="4">
        <v>15.54</v>
      </c>
      <c r="K296" s="4">
        <v>15.01</v>
      </c>
      <c r="L296" s="4">
        <v>-2.7795733678086698</v>
      </c>
    </row>
    <row r="297" spans="1:12" ht="15" customHeight="1" x14ac:dyDescent="0.2">
      <c r="A297" s="6">
        <v>45618</v>
      </c>
      <c r="B297" s="7">
        <v>15.4</v>
      </c>
      <c r="C297" s="8">
        <v>84826270</v>
      </c>
      <c r="D297" s="7">
        <v>-0.13999999999999799</v>
      </c>
      <c r="E297" s="7">
        <v>-0.90090090090089103</v>
      </c>
      <c r="F297" s="7">
        <v>-0.90090067589247902</v>
      </c>
      <c r="G297" s="7">
        <v>15.871134</v>
      </c>
      <c r="H297" s="7">
        <v>2.59297996121524</v>
      </c>
      <c r="I297" s="7">
        <v>15.61</v>
      </c>
      <c r="J297" s="7">
        <v>15.61</v>
      </c>
      <c r="K297" s="7">
        <v>15.36</v>
      </c>
      <c r="L297" s="7">
        <v>-0.45248868778280699</v>
      </c>
    </row>
    <row r="298" spans="1:12" ht="15" customHeight="1" x14ac:dyDescent="0.2">
      <c r="A298" s="3">
        <v>45617</v>
      </c>
      <c r="B298" s="4">
        <v>15.54</v>
      </c>
      <c r="C298" s="5">
        <v>75271110</v>
      </c>
      <c r="D298" s="4">
        <v>0.25</v>
      </c>
      <c r="E298" s="4">
        <v>1.63505559189012</v>
      </c>
      <c r="F298" s="4">
        <v>1.6350473448971401</v>
      </c>
      <c r="G298" s="4">
        <v>16.015416999999999</v>
      </c>
      <c r="H298" s="4">
        <v>3.52564318034905</v>
      </c>
      <c r="I298" s="4">
        <v>15.22</v>
      </c>
      <c r="J298" s="4">
        <v>15.61</v>
      </c>
      <c r="K298" s="4">
        <v>15.21</v>
      </c>
      <c r="L298" s="4">
        <v>0.452488687782795</v>
      </c>
    </row>
    <row r="299" spans="1:12" ht="15" customHeight="1" x14ac:dyDescent="0.2">
      <c r="A299" s="6">
        <v>45616</v>
      </c>
      <c r="B299" s="7">
        <v>15.29</v>
      </c>
      <c r="C299" s="8">
        <v>104095300</v>
      </c>
      <c r="D299" s="7">
        <v>0.149999999999998</v>
      </c>
      <c r="E299" s="7">
        <v>0.99075297225890102</v>
      </c>
      <c r="F299" s="7">
        <v>0.99075310348577506</v>
      </c>
      <c r="G299" s="7">
        <v>15.757770000000001</v>
      </c>
      <c r="H299" s="7">
        <v>1.8601809954751101</v>
      </c>
      <c r="I299" s="7">
        <v>15.21</v>
      </c>
      <c r="J299" s="7">
        <v>15.35</v>
      </c>
      <c r="K299" s="7">
        <v>15.15</v>
      </c>
      <c r="L299" s="7">
        <v>-1.1635423400129301</v>
      </c>
    </row>
    <row r="300" spans="1:12" ht="15" customHeight="1" x14ac:dyDescent="0.2">
      <c r="A300" s="3">
        <v>45615</v>
      </c>
      <c r="B300" s="4">
        <v>15.14</v>
      </c>
      <c r="C300" s="5">
        <v>66672920</v>
      </c>
      <c r="D300" s="4">
        <v>-0.309999999999998</v>
      </c>
      <c r="E300" s="4">
        <v>-2.0064724919093702</v>
      </c>
      <c r="F300" s="4">
        <v>-2.0064670082845399</v>
      </c>
      <c r="G300" s="4">
        <v>15.603180999999999</v>
      </c>
      <c r="H300" s="4">
        <v>0.86089851325144495</v>
      </c>
      <c r="I300" s="4">
        <v>15.4</v>
      </c>
      <c r="J300" s="4">
        <v>15.46</v>
      </c>
      <c r="K300" s="4">
        <v>15.1</v>
      </c>
      <c r="L300" s="4">
        <v>-2.13316095669036</v>
      </c>
    </row>
    <row r="301" spans="1:12" ht="15" customHeight="1" x14ac:dyDescent="0.2">
      <c r="A301" s="6">
        <v>45611</v>
      </c>
      <c r="B301" s="7">
        <v>15.45</v>
      </c>
      <c r="C301" s="8">
        <v>62151207</v>
      </c>
      <c r="D301" s="7">
        <v>2.9999999999999302E-2</v>
      </c>
      <c r="E301" s="7">
        <v>0.19455252918287799</v>
      </c>
      <c r="F301" s="7">
        <v>0.194550674464877</v>
      </c>
      <c r="G301" s="7">
        <v>15.922663999999999</v>
      </c>
      <c r="H301" s="7">
        <v>2.9260762766644999</v>
      </c>
      <c r="I301" s="7">
        <v>15.35</v>
      </c>
      <c r="J301" s="7">
        <v>15.52</v>
      </c>
      <c r="K301" s="7">
        <v>15.35</v>
      </c>
      <c r="L301" s="7">
        <v>-0.12928248222366701</v>
      </c>
    </row>
    <row r="302" spans="1:12" ht="15" customHeight="1" x14ac:dyDescent="0.2">
      <c r="A302" s="3">
        <v>45610</v>
      </c>
      <c r="B302" s="4">
        <v>15.42</v>
      </c>
      <c r="C302" s="5">
        <v>63746240</v>
      </c>
      <c r="D302" s="4">
        <v>-0.27999999999999903</v>
      </c>
      <c r="E302" s="4">
        <v>-1.7834394904458499</v>
      </c>
      <c r="F302" s="4">
        <v>-1.7834420137608</v>
      </c>
      <c r="G302" s="4">
        <v>15.8917465</v>
      </c>
      <c r="H302" s="4">
        <v>2.726221719457</v>
      </c>
      <c r="I302" s="4">
        <v>15.75</v>
      </c>
      <c r="J302" s="4">
        <v>15.75</v>
      </c>
      <c r="K302" s="4">
        <v>15.36</v>
      </c>
      <c r="L302" s="4">
        <v>-0.32320620555915103</v>
      </c>
    </row>
    <row r="303" spans="1:12" ht="15" customHeight="1" x14ac:dyDescent="0.2">
      <c r="A303" s="6">
        <v>45609</v>
      </c>
      <c r="B303" s="7">
        <v>15.7</v>
      </c>
      <c r="C303" s="8">
        <v>63407566</v>
      </c>
      <c r="D303" s="7">
        <v>-3.0000000000001099E-2</v>
      </c>
      <c r="E303" s="7">
        <v>-0.19071837253655799</v>
      </c>
      <c r="F303" s="7">
        <v>-0.19071347454818699</v>
      </c>
      <c r="G303" s="7">
        <v>16.180313000000002</v>
      </c>
      <c r="H303" s="7">
        <v>4.59155138978669</v>
      </c>
      <c r="I303" s="7">
        <v>15.62</v>
      </c>
      <c r="J303" s="7">
        <v>15.8</v>
      </c>
      <c r="K303" s="7">
        <v>15.61</v>
      </c>
      <c r="L303" s="7">
        <v>1.4867485455720599</v>
      </c>
    </row>
    <row r="304" spans="1:12" ht="15" customHeight="1" x14ac:dyDescent="0.2">
      <c r="A304" s="3">
        <v>45608</v>
      </c>
      <c r="B304" s="4">
        <v>15.73</v>
      </c>
      <c r="C304" s="5">
        <v>60963168</v>
      </c>
      <c r="D304" s="4">
        <v>0.08</v>
      </c>
      <c r="E304" s="4">
        <v>0.51118210862619495</v>
      </c>
      <c r="F304" s="4">
        <v>0.51118553155471402</v>
      </c>
      <c r="G304" s="4">
        <v>16.21123</v>
      </c>
      <c r="H304" s="4">
        <v>4.7914027149321203</v>
      </c>
      <c r="I304" s="4">
        <v>15.72</v>
      </c>
      <c r="J304" s="4">
        <v>15.81</v>
      </c>
      <c r="K304" s="4">
        <v>15.53</v>
      </c>
      <c r="L304" s="4">
        <v>1.6806722689075599</v>
      </c>
    </row>
    <row r="305" spans="1:12" ht="15" customHeight="1" x14ac:dyDescent="0.2">
      <c r="A305" s="6">
        <v>45607</v>
      </c>
      <c r="B305" s="7">
        <v>15.65</v>
      </c>
      <c r="C305" s="8">
        <v>46472160</v>
      </c>
      <c r="D305" s="7">
        <v>0.25</v>
      </c>
      <c r="E305" s="7">
        <v>1.62337662337661</v>
      </c>
      <c r="F305" s="7">
        <v>1.6233748640771499</v>
      </c>
      <c r="G305" s="7">
        <v>16.128782000000001</v>
      </c>
      <c r="H305" s="7">
        <v>4.2584486102133097</v>
      </c>
      <c r="I305" s="7">
        <v>15.52</v>
      </c>
      <c r="J305" s="7">
        <v>15.8</v>
      </c>
      <c r="K305" s="7">
        <v>15.45</v>
      </c>
      <c r="L305" s="7">
        <v>1.1635423400129199</v>
      </c>
    </row>
    <row r="306" spans="1:12" ht="15" customHeight="1" x14ac:dyDescent="0.2">
      <c r="A306" s="3">
        <v>45604</v>
      </c>
      <c r="B306" s="4">
        <v>15.4</v>
      </c>
      <c r="C306" s="5">
        <v>52600450</v>
      </c>
      <c r="D306" s="4">
        <v>-0.41999999999999899</v>
      </c>
      <c r="E306" s="4">
        <v>-2.65486725663717</v>
      </c>
      <c r="F306" s="4">
        <v>-1.13779341741854</v>
      </c>
      <c r="G306" s="4">
        <v>15.871134</v>
      </c>
      <c r="H306" s="4">
        <v>2.59297996121524</v>
      </c>
      <c r="I306" s="4">
        <v>15.8</v>
      </c>
      <c r="J306" s="4">
        <v>15.82</v>
      </c>
      <c r="K306" s="4">
        <v>15.33</v>
      </c>
      <c r="L306" s="4">
        <v>-0.45248868778280699</v>
      </c>
    </row>
    <row r="307" spans="1:12" ht="15" customHeight="1" x14ac:dyDescent="0.2">
      <c r="A307" s="6">
        <v>45603</v>
      </c>
      <c r="B307" s="7">
        <v>15.82</v>
      </c>
      <c r="C307" s="8">
        <v>67302970</v>
      </c>
      <c r="D307" s="7">
        <v>-0.41</v>
      </c>
      <c r="E307" s="7">
        <v>-2.52618607516944</v>
      </c>
      <c r="F307" s="7">
        <v>-2.5261854204883001</v>
      </c>
      <c r="G307" s="7">
        <v>16.053792999999999</v>
      </c>
      <c r="H307" s="7">
        <v>3.7737104072398</v>
      </c>
      <c r="I307" s="7">
        <v>16.11</v>
      </c>
      <c r="J307" s="7">
        <v>16.2</v>
      </c>
      <c r="K307" s="7">
        <v>15.7</v>
      </c>
      <c r="L307" s="7">
        <v>2.26244343891402</v>
      </c>
    </row>
    <row r="308" spans="1:12" ht="15" customHeight="1" x14ac:dyDescent="0.2">
      <c r="A308" s="3">
        <v>45602</v>
      </c>
      <c r="B308" s="4">
        <v>16.23</v>
      </c>
      <c r="C308" s="5">
        <v>73218380</v>
      </c>
      <c r="D308" s="4">
        <v>0.25999999999999901</v>
      </c>
      <c r="E308" s="4">
        <v>1.6280525986224199</v>
      </c>
      <c r="F308" s="4">
        <v>1.62805033441297</v>
      </c>
      <c r="G308" s="4">
        <v>16.469851999999999</v>
      </c>
      <c r="H308" s="4">
        <v>6.4631674208144698</v>
      </c>
      <c r="I308" s="4">
        <v>15.76</v>
      </c>
      <c r="J308" s="4">
        <v>16.28</v>
      </c>
      <c r="K308" s="4">
        <v>15.64</v>
      </c>
      <c r="L308" s="4">
        <v>4.91273432449902</v>
      </c>
    </row>
    <row r="309" spans="1:12" ht="15" customHeight="1" x14ac:dyDescent="0.2">
      <c r="A309" s="6">
        <v>45601</v>
      </c>
      <c r="B309" s="7">
        <v>15.97</v>
      </c>
      <c r="C309" s="8">
        <v>53302200</v>
      </c>
      <c r="D309" s="7">
        <v>-0.22</v>
      </c>
      <c r="E309" s="7">
        <v>-1.35886349598518</v>
      </c>
      <c r="F309" s="7">
        <v>-1.3588680976662399</v>
      </c>
      <c r="G309" s="7">
        <v>16.206009999999999</v>
      </c>
      <c r="H309" s="7">
        <v>4.7576599870717402</v>
      </c>
      <c r="I309" s="7">
        <v>16.02</v>
      </c>
      <c r="J309" s="7">
        <v>16.23</v>
      </c>
      <c r="K309" s="7">
        <v>15.83</v>
      </c>
      <c r="L309" s="7">
        <v>3.2320620555914599</v>
      </c>
    </row>
    <row r="310" spans="1:12" ht="15" customHeight="1" x14ac:dyDescent="0.2">
      <c r="A310" s="3">
        <v>45600</v>
      </c>
      <c r="B310" s="4">
        <v>16.190000000000001</v>
      </c>
      <c r="C310" s="5">
        <v>42344160</v>
      </c>
      <c r="D310" s="4">
        <v>0.28000000000000103</v>
      </c>
      <c r="E310" s="4">
        <v>1.7598994343180401</v>
      </c>
      <c r="F310" s="4">
        <v>1.75989976911916</v>
      </c>
      <c r="G310" s="4">
        <v>16.429262000000001</v>
      </c>
      <c r="H310" s="4">
        <v>6.2007886231415696</v>
      </c>
      <c r="I310" s="4">
        <v>15.95</v>
      </c>
      <c r="J310" s="4">
        <v>16.27</v>
      </c>
      <c r="K310" s="4">
        <v>15.81</v>
      </c>
      <c r="L310" s="4">
        <v>4.6541693600517098</v>
      </c>
    </row>
    <row r="311" spans="1:12" ht="15" customHeight="1" x14ac:dyDescent="0.2">
      <c r="A311" s="6">
        <v>45597</v>
      </c>
      <c r="B311" s="7">
        <v>15.91</v>
      </c>
      <c r="C311" s="8">
        <v>39466420</v>
      </c>
      <c r="D311" s="7">
        <v>9.9999999999999603E-2</v>
      </c>
      <c r="E311" s="7">
        <v>0.63251106894370801</v>
      </c>
      <c r="F311" s="7">
        <v>0.63251208609313903</v>
      </c>
      <c r="G311" s="7">
        <v>16.145123999999999</v>
      </c>
      <c r="H311" s="7">
        <v>4.36408532643825</v>
      </c>
      <c r="I311" s="7">
        <v>15.87</v>
      </c>
      <c r="J311" s="7">
        <v>15.98</v>
      </c>
      <c r="K311" s="7">
        <v>15.78</v>
      </c>
      <c r="L311" s="7">
        <v>2.8442146089204798</v>
      </c>
    </row>
    <row r="312" spans="1:12" ht="15" customHeight="1" x14ac:dyDescent="0.2">
      <c r="A312" s="3">
        <v>45596</v>
      </c>
      <c r="B312" s="4">
        <v>15.81</v>
      </c>
      <c r="C312" s="5">
        <v>72460460</v>
      </c>
      <c r="D312" s="4">
        <v>-0.20000000000000101</v>
      </c>
      <c r="E312" s="4">
        <v>-1.2492192379762701</v>
      </c>
      <c r="F312" s="4">
        <v>-1.2492151435244701</v>
      </c>
      <c r="G312" s="4">
        <v>16.043645999999999</v>
      </c>
      <c r="H312" s="4">
        <v>3.7081189398836298</v>
      </c>
      <c r="I312" s="4">
        <v>15.91</v>
      </c>
      <c r="J312" s="4">
        <v>15.96</v>
      </c>
      <c r="K312" s="4">
        <v>15.65</v>
      </c>
      <c r="L312" s="4">
        <v>2.19780219780219</v>
      </c>
    </row>
    <row r="313" spans="1:12" ht="15" customHeight="1" x14ac:dyDescent="0.2">
      <c r="A313" s="6">
        <v>45595</v>
      </c>
      <c r="B313" s="7">
        <v>16.010000000000002</v>
      </c>
      <c r="C313" s="8">
        <v>65876690</v>
      </c>
      <c r="D313" s="7">
        <v>-0.25</v>
      </c>
      <c r="E313" s="7">
        <v>-1.53751537515375</v>
      </c>
      <c r="F313" s="7">
        <v>-1.5375298070374399</v>
      </c>
      <c r="G313" s="7">
        <v>16.246600999999998</v>
      </c>
      <c r="H313" s="7">
        <v>5.0200452488687599</v>
      </c>
      <c r="I313" s="7">
        <v>16.34</v>
      </c>
      <c r="J313" s="7">
        <v>16.34</v>
      </c>
      <c r="K313" s="7">
        <v>15.96</v>
      </c>
      <c r="L313" s="7">
        <v>3.4906270200387901</v>
      </c>
    </row>
    <row r="314" spans="1:12" ht="15" customHeight="1" x14ac:dyDescent="0.2">
      <c r="A314" s="3">
        <v>45594</v>
      </c>
      <c r="B314" s="4">
        <v>16.260000000000002</v>
      </c>
      <c r="C314" s="5">
        <v>62336688</v>
      </c>
      <c r="D314" s="4">
        <v>-0.53999999999999904</v>
      </c>
      <c r="E314" s="4">
        <v>-3.21428571428571</v>
      </c>
      <c r="F314" s="4">
        <v>-3.2142665460288402</v>
      </c>
      <c r="G314" s="4">
        <v>16.500298000000001</v>
      </c>
      <c r="H314" s="4">
        <v>6.6599741435035504</v>
      </c>
      <c r="I314" s="4">
        <v>16.72</v>
      </c>
      <c r="J314" s="4">
        <v>16.72</v>
      </c>
      <c r="K314" s="4">
        <v>16.21</v>
      </c>
      <c r="L314" s="4">
        <v>5.1066580478345198</v>
      </c>
    </row>
    <row r="315" spans="1:12" ht="15" customHeight="1" x14ac:dyDescent="0.2">
      <c r="A315" s="6">
        <v>45593</v>
      </c>
      <c r="B315" s="7">
        <v>16.8</v>
      </c>
      <c r="C315" s="8">
        <v>51355754</v>
      </c>
      <c r="D315" s="7">
        <v>0.16</v>
      </c>
      <c r="E315" s="7">
        <v>0.96153846153845801</v>
      </c>
      <c r="F315" s="7">
        <v>0.96152935062079303</v>
      </c>
      <c r="G315" s="7">
        <v>17.048275</v>
      </c>
      <c r="H315" s="7">
        <v>10.2021654815772</v>
      </c>
      <c r="I315" s="7">
        <v>16.670000000000002</v>
      </c>
      <c r="J315" s="7">
        <v>16.86</v>
      </c>
      <c r="K315" s="7">
        <v>16.61</v>
      </c>
      <c r="L315" s="7">
        <v>8.5972850678732993</v>
      </c>
    </row>
    <row r="316" spans="1:12" ht="15" customHeight="1" x14ac:dyDescent="0.2">
      <c r="A316" s="3">
        <v>45590</v>
      </c>
      <c r="B316" s="4">
        <v>16.64</v>
      </c>
      <c r="C316" s="5">
        <v>56839350</v>
      </c>
      <c r="D316" s="4">
        <v>0.17999999999999899</v>
      </c>
      <c r="E316" s="4">
        <v>1.09356014580801</v>
      </c>
      <c r="F316" s="4">
        <v>1.0935716103153501</v>
      </c>
      <c r="G316" s="4">
        <v>16.885912000000001</v>
      </c>
      <c r="H316" s="4">
        <v>9.1526308985132498</v>
      </c>
      <c r="I316" s="4">
        <v>16.59</v>
      </c>
      <c r="J316" s="4">
        <v>16.68</v>
      </c>
      <c r="K316" s="4">
        <v>16.440000000000001</v>
      </c>
      <c r="L316" s="4">
        <v>7.5630252100840298</v>
      </c>
    </row>
    <row r="317" spans="1:12" ht="15" customHeight="1" x14ac:dyDescent="0.2">
      <c r="A317" s="6">
        <v>45589</v>
      </c>
      <c r="B317" s="7">
        <v>16.46</v>
      </c>
      <c r="C317" s="8">
        <v>52969754</v>
      </c>
      <c r="D317" s="7">
        <v>-7.0000000000000201E-2</v>
      </c>
      <c r="E317" s="7">
        <v>-0.423472474289177</v>
      </c>
      <c r="F317" s="7">
        <v>-0.42349338463724101</v>
      </c>
      <c r="G317" s="7">
        <v>16.703250000000001</v>
      </c>
      <c r="H317" s="7">
        <v>7.9718810601163499</v>
      </c>
      <c r="I317" s="7">
        <v>16.47</v>
      </c>
      <c r="J317" s="7">
        <v>16.7</v>
      </c>
      <c r="K317" s="7">
        <v>16.39</v>
      </c>
      <c r="L317" s="7">
        <v>6.3994828700711004</v>
      </c>
    </row>
    <row r="318" spans="1:12" ht="15" customHeight="1" x14ac:dyDescent="0.2">
      <c r="A318" s="3">
        <v>45588</v>
      </c>
      <c r="B318" s="4">
        <v>16.53</v>
      </c>
      <c r="C318" s="5">
        <v>59148130</v>
      </c>
      <c r="D318" s="4">
        <v>-0.219999999999998</v>
      </c>
      <c r="E318" s="4">
        <v>-1.31343283582089</v>
      </c>
      <c r="F318" s="4">
        <v>-1.3134255090354801</v>
      </c>
      <c r="G318" s="4">
        <v>16.774287999999999</v>
      </c>
      <c r="H318" s="4">
        <v>8.4310795087265493</v>
      </c>
      <c r="I318" s="4">
        <v>16.829999999999998</v>
      </c>
      <c r="J318" s="4">
        <v>16.829999999999998</v>
      </c>
      <c r="K318" s="4">
        <v>16.47</v>
      </c>
      <c r="L318" s="4">
        <v>6.8519715578539104</v>
      </c>
    </row>
    <row r="319" spans="1:12" ht="15" customHeight="1" x14ac:dyDescent="0.2">
      <c r="A319" s="6">
        <v>45587</v>
      </c>
      <c r="B319" s="7">
        <v>16.75</v>
      </c>
      <c r="C319" s="8">
        <v>85694240</v>
      </c>
      <c r="D319" s="7">
        <v>-0.16</v>
      </c>
      <c r="E319" s="7">
        <v>-0.94618568894145805</v>
      </c>
      <c r="F319" s="7">
        <v>-0.94618833218347298</v>
      </c>
      <c r="G319" s="7">
        <v>16.997537999999999</v>
      </c>
      <c r="H319" s="7">
        <v>9.8741952165481397</v>
      </c>
      <c r="I319" s="7">
        <v>16.75</v>
      </c>
      <c r="J319" s="7">
        <v>16.84</v>
      </c>
      <c r="K319" s="7">
        <v>16.63</v>
      </c>
      <c r="L319" s="7">
        <v>8.2740788623141501</v>
      </c>
    </row>
    <row r="320" spans="1:12" ht="15" customHeight="1" x14ac:dyDescent="0.2">
      <c r="A320" s="3">
        <v>45586</v>
      </c>
      <c r="B320" s="4">
        <v>16.91</v>
      </c>
      <c r="C320" s="5">
        <v>53163200</v>
      </c>
      <c r="D320" s="4">
        <v>-0.14000000000000001</v>
      </c>
      <c r="E320" s="4">
        <v>-0.82111436950147398</v>
      </c>
      <c r="F320" s="4">
        <v>-0.82110876269530997</v>
      </c>
      <c r="G320" s="4">
        <v>17.159903</v>
      </c>
      <c r="H320" s="4">
        <v>10.923742727860301</v>
      </c>
      <c r="I320" s="4">
        <v>17</v>
      </c>
      <c r="J320" s="4">
        <v>17.100000000000001</v>
      </c>
      <c r="K320" s="4">
        <v>16.72</v>
      </c>
      <c r="L320" s="4">
        <v>9.3083387201034196</v>
      </c>
    </row>
    <row r="321" spans="1:12" ht="15" customHeight="1" x14ac:dyDescent="0.2">
      <c r="A321" s="6">
        <v>45583</v>
      </c>
      <c r="B321" s="7">
        <v>17.05</v>
      </c>
      <c r="C321" s="8">
        <v>54672190</v>
      </c>
      <c r="D321" s="7">
        <v>0.12999999999999901</v>
      </c>
      <c r="E321" s="7">
        <v>0.76832151300236795</v>
      </c>
      <c r="F321" s="7">
        <v>0.76832041840297904</v>
      </c>
      <c r="G321" s="7">
        <v>17.301971000000002</v>
      </c>
      <c r="H321" s="7">
        <v>11.8420879120879</v>
      </c>
      <c r="I321" s="7">
        <v>16.89</v>
      </c>
      <c r="J321" s="7">
        <v>17.21</v>
      </c>
      <c r="K321" s="7">
        <v>16.84</v>
      </c>
      <c r="L321" s="7">
        <v>10.213316095669001</v>
      </c>
    </row>
    <row r="322" spans="1:12" ht="15" customHeight="1" x14ac:dyDescent="0.2">
      <c r="A322" s="3">
        <v>45582</v>
      </c>
      <c r="B322" s="4">
        <v>16.920000000000002</v>
      </c>
      <c r="C322" s="5">
        <v>54553080</v>
      </c>
      <c r="D322" s="4">
        <v>0.190000000000001</v>
      </c>
      <c r="E322" s="4">
        <v>1.1356843992827299</v>
      </c>
      <c r="F322" s="4">
        <v>1.13568505414483</v>
      </c>
      <c r="G322" s="4">
        <v>17.17005</v>
      </c>
      <c r="H322" s="4">
        <v>10.9893341952165</v>
      </c>
      <c r="I322" s="4">
        <v>16.61</v>
      </c>
      <c r="J322" s="4">
        <v>16.98</v>
      </c>
      <c r="K322" s="4">
        <v>16.61</v>
      </c>
      <c r="L322" s="4">
        <v>9.3729799612152593</v>
      </c>
    </row>
    <row r="323" spans="1:12" ht="15" customHeight="1" x14ac:dyDescent="0.2">
      <c r="A323" s="6">
        <v>45581</v>
      </c>
      <c r="B323" s="7">
        <v>16.73</v>
      </c>
      <c r="C323" s="8">
        <v>76758140</v>
      </c>
      <c r="D323" s="7">
        <v>0.46999999999999797</v>
      </c>
      <c r="E323" s="7">
        <v>2.8905289052890399</v>
      </c>
      <c r="F323" s="7">
        <v>2.8905174924719499</v>
      </c>
      <c r="G323" s="7">
        <v>16.977242</v>
      </c>
      <c r="H323" s="7">
        <v>9.7429993535875798</v>
      </c>
      <c r="I323" s="7">
        <v>16.39</v>
      </c>
      <c r="J323" s="7">
        <v>16.8</v>
      </c>
      <c r="K323" s="7">
        <v>16.25</v>
      </c>
      <c r="L323" s="7">
        <v>8.1447963800904901</v>
      </c>
    </row>
    <row r="324" spans="1:12" ht="15" customHeight="1" x14ac:dyDescent="0.2">
      <c r="A324" s="3">
        <v>45580</v>
      </c>
      <c r="B324" s="4">
        <v>16.260000000000002</v>
      </c>
      <c r="C324" s="5">
        <v>79725510</v>
      </c>
      <c r="D324" s="4">
        <v>0.33000000000000101</v>
      </c>
      <c r="E324" s="4">
        <v>2.07156308851226</v>
      </c>
      <c r="F324" s="4">
        <v>2.0715700550928999</v>
      </c>
      <c r="G324" s="4">
        <v>16.500298000000001</v>
      </c>
      <c r="H324" s="4">
        <v>6.6599741435035504</v>
      </c>
      <c r="I324" s="4">
        <v>15.9</v>
      </c>
      <c r="J324" s="4">
        <v>16.32</v>
      </c>
      <c r="K324" s="4">
        <v>15.9</v>
      </c>
      <c r="L324" s="4">
        <v>5.1066580478345198</v>
      </c>
    </row>
    <row r="325" spans="1:12" ht="15" customHeight="1" x14ac:dyDescent="0.2">
      <c r="A325" s="6">
        <v>45579</v>
      </c>
      <c r="B325" s="7">
        <v>15.93</v>
      </c>
      <c r="C325" s="8">
        <v>92848160</v>
      </c>
      <c r="D325" s="7">
        <v>0.29999999999999799</v>
      </c>
      <c r="E325" s="7">
        <v>1.91938579654509</v>
      </c>
      <c r="F325" s="7">
        <v>1.91938887027578</v>
      </c>
      <c r="G325" s="7">
        <v>16.165420000000001</v>
      </c>
      <c r="H325" s="7">
        <v>4.4952811893988303</v>
      </c>
      <c r="I325" s="7">
        <v>15.62</v>
      </c>
      <c r="J325" s="7">
        <v>15.96</v>
      </c>
      <c r="K325" s="7">
        <v>15.54</v>
      </c>
      <c r="L325" s="7">
        <v>2.9734970911441398</v>
      </c>
    </row>
    <row r="326" spans="1:12" ht="15" customHeight="1" x14ac:dyDescent="0.2">
      <c r="A326" s="3">
        <v>45576</v>
      </c>
      <c r="B326" s="4">
        <v>15.63</v>
      </c>
      <c r="C326" s="5">
        <v>66873690</v>
      </c>
      <c r="D326" s="4">
        <v>-0.109999999999999</v>
      </c>
      <c r="E326" s="4">
        <v>-0.69885641677255295</v>
      </c>
      <c r="F326" s="4">
        <v>-0.69885255453852002</v>
      </c>
      <c r="G326" s="4">
        <v>15.860986</v>
      </c>
      <c r="H326" s="4">
        <v>2.5273820297349698</v>
      </c>
      <c r="I326" s="4">
        <v>15.72</v>
      </c>
      <c r="J326" s="4">
        <v>15.78</v>
      </c>
      <c r="K326" s="4">
        <v>15.6</v>
      </c>
      <c r="L326" s="4">
        <v>1.0342598577892701</v>
      </c>
    </row>
    <row r="327" spans="1:12" ht="15" customHeight="1" x14ac:dyDescent="0.2">
      <c r="A327" s="6">
        <v>45575</v>
      </c>
      <c r="B327" s="7">
        <v>15.74</v>
      </c>
      <c r="C327" s="8">
        <v>80623530</v>
      </c>
      <c r="D327" s="7">
        <v>-2.9999999999999302E-2</v>
      </c>
      <c r="E327" s="7">
        <v>-0.19023462270132399</v>
      </c>
      <c r="F327" s="7">
        <v>-0.190244913221571</v>
      </c>
      <c r="G327" s="7">
        <v>15.972611000000001</v>
      </c>
      <c r="H327" s="7">
        <v>3.2489398836457601</v>
      </c>
      <c r="I327" s="7">
        <v>15.74</v>
      </c>
      <c r="J327" s="7">
        <v>15.81</v>
      </c>
      <c r="K327" s="7">
        <v>15.55</v>
      </c>
      <c r="L327" s="7">
        <v>1.74531351001938</v>
      </c>
    </row>
    <row r="328" spans="1:12" ht="15" customHeight="1" x14ac:dyDescent="0.2">
      <c r="A328" s="3">
        <v>45574</v>
      </c>
      <c r="B328" s="4">
        <v>15.77</v>
      </c>
      <c r="C328" s="5">
        <v>71717600</v>
      </c>
      <c r="D328" s="4">
        <v>0.19999999999999901</v>
      </c>
      <c r="E328" s="4">
        <v>1.28452151573539</v>
      </c>
      <c r="F328" s="4">
        <v>1.28452992604668</v>
      </c>
      <c r="G328" s="4">
        <v>16.003056000000001</v>
      </c>
      <c r="H328" s="4">
        <v>3.4457401422107301</v>
      </c>
      <c r="I328" s="4">
        <v>15.57</v>
      </c>
      <c r="J328" s="4">
        <v>15.79</v>
      </c>
      <c r="K328" s="4">
        <v>15.5</v>
      </c>
      <c r="L328" s="4">
        <v>1.93923723335487</v>
      </c>
    </row>
    <row r="329" spans="1:12" ht="15" customHeight="1" x14ac:dyDescent="0.2">
      <c r="A329" s="6">
        <v>45573</v>
      </c>
      <c r="B329" s="7">
        <v>15.57</v>
      </c>
      <c r="C329" s="8">
        <v>53435970</v>
      </c>
      <c r="D329" s="7">
        <v>9.9999999999997799E-3</v>
      </c>
      <c r="E329" s="7">
        <v>6.4267352185098894E-2</v>
      </c>
      <c r="F329" s="7">
        <v>6.4262386611435504E-2</v>
      </c>
      <c r="G329" s="7">
        <v>15.800098999999999</v>
      </c>
      <c r="H329" s="7">
        <v>2.1338009049773601</v>
      </c>
      <c r="I329" s="7">
        <v>15.65</v>
      </c>
      <c r="J329" s="7">
        <v>15.67</v>
      </c>
      <c r="K329" s="7">
        <v>15.45</v>
      </c>
      <c r="L329" s="7">
        <v>0.64641241111829095</v>
      </c>
    </row>
    <row r="330" spans="1:12" ht="15" customHeight="1" x14ac:dyDescent="0.2">
      <c r="A330" s="3">
        <v>45572</v>
      </c>
      <c r="B330" s="4">
        <v>15.56</v>
      </c>
      <c r="C330" s="5">
        <v>55795800</v>
      </c>
      <c r="D330" s="4">
        <v>-0.47</v>
      </c>
      <c r="E330" s="4">
        <v>-2.93200249532127</v>
      </c>
      <c r="F330" s="4">
        <v>-2.93199741782345</v>
      </c>
      <c r="G330" s="4">
        <v>15.789952</v>
      </c>
      <c r="H330" s="4">
        <v>2.0682094376211899</v>
      </c>
      <c r="I330" s="4">
        <v>16.04</v>
      </c>
      <c r="J330" s="4">
        <v>16.079999999999998</v>
      </c>
      <c r="K330" s="4">
        <v>15.5</v>
      </c>
      <c r="L330" s="4">
        <v>0.58177117000646295</v>
      </c>
    </row>
    <row r="331" spans="1:12" ht="15" customHeight="1" x14ac:dyDescent="0.2">
      <c r="A331" s="6">
        <v>45569</v>
      </c>
      <c r="B331" s="7">
        <v>16.03</v>
      </c>
      <c r="C331" s="8">
        <v>73705370</v>
      </c>
      <c r="D331" s="7">
        <v>0.28000000000000103</v>
      </c>
      <c r="E331" s="7">
        <v>1.7777777777777799</v>
      </c>
      <c r="F331" s="7">
        <v>1.7777781670861701</v>
      </c>
      <c r="G331" s="7">
        <v>16.266897</v>
      </c>
      <c r="H331" s="7">
        <v>5.1512411118293402</v>
      </c>
      <c r="I331" s="7">
        <v>15.73</v>
      </c>
      <c r="J331" s="7">
        <v>16.09</v>
      </c>
      <c r="K331" s="7">
        <v>15.68</v>
      </c>
      <c r="L331" s="7">
        <v>3.6199095022624399</v>
      </c>
    </row>
    <row r="332" spans="1:12" ht="15" customHeight="1" x14ac:dyDescent="0.2">
      <c r="A332" s="3">
        <v>45568</v>
      </c>
      <c r="B332" s="4">
        <v>15.75</v>
      </c>
      <c r="C332" s="5">
        <v>86748800</v>
      </c>
      <c r="D332" s="4">
        <v>9.9999999999997799E-3</v>
      </c>
      <c r="E332" s="4">
        <v>6.3532401524768398E-2</v>
      </c>
      <c r="F332" s="4">
        <v>6.3533757880906899E-2</v>
      </c>
      <c r="G332" s="4">
        <v>15.982759</v>
      </c>
      <c r="H332" s="4">
        <v>3.3145378151260401</v>
      </c>
      <c r="I332" s="4">
        <v>15.74</v>
      </c>
      <c r="J332" s="4">
        <v>15.85</v>
      </c>
      <c r="K332" s="4">
        <v>15.58</v>
      </c>
      <c r="L332" s="4">
        <v>1.80995475113121</v>
      </c>
    </row>
    <row r="333" spans="1:12" ht="15" customHeight="1" x14ac:dyDescent="0.2">
      <c r="A333" s="6">
        <v>45567</v>
      </c>
      <c r="B333" s="7">
        <v>15.74</v>
      </c>
      <c r="C333" s="8">
        <v>84384260</v>
      </c>
      <c r="D333" s="7">
        <v>-0.40999999999999798</v>
      </c>
      <c r="E333" s="7">
        <v>-2.5386996904024599</v>
      </c>
      <c r="F333" s="7">
        <v>-2.5386989914373799</v>
      </c>
      <c r="G333" s="7">
        <v>15.972611000000001</v>
      </c>
      <c r="H333" s="7">
        <v>3.2489398836457601</v>
      </c>
      <c r="I333" s="7">
        <v>16.010000000000002</v>
      </c>
      <c r="J333" s="7">
        <v>16.04</v>
      </c>
      <c r="K333" s="7">
        <v>15.68</v>
      </c>
      <c r="L333" s="7">
        <v>1.74531351001938</v>
      </c>
    </row>
    <row r="334" spans="1:12" ht="15" customHeight="1" x14ac:dyDescent="0.2">
      <c r="A334" s="3">
        <v>45565</v>
      </c>
      <c r="B334" s="4">
        <v>16.149999999999999</v>
      </c>
      <c r="C334" s="5">
        <v>74770625</v>
      </c>
      <c r="D334" s="4"/>
      <c r="E334" s="4"/>
      <c r="F334" s="4"/>
      <c r="G334" s="4">
        <v>16.388670000000001</v>
      </c>
      <c r="H334" s="4">
        <v>5.9383968972204197</v>
      </c>
      <c r="I334" s="4">
        <v>16.149999999999999</v>
      </c>
      <c r="J334" s="4">
        <v>16.27</v>
      </c>
      <c r="K334" s="4">
        <v>16.04</v>
      </c>
      <c r="L334" s="4">
        <v>4.39560439560438</v>
      </c>
    </row>
    <row r="335" spans="1:12" ht="15" customHeight="1" x14ac:dyDescent="0.2">
      <c r="A335" s="6">
        <v>45562</v>
      </c>
      <c r="B335" s="7">
        <v>16.149999999999999</v>
      </c>
      <c r="C335" s="8">
        <v>81836875</v>
      </c>
      <c r="D335" s="7">
        <v>0.149999999999998</v>
      </c>
      <c r="E335" s="7">
        <v>0.93749999999999101</v>
      </c>
      <c r="F335" s="7">
        <v>0.93749534227118803</v>
      </c>
      <c r="G335" s="7">
        <v>16.388670000000001</v>
      </c>
      <c r="H335" s="7">
        <v>5.9383968972204197</v>
      </c>
      <c r="I335" s="7">
        <v>15.91</v>
      </c>
      <c r="J335" s="7">
        <v>16.22</v>
      </c>
      <c r="K335" s="7">
        <v>15.91</v>
      </c>
      <c r="L335" s="7">
        <v>4.39560439560438</v>
      </c>
    </row>
    <row r="336" spans="1:12" ht="15" customHeight="1" x14ac:dyDescent="0.2">
      <c r="A336" s="3">
        <v>45561</v>
      </c>
      <c r="B336" s="4">
        <v>16</v>
      </c>
      <c r="C336" s="5">
        <v>78955484</v>
      </c>
      <c r="D336" s="4">
        <v>8.9999999999999802E-2</v>
      </c>
      <c r="E336" s="4">
        <v>0.56568196103079504</v>
      </c>
      <c r="F336" s="4">
        <v>0.56568162622967399</v>
      </c>
      <c r="G336" s="4">
        <v>16.236453999999998</v>
      </c>
      <c r="H336" s="4">
        <v>4.9544537815125897</v>
      </c>
      <c r="I336" s="4">
        <v>15.81</v>
      </c>
      <c r="J336" s="4">
        <v>16.170000000000002</v>
      </c>
      <c r="K336" s="4">
        <v>15.81</v>
      </c>
      <c r="L336" s="4">
        <v>3.4259857789269499</v>
      </c>
    </row>
    <row r="337" spans="1:12" ht="15" customHeight="1" x14ac:dyDescent="0.2">
      <c r="A337" s="6">
        <v>45560</v>
      </c>
      <c r="B337" s="7">
        <v>15.91</v>
      </c>
      <c r="C337" s="8">
        <v>66493516</v>
      </c>
      <c r="D337" s="7">
        <v>0.08</v>
      </c>
      <c r="E337" s="7">
        <v>0.505369551484524</v>
      </c>
      <c r="F337" s="7">
        <v>0.50536786051642502</v>
      </c>
      <c r="G337" s="7">
        <v>16.145123999999999</v>
      </c>
      <c r="H337" s="7">
        <v>4.36408532643825</v>
      </c>
      <c r="I337" s="7">
        <v>15.79</v>
      </c>
      <c r="J337" s="7">
        <v>16.149999999999999</v>
      </c>
      <c r="K337" s="7">
        <v>15.77</v>
      </c>
      <c r="L337" s="7">
        <v>2.8442146089204798</v>
      </c>
    </row>
    <row r="338" spans="1:12" ht="15" customHeight="1" x14ac:dyDescent="0.2">
      <c r="A338" s="3">
        <v>45559</v>
      </c>
      <c r="B338" s="4">
        <v>15.83</v>
      </c>
      <c r="C338" s="5">
        <v>64675740</v>
      </c>
      <c r="D338" s="4">
        <v>0.3</v>
      </c>
      <c r="E338" s="4">
        <v>1.9317450096587301</v>
      </c>
      <c r="F338" s="4">
        <v>1.9317481231013001</v>
      </c>
      <c r="G338" s="4">
        <v>16.063942000000001</v>
      </c>
      <c r="H338" s="4">
        <v>3.8393148028442101</v>
      </c>
      <c r="I338" s="4">
        <v>15.56</v>
      </c>
      <c r="J338" s="4">
        <v>15.9</v>
      </c>
      <c r="K338" s="4">
        <v>15.52</v>
      </c>
      <c r="L338" s="4">
        <v>2.32708468002585</v>
      </c>
    </row>
    <row r="339" spans="1:12" ht="15" customHeight="1" x14ac:dyDescent="0.2">
      <c r="A339" s="6">
        <v>45558</v>
      </c>
      <c r="B339" s="7">
        <v>15.53</v>
      </c>
      <c r="C339" s="8">
        <v>51722290</v>
      </c>
      <c r="D339" s="7">
        <v>-9.9999999999997799E-3</v>
      </c>
      <c r="E339" s="7">
        <v>-6.4350064350060507E-2</v>
      </c>
      <c r="F339" s="7">
        <v>-6.4351435440312896E-2</v>
      </c>
      <c r="G339" s="7">
        <v>15.759508</v>
      </c>
      <c r="H339" s="7">
        <v>1.8714156431803399</v>
      </c>
      <c r="I339" s="7">
        <v>15.62</v>
      </c>
      <c r="J339" s="7">
        <v>15.63</v>
      </c>
      <c r="K339" s="7">
        <v>15.34</v>
      </c>
      <c r="L339" s="7">
        <v>0.38784744667096699</v>
      </c>
    </row>
    <row r="340" spans="1:12" ht="15" customHeight="1" x14ac:dyDescent="0.2">
      <c r="A340" s="3">
        <v>45555</v>
      </c>
      <c r="B340" s="4">
        <v>15.54</v>
      </c>
      <c r="C340" s="5">
        <v>189808300</v>
      </c>
      <c r="D340" s="4">
        <v>-0.62000000000000099</v>
      </c>
      <c r="E340" s="4">
        <v>-3.83663366336634</v>
      </c>
      <c r="F340" s="4">
        <v>-3.8366360406807298</v>
      </c>
      <c r="G340" s="4">
        <v>15.769655999999999</v>
      </c>
      <c r="H340" s="4">
        <v>1.9370135746606201</v>
      </c>
      <c r="I340" s="4">
        <v>16.100000000000001</v>
      </c>
      <c r="J340" s="4">
        <v>16.149999999999999</v>
      </c>
      <c r="K340" s="4">
        <v>15.47</v>
      </c>
      <c r="L340" s="4">
        <v>0.452488687782795</v>
      </c>
    </row>
    <row r="341" spans="1:12" ht="15" customHeight="1" x14ac:dyDescent="0.2">
      <c r="A341" s="6">
        <v>45554</v>
      </c>
      <c r="B341" s="7">
        <v>16.16</v>
      </c>
      <c r="C341" s="8">
        <v>59409450</v>
      </c>
      <c r="D341" s="7">
        <v>-0.12000000000000099</v>
      </c>
      <c r="E341" s="7">
        <v>-0.73710073710073698</v>
      </c>
      <c r="F341" s="7">
        <v>-0.73709828316080805</v>
      </c>
      <c r="G341" s="7">
        <v>16.398819</v>
      </c>
      <c r="H341" s="7">
        <v>6.0040012928248103</v>
      </c>
      <c r="I341" s="7">
        <v>16.28</v>
      </c>
      <c r="J341" s="7">
        <v>16.39</v>
      </c>
      <c r="K341" s="7">
        <v>16.03</v>
      </c>
      <c r="L341" s="7">
        <v>4.4602456367162198</v>
      </c>
    </row>
    <row r="342" spans="1:12" ht="15" customHeight="1" x14ac:dyDescent="0.2">
      <c r="A342" s="3">
        <v>45553</v>
      </c>
      <c r="B342" s="4">
        <v>16.28</v>
      </c>
      <c r="C342" s="5">
        <v>42255300</v>
      </c>
      <c r="D342" s="4">
        <v>0.28000000000000103</v>
      </c>
      <c r="E342" s="4">
        <v>1.75</v>
      </c>
      <c r="F342" s="4">
        <v>1.75000033874392</v>
      </c>
      <c r="G342" s="4">
        <v>16.520592000000001</v>
      </c>
      <c r="H342" s="4">
        <v>6.7911570782158996</v>
      </c>
      <c r="I342" s="4">
        <v>16.059999999999999</v>
      </c>
      <c r="J342" s="4">
        <v>16.37</v>
      </c>
      <c r="K342" s="4">
        <v>16.010000000000002</v>
      </c>
      <c r="L342" s="4">
        <v>5.2359405300581798</v>
      </c>
    </row>
    <row r="343" spans="1:12" ht="15" customHeight="1" x14ac:dyDescent="0.2">
      <c r="A343" s="6">
        <v>45552</v>
      </c>
      <c r="B343" s="7">
        <v>16</v>
      </c>
      <c r="C343" s="8">
        <v>70959070</v>
      </c>
      <c r="D343" s="7">
        <v>-0.25</v>
      </c>
      <c r="E343" s="7">
        <v>-1.5384615384615301</v>
      </c>
      <c r="F343" s="7">
        <v>-1.53846396415218</v>
      </c>
      <c r="G343" s="7">
        <v>16.236453999999998</v>
      </c>
      <c r="H343" s="7">
        <v>4.9544537815125897</v>
      </c>
      <c r="I343" s="7">
        <v>16.25</v>
      </c>
      <c r="J343" s="7">
        <v>16.38</v>
      </c>
      <c r="K343" s="7">
        <v>15.95</v>
      </c>
      <c r="L343" s="7">
        <v>3.4259857789269499</v>
      </c>
    </row>
    <row r="344" spans="1:12" ht="15" customHeight="1" x14ac:dyDescent="0.2">
      <c r="A344" s="3">
        <v>45548</v>
      </c>
      <c r="B344" s="4">
        <v>16.25</v>
      </c>
      <c r="C344" s="5">
        <v>47652313</v>
      </c>
      <c r="D344" s="4">
        <v>5.0000000000000697E-2</v>
      </c>
      <c r="E344" s="4">
        <v>0.30864197530864301</v>
      </c>
      <c r="F344" s="4">
        <v>0.30863636172853098</v>
      </c>
      <c r="G344" s="4">
        <v>16.490148999999999</v>
      </c>
      <c r="H344" s="4">
        <v>6.5943697478991403</v>
      </c>
      <c r="I344" s="4">
        <v>16.21</v>
      </c>
      <c r="J344" s="4">
        <v>16.5</v>
      </c>
      <c r="K344" s="4">
        <v>16.14</v>
      </c>
      <c r="L344" s="4">
        <v>5.04201680672268</v>
      </c>
    </row>
    <row r="345" spans="1:12" ht="15" customHeight="1" x14ac:dyDescent="0.2">
      <c r="A345" s="6">
        <v>45547</v>
      </c>
      <c r="B345" s="7">
        <v>16.2</v>
      </c>
      <c r="C345" s="8">
        <v>79915370</v>
      </c>
      <c r="D345" s="7">
        <v>0.23999999999999799</v>
      </c>
      <c r="E345" s="7">
        <v>1.5037593984962201</v>
      </c>
      <c r="F345" s="7">
        <v>1.50376046625237</v>
      </c>
      <c r="G345" s="7">
        <v>16.439411</v>
      </c>
      <c r="H345" s="7">
        <v>6.2663930187459496</v>
      </c>
      <c r="I345" s="7">
        <v>15.88</v>
      </c>
      <c r="J345" s="7">
        <v>16.23</v>
      </c>
      <c r="K345" s="7">
        <v>15.88</v>
      </c>
      <c r="L345" s="7">
        <v>4.71881060116353</v>
      </c>
    </row>
    <row r="346" spans="1:12" ht="15" customHeight="1" x14ac:dyDescent="0.2">
      <c r="A346" s="3">
        <v>45546</v>
      </c>
      <c r="B346" s="4">
        <v>15.96</v>
      </c>
      <c r="C346" s="5">
        <v>64525840</v>
      </c>
      <c r="D346" s="4">
        <v>0.23</v>
      </c>
      <c r="E346" s="4">
        <v>1.46217418944691</v>
      </c>
      <c r="F346" s="4">
        <v>1.4621866312235201</v>
      </c>
      <c r="G346" s="4">
        <v>16.195864</v>
      </c>
      <c r="H346" s="4">
        <v>4.6920749838396798</v>
      </c>
      <c r="I346" s="4">
        <v>15.74</v>
      </c>
      <c r="J346" s="4">
        <v>16</v>
      </c>
      <c r="K346" s="4">
        <v>15.62</v>
      </c>
      <c r="L346" s="4">
        <v>3.1674208144796299</v>
      </c>
    </row>
    <row r="347" spans="1:12" ht="15" customHeight="1" x14ac:dyDescent="0.2">
      <c r="A347" s="6">
        <v>45545</v>
      </c>
      <c r="B347" s="7">
        <v>15.73</v>
      </c>
      <c r="C347" s="8">
        <v>66215030</v>
      </c>
      <c r="D347" s="7">
        <v>-0.5</v>
      </c>
      <c r="E347" s="7">
        <v>-3.0807147258163901</v>
      </c>
      <c r="F347" s="7">
        <v>-3.0807137793344999</v>
      </c>
      <c r="G347" s="7">
        <v>15.962463</v>
      </c>
      <c r="H347" s="7">
        <v>3.18334195216547</v>
      </c>
      <c r="I347" s="7">
        <v>16.309999999999999</v>
      </c>
      <c r="J347" s="7">
        <v>16.329999999999998</v>
      </c>
      <c r="K347" s="7">
        <v>15.69</v>
      </c>
      <c r="L347" s="7">
        <v>1.6806722689075599</v>
      </c>
    </row>
    <row r="348" spans="1:12" ht="15" customHeight="1" x14ac:dyDescent="0.2">
      <c r="A348" s="3">
        <v>45544</v>
      </c>
      <c r="B348" s="4">
        <v>16.23</v>
      </c>
      <c r="C348" s="5">
        <v>44840820</v>
      </c>
      <c r="D348" s="4">
        <v>5.0000000000000697E-2</v>
      </c>
      <c r="E348" s="4">
        <v>0.30902348578492</v>
      </c>
      <c r="F348" s="4">
        <v>0.30901178291275999</v>
      </c>
      <c r="G348" s="4">
        <v>16.469851999999999</v>
      </c>
      <c r="H348" s="4">
        <v>6.4631674208144698</v>
      </c>
      <c r="I348" s="4">
        <v>16.09</v>
      </c>
      <c r="J348" s="4">
        <v>16.260000000000002</v>
      </c>
      <c r="K348" s="4">
        <v>16.09</v>
      </c>
      <c r="L348" s="4">
        <v>4.91273432449902</v>
      </c>
    </row>
    <row r="349" spans="1:12" ht="15" customHeight="1" x14ac:dyDescent="0.2">
      <c r="A349" s="6">
        <v>45541</v>
      </c>
      <c r="B349" s="7">
        <v>16.18</v>
      </c>
      <c r="C349" s="8">
        <v>52548070</v>
      </c>
      <c r="D349" s="7">
        <v>-0.12999999999999901</v>
      </c>
      <c r="E349" s="7">
        <v>-0.79705702023298297</v>
      </c>
      <c r="F349" s="7">
        <v>-0.79704985216935098</v>
      </c>
      <c r="G349" s="7">
        <v>16.419115000000001</v>
      </c>
      <c r="H349" s="7">
        <v>6.1351971557853897</v>
      </c>
      <c r="I349" s="7">
        <v>16.260000000000002</v>
      </c>
      <c r="J349" s="7">
        <v>16.36</v>
      </c>
      <c r="K349" s="7">
        <v>16.11</v>
      </c>
      <c r="L349" s="7">
        <v>4.58952811893987</v>
      </c>
    </row>
    <row r="350" spans="1:12" ht="15" customHeight="1" x14ac:dyDescent="0.2">
      <c r="A350" s="3">
        <v>45540</v>
      </c>
      <c r="B350" s="4">
        <v>16.309999999999999</v>
      </c>
      <c r="C350" s="5">
        <v>80707234</v>
      </c>
      <c r="D350" s="4">
        <v>0.219999999999998</v>
      </c>
      <c r="E350" s="4">
        <v>1.3673088875077499</v>
      </c>
      <c r="F350" s="4">
        <v>1.3673074068103599</v>
      </c>
      <c r="G350" s="4">
        <v>16.551034999999999</v>
      </c>
      <c r="H350" s="4">
        <v>6.9879444085326297</v>
      </c>
      <c r="I350" s="4">
        <v>16.11</v>
      </c>
      <c r="J350" s="4">
        <v>16.57</v>
      </c>
      <c r="K350" s="4">
        <v>16.11</v>
      </c>
      <c r="L350" s="4">
        <v>5.4298642533936503</v>
      </c>
    </row>
    <row r="351" spans="1:12" ht="15" customHeight="1" x14ac:dyDescent="0.2">
      <c r="A351" s="6">
        <v>45539</v>
      </c>
      <c r="B351" s="7">
        <v>16.09</v>
      </c>
      <c r="C351" s="8">
        <v>63858450</v>
      </c>
      <c r="D351" s="7"/>
      <c r="E351" s="7"/>
      <c r="F351" s="7"/>
      <c r="G351" s="7">
        <v>16.327784000000001</v>
      </c>
      <c r="H351" s="7">
        <v>5.5448222365869402</v>
      </c>
      <c r="I351" s="7">
        <v>16.059999999999999</v>
      </c>
      <c r="J351" s="7">
        <v>16.23</v>
      </c>
      <c r="K351" s="7">
        <v>15.97</v>
      </c>
      <c r="L351" s="7">
        <v>4.0077569489334097</v>
      </c>
    </row>
    <row r="352" spans="1:12" ht="15" customHeight="1" x14ac:dyDescent="0.2">
      <c r="A352" s="3">
        <v>45538</v>
      </c>
      <c r="B352" s="4">
        <v>16.09</v>
      </c>
      <c r="C352" s="5">
        <v>71292305</v>
      </c>
      <c r="D352" s="4">
        <v>-0.48999999999999799</v>
      </c>
      <c r="E352" s="4">
        <v>-2.9553679131483599</v>
      </c>
      <c r="F352" s="4">
        <v>-2.95537136168466</v>
      </c>
      <c r="G352" s="4">
        <v>16.327784000000001</v>
      </c>
      <c r="H352" s="4">
        <v>5.5448222365869402</v>
      </c>
      <c r="I352" s="4">
        <v>16.489999999999998</v>
      </c>
      <c r="J352" s="4">
        <v>16.510000000000002</v>
      </c>
      <c r="K352" s="4">
        <v>16.04</v>
      </c>
      <c r="L352" s="4">
        <v>4.0077569489334097</v>
      </c>
    </row>
    <row r="353" spans="1:12" ht="15" customHeight="1" x14ac:dyDescent="0.2">
      <c r="A353" s="6">
        <v>45537</v>
      </c>
      <c r="B353" s="7">
        <v>16.579999999999998</v>
      </c>
      <c r="C353" s="8">
        <v>8390024</v>
      </c>
      <c r="D353" s="7">
        <v>0.27999999999999697</v>
      </c>
      <c r="E353" s="7">
        <v>1.71779141104293</v>
      </c>
      <c r="F353" s="7">
        <v>1.7178039918780601</v>
      </c>
      <c r="G353" s="7">
        <v>16.825026000000001</v>
      </c>
      <c r="H353" s="7">
        <v>8.7590562378797703</v>
      </c>
      <c r="I353" s="7">
        <v>16.38</v>
      </c>
      <c r="J353" s="7">
        <v>16.649999999999999</v>
      </c>
      <c r="K353" s="7">
        <v>16.170000000000002</v>
      </c>
      <c r="L353" s="7">
        <v>7.17517776341304</v>
      </c>
    </row>
    <row r="354" spans="1:12" ht="15" customHeight="1" x14ac:dyDescent="0.2">
      <c r="A354" s="3">
        <v>45534</v>
      </c>
      <c r="B354" s="4">
        <v>16.3</v>
      </c>
      <c r="C354" s="5">
        <v>156278700</v>
      </c>
      <c r="D354" s="4">
        <v>-5.99999999999987E-2</v>
      </c>
      <c r="E354" s="4">
        <v>-0.36674816625915602</v>
      </c>
      <c r="F354" s="4">
        <v>-0.36675598643854901</v>
      </c>
      <c r="G354" s="4">
        <v>16.540886</v>
      </c>
      <c r="H354" s="4">
        <v>6.92234001292824</v>
      </c>
      <c r="I354" s="4">
        <v>16.28</v>
      </c>
      <c r="J354" s="4">
        <v>16.350000000000001</v>
      </c>
      <c r="K354" s="4">
        <v>16.11</v>
      </c>
      <c r="L354" s="4">
        <v>5.3652230122818301</v>
      </c>
    </row>
    <row r="355" spans="1:12" ht="15" customHeight="1" x14ac:dyDescent="0.2">
      <c r="A355" s="6">
        <v>45533</v>
      </c>
      <c r="B355" s="7">
        <v>16.36</v>
      </c>
      <c r="C355" s="8">
        <v>55218380</v>
      </c>
      <c r="D355" s="7">
        <v>9.9999999999980105E-3</v>
      </c>
      <c r="E355" s="7">
        <v>6.1162079510701503E-2</v>
      </c>
      <c r="F355" s="7">
        <v>6.1157353645913098E-2</v>
      </c>
      <c r="G355" s="7">
        <v>16.601773999999999</v>
      </c>
      <c r="H355" s="7">
        <v>7.31592760180994</v>
      </c>
      <c r="I355" s="7">
        <v>16.39</v>
      </c>
      <c r="J355" s="7">
        <v>16.440000000000001</v>
      </c>
      <c r="K355" s="7">
        <v>16.25</v>
      </c>
      <c r="L355" s="7">
        <v>5.7530704589528003</v>
      </c>
    </row>
    <row r="356" spans="1:12" ht="15" customHeight="1" x14ac:dyDescent="0.2">
      <c r="A356" s="3">
        <v>45532</v>
      </c>
      <c r="B356" s="4">
        <v>16.350000000000001</v>
      </c>
      <c r="C356" s="5">
        <v>72098990</v>
      </c>
      <c r="D356" s="4">
        <v>-0.119999999999997</v>
      </c>
      <c r="E356" s="4">
        <v>-0.72859744990890696</v>
      </c>
      <c r="F356" s="4">
        <v>-0.72859501956514805</v>
      </c>
      <c r="G356" s="4">
        <v>16.591626999999999</v>
      </c>
      <c r="H356" s="4">
        <v>7.2503361344537698</v>
      </c>
      <c r="I356" s="4">
        <v>16.45</v>
      </c>
      <c r="J356" s="4">
        <v>16.59</v>
      </c>
      <c r="K356" s="4">
        <v>16.260000000000002</v>
      </c>
      <c r="L356" s="4">
        <v>5.6884292178409801</v>
      </c>
    </row>
    <row r="357" spans="1:12" ht="15" customHeight="1" x14ac:dyDescent="0.2">
      <c r="A357" s="6">
        <v>45531</v>
      </c>
      <c r="B357" s="7">
        <v>16.47</v>
      </c>
      <c r="C357" s="8">
        <v>63485220</v>
      </c>
      <c r="D357" s="7">
        <v>-0.109999999999999</v>
      </c>
      <c r="E357" s="7">
        <v>-0.66344993968636601</v>
      </c>
      <c r="F357" s="7">
        <v>-0.66345216940527596</v>
      </c>
      <c r="G357" s="7">
        <v>16.7134</v>
      </c>
      <c r="H357" s="7">
        <v>8.0374919198448502</v>
      </c>
      <c r="I357" s="7">
        <v>16.579999999999998</v>
      </c>
      <c r="J357" s="7">
        <v>16.75</v>
      </c>
      <c r="K357" s="7">
        <v>16.41</v>
      </c>
      <c r="L357" s="7">
        <v>6.4641241111829197</v>
      </c>
    </row>
    <row r="358" spans="1:12" ht="15" customHeight="1" x14ac:dyDescent="0.2">
      <c r="A358" s="3">
        <v>45530</v>
      </c>
      <c r="B358" s="4">
        <v>16.579999999999998</v>
      </c>
      <c r="C358" s="5">
        <v>54321840</v>
      </c>
      <c r="D358" s="4">
        <v>4.9999999999997102E-2</v>
      </c>
      <c r="E358" s="4">
        <v>0.30248033877795499</v>
      </c>
      <c r="F358" s="4">
        <v>0.30247483529555103</v>
      </c>
      <c r="G358" s="4">
        <v>16.825026000000001</v>
      </c>
      <c r="H358" s="4">
        <v>8.7590562378797703</v>
      </c>
      <c r="I358" s="4">
        <v>16.54</v>
      </c>
      <c r="J358" s="4">
        <v>16.690000000000001</v>
      </c>
      <c r="K358" s="4">
        <v>16.440000000000001</v>
      </c>
      <c r="L358" s="4">
        <v>7.17517776341304</v>
      </c>
    </row>
    <row r="359" spans="1:12" ht="15" customHeight="1" x14ac:dyDescent="0.2">
      <c r="A359" s="6">
        <v>45527</v>
      </c>
      <c r="B359" s="7">
        <v>16.53</v>
      </c>
      <c r="C359" s="8">
        <v>55867500</v>
      </c>
      <c r="D359" s="7">
        <v>8.9999999999999802E-2</v>
      </c>
      <c r="E359" s="7">
        <v>0.547445255474454</v>
      </c>
      <c r="F359" s="7">
        <v>0.54745091053103301</v>
      </c>
      <c r="G359" s="7">
        <v>16.774287999999999</v>
      </c>
      <c r="H359" s="7">
        <v>8.4310795087265493</v>
      </c>
      <c r="I359" s="7">
        <v>16.43</v>
      </c>
      <c r="J359" s="7">
        <v>16.61</v>
      </c>
      <c r="K359" s="7">
        <v>16.41</v>
      </c>
      <c r="L359" s="7">
        <v>6.8519715578539104</v>
      </c>
    </row>
    <row r="360" spans="1:12" ht="15" customHeight="1" x14ac:dyDescent="0.2">
      <c r="A360" s="3">
        <v>45526</v>
      </c>
      <c r="B360" s="4">
        <v>16.440000000000001</v>
      </c>
      <c r="C360" s="5">
        <v>92947430</v>
      </c>
      <c r="D360" s="4">
        <v>-3.9999999999999099E-2</v>
      </c>
      <c r="E360" s="4">
        <v>-0.242718446601941</v>
      </c>
      <c r="F360" s="4">
        <v>-0.24271166876261799</v>
      </c>
      <c r="G360" s="4">
        <v>16.682956999999998</v>
      </c>
      <c r="H360" s="4">
        <v>7.8407045895280998</v>
      </c>
      <c r="I360" s="4">
        <v>16.41</v>
      </c>
      <c r="J360" s="4">
        <v>16.809999999999999</v>
      </c>
      <c r="K360" s="4">
        <v>16.41</v>
      </c>
      <c r="L360" s="4">
        <v>6.2702003878474502</v>
      </c>
    </row>
    <row r="361" spans="1:12" ht="15" customHeight="1" x14ac:dyDescent="0.2">
      <c r="A361" s="6">
        <v>45525</v>
      </c>
      <c r="B361" s="7">
        <v>16.48</v>
      </c>
      <c r="C361" s="8">
        <v>52131260</v>
      </c>
      <c r="D361" s="7">
        <v>0.190000000000001</v>
      </c>
      <c r="E361" s="7">
        <v>1.1663597298956401</v>
      </c>
      <c r="F361" s="7">
        <v>1.1663543192863499</v>
      </c>
      <c r="G361" s="7">
        <v>16.723547</v>
      </c>
      <c r="H361" s="7">
        <v>8.1030833872010195</v>
      </c>
      <c r="I361" s="7">
        <v>16.29</v>
      </c>
      <c r="J361" s="7">
        <v>16.5</v>
      </c>
      <c r="K361" s="7">
        <v>16.2</v>
      </c>
      <c r="L361" s="7">
        <v>6.5287653522947604</v>
      </c>
    </row>
    <row r="362" spans="1:12" ht="15" customHeight="1" x14ac:dyDescent="0.2">
      <c r="A362" s="3">
        <v>45524</v>
      </c>
      <c r="B362" s="4">
        <v>16.29</v>
      </c>
      <c r="C362" s="5">
        <v>50576953</v>
      </c>
      <c r="D362" s="4">
        <v>5.99999999999987E-2</v>
      </c>
      <c r="E362" s="4">
        <v>0.36968576709794898</v>
      </c>
      <c r="F362" s="4">
        <v>0.36969366816412802</v>
      </c>
      <c r="G362" s="4">
        <v>16.530740000000002</v>
      </c>
      <c r="H362" s="4">
        <v>6.8567550096961902</v>
      </c>
      <c r="I362" s="4">
        <v>16.29</v>
      </c>
      <c r="J362" s="4">
        <v>16.32</v>
      </c>
      <c r="K362" s="4">
        <v>16.190000000000001</v>
      </c>
      <c r="L362" s="4">
        <v>5.3005817711699903</v>
      </c>
    </row>
    <row r="363" spans="1:12" ht="15" customHeight="1" x14ac:dyDescent="0.2">
      <c r="A363" s="6">
        <v>45523</v>
      </c>
      <c r="B363" s="7">
        <v>16.23</v>
      </c>
      <c r="C363" s="8">
        <v>41870727</v>
      </c>
      <c r="D363" s="7">
        <v>0.190000000000001</v>
      </c>
      <c r="E363" s="7">
        <v>1.18453865336658</v>
      </c>
      <c r="F363" s="7">
        <v>1.18452697129443</v>
      </c>
      <c r="G363" s="7">
        <v>16.469851999999999</v>
      </c>
      <c r="H363" s="7">
        <v>6.4631674208144698</v>
      </c>
      <c r="I363" s="7">
        <v>15.99</v>
      </c>
      <c r="J363" s="7">
        <v>16.27</v>
      </c>
      <c r="K363" s="7">
        <v>15.99</v>
      </c>
      <c r="L363" s="7">
        <v>4.91273432449902</v>
      </c>
    </row>
    <row r="364" spans="1:12" ht="15" customHeight="1" x14ac:dyDescent="0.2">
      <c r="A364" s="3">
        <v>45520</v>
      </c>
      <c r="B364" s="4">
        <v>16.04</v>
      </c>
      <c r="C364" s="5">
        <v>61087920</v>
      </c>
      <c r="D364" s="4">
        <v>-1.9999999999999501E-2</v>
      </c>
      <c r="E364" s="4">
        <v>-0.12453300124533</v>
      </c>
      <c r="F364" s="4">
        <v>-0.12452338847934701</v>
      </c>
      <c r="G364" s="4">
        <v>16.277045999999999</v>
      </c>
      <c r="H364" s="4">
        <v>5.2168455074337299</v>
      </c>
      <c r="I364" s="4">
        <v>16.03</v>
      </c>
      <c r="J364" s="4">
        <v>16.11</v>
      </c>
      <c r="K364" s="4">
        <v>15.91</v>
      </c>
      <c r="L364" s="4">
        <v>3.6845507433742601</v>
      </c>
    </row>
    <row r="365" spans="1:12" ht="15" customHeight="1" x14ac:dyDescent="0.2">
      <c r="A365" s="6">
        <v>45519</v>
      </c>
      <c r="B365" s="7">
        <v>16.059999999999999</v>
      </c>
      <c r="C365" s="8">
        <v>57343340</v>
      </c>
      <c r="D365" s="7">
        <v>-6.0000000000002197E-2</v>
      </c>
      <c r="E365" s="7">
        <v>-0.37220843672457399</v>
      </c>
      <c r="F365" s="7">
        <v>-0.37222244535153298</v>
      </c>
      <c r="G365" s="7">
        <v>16.297339999999998</v>
      </c>
      <c r="H365" s="7">
        <v>5.3480284421460702</v>
      </c>
      <c r="I365" s="7">
        <v>16.09</v>
      </c>
      <c r="J365" s="7">
        <v>16.21</v>
      </c>
      <c r="K365" s="7">
        <v>15.98</v>
      </c>
      <c r="L365" s="7">
        <v>3.8138332255979099</v>
      </c>
    </row>
    <row r="366" spans="1:12" ht="15" customHeight="1" x14ac:dyDescent="0.2">
      <c r="A366" s="3">
        <v>45518</v>
      </c>
      <c r="B366" s="4">
        <v>16.12</v>
      </c>
      <c r="C366" s="5">
        <v>77696350</v>
      </c>
      <c r="D366" s="4">
        <v>8.9999999999999802E-2</v>
      </c>
      <c r="E366" s="4">
        <v>0.56144728633811203</v>
      </c>
      <c r="F366" s="4">
        <v>0.56145926294364201</v>
      </c>
      <c r="G366" s="4">
        <v>16.358229000000001</v>
      </c>
      <c r="H366" s="4">
        <v>5.7416224951519101</v>
      </c>
      <c r="I366" s="4">
        <v>16.010000000000002</v>
      </c>
      <c r="J366" s="4">
        <v>16.239999999999998</v>
      </c>
      <c r="K366" s="4">
        <v>16.010000000000002</v>
      </c>
      <c r="L366" s="4">
        <v>4.2016806722688997</v>
      </c>
    </row>
    <row r="367" spans="1:12" ht="15" customHeight="1" x14ac:dyDescent="0.2">
      <c r="A367" s="6">
        <v>45517</v>
      </c>
      <c r="B367" s="7">
        <v>16.03</v>
      </c>
      <c r="C367" s="8">
        <v>42268770</v>
      </c>
      <c r="D367" s="7">
        <v>-0.16</v>
      </c>
      <c r="E367" s="7">
        <v>-0.98826436071649504</v>
      </c>
      <c r="F367" s="7">
        <v>-0.98826715405719801</v>
      </c>
      <c r="G367" s="7">
        <v>16.266897</v>
      </c>
      <c r="H367" s="7">
        <v>5.1512411118293402</v>
      </c>
      <c r="I367" s="7">
        <v>16.190000000000001</v>
      </c>
      <c r="J367" s="7">
        <v>16.350000000000001</v>
      </c>
      <c r="K367" s="7">
        <v>15.99</v>
      </c>
      <c r="L367" s="7">
        <v>3.6199095022624399</v>
      </c>
    </row>
    <row r="368" spans="1:12" ht="15" customHeight="1" x14ac:dyDescent="0.2">
      <c r="A368" s="3">
        <v>45516</v>
      </c>
      <c r="B368" s="4">
        <v>16.190000000000001</v>
      </c>
      <c r="C368" s="5">
        <v>67363360</v>
      </c>
      <c r="D368" s="4">
        <v>1.9999999999999501E-2</v>
      </c>
      <c r="E368" s="4">
        <v>0.123685837971554</v>
      </c>
      <c r="F368" s="4">
        <v>0.12368847616603899</v>
      </c>
      <c r="G368" s="4">
        <v>16.429262000000001</v>
      </c>
      <c r="H368" s="4">
        <v>6.2007886231415696</v>
      </c>
      <c r="I368" s="4">
        <v>16.239999999999998</v>
      </c>
      <c r="J368" s="4">
        <v>16.29</v>
      </c>
      <c r="K368" s="4">
        <v>16.12</v>
      </c>
      <c r="L368" s="4">
        <v>4.6541693600517098</v>
      </c>
    </row>
    <row r="369" spans="1:12" ht="15" customHeight="1" x14ac:dyDescent="0.2">
      <c r="A369" s="6">
        <v>45513</v>
      </c>
      <c r="B369" s="7">
        <v>16.170000000000002</v>
      </c>
      <c r="C369" s="8">
        <v>53189300</v>
      </c>
      <c r="D369" s="7">
        <v>0.15000000000000199</v>
      </c>
      <c r="E369" s="7">
        <v>0.936329588014994</v>
      </c>
      <c r="F369" s="7">
        <v>0.93632491119073302</v>
      </c>
      <c r="G369" s="7">
        <v>16.408965999999999</v>
      </c>
      <c r="H369" s="7">
        <v>6.0695927601809796</v>
      </c>
      <c r="I369" s="7">
        <v>16.010000000000002</v>
      </c>
      <c r="J369" s="7">
        <v>16.2</v>
      </c>
      <c r="K369" s="7">
        <v>16</v>
      </c>
      <c r="L369" s="7">
        <v>4.5248868778280604</v>
      </c>
    </row>
    <row r="370" spans="1:12" ht="15" customHeight="1" x14ac:dyDescent="0.2">
      <c r="A370" s="3">
        <v>45512</v>
      </c>
      <c r="B370" s="4">
        <v>16.02</v>
      </c>
      <c r="C370" s="5">
        <v>61569770</v>
      </c>
      <c r="D370" s="4">
        <v>-0.109999999999999</v>
      </c>
      <c r="E370" s="4">
        <v>-0.68195908245505199</v>
      </c>
      <c r="F370" s="4">
        <v>-0.68194922721095397</v>
      </c>
      <c r="G370" s="4">
        <v>16.25675</v>
      </c>
      <c r="H370" s="4">
        <v>5.08564964447317</v>
      </c>
      <c r="I370" s="4">
        <v>16.12</v>
      </c>
      <c r="J370" s="4">
        <v>16.18</v>
      </c>
      <c r="K370" s="4">
        <v>15.98</v>
      </c>
      <c r="L370" s="4">
        <v>3.5552682611506001</v>
      </c>
    </row>
    <row r="371" spans="1:12" ht="15" customHeight="1" x14ac:dyDescent="0.2">
      <c r="A371" s="6">
        <v>45511</v>
      </c>
      <c r="B371" s="7">
        <v>16.13</v>
      </c>
      <c r="C371" s="8">
        <v>69457330</v>
      </c>
      <c r="D371" s="7">
        <v>0.23999999999999799</v>
      </c>
      <c r="E371" s="7">
        <v>1.51038388923849</v>
      </c>
      <c r="F371" s="7">
        <v>1.5103789014059501</v>
      </c>
      <c r="G371" s="7">
        <v>16.368373999999999</v>
      </c>
      <c r="H371" s="7">
        <v>5.8072010342598404</v>
      </c>
      <c r="I371" s="7">
        <v>15.83</v>
      </c>
      <c r="J371" s="7">
        <v>16.170000000000002</v>
      </c>
      <c r="K371" s="7">
        <v>15.82</v>
      </c>
      <c r="L371" s="7">
        <v>4.26632191338072</v>
      </c>
    </row>
    <row r="372" spans="1:12" ht="15" customHeight="1" x14ac:dyDescent="0.2">
      <c r="A372" s="3">
        <v>45510</v>
      </c>
      <c r="B372" s="4">
        <v>15.89</v>
      </c>
      <c r="C372" s="5">
        <v>70915070</v>
      </c>
      <c r="D372" s="4">
        <v>0.25</v>
      </c>
      <c r="E372" s="4">
        <v>1.5984654731457699</v>
      </c>
      <c r="F372" s="4">
        <v>1.59846171042348</v>
      </c>
      <c r="G372" s="4">
        <v>16.124828000000001</v>
      </c>
      <c r="H372" s="4">
        <v>4.2328894634776999</v>
      </c>
      <c r="I372" s="4">
        <v>15.73</v>
      </c>
      <c r="J372" s="4">
        <v>15.95</v>
      </c>
      <c r="K372" s="4">
        <v>15.64</v>
      </c>
      <c r="L372" s="4">
        <v>2.71493212669683</v>
      </c>
    </row>
    <row r="373" spans="1:12" ht="15" customHeight="1" x14ac:dyDescent="0.2">
      <c r="A373" s="6">
        <v>45509</v>
      </c>
      <c r="B373" s="7">
        <v>15.64</v>
      </c>
      <c r="C373" s="8">
        <v>41499770</v>
      </c>
      <c r="D373" s="7">
        <v>-3.9999999999999099E-2</v>
      </c>
      <c r="E373" s="7">
        <v>-0.25510204081632398</v>
      </c>
      <c r="F373" s="7">
        <v>-0.255101191102791</v>
      </c>
      <c r="G373" s="7">
        <v>15.871134</v>
      </c>
      <c r="H373" s="7">
        <v>2.59297996121524</v>
      </c>
      <c r="I373" s="7">
        <v>15.64</v>
      </c>
      <c r="J373" s="7">
        <v>15.72</v>
      </c>
      <c r="K373" s="7">
        <v>15.23</v>
      </c>
      <c r="L373" s="7">
        <v>1.0989010989010899</v>
      </c>
    </row>
    <row r="374" spans="1:12" ht="15" customHeight="1" x14ac:dyDescent="0.2">
      <c r="A374" s="3">
        <v>45506</v>
      </c>
      <c r="B374" s="4">
        <v>15.68</v>
      </c>
      <c r="C374" s="5">
        <v>75094090</v>
      </c>
      <c r="D374" s="4">
        <v>0.189999999999999</v>
      </c>
      <c r="E374" s="4">
        <v>1.22659780503551</v>
      </c>
      <c r="F374" s="4">
        <v>1.2265984991205201</v>
      </c>
      <c r="G374" s="4">
        <v>15.911725000000001</v>
      </c>
      <c r="H374" s="4">
        <v>2.8553652230122801</v>
      </c>
      <c r="I374" s="4">
        <v>15.54</v>
      </c>
      <c r="J374" s="4">
        <v>15.71</v>
      </c>
      <c r="K374" s="4">
        <v>15.44</v>
      </c>
      <c r="L374" s="4">
        <v>1.3574660633484099</v>
      </c>
    </row>
    <row r="375" spans="1:12" ht="15" customHeight="1" x14ac:dyDescent="0.2">
      <c r="A375" s="6">
        <v>45505</v>
      </c>
      <c r="B375" s="7">
        <v>15.49</v>
      </c>
      <c r="C375" s="8">
        <v>132111500</v>
      </c>
      <c r="D375" s="7">
        <v>-7.0000000000000201E-2</v>
      </c>
      <c r="E375" s="7">
        <v>-0.44987146529563699</v>
      </c>
      <c r="F375" s="7">
        <v>-0.44987470512893801</v>
      </c>
      <c r="G375" s="7">
        <v>15.718916999999999</v>
      </c>
      <c r="H375" s="7">
        <v>1.60903038138331</v>
      </c>
      <c r="I375" s="7">
        <v>15.49</v>
      </c>
      <c r="J375" s="7">
        <v>15.67</v>
      </c>
      <c r="K375" s="7">
        <v>15.31</v>
      </c>
      <c r="L375" s="7">
        <v>0.12928248222365499</v>
      </c>
    </row>
    <row r="376" spans="1:12" ht="15" customHeight="1" x14ac:dyDescent="0.2">
      <c r="A376" s="3">
        <v>45504</v>
      </c>
      <c r="B376" s="4">
        <v>15.56</v>
      </c>
      <c r="C376" s="5">
        <v>129625000</v>
      </c>
      <c r="D376" s="4">
        <v>7.0000000000000201E-2</v>
      </c>
      <c r="E376" s="4">
        <v>0.45190445448677302</v>
      </c>
      <c r="F376" s="4">
        <v>0.45190772366823201</v>
      </c>
      <c r="G376" s="4">
        <v>15.789952</v>
      </c>
      <c r="H376" s="4">
        <v>2.0682094376211899</v>
      </c>
      <c r="I376" s="4">
        <v>15.57</v>
      </c>
      <c r="J376" s="4">
        <v>15.64</v>
      </c>
      <c r="K376" s="4">
        <v>15.46</v>
      </c>
      <c r="L376" s="4">
        <v>0.58177117000646295</v>
      </c>
    </row>
    <row r="377" spans="1:12" ht="15" customHeight="1" x14ac:dyDescent="0.2">
      <c r="A377" s="6">
        <v>45503</v>
      </c>
      <c r="B377" s="7">
        <v>15.49</v>
      </c>
      <c r="C377" s="8">
        <v>109420700</v>
      </c>
      <c r="D377" s="7">
        <v>-0.08</v>
      </c>
      <c r="E377" s="7">
        <v>-0.51380860629415204</v>
      </c>
      <c r="F377" s="7">
        <v>-0.51380690715925303</v>
      </c>
      <c r="G377" s="7">
        <v>15.718916999999999</v>
      </c>
      <c r="H377" s="7">
        <v>1.60903038138331</v>
      </c>
      <c r="I377" s="7">
        <v>15.62</v>
      </c>
      <c r="J377" s="7">
        <v>15.81</v>
      </c>
      <c r="K377" s="7">
        <v>15.43</v>
      </c>
      <c r="L377" s="7">
        <v>0.12928248222365499</v>
      </c>
    </row>
    <row r="378" spans="1:12" ht="15" customHeight="1" x14ac:dyDescent="0.2">
      <c r="A378" s="3">
        <v>45502</v>
      </c>
      <c r="B378" s="4">
        <v>15.57</v>
      </c>
      <c r="C378" s="5">
        <v>104877000</v>
      </c>
      <c r="D378" s="4">
        <v>-6.0000000000000497E-2</v>
      </c>
      <c r="E378" s="4">
        <v>-0.38387715930902</v>
      </c>
      <c r="F378" s="4">
        <v>-0.383879035010814</v>
      </c>
      <c r="G378" s="4">
        <v>15.800098999999999</v>
      </c>
      <c r="H378" s="4">
        <v>2.1338009049773601</v>
      </c>
      <c r="I378" s="4">
        <v>15.64</v>
      </c>
      <c r="J378" s="4">
        <v>15.75</v>
      </c>
      <c r="K378" s="4">
        <v>15.5</v>
      </c>
      <c r="L378" s="4">
        <v>0.64641241111829095</v>
      </c>
    </row>
    <row r="379" spans="1:12" ht="15" customHeight="1" x14ac:dyDescent="0.2">
      <c r="A379" s="6">
        <v>45499</v>
      </c>
      <c r="B379" s="7">
        <v>15.63</v>
      </c>
      <c r="C379" s="8">
        <v>110318200</v>
      </c>
      <c r="D379" s="7">
        <v>-0.189999999999999</v>
      </c>
      <c r="E379" s="7">
        <v>-1.20101137800252</v>
      </c>
      <c r="F379" s="7">
        <v>-1.2010058931244401</v>
      </c>
      <c r="G379" s="7">
        <v>15.860986</v>
      </c>
      <c r="H379" s="7">
        <v>2.5273820297349698</v>
      </c>
      <c r="I379" s="7">
        <v>15.89</v>
      </c>
      <c r="J379" s="7">
        <v>15.89</v>
      </c>
      <c r="K379" s="7">
        <v>15.6</v>
      </c>
      <c r="L379" s="7">
        <v>1.0342598577892701</v>
      </c>
    </row>
    <row r="380" spans="1:12" ht="15" customHeight="1" x14ac:dyDescent="0.2">
      <c r="A380" s="3">
        <v>45498</v>
      </c>
      <c r="B380" s="4">
        <v>15.82</v>
      </c>
      <c r="C380" s="5">
        <v>131191600</v>
      </c>
      <c r="D380" s="4">
        <v>7.0000000000000201E-2</v>
      </c>
      <c r="E380" s="4">
        <v>0.44444444444444697</v>
      </c>
      <c r="F380" s="4">
        <v>0.44444141340052001</v>
      </c>
      <c r="G380" s="4">
        <v>16.053792999999999</v>
      </c>
      <c r="H380" s="4">
        <v>3.7737104072398</v>
      </c>
      <c r="I380" s="4">
        <v>15.67</v>
      </c>
      <c r="J380" s="4">
        <v>15.9</v>
      </c>
      <c r="K380" s="4">
        <v>15.55</v>
      </c>
      <c r="L380" s="4">
        <v>2.26244343891402</v>
      </c>
    </row>
    <row r="381" spans="1:12" ht="15" customHeight="1" x14ac:dyDescent="0.2">
      <c r="A381" s="6">
        <v>45497</v>
      </c>
      <c r="B381" s="7">
        <v>15.75</v>
      </c>
      <c r="C381" s="8">
        <v>83059530</v>
      </c>
      <c r="D381" s="7"/>
      <c r="E381" s="7"/>
      <c r="F381" s="7"/>
      <c r="G381" s="7">
        <v>15.982759</v>
      </c>
      <c r="H381" s="7">
        <v>3.3145378151260401</v>
      </c>
      <c r="I381" s="7">
        <v>15.81</v>
      </c>
      <c r="J381" s="7">
        <v>15.94</v>
      </c>
      <c r="K381" s="7">
        <v>15.65</v>
      </c>
      <c r="L381" s="7">
        <v>1.80995475113121</v>
      </c>
    </row>
    <row r="382" spans="1:12" ht="15" customHeight="1" x14ac:dyDescent="0.2">
      <c r="A382" s="3">
        <v>45496</v>
      </c>
      <c r="B382" s="4">
        <v>15.75</v>
      </c>
      <c r="C382" s="5">
        <v>99136750</v>
      </c>
      <c r="D382" s="4">
        <v>-2.9999999999999302E-2</v>
      </c>
      <c r="E382" s="4">
        <v>-0.19011406844105999</v>
      </c>
      <c r="F382" s="4">
        <v>-0.190118116906412</v>
      </c>
      <c r="G382" s="4">
        <v>15.982759</v>
      </c>
      <c r="H382" s="4">
        <v>3.3145378151260401</v>
      </c>
      <c r="I382" s="4">
        <v>15.71</v>
      </c>
      <c r="J382" s="4">
        <v>15.91</v>
      </c>
      <c r="K382" s="4">
        <v>15.7</v>
      </c>
      <c r="L382" s="4">
        <v>1.80995475113121</v>
      </c>
    </row>
    <row r="383" spans="1:12" ht="15" customHeight="1" x14ac:dyDescent="0.2">
      <c r="A383" s="6">
        <v>45495</v>
      </c>
      <c r="B383" s="7">
        <v>15.78</v>
      </c>
      <c r="C383" s="8">
        <v>117226700</v>
      </c>
      <c r="D383" s="7">
        <v>-0.15</v>
      </c>
      <c r="E383" s="7">
        <v>-0.94161958568738102</v>
      </c>
      <c r="F383" s="7">
        <v>-0.94162106521203903</v>
      </c>
      <c r="G383" s="7">
        <v>16.013203000000001</v>
      </c>
      <c r="H383" s="7">
        <v>3.5113316095668998</v>
      </c>
      <c r="I383" s="7">
        <v>15.88</v>
      </c>
      <c r="J383" s="7">
        <v>16.05</v>
      </c>
      <c r="K383" s="7">
        <v>15.71</v>
      </c>
      <c r="L383" s="7">
        <v>2.0038784744667</v>
      </c>
    </row>
    <row r="384" spans="1:12" ht="15" customHeight="1" x14ac:dyDescent="0.2">
      <c r="A384" s="3">
        <v>45492</v>
      </c>
      <c r="B384" s="4">
        <v>15.93</v>
      </c>
      <c r="C384" s="5">
        <v>39852832</v>
      </c>
      <c r="D384" s="4">
        <v>0.29999999999999799</v>
      </c>
      <c r="E384" s="4">
        <v>1.91938579654509</v>
      </c>
      <c r="F384" s="4">
        <v>1.91938887027578</v>
      </c>
      <c r="G384" s="4">
        <v>16.165420000000001</v>
      </c>
      <c r="H384" s="4">
        <v>4.4952811893988303</v>
      </c>
      <c r="I384" s="4">
        <v>15.61</v>
      </c>
      <c r="J384" s="4">
        <v>16.05</v>
      </c>
      <c r="K384" s="4">
        <v>15.55</v>
      </c>
      <c r="L384" s="4">
        <v>2.9734970911441398</v>
      </c>
    </row>
    <row r="385" spans="1:12" ht="15" customHeight="1" x14ac:dyDescent="0.2">
      <c r="A385" s="6">
        <v>45491</v>
      </c>
      <c r="B385" s="7">
        <v>15.63</v>
      </c>
      <c r="C385" s="8">
        <v>102111695</v>
      </c>
      <c r="D385" s="7">
        <v>-0.34999999999999898</v>
      </c>
      <c r="E385" s="7">
        <v>-2.1902377972465499</v>
      </c>
      <c r="F385" s="7">
        <v>-2.19023519627769</v>
      </c>
      <c r="G385" s="7">
        <v>15.860986</v>
      </c>
      <c r="H385" s="7">
        <v>2.5273820297349698</v>
      </c>
      <c r="I385" s="7">
        <v>16.04</v>
      </c>
      <c r="J385" s="7">
        <v>16.05</v>
      </c>
      <c r="K385" s="7">
        <v>15.59</v>
      </c>
      <c r="L385" s="7">
        <v>1.0342598577892701</v>
      </c>
    </row>
    <row r="386" spans="1:12" ht="15" customHeight="1" x14ac:dyDescent="0.2">
      <c r="A386" s="3">
        <v>45490</v>
      </c>
      <c r="B386" s="4">
        <v>15.98</v>
      </c>
      <c r="C386" s="5">
        <v>99631195</v>
      </c>
      <c r="D386" s="4">
        <v>-0.21</v>
      </c>
      <c r="E386" s="4">
        <v>-1.2970969734404001</v>
      </c>
      <c r="F386" s="4">
        <v>-1.2971002592812799</v>
      </c>
      <c r="G386" s="4">
        <v>16.216158</v>
      </c>
      <c r="H386" s="4">
        <v>4.8232579185520299</v>
      </c>
      <c r="I386" s="4">
        <v>16.22</v>
      </c>
      <c r="J386" s="4">
        <v>16.28</v>
      </c>
      <c r="K386" s="4">
        <v>15.89</v>
      </c>
      <c r="L386" s="4">
        <v>3.2967032967032899</v>
      </c>
    </row>
    <row r="387" spans="1:12" ht="15" customHeight="1" x14ac:dyDescent="0.2">
      <c r="A387" s="6">
        <v>45489</v>
      </c>
      <c r="B387" s="7">
        <v>16.190000000000001</v>
      </c>
      <c r="C387" s="8">
        <v>81241400</v>
      </c>
      <c r="D387" s="7">
        <v>8.9999999999999802E-2</v>
      </c>
      <c r="E387" s="7">
        <v>0.55900621118012395</v>
      </c>
      <c r="F387" s="7">
        <v>0.55899972169062195</v>
      </c>
      <c r="G387" s="7">
        <v>16.429262000000001</v>
      </c>
      <c r="H387" s="7">
        <v>6.2007886231415696</v>
      </c>
      <c r="I387" s="7">
        <v>16.13</v>
      </c>
      <c r="J387" s="7">
        <v>16.34</v>
      </c>
      <c r="K387" s="7">
        <v>16.09</v>
      </c>
      <c r="L387" s="7">
        <v>4.6541693600517098</v>
      </c>
    </row>
    <row r="388" spans="1:12" ht="15" customHeight="1" x14ac:dyDescent="0.2">
      <c r="A388" s="3">
        <v>45488</v>
      </c>
      <c r="B388" s="4">
        <v>16.100000000000001</v>
      </c>
      <c r="C388" s="5">
        <v>64575660</v>
      </c>
      <c r="D388" s="4">
        <v>-0.13999999999999699</v>
      </c>
      <c r="E388" s="4">
        <v>-0.862068965517226</v>
      </c>
      <c r="F388" s="4">
        <v>-0.86206305448647202</v>
      </c>
      <c r="G388" s="4">
        <v>16.337933</v>
      </c>
      <c r="H388" s="4">
        <v>5.6104266321913299</v>
      </c>
      <c r="I388" s="4">
        <v>16.149999999999999</v>
      </c>
      <c r="J388" s="4">
        <v>16.29</v>
      </c>
      <c r="K388" s="4">
        <v>16.05</v>
      </c>
      <c r="L388" s="4">
        <v>4.0723981900452504</v>
      </c>
    </row>
    <row r="389" spans="1:12" ht="15" customHeight="1" x14ac:dyDescent="0.2">
      <c r="A389" s="6">
        <v>45485</v>
      </c>
      <c r="B389" s="7">
        <v>16.239999999999998</v>
      </c>
      <c r="C389" s="8">
        <v>77037400</v>
      </c>
      <c r="D389" s="7">
        <v>-0.27000000000000302</v>
      </c>
      <c r="E389" s="7">
        <v>-1.63537250151425</v>
      </c>
      <c r="F389" s="7">
        <v>-0.18170199878860799</v>
      </c>
      <c r="G389" s="7">
        <v>16.480001000000001</v>
      </c>
      <c r="H389" s="7">
        <v>6.5287718164188799</v>
      </c>
      <c r="I389" s="7">
        <v>16.440000000000001</v>
      </c>
      <c r="J389" s="7">
        <v>16.45</v>
      </c>
      <c r="K389" s="7">
        <v>16.100000000000001</v>
      </c>
      <c r="L389" s="7">
        <v>4.9773755656108403</v>
      </c>
    </row>
    <row r="390" spans="1:12" ht="15" customHeight="1" x14ac:dyDescent="0.2">
      <c r="A390" s="3">
        <v>45484</v>
      </c>
      <c r="B390" s="4">
        <v>16.510000000000002</v>
      </c>
      <c r="C390" s="5">
        <v>58758367</v>
      </c>
      <c r="D390" s="4">
        <v>0.190000000000001</v>
      </c>
      <c r="E390" s="4">
        <v>1.1642156862745101</v>
      </c>
      <c r="F390" s="4">
        <v>1.1642156862745101</v>
      </c>
      <c r="G390" s="4">
        <v>16.510000000000002</v>
      </c>
      <c r="H390" s="4">
        <v>6.7226890756302504</v>
      </c>
      <c r="I390" s="4">
        <v>16.39</v>
      </c>
      <c r="J390" s="4">
        <v>16.690000000000001</v>
      </c>
      <c r="K390" s="4">
        <v>16.32</v>
      </c>
      <c r="L390" s="4">
        <v>6.7226890756302504</v>
      </c>
    </row>
    <row r="391" spans="1:12" ht="15" customHeight="1" x14ac:dyDescent="0.2">
      <c r="A391" s="6">
        <v>45483</v>
      </c>
      <c r="B391" s="7">
        <v>16.32</v>
      </c>
      <c r="C391" s="8">
        <v>90268660</v>
      </c>
      <c r="D391" s="7">
        <v>0.149999999999998</v>
      </c>
      <c r="E391" s="7">
        <v>0.92764378478662401</v>
      </c>
      <c r="F391" s="7">
        <v>0.92764378478662401</v>
      </c>
      <c r="G391" s="7">
        <v>16.32</v>
      </c>
      <c r="H391" s="7">
        <v>5.4945054945054901</v>
      </c>
      <c r="I391" s="7">
        <v>16.05</v>
      </c>
      <c r="J391" s="7">
        <v>16.350000000000001</v>
      </c>
      <c r="K391" s="7">
        <v>16.05</v>
      </c>
      <c r="L391" s="7">
        <v>5.4945054945054901</v>
      </c>
    </row>
    <row r="392" spans="1:12" ht="15" customHeight="1" x14ac:dyDescent="0.2">
      <c r="A392" s="3">
        <v>45482</v>
      </c>
      <c r="B392" s="4">
        <v>16.170000000000002</v>
      </c>
      <c r="C392" s="5">
        <v>81944550</v>
      </c>
      <c r="D392" s="4">
        <v>0.33000000000000101</v>
      </c>
      <c r="E392" s="4">
        <v>2.0833333333333401</v>
      </c>
      <c r="F392" s="4">
        <v>2.0833333333333401</v>
      </c>
      <c r="G392" s="4">
        <v>16.170000000000002</v>
      </c>
      <c r="H392" s="4">
        <v>4.5248868778280604</v>
      </c>
      <c r="I392" s="4">
        <v>15.88</v>
      </c>
      <c r="J392" s="4">
        <v>16.23</v>
      </c>
      <c r="K392" s="4">
        <v>15.84</v>
      </c>
      <c r="L392" s="4">
        <v>4.5248868778280604</v>
      </c>
    </row>
    <row r="393" spans="1:12" ht="15" customHeight="1" x14ac:dyDescent="0.2">
      <c r="A393" s="6">
        <v>45481</v>
      </c>
      <c r="B393" s="7">
        <v>15.84</v>
      </c>
      <c r="C393" s="8">
        <v>71071470</v>
      </c>
      <c r="D393" s="7">
        <v>9.9999999999999603E-2</v>
      </c>
      <c r="E393" s="7">
        <v>0.63532401524777304</v>
      </c>
      <c r="F393" s="7">
        <v>0.63532401524777304</v>
      </c>
      <c r="G393" s="7">
        <v>15.84</v>
      </c>
      <c r="H393" s="7">
        <v>2.39172592113768</v>
      </c>
      <c r="I393" s="7">
        <v>15.65</v>
      </c>
      <c r="J393" s="7">
        <v>16</v>
      </c>
      <c r="K393" s="7">
        <v>15.65</v>
      </c>
      <c r="L393" s="7">
        <v>2.39172592113768</v>
      </c>
    </row>
    <row r="394" spans="1:12" ht="15" customHeight="1" x14ac:dyDescent="0.2">
      <c r="A394" s="3">
        <v>45478</v>
      </c>
      <c r="B394" s="4">
        <v>15.74</v>
      </c>
      <c r="C394" s="5">
        <v>49011727</v>
      </c>
      <c r="D394" s="4">
        <v>-0.19999999999999901</v>
      </c>
      <c r="E394" s="4">
        <v>-1.2547051442910899</v>
      </c>
      <c r="F394" s="4">
        <v>-1.2547051442910899</v>
      </c>
      <c r="G394" s="4">
        <v>15.74</v>
      </c>
      <c r="H394" s="4">
        <v>1.74531351001938</v>
      </c>
      <c r="I394" s="4">
        <v>15.98</v>
      </c>
      <c r="J394" s="4">
        <v>15.98</v>
      </c>
      <c r="K394" s="4">
        <v>15.59</v>
      </c>
      <c r="L394" s="4">
        <v>1.74531351001938</v>
      </c>
    </row>
    <row r="395" spans="1:12" ht="15" customHeight="1" x14ac:dyDescent="0.2">
      <c r="A395" s="6">
        <v>45477</v>
      </c>
      <c r="B395" s="7">
        <v>15.94</v>
      </c>
      <c r="C395" s="8">
        <v>3188340</v>
      </c>
      <c r="D395" s="7">
        <v>5.99999999999987E-2</v>
      </c>
      <c r="E395" s="7">
        <v>0.377833753148615</v>
      </c>
      <c r="F395" s="7">
        <v>0.377833753148615</v>
      </c>
      <c r="G395" s="7">
        <v>15.94</v>
      </c>
      <c r="H395" s="7">
        <v>3.0381383322559699</v>
      </c>
      <c r="I395" s="7">
        <v>15.89</v>
      </c>
      <c r="J395" s="7">
        <v>15.95</v>
      </c>
      <c r="K395" s="7">
        <v>15.86</v>
      </c>
      <c r="L395" s="7">
        <v>3.0381383322559699</v>
      </c>
    </row>
    <row r="396" spans="1:12" ht="15" customHeight="1" x14ac:dyDescent="0.2">
      <c r="A396" s="3">
        <v>45476</v>
      </c>
      <c r="B396" s="4">
        <v>15.88</v>
      </c>
      <c r="C396" s="5">
        <v>34846207</v>
      </c>
      <c r="D396" s="4">
        <v>0.4</v>
      </c>
      <c r="E396" s="4">
        <v>2.58397932816538</v>
      </c>
      <c r="F396" s="4">
        <v>2.58397932816538</v>
      </c>
      <c r="G396" s="4">
        <v>15.88</v>
      </c>
      <c r="H396" s="4">
        <v>2.650290885585</v>
      </c>
      <c r="I396" s="4">
        <v>15.57</v>
      </c>
      <c r="J396" s="4">
        <v>15.93</v>
      </c>
      <c r="K396" s="4">
        <v>15.55</v>
      </c>
      <c r="L396" s="4">
        <v>2.650290885585</v>
      </c>
    </row>
    <row r="397" spans="1:12" ht="15" customHeight="1" x14ac:dyDescent="0.2">
      <c r="A397" s="6">
        <v>45475</v>
      </c>
      <c r="B397" s="7">
        <v>15.48</v>
      </c>
      <c r="C397" s="8">
        <v>83969010</v>
      </c>
      <c r="D397" s="7">
        <v>-0.25</v>
      </c>
      <c r="E397" s="7">
        <v>-1.5893197711379501</v>
      </c>
      <c r="F397" s="7">
        <v>-1.5893197711379501</v>
      </c>
      <c r="G397" s="7">
        <v>15.48</v>
      </c>
      <c r="H397" s="7">
        <v>6.4641241111827896E-2</v>
      </c>
      <c r="I397" s="7">
        <v>15.72</v>
      </c>
      <c r="J397" s="7">
        <v>15.88</v>
      </c>
      <c r="K397" s="7">
        <v>15.43</v>
      </c>
      <c r="L397" s="7">
        <v>6.4641241111827896E-2</v>
      </c>
    </row>
    <row r="398" spans="1:12" ht="15" customHeight="1" x14ac:dyDescent="0.2">
      <c r="A398" s="3">
        <v>45474</v>
      </c>
      <c r="B398" s="4">
        <v>15.73</v>
      </c>
      <c r="C398" s="5">
        <v>68959510</v>
      </c>
      <c r="D398" s="4">
        <v>0.16</v>
      </c>
      <c r="E398" s="4">
        <v>1.0276172125883001</v>
      </c>
      <c r="F398" s="4">
        <v>1.0276172125883001</v>
      </c>
      <c r="G398" s="4">
        <v>15.73</v>
      </c>
      <c r="H398" s="4">
        <v>1.6806722689075599</v>
      </c>
      <c r="I398" s="4">
        <v>15.63</v>
      </c>
      <c r="J398" s="4">
        <v>15.91</v>
      </c>
      <c r="K398" s="4">
        <v>15.62</v>
      </c>
      <c r="L398" s="4">
        <v>1.6806722689075599</v>
      </c>
    </row>
    <row r="399" spans="1:12" ht="15" customHeight="1" x14ac:dyDescent="0.2">
      <c r="A399" s="6">
        <v>45471</v>
      </c>
      <c r="B399" s="7">
        <v>15.57</v>
      </c>
      <c r="C399" s="8">
        <v>101618800</v>
      </c>
      <c r="D399" s="7">
        <v>9.9999999999999603E-2</v>
      </c>
      <c r="E399" s="7">
        <v>0.64641241111829095</v>
      </c>
      <c r="F399" s="7">
        <v>0.64641241111829095</v>
      </c>
      <c r="G399" s="7">
        <v>15.57</v>
      </c>
      <c r="H399" s="7">
        <v>0.64641241111829095</v>
      </c>
      <c r="I399" s="7">
        <v>15.4</v>
      </c>
      <c r="J399" s="7">
        <v>15.67</v>
      </c>
      <c r="K399" s="7">
        <v>15.35</v>
      </c>
      <c r="L399" s="7">
        <v>0.64641241111829095</v>
      </c>
    </row>
    <row r="400" spans="1:12" ht="15" customHeight="1" x14ac:dyDescent="0.2">
      <c r="A400" s="3">
        <v>45470</v>
      </c>
      <c r="B400" s="4">
        <v>15.47</v>
      </c>
      <c r="C400" s="5">
        <v>128800305</v>
      </c>
      <c r="D400" s="4">
        <v>-1.9999999999999501E-2</v>
      </c>
      <c r="E400" s="4">
        <v>-0.129115558424786</v>
      </c>
      <c r="F400" s="4">
        <v>-0.129115558424786</v>
      </c>
      <c r="G400" s="4">
        <v>15.47</v>
      </c>
      <c r="H400" s="4"/>
      <c r="I400" s="4">
        <v>15.41</v>
      </c>
      <c r="J400" s="4">
        <v>15.61</v>
      </c>
      <c r="K400" s="4">
        <v>15.31</v>
      </c>
      <c r="L400" s="4"/>
    </row>
    <row r="401" spans="1:12" ht="15" customHeight="1" x14ac:dyDescent="0.2">
      <c r="A401" s="6">
        <v>45469</v>
      </c>
      <c r="B401" s="7">
        <v>15.49</v>
      </c>
      <c r="C401" s="8">
        <v>122781400</v>
      </c>
      <c r="D401" s="7">
        <v>0.21</v>
      </c>
      <c r="E401" s="7">
        <v>1.37434554973823</v>
      </c>
      <c r="F401" s="7">
        <v>1.37434554973823</v>
      </c>
      <c r="G401" s="7">
        <v>15.49</v>
      </c>
      <c r="H401" s="7">
        <v>0.12928248222365499</v>
      </c>
      <c r="I401" s="7">
        <v>15.33</v>
      </c>
      <c r="J401" s="7">
        <v>15.53</v>
      </c>
      <c r="K401" s="7">
        <v>15.11</v>
      </c>
      <c r="L401" s="7">
        <v>0.12928248222365499</v>
      </c>
    </row>
    <row r="402" spans="1:12" ht="15" customHeight="1" x14ac:dyDescent="0.2">
      <c r="A402" s="3">
        <v>45468</v>
      </c>
      <c r="B402" s="4">
        <v>15.28</v>
      </c>
      <c r="C402" s="5">
        <v>104085000</v>
      </c>
      <c r="D402" s="4">
        <v>0.119999999999999</v>
      </c>
      <c r="E402" s="4">
        <v>0.79155672823219003</v>
      </c>
      <c r="F402" s="4">
        <v>0.79155672823219003</v>
      </c>
      <c r="G402" s="4">
        <v>15.28</v>
      </c>
      <c r="H402" s="4">
        <v>-1.2281835811247599</v>
      </c>
      <c r="I402" s="4">
        <v>15.19</v>
      </c>
      <c r="J402" s="4">
        <v>15.33</v>
      </c>
      <c r="K402" s="4">
        <v>15.01</v>
      </c>
      <c r="L402" s="4">
        <v>-1.2281835811247599</v>
      </c>
    </row>
    <row r="403" spans="1:12" ht="15" customHeight="1" x14ac:dyDescent="0.2">
      <c r="A403" s="6">
        <v>45467</v>
      </c>
      <c r="B403" s="7">
        <v>15.16</v>
      </c>
      <c r="C403" s="8">
        <v>60359580</v>
      </c>
      <c r="D403" s="7">
        <v>-0.12999999999999901</v>
      </c>
      <c r="E403" s="7">
        <v>-0.85022890778285698</v>
      </c>
      <c r="F403" s="7">
        <v>-0.85022890778285698</v>
      </c>
      <c r="G403" s="7">
        <v>15.16</v>
      </c>
      <c r="H403" s="7">
        <v>-2.0038784744667102</v>
      </c>
      <c r="I403" s="7">
        <v>15.21</v>
      </c>
      <c r="J403" s="7">
        <v>15.47</v>
      </c>
      <c r="K403" s="7">
        <v>15.08</v>
      </c>
      <c r="L403" s="7">
        <v>-2.0038784744667102</v>
      </c>
    </row>
    <row r="404" spans="1:12" ht="15" customHeight="1" x14ac:dyDescent="0.2">
      <c r="A404" s="3">
        <v>45464</v>
      </c>
      <c r="B404" s="4">
        <v>15.29</v>
      </c>
      <c r="C404" s="5">
        <v>320864200</v>
      </c>
      <c r="D404" s="4">
        <v>-0.16</v>
      </c>
      <c r="E404" s="4">
        <v>-1.03559870550161</v>
      </c>
      <c r="F404" s="4">
        <v>-1.03559870550161</v>
      </c>
      <c r="G404" s="4">
        <v>15.29</v>
      </c>
      <c r="H404" s="4">
        <v>-1.1635423400129301</v>
      </c>
      <c r="I404" s="4">
        <v>15.55</v>
      </c>
      <c r="J404" s="4">
        <v>15.6</v>
      </c>
      <c r="K404" s="4">
        <v>15.23</v>
      </c>
      <c r="L404" s="4">
        <v>-1.1635423400129301</v>
      </c>
    </row>
    <row r="405" spans="1:12" ht="15" customHeight="1" x14ac:dyDescent="0.2">
      <c r="A405" s="6">
        <v>45463</v>
      </c>
      <c r="B405" s="7">
        <v>15.45</v>
      </c>
      <c r="C405" s="8">
        <v>84176630</v>
      </c>
      <c r="D405" s="7">
        <v>-0.24</v>
      </c>
      <c r="E405" s="7">
        <v>-1.52963671128106</v>
      </c>
      <c r="F405" s="7">
        <v>-1.52963671128106</v>
      </c>
      <c r="G405" s="7">
        <v>15.45</v>
      </c>
      <c r="H405" s="7">
        <v>-0.12928248222366701</v>
      </c>
      <c r="I405" s="7">
        <v>15.6</v>
      </c>
      <c r="J405" s="7">
        <v>15.65</v>
      </c>
      <c r="K405" s="7">
        <v>15.36</v>
      </c>
      <c r="L405" s="7">
        <v>-0.12928248222366701</v>
      </c>
    </row>
    <row r="406" spans="1:12" ht="15" customHeight="1" x14ac:dyDescent="0.2">
      <c r="A406" s="3">
        <v>45462</v>
      </c>
      <c r="B406" s="4">
        <v>15.69</v>
      </c>
      <c r="C406" s="5">
        <v>5167515</v>
      </c>
      <c r="D406" s="4">
        <v>5.99999999999987E-2</v>
      </c>
      <c r="E406" s="4">
        <v>0.38387715930900901</v>
      </c>
      <c r="F406" s="4">
        <v>0.38387715930900901</v>
      </c>
      <c r="G406" s="4">
        <v>15.69</v>
      </c>
      <c r="H406" s="4">
        <v>1.4221073044602299</v>
      </c>
      <c r="I406" s="4">
        <v>15.63</v>
      </c>
      <c r="J406" s="4">
        <v>15.72</v>
      </c>
      <c r="K406" s="4">
        <v>15.53</v>
      </c>
      <c r="L406" s="4">
        <v>1.4221073044602299</v>
      </c>
    </row>
    <row r="407" spans="1:12" ht="15" customHeight="1" x14ac:dyDescent="0.2">
      <c r="A407" s="6">
        <v>45461</v>
      </c>
      <c r="B407" s="7">
        <v>15.63</v>
      </c>
      <c r="C407" s="8">
        <v>68166410</v>
      </c>
      <c r="D407" s="7">
        <v>-2.9999999999999302E-2</v>
      </c>
      <c r="E407" s="7">
        <v>-0.19157088122604399</v>
      </c>
      <c r="F407" s="7">
        <v>-0.19157088122604399</v>
      </c>
      <c r="G407" s="7">
        <v>15.63</v>
      </c>
      <c r="H407" s="7">
        <v>1.0342598577892701</v>
      </c>
      <c r="I407" s="7">
        <v>15.62</v>
      </c>
      <c r="J407" s="7">
        <v>15.83</v>
      </c>
      <c r="K407" s="7">
        <v>15.48</v>
      </c>
      <c r="L407" s="7">
        <v>1.0342598577892701</v>
      </c>
    </row>
    <row r="408" spans="1:12" ht="15" customHeight="1" x14ac:dyDescent="0.2">
      <c r="A408" s="3">
        <v>45460</v>
      </c>
      <c r="B408" s="4">
        <v>15.66</v>
      </c>
      <c r="C408" s="5">
        <v>61412550</v>
      </c>
      <c r="D408" s="4"/>
      <c r="E408" s="4"/>
      <c r="F408" s="4"/>
      <c r="G408" s="4">
        <v>15.66</v>
      </c>
      <c r="H408" s="4">
        <v>1.2281835811247499</v>
      </c>
      <c r="I408" s="4">
        <v>15.66</v>
      </c>
      <c r="J408" s="4">
        <v>15.71</v>
      </c>
      <c r="K408" s="4">
        <v>15.45</v>
      </c>
      <c r="L408" s="4">
        <v>1.2281835811247499</v>
      </c>
    </row>
    <row r="409" spans="1:12" ht="15" customHeight="1" x14ac:dyDescent="0.2">
      <c r="A409" s="6">
        <v>45457</v>
      </c>
      <c r="B409" s="7">
        <v>15.66</v>
      </c>
      <c r="C409" s="8">
        <v>108150900</v>
      </c>
      <c r="D409" s="7">
        <v>0.109999999999999</v>
      </c>
      <c r="E409" s="7">
        <v>0.707395498392271</v>
      </c>
      <c r="F409" s="7">
        <v>0.707395498392271</v>
      </c>
      <c r="G409" s="7">
        <v>15.66</v>
      </c>
      <c r="H409" s="7">
        <v>1.2281835811247499</v>
      </c>
      <c r="I409" s="7">
        <v>15.45</v>
      </c>
      <c r="J409" s="7">
        <v>15.77</v>
      </c>
      <c r="K409" s="7">
        <v>15.44</v>
      </c>
      <c r="L409" s="7">
        <v>1.2281835811247499</v>
      </c>
    </row>
    <row r="410" spans="1:12" ht="15" customHeight="1" x14ac:dyDescent="0.2">
      <c r="A410" s="3">
        <v>45456</v>
      </c>
      <c r="B410" s="4">
        <v>15.55</v>
      </c>
      <c r="C410" s="5">
        <v>62396120</v>
      </c>
      <c r="D410" s="4">
        <v>-0.25</v>
      </c>
      <c r="E410" s="4">
        <v>-1.58227848101265</v>
      </c>
      <c r="F410" s="4">
        <v>-1.58227848101265</v>
      </c>
      <c r="G410" s="4">
        <v>15.55</v>
      </c>
      <c r="H410" s="4">
        <v>0.51712992889463505</v>
      </c>
      <c r="I410" s="4">
        <v>15.8</v>
      </c>
      <c r="J410" s="4">
        <v>16.010000000000002</v>
      </c>
      <c r="K410" s="4">
        <v>15.5</v>
      </c>
      <c r="L410" s="4">
        <v>0.51712992889463505</v>
      </c>
    </row>
    <row r="411" spans="1:12" ht="15" customHeight="1" x14ac:dyDescent="0.2">
      <c r="A411" s="6">
        <v>45455</v>
      </c>
      <c r="B411" s="7">
        <v>15.8</v>
      </c>
      <c r="C411" s="8">
        <v>78544805</v>
      </c>
      <c r="D411" s="7">
        <v>0.100000000000001</v>
      </c>
      <c r="E411" s="7">
        <v>0.63694267515923497</v>
      </c>
      <c r="F411" s="7">
        <v>0.63694267515923497</v>
      </c>
      <c r="G411" s="7">
        <v>15.8</v>
      </c>
      <c r="H411" s="7">
        <v>2.13316095669036</v>
      </c>
      <c r="I411" s="7">
        <v>15.86</v>
      </c>
      <c r="J411" s="7">
        <v>15.91</v>
      </c>
      <c r="K411" s="7">
        <v>15.6</v>
      </c>
      <c r="L411" s="7">
        <v>2.13316095669036</v>
      </c>
    </row>
    <row r="412" spans="1:12" ht="15" customHeight="1" x14ac:dyDescent="0.2">
      <c r="A412" s="3">
        <v>45454</v>
      </c>
      <c r="B412" s="4">
        <v>15.7</v>
      </c>
      <c r="C412" s="5">
        <v>65074113</v>
      </c>
      <c r="D412" s="4">
        <v>0.16999999999999901</v>
      </c>
      <c r="E412" s="4">
        <v>1.0946555054732701</v>
      </c>
      <c r="F412" s="4">
        <v>1.0946555054732701</v>
      </c>
      <c r="G412" s="4">
        <v>15.7</v>
      </c>
      <c r="H412" s="4">
        <v>1.4867485455720599</v>
      </c>
      <c r="I412" s="4">
        <v>15.57</v>
      </c>
      <c r="J412" s="4">
        <v>15.81</v>
      </c>
      <c r="K412" s="4">
        <v>15.22</v>
      </c>
      <c r="L412" s="4">
        <v>1.4867485455720599</v>
      </c>
    </row>
    <row r="413" spans="1:12" ht="15" customHeight="1" x14ac:dyDescent="0.2">
      <c r="A413" s="6">
        <v>45453</v>
      </c>
      <c r="B413" s="7">
        <v>15.53</v>
      </c>
      <c r="C413" s="8">
        <v>66572484</v>
      </c>
      <c r="D413" s="7">
        <v>-0.33</v>
      </c>
      <c r="E413" s="7">
        <v>-2.08070617906683</v>
      </c>
      <c r="F413" s="7">
        <v>-2.08070617906683</v>
      </c>
      <c r="G413" s="7">
        <v>15.53</v>
      </c>
      <c r="H413" s="7">
        <v>0.38784744667096699</v>
      </c>
      <c r="I413" s="7">
        <v>15.87</v>
      </c>
      <c r="J413" s="7">
        <v>16.07</v>
      </c>
      <c r="K413" s="7">
        <v>15.49</v>
      </c>
      <c r="L413" s="7">
        <v>0.38784744667096699</v>
      </c>
    </row>
    <row r="414" spans="1:12" ht="15" customHeight="1" x14ac:dyDescent="0.2">
      <c r="A414" s="3">
        <v>45450</v>
      </c>
      <c r="B414" s="4">
        <v>15.86</v>
      </c>
      <c r="C414" s="5">
        <v>90895880</v>
      </c>
      <c r="D414" s="4">
        <v>-3.0000000000001099E-2</v>
      </c>
      <c r="E414" s="4">
        <v>-0.18879798615481999</v>
      </c>
      <c r="F414" s="4">
        <v>-0.18879798615481999</v>
      </c>
      <c r="G414" s="4">
        <v>15.86</v>
      </c>
      <c r="H414" s="4">
        <v>2.5210084033613298</v>
      </c>
      <c r="I414" s="4">
        <v>15.91</v>
      </c>
      <c r="J414" s="4">
        <v>16.09</v>
      </c>
      <c r="K414" s="4">
        <v>15.67</v>
      </c>
      <c r="L414" s="4">
        <v>2.5210084033613298</v>
      </c>
    </row>
    <row r="415" spans="1:12" ht="15" customHeight="1" x14ac:dyDescent="0.2">
      <c r="A415" s="6">
        <v>45449</v>
      </c>
      <c r="B415" s="7">
        <v>15.89</v>
      </c>
      <c r="C415" s="8">
        <v>104215510</v>
      </c>
      <c r="D415" s="7">
        <v>0.21</v>
      </c>
      <c r="E415" s="7">
        <v>1.33928571428572</v>
      </c>
      <c r="F415" s="7">
        <v>1.33928571428572</v>
      </c>
      <c r="G415" s="7">
        <v>15.89</v>
      </c>
      <c r="H415" s="7">
        <v>2.71493212669683</v>
      </c>
      <c r="I415" s="7">
        <v>15.71</v>
      </c>
      <c r="J415" s="7">
        <v>16.2</v>
      </c>
      <c r="K415" s="7">
        <v>15.69</v>
      </c>
      <c r="L415" s="7">
        <v>2.71493212669683</v>
      </c>
    </row>
    <row r="416" spans="1:12" ht="15" customHeight="1" x14ac:dyDescent="0.2">
      <c r="A416" s="3">
        <v>45448</v>
      </c>
      <c r="B416" s="4">
        <v>15.68</v>
      </c>
      <c r="C416" s="5">
        <v>109507100</v>
      </c>
      <c r="D416" s="4">
        <v>-0.25</v>
      </c>
      <c r="E416" s="4">
        <v>-1.56936597614564</v>
      </c>
      <c r="F416" s="4">
        <v>-1.56936597614564</v>
      </c>
      <c r="G416" s="4">
        <v>15.68</v>
      </c>
      <c r="H416" s="4">
        <v>1.3574660633484099</v>
      </c>
      <c r="I416" s="4">
        <v>15.86</v>
      </c>
      <c r="J416" s="4">
        <v>16.190000000000001</v>
      </c>
      <c r="K416" s="4">
        <v>15.64</v>
      </c>
      <c r="L416" s="4">
        <v>1.3574660633484099</v>
      </c>
    </row>
    <row r="417" spans="1:12" ht="15" customHeight="1" x14ac:dyDescent="0.2">
      <c r="A417" s="6">
        <v>45447</v>
      </c>
      <c r="B417" s="7">
        <v>15.93</v>
      </c>
      <c r="C417" s="8">
        <v>101090700</v>
      </c>
      <c r="D417" s="7">
        <v>0.71999999999999797</v>
      </c>
      <c r="E417" s="7">
        <v>4.7337278106508798</v>
      </c>
      <c r="F417" s="7">
        <v>4.7337278106508798</v>
      </c>
      <c r="G417" s="7">
        <v>15.93</v>
      </c>
      <c r="H417" s="7">
        <v>2.9734970911441398</v>
      </c>
      <c r="I417" s="7">
        <v>15.29</v>
      </c>
      <c r="J417" s="7">
        <v>15.97</v>
      </c>
      <c r="K417" s="7">
        <v>15.25</v>
      </c>
      <c r="L417" s="7">
        <v>2.9734970911441398</v>
      </c>
    </row>
    <row r="418" spans="1:12" ht="15" customHeight="1" x14ac:dyDescent="0.2">
      <c r="A418" s="3">
        <v>45446</v>
      </c>
      <c r="B418" s="4">
        <v>15.21</v>
      </c>
      <c r="C418" s="5">
        <v>76757070</v>
      </c>
      <c r="D418" s="4">
        <v>-0.50999999999999901</v>
      </c>
      <c r="E418" s="4">
        <v>-3.2442748091603</v>
      </c>
      <c r="F418" s="4">
        <v>-3.2442748091603</v>
      </c>
      <c r="G418" s="4">
        <v>15.21</v>
      </c>
      <c r="H418" s="4">
        <v>-1.6806722689075599</v>
      </c>
      <c r="I418" s="4">
        <v>15.38</v>
      </c>
      <c r="J418" s="4">
        <v>15.97</v>
      </c>
      <c r="K418" s="4">
        <v>15.06</v>
      </c>
      <c r="L418" s="4">
        <v>-1.6806722689075599</v>
      </c>
    </row>
    <row r="419" spans="1:12" ht="15" customHeight="1" x14ac:dyDescent="0.2">
      <c r="A419" s="6">
        <v>45443</v>
      </c>
      <c r="B419" s="7">
        <v>15.72</v>
      </c>
      <c r="C419" s="8">
        <v>306347000</v>
      </c>
      <c r="D419" s="7">
        <v>-0.33</v>
      </c>
      <c r="E419" s="7">
        <v>-2.05607476635514</v>
      </c>
      <c r="F419" s="7">
        <v>-2.05607476635514</v>
      </c>
      <c r="G419" s="7">
        <v>15.72</v>
      </c>
      <c r="H419" s="7">
        <v>1.6160310277957299</v>
      </c>
      <c r="I419" s="7">
        <v>16.05</v>
      </c>
      <c r="J419" s="7">
        <v>16.05</v>
      </c>
      <c r="K419" s="7">
        <v>15.67</v>
      </c>
      <c r="L419" s="7">
        <v>1.6160310277957299</v>
      </c>
    </row>
    <row r="420" spans="1:12" ht="15" customHeight="1" x14ac:dyDescent="0.2">
      <c r="A420" s="3">
        <v>45442</v>
      </c>
      <c r="B420" s="4">
        <v>16.05</v>
      </c>
      <c r="C420" s="5">
        <v>65826195</v>
      </c>
      <c r="D420" s="4">
        <v>0.110000000000001</v>
      </c>
      <c r="E420" s="4">
        <v>0.69008782936010804</v>
      </c>
      <c r="F420" s="4">
        <v>0.69008782936010804</v>
      </c>
      <c r="G420" s="4">
        <v>16.05</v>
      </c>
      <c r="H420" s="4">
        <v>3.7491919844860999</v>
      </c>
      <c r="I420" s="4">
        <v>15.94</v>
      </c>
      <c r="J420" s="4">
        <v>16.170000000000002</v>
      </c>
      <c r="K420" s="4">
        <v>15.92</v>
      </c>
      <c r="L420" s="4">
        <v>3.7491919844860999</v>
      </c>
    </row>
    <row r="421" spans="1:12" ht="15" customHeight="1" x14ac:dyDescent="0.2">
      <c r="A421" s="6">
        <v>45441</v>
      </c>
      <c r="B421" s="7">
        <v>15.94</v>
      </c>
      <c r="C421" s="8">
        <v>78357350</v>
      </c>
      <c r="D421" s="7">
        <v>-0.22</v>
      </c>
      <c r="E421" s="7">
        <v>-1.3613861386138599</v>
      </c>
      <c r="F421" s="7">
        <v>-1.3613861386138599</v>
      </c>
      <c r="G421" s="7">
        <v>15.94</v>
      </c>
      <c r="H421" s="7">
        <v>3.0381383322559699</v>
      </c>
      <c r="I421" s="7">
        <v>16.09</v>
      </c>
      <c r="J421" s="7">
        <v>16.11</v>
      </c>
      <c r="K421" s="7">
        <v>15.81</v>
      </c>
      <c r="L421" s="7">
        <v>3.0381383322559699</v>
      </c>
    </row>
    <row r="422" spans="1:12" ht="15" customHeight="1" x14ac:dyDescent="0.2">
      <c r="A422" s="3">
        <v>45440</v>
      </c>
      <c r="B422" s="4">
        <v>16.16</v>
      </c>
      <c r="C422" s="5">
        <v>46165650</v>
      </c>
      <c r="D422" s="4">
        <v>5.0000000000000697E-2</v>
      </c>
      <c r="E422" s="4">
        <v>0.31036623215394599</v>
      </c>
      <c r="F422" s="4">
        <v>0.31036623215394599</v>
      </c>
      <c r="G422" s="4">
        <v>16.16</v>
      </c>
      <c r="H422" s="4">
        <v>4.4602456367162198</v>
      </c>
      <c r="I422" s="4">
        <v>16.170000000000002</v>
      </c>
      <c r="J422" s="4">
        <v>16.23</v>
      </c>
      <c r="K422" s="4">
        <v>15.99</v>
      </c>
      <c r="L422" s="4">
        <v>4.4602456367162198</v>
      </c>
    </row>
    <row r="423" spans="1:12" ht="15" customHeight="1" x14ac:dyDescent="0.2">
      <c r="A423" s="6">
        <v>45439</v>
      </c>
      <c r="B423" s="7">
        <v>16.11</v>
      </c>
      <c r="C423" s="8">
        <v>8998181</v>
      </c>
      <c r="D423" s="7">
        <v>-0.109999999999999</v>
      </c>
      <c r="E423" s="7">
        <v>-0.67817509247841601</v>
      </c>
      <c r="F423" s="7">
        <v>-0.67817509247841601</v>
      </c>
      <c r="G423" s="7">
        <v>16.11</v>
      </c>
      <c r="H423" s="7">
        <v>4.1370394311570697</v>
      </c>
      <c r="I423" s="7">
        <v>16.25</v>
      </c>
      <c r="J423" s="7">
        <v>16.25</v>
      </c>
      <c r="K423" s="7">
        <v>16.079999999999998</v>
      </c>
      <c r="L423" s="7">
        <v>4.1370394311570697</v>
      </c>
    </row>
    <row r="424" spans="1:12" ht="15" customHeight="1" x14ac:dyDescent="0.2">
      <c r="A424" s="3">
        <v>45436</v>
      </c>
      <c r="B424" s="4">
        <v>16.22</v>
      </c>
      <c r="C424" s="5">
        <v>55953200</v>
      </c>
      <c r="D424" s="4">
        <v>-0.17000000000000101</v>
      </c>
      <c r="E424" s="4">
        <v>-1.0372178157413201</v>
      </c>
      <c r="F424" s="4">
        <v>-1.0372178157413201</v>
      </c>
      <c r="G424" s="4">
        <v>16.22</v>
      </c>
      <c r="H424" s="4">
        <v>4.84809308338719</v>
      </c>
      <c r="I424" s="4">
        <v>16.399999999999999</v>
      </c>
      <c r="J424" s="4">
        <v>16.440000000000001</v>
      </c>
      <c r="K424" s="4">
        <v>16.18</v>
      </c>
      <c r="L424" s="4">
        <v>4.84809308338719</v>
      </c>
    </row>
    <row r="425" spans="1:12" ht="15" customHeight="1" x14ac:dyDescent="0.2">
      <c r="A425" s="6">
        <v>45435</v>
      </c>
      <c r="B425" s="7">
        <v>16.39</v>
      </c>
      <c r="C425" s="8">
        <v>58989030</v>
      </c>
      <c r="D425" s="7">
        <v>-5.99999999999987E-2</v>
      </c>
      <c r="E425" s="7">
        <v>-0.36474164133737302</v>
      </c>
      <c r="F425" s="7">
        <v>-0.36474164133737302</v>
      </c>
      <c r="G425" s="7">
        <v>16.39</v>
      </c>
      <c r="H425" s="7">
        <v>5.9469941822883001</v>
      </c>
      <c r="I425" s="7">
        <v>16.420000000000002</v>
      </c>
      <c r="J425" s="7">
        <v>16.57</v>
      </c>
      <c r="K425" s="7">
        <v>16.350000000000001</v>
      </c>
      <c r="L425" s="7">
        <v>5.9469941822883001</v>
      </c>
    </row>
    <row r="426" spans="1:12" ht="15" customHeight="1" x14ac:dyDescent="0.2">
      <c r="A426" s="3">
        <v>45434</v>
      </c>
      <c r="B426" s="4">
        <v>16.45</v>
      </c>
      <c r="C426" s="5">
        <v>52514380</v>
      </c>
      <c r="D426" s="4">
        <v>8.9999999999999802E-2</v>
      </c>
      <c r="E426" s="4">
        <v>0.55012224938875098</v>
      </c>
      <c r="F426" s="4">
        <v>0.55012224938875098</v>
      </c>
      <c r="G426" s="4">
        <v>16.45</v>
      </c>
      <c r="H426" s="4">
        <v>6.3348416289592597</v>
      </c>
      <c r="I426" s="4">
        <v>16.309999999999999</v>
      </c>
      <c r="J426" s="4">
        <v>16.489999999999998</v>
      </c>
      <c r="K426" s="4">
        <v>16.25</v>
      </c>
      <c r="L426" s="4">
        <v>6.3348416289592597</v>
      </c>
    </row>
    <row r="427" spans="1:12" ht="15" customHeight="1" x14ac:dyDescent="0.2">
      <c r="A427" s="6">
        <v>45433</v>
      </c>
      <c r="B427" s="7">
        <v>16.36</v>
      </c>
      <c r="C427" s="8">
        <v>50236246</v>
      </c>
      <c r="D427" s="7">
        <v>-6.0000000000002197E-2</v>
      </c>
      <c r="E427" s="7">
        <v>-0.36540803897686602</v>
      </c>
      <c r="F427" s="7">
        <v>-0.36540803897686602</v>
      </c>
      <c r="G427" s="7">
        <v>16.36</v>
      </c>
      <c r="H427" s="7">
        <v>5.7530704589528003</v>
      </c>
      <c r="I427" s="7">
        <v>16.329999999999998</v>
      </c>
      <c r="J427" s="7">
        <v>16.440000000000001</v>
      </c>
      <c r="K427" s="7">
        <v>16.32</v>
      </c>
      <c r="L427" s="7">
        <v>5.7530704589528003</v>
      </c>
    </row>
    <row r="428" spans="1:12" ht="15" customHeight="1" x14ac:dyDescent="0.2">
      <c r="A428" s="3">
        <v>45432</v>
      </c>
      <c r="B428" s="4">
        <v>16.420000000000002</v>
      </c>
      <c r="C428" s="5">
        <v>34403008</v>
      </c>
      <c r="D428" s="4">
        <v>2.0000000000003099E-2</v>
      </c>
      <c r="E428" s="4">
        <v>0.121951219512217</v>
      </c>
      <c r="F428" s="4">
        <v>0.121951219512217</v>
      </c>
      <c r="G428" s="4">
        <v>16.420000000000002</v>
      </c>
      <c r="H428" s="4">
        <v>6.1409179056237901</v>
      </c>
      <c r="I428" s="4">
        <v>16.399999999999999</v>
      </c>
      <c r="J428" s="4">
        <v>16.46</v>
      </c>
      <c r="K428" s="4">
        <v>16.329999999999998</v>
      </c>
      <c r="L428" s="4">
        <v>6.1409179056237901</v>
      </c>
    </row>
    <row r="429" spans="1:12" ht="15" customHeight="1" x14ac:dyDescent="0.2">
      <c r="A429" s="6">
        <v>45429</v>
      </c>
      <c r="B429" s="7">
        <v>16.399999999999999</v>
      </c>
      <c r="C429" s="8">
        <v>29876890</v>
      </c>
      <c r="D429" s="7">
        <v>-8.9999999999999802E-2</v>
      </c>
      <c r="E429" s="7">
        <v>-0.54578532443905203</v>
      </c>
      <c r="F429" s="7">
        <v>-0.54578532443905203</v>
      </c>
      <c r="G429" s="7">
        <v>16.399999999999999</v>
      </c>
      <c r="H429" s="7">
        <v>6.0116354234001097</v>
      </c>
      <c r="I429" s="7">
        <v>16.510000000000002</v>
      </c>
      <c r="J429" s="7">
        <v>16.71</v>
      </c>
      <c r="K429" s="7">
        <v>16.34</v>
      </c>
      <c r="L429" s="7">
        <v>6.0116354234001097</v>
      </c>
    </row>
    <row r="430" spans="1:12" ht="15" customHeight="1" x14ac:dyDescent="0.2">
      <c r="A430" s="3">
        <v>45428</v>
      </c>
      <c r="B430" s="4">
        <v>16.489999999999998</v>
      </c>
      <c r="C430" s="5">
        <v>71554110</v>
      </c>
      <c r="D430" s="4">
        <v>-0.17000000000000101</v>
      </c>
      <c r="E430" s="4">
        <v>-1.0204081632653099</v>
      </c>
      <c r="F430" s="4">
        <v>-1.0204081632653099</v>
      </c>
      <c r="G430" s="4">
        <v>16.489999999999998</v>
      </c>
      <c r="H430" s="4">
        <v>6.59340659340657</v>
      </c>
      <c r="I430" s="4">
        <v>16.64</v>
      </c>
      <c r="J430" s="4">
        <v>16.72</v>
      </c>
      <c r="K430" s="4">
        <v>16.46</v>
      </c>
      <c r="L430" s="4">
        <v>6.59340659340657</v>
      </c>
    </row>
    <row r="431" spans="1:12" ht="15" customHeight="1" x14ac:dyDescent="0.2">
      <c r="A431" s="6">
        <v>45427</v>
      </c>
      <c r="B431" s="7">
        <v>16.66</v>
      </c>
      <c r="C431" s="8">
        <v>53521650</v>
      </c>
      <c r="D431" s="7">
        <v>-0.14000000000000001</v>
      </c>
      <c r="E431" s="7">
        <v>-0.83333333333334103</v>
      </c>
      <c r="F431" s="7">
        <v>-0.83333333333334103</v>
      </c>
      <c r="G431" s="7">
        <v>16.66</v>
      </c>
      <c r="H431" s="7">
        <v>7.6923076923076801</v>
      </c>
      <c r="I431" s="7">
        <v>16.760000000000002</v>
      </c>
      <c r="J431" s="7">
        <v>16.95</v>
      </c>
      <c r="K431" s="7">
        <v>16.600000000000001</v>
      </c>
      <c r="L431" s="7">
        <v>7.6923076923076801</v>
      </c>
    </row>
    <row r="432" spans="1:12" ht="15" customHeight="1" x14ac:dyDescent="0.2">
      <c r="A432" s="3">
        <v>45426</v>
      </c>
      <c r="B432" s="4">
        <v>16.8</v>
      </c>
      <c r="C432" s="5">
        <v>82168990</v>
      </c>
      <c r="D432" s="4">
        <v>3.0000000000001099E-2</v>
      </c>
      <c r="E432" s="4">
        <v>0.178890876565307</v>
      </c>
      <c r="F432" s="4">
        <v>0.178890876565307</v>
      </c>
      <c r="G432" s="4">
        <v>16.8</v>
      </c>
      <c r="H432" s="4">
        <v>8.5972850678732993</v>
      </c>
      <c r="I432" s="4">
        <v>16.77</v>
      </c>
      <c r="J432" s="4">
        <v>16.93</v>
      </c>
      <c r="K432" s="4">
        <v>16.7</v>
      </c>
      <c r="L432" s="4">
        <v>8.5972850678732993</v>
      </c>
    </row>
    <row r="433" spans="1:12" ht="15" customHeight="1" x14ac:dyDescent="0.2">
      <c r="A433" s="6">
        <v>45425</v>
      </c>
      <c r="B433" s="7">
        <v>16.77</v>
      </c>
      <c r="C433" s="8">
        <v>42231047</v>
      </c>
      <c r="D433" s="7">
        <v>-0.219999999999998</v>
      </c>
      <c r="E433" s="7">
        <v>-1.29487934078869</v>
      </c>
      <c r="F433" s="7">
        <v>-1.29487934078869</v>
      </c>
      <c r="G433" s="7">
        <v>16.77</v>
      </c>
      <c r="H433" s="7">
        <v>8.4033613445377995</v>
      </c>
      <c r="I433" s="7">
        <v>16.96</v>
      </c>
      <c r="J433" s="7">
        <v>17.079999999999998</v>
      </c>
      <c r="K433" s="7">
        <v>16.73</v>
      </c>
      <c r="L433" s="7">
        <v>8.4033613445377995</v>
      </c>
    </row>
    <row r="434" spans="1:12" ht="15" customHeight="1" x14ac:dyDescent="0.2">
      <c r="A434" s="3">
        <v>45422</v>
      </c>
      <c r="B434" s="4">
        <v>16.989999999999998</v>
      </c>
      <c r="C434" s="5">
        <v>93841430</v>
      </c>
      <c r="D434" s="4">
        <v>-3.0000000000001099E-2</v>
      </c>
      <c r="E434" s="4">
        <v>-0.17626321974149001</v>
      </c>
      <c r="F434" s="4">
        <v>-0.17626321974149001</v>
      </c>
      <c r="G434" s="4">
        <v>16.989999999999998</v>
      </c>
      <c r="H434" s="4">
        <v>9.8254686489980401</v>
      </c>
      <c r="I434" s="4">
        <v>16.989999999999998</v>
      </c>
      <c r="J434" s="4">
        <v>17.02</v>
      </c>
      <c r="K434" s="4">
        <v>16.739999999999998</v>
      </c>
      <c r="L434" s="4">
        <v>9.8254686489980401</v>
      </c>
    </row>
    <row r="435" spans="1:12" ht="15" customHeight="1" x14ac:dyDescent="0.2">
      <c r="A435" s="6">
        <v>45421</v>
      </c>
      <c r="B435" s="7">
        <v>17.02</v>
      </c>
      <c r="C435" s="8">
        <v>66409429.999999903</v>
      </c>
      <c r="D435" s="7">
        <v>0.35999999999999899</v>
      </c>
      <c r="E435" s="7">
        <v>2.1608643457382999</v>
      </c>
      <c r="F435" s="7">
        <v>2.1608643457382999</v>
      </c>
      <c r="G435" s="7">
        <v>17.02</v>
      </c>
      <c r="H435" s="7">
        <v>10.019392372333501</v>
      </c>
      <c r="I435" s="7">
        <v>16.670000000000002</v>
      </c>
      <c r="J435" s="7">
        <v>17.13</v>
      </c>
      <c r="K435" s="7">
        <v>16.600000000000001</v>
      </c>
      <c r="L435" s="7">
        <v>10.019392372333501</v>
      </c>
    </row>
    <row r="436" spans="1:12" ht="15" customHeight="1" x14ac:dyDescent="0.2">
      <c r="A436" s="3">
        <v>45420</v>
      </c>
      <c r="B436" s="4">
        <v>16.66</v>
      </c>
      <c r="C436" s="5">
        <v>104844400</v>
      </c>
      <c r="D436" s="4">
        <v>5.99999999999987E-2</v>
      </c>
      <c r="E436" s="4">
        <v>0.36144578313253001</v>
      </c>
      <c r="F436" s="4">
        <v>0.36144578313253001</v>
      </c>
      <c r="G436" s="4">
        <v>16.66</v>
      </c>
      <c r="H436" s="4">
        <v>7.6923076923076801</v>
      </c>
      <c r="I436" s="4">
        <v>16.52</v>
      </c>
      <c r="J436" s="4">
        <v>16.71</v>
      </c>
      <c r="K436" s="4">
        <v>16.399999999999999</v>
      </c>
      <c r="L436" s="4">
        <v>7.6923076923076801</v>
      </c>
    </row>
    <row r="437" spans="1:12" ht="15" customHeight="1" x14ac:dyDescent="0.2">
      <c r="A437" s="6">
        <v>45419</v>
      </c>
      <c r="B437" s="7">
        <v>16.600000000000001</v>
      </c>
      <c r="C437" s="8">
        <v>148066500</v>
      </c>
      <c r="D437" s="7">
        <v>-8.9999999999999802E-2</v>
      </c>
      <c r="E437" s="7">
        <v>-0.53924505692031199</v>
      </c>
      <c r="F437" s="7">
        <v>-0.53924505692031199</v>
      </c>
      <c r="G437" s="7">
        <v>16.600000000000001</v>
      </c>
      <c r="H437" s="7">
        <v>7.3044602456367196</v>
      </c>
      <c r="I437" s="7">
        <v>16.670000000000002</v>
      </c>
      <c r="J437" s="7">
        <v>16.670000000000002</v>
      </c>
      <c r="K437" s="7">
        <v>16.46</v>
      </c>
      <c r="L437" s="7">
        <v>7.3044602456367196</v>
      </c>
    </row>
    <row r="438" spans="1:12" ht="15" customHeight="1" x14ac:dyDescent="0.2">
      <c r="A438" s="3">
        <v>45418</v>
      </c>
      <c r="B438" s="4">
        <v>16.690000000000001</v>
      </c>
      <c r="C438" s="5">
        <v>69458330</v>
      </c>
      <c r="D438" s="4">
        <v>0.24000000000000199</v>
      </c>
      <c r="E438" s="4">
        <v>1.45896656534956</v>
      </c>
      <c r="F438" s="4">
        <v>1.45896656534956</v>
      </c>
      <c r="G438" s="4">
        <v>16.690000000000001</v>
      </c>
      <c r="H438" s="4">
        <v>7.8862314156431799</v>
      </c>
      <c r="I438" s="4">
        <v>16.47</v>
      </c>
      <c r="J438" s="4">
        <v>16.75</v>
      </c>
      <c r="K438" s="4">
        <v>16.309999999999999</v>
      </c>
      <c r="L438" s="4">
        <v>7.8862314156431799</v>
      </c>
    </row>
    <row r="439" spans="1:12" ht="15" customHeight="1" x14ac:dyDescent="0.2">
      <c r="A439" s="6">
        <v>45415</v>
      </c>
      <c r="B439" s="7">
        <v>16.45</v>
      </c>
      <c r="C439" s="8">
        <v>69331200</v>
      </c>
      <c r="D439" s="7">
        <v>0.39</v>
      </c>
      <c r="E439" s="7">
        <v>2.4283935242839401</v>
      </c>
      <c r="F439" s="7">
        <v>2.4283935242839401</v>
      </c>
      <c r="G439" s="7">
        <v>16.45</v>
      </c>
      <c r="H439" s="7">
        <v>6.3348416289592597</v>
      </c>
      <c r="I439" s="7">
        <v>16.09</v>
      </c>
      <c r="J439" s="7">
        <v>16.47</v>
      </c>
      <c r="K439" s="7">
        <v>16.09</v>
      </c>
      <c r="L439" s="7">
        <v>6.3348416289592597</v>
      </c>
    </row>
    <row r="440" spans="1:12" ht="15" customHeight="1" x14ac:dyDescent="0.2">
      <c r="A440" s="3">
        <v>45414</v>
      </c>
      <c r="B440" s="4">
        <v>16.059999999999999</v>
      </c>
      <c r="C440" s="5">
        <v>83643010</v>
      </c>
      <c r="D440" s="4">
        <v>-0.25</v>
      </c>
      <c r="E440" s="4">
        <v>-1.5328019619865001</v>
      </c>
      <c r="F440" s="4">
        <v>-1.5328019619865001</v>
      </c>
      <c r="G440" s="4">
        <v>16.059999999999999</v>
      </c>
      <c r="H440" s="4">
        <v>3.8138332255979099</v>
      </c>
      <c r="I440" s="4">
        <v>16.25</v>
      </c>
      <c r="J440" s="4">
        <v>16.37</v>
      </c>
      <c r="K440" s="4">
        <v>16.010000000000002</v>
      </c>
      <c r="L440" s="4">
        <v>3.8138332255979099</v>
      </c>
    </row>
    <row r="441" spans="1:12" ht="15" customHeight="1" x14ac:dyDescent="0.2">
      <c r="A441" s="6">
        <v>45412</v>
      </c>
      <c r="B441" s="7">
        <v>16.309999999999999</v>
      </c>
      <c r="C441" s="8">
        <v>118353200</v>
      </c>
      <c r="D441" s="7">
        <v>-0.24000000000000199</v>
      </c>
      <c r="E441" s="7">
        <v>-1.4501510574018199</v>
      </c>
      <c r="F441" s="7">
        <v>-1.4501510574018199</v>
      </c>
      <c r="G441" s="7">
        <v>16.309999999999999</v>
      </c>
      <c r="H441" s="7">
        <v>5.4298642533936503</v>
      </c>
      <c r="I441" s="7">
        <v>16.55</v>
      </c>
      <c r="J441" s="7">
        <v>16.62</v>
      </c>
      <c r="K441" s="7">
        <v>16.28</v>
      </c>
      <c r="L441" s="7">
        <v>5.4298642533936503</v>
      </c>
    </row>
    <row r="442" spans="1:12" ht="15" customHeight="1" x14ac:dyDescent="0.2">
      <c r="A442" s="3">
        <v>45411</v>
      </c>
      <c r="B442" s="4">
        <v>16.55</v>
      </c>
      <c r="C442" s="5">
        <v>76448970</v>
      </c>
      <c r="D442" s="4">
        <v>0.37000000000000099</v>
      </c>
      <c r="E442" s="4">
        <v>2.2867737948084099</v>
      </c>
      <c r="F442" s="4">
        <v>2.2867737948084099</v>
      </c>
      <c r="G442" s="4">
        <v>16.55</v>
      </c>
      <c r="H442" s="4">
        <v>6.9812540400775704</v>
      </c>
      <c r="I442" s="4">
        <v>16.329999999999998</v>
      </c>
      <c r="J442" s="4">
        <v>16.600000000000001</v>
      </c>
      <c r="K442" s="4">
        <v>16.3</v>
      </c>
      <c r="L442" s="4">
        <v>6.9812540400775704</v>
      </c>
    </row>
    <row r="443" spans="1:12" ht="15" customHeight="1" x14ac:dyDescent="0.2">
      <c r="A443" s="6">
        <v>45408</v>
      </c>
      <c r="B443" s="7">
        <v>16.18</v>
      </c>
      <c r="C443" s="8">
        <v>44959434</v>
      </c>
      <c r="D443" s="7">
        <v>0.439999999999999</v>
      </c>
      <c r="E443" s="7">
        <v>2.79542566709021</v>
      </c>
      <c r="F443" s="7">
        <v>2.79542566709021</v>
      </c>
      <c r="G443" s="7">
        <v>16.18</v>
      </c>
      <c r="H443" s="7">
        <v>4.58952811893987</v>
      </c>
      <c r="I443" s="7">
        <v>15.73</v>
      </c>
      <c r="J443" s="7">
        <v>16.22</v>
      </c>
      <c r="K443" s="7">
        <v>15.68</v>
      </c>
      <c r="L443" s="7">
        <v>4.58952811893987</v>
      </c>
    </row>
    <row r="444" spans="1:12" ht="15" customHeight="1" x14ac:dyDescent="0.2">
      <c r="A444" s="3">
        <v>45407</v>
      </c>
      <c r="B444" s="4">
        <v>15.74</v>
      </c>
      <c r="C444" s="5">
        <v>95446440</v>
      </c>
      <c r="D444" s="4">
        <v>8.9999999999999802E-2</v>
      </c>
      <c r="E444" s="4">
        <v>0.57507987220446399</v>
      </c>
      <c r="F444" s="4">
        <v>0.57507987220446399</v>
      </c>
      <c r="G444" s="4">
        <v>15.74</v>
      </c>
      <c r="H444" s="4">
        <v>1.74531351001938</v>
      </c>
      <c r="I444" s="4">
        <v>15.65</v>
      </c>
      <c r="J444" s="4">
        <v>15.83</v>
      </c>
      <c r="K444" s="4">
        <v>15.42</v>
      </c>
      <c r="L444" s="4">
        <v>1.74531351001938</v>
      </c>
    </row>
    <row r="445" spans="1:12" ht="15" customHeight="1" x14ac:dyDescent="0.2">
      <c r="A445" s="6">
        <v>45406</v>
      </c>
      <c r="B445" s="7">
        <v>15.65</v>
      </c>
      <c r="C445" s="8">
        <v>93639150</v>
      </c>
      <c r="D445" s="7">
        <v>-0.19999999999999901</v>
      </c>
      <c r="E445" s="7">
        <v>-1.26182965299683</v>
      </c>
      <c r="F445" s="7">
        <v>-1.26182965299683</v>
      </c>
      <c r="G445" s="7">
        <v>15.65</v>
      </c>
      <c r="H445" s="7">
        <v>1.1635423400129199</v>
      </c>
      <c r="I445" s="7">
        <v>15.88</v>
      </c>
      <c r="J445" s="7">
        <v>15.91</v>
      </c>
      <c r="K445" s="7">
        <v>15.61</v>
      </c>
      <c r="L445" s="7">
        <v>1.1635423400129199</v>
      </c>
    </row>
    <row r="446" spans="1:12" ht="15" customHeight="1" x14ac:dyDescent="0.2">
      <c r="A446" s="3">
        <v>45405</v>
      </c>
      <c r="B446" s="4">
        <v>15.85</v>
      </c>
      <c r="C446" s="5">
        <v>83372086</v>
      </c>
      <c r="D446" s="4">
        <v>1.9999999999999501E-2</v>
      </c>
      <c r="E446" s="4">
        <v>0.12634238787112501</v>
      </c>
      <c r="F446" s="4">
        <v>0.12634238787112501</v>
      </c>
      <c r="G446" s="4">
        <v>15.85</v>
      </c>
      <c r="H446" s="4">
        <v>2.4563671622494998</v>
      </c>
      <c r="I446" s="4">
        <v>15.8</v>
      </c>
      <c r="J446" s="4">
        <v>16.010000000000002</v>
      </c>
      <c r="K446" s="4">
        <v>15.71</v>
      </c>
      <c r="L446" s="4">
        <v>2.4563671622494998</v>
      </c>
    </row>
    <row r="447" spans="1:12" ht="15" customHeight="1" x14ac:dyDescent="0.2">
      <c r="A447" s="6">
        <v>45404</v>
      </c>
      <c r="B447" s="7">
        <v>15.83</v>
      </c>
      <c r="C447" s="8">
        <v>75673250</v>
      </c>
      <c r="D447" s="7">
        <v>0.22</v>
      </c>
      <c r="E447" s="7">
        <v>1.4093529788597099</v>
      </c>
      <c r="F447" s="7">
        <v>1.4093529788597099</v>
      </c>
      <c r="G447" s="7">
        <v>15.83</v>
      </c>
      <c r="H447" s="7">
        <v>2.32708468002585</v>
      </c>
      <c r="I447" s="7">
        <v>15.65</v>
      </c>
      <c r="J447" s="7">
        <v>15.88</v>
      </c>
      <c r="K447" s="7">
        <v>15.58</v>
      </c>
      <c r="L447" s="7">
        <v>2.32708468002585</v>
      </c>
    </row>
    <row r="448" spans="1:12" ht="15" customHeight="1" x14ac:dyDescent="0.2">
      <c r="A448" s="3">
        <v>45401</v>
      </c>
      <c r="B448" s="4">
        <v>15.61</v>
      </c>
      <c r="C448" s="5">
        <v>53501880</v>
      </c>
      <c r="D448" s="4">
        <v>0.5</v>
      </c>
      <c r="E448" s="4">
        <v>3.3090668431502199</v>
      </c>
      <c r="F448" s="4">
        <v>3.3090668431502199</v>
      </c>
      <c r="G448" s="4">
        <v>15.61</v>
      </c>
      <c r="H448" s="4">
        <v>0.90497737556560298</v>
      </c>
      <c r="I448" s="4">
        <v>15.16</v>
      </c>
      <c r="J448" s="4">
        <v>15.71</v>
      </c>
      <c r="K448" s="4">
        <v>15.1</v>
      </c>
      <c r="L448" s="4">
        <v>0.90497737556560298</v>
      </c>
    </row>
    <row r="449" spans="1:12" ht="15" customHeight="1" x14ac:dyDescent="0.2">
      <c r="A449" s="6">
        <v>45400</v>
      </c>
      <c r="B449" s="7">
        <v>15.11</v>
      </c>
      <c r="C449" s="8">
        <v>72846720</v>
      </c>
      <c r="D449" s="7">
        <v>-0.190000000000001</v>
      </c>
      <c r="E449" s="7">
        <v>-1.24183006535948</v>
      </c>
      <c r="F449" s="7">
        <v>-1.24183006535948</v>
      </c>
      <c r="G449" s="7">
        <v>15.11</v>
      </c>
      <c r="H449" s="7">
        <v>-2.3270846800258602</v>
      </c>
      <c r="I449" s="7">
        <v>15.36</v>
      </c>
      <c r="J449" s="7">
        <v>15.47</v>
      </c>
      <c r="K449" s="7">
        <v>15.04</v>
      </c>
      <c r="L449" s="7">
        <v>-2.3270846800258602</v>
      </c>
    </row>
    <row r="450" spans="1:12" ht="15" customHeight="1" x14ac:dyDescent="0.2">
      <c r="A450" s="3">
        <v>45399</v>
      </c>
      <c r="B450" s="4">
        <v>15.3</v>
      </c>
      <c r="C450" s="5">
        <v>96321770</v>
      </c>
      <c r="D450" s="4">
        <v>0.23</v>
      </c>
      <c r="E450" s="4">
        <v>1.52621101526211</v>
      </c>
      <c r="F450" s="4">
        <v>1.52621101526211</v>
      </c>
      <c r="G450" s="4">
        <v>15.3</v>
      </c>
      <c r="H450" s="4">
        <v>-1.0989010989010899</v>
      </c>
      <c r="I450" s="4">
        <v>14.99</v>
      </c>
      <c r="J450" s="4">
        <v>15.55</v>
      </c>
      <c r="K450" s="4">
        <v>14.99</v>
      </c>
      <c r="L450" s="4">
        <v>-1.0989010989010899</v>
      </c>
    </row>
    <row r="451" spans="1:12" ht="15" customHeight="1" x14ac:dyDescent="0.2">
      <c r="A451" s="6">
        <v>45398</v>
      </c>
      <c r="B451" s="7">
        <v>15.07</v>
      </c>
      <c r="C451" s="8">
        <v>81285850</v>
      </c>
      <c r="D451" s="7">
        <v>4.0000000000000903E-2</v>
      </c>
      <c r="E451" s="7">
        <v>0.26613439787093102</v>
      </c>
      <c r="F451" s="7">
        <v>0.26613439787093102</v>
      </c>
      <c r="G451" s="7">
        <v>15.07</v>
      </c>
      <c r="H451" s="7">
        <v>-2.58564964447317</v>
      </c>
      <c r="I451" s="7">
        <v>15.06</v>
      </c>
      <c r="J451" s="7">
        <v>15.19</v>
      </c>
      <c r="K451" s="7">
        <v>15.02</v>
      </c>
      <c r="L451" s="7">
        <v>-2.58564964447317</v>
      </c>
    </row>
    <row r="452" spans="1:12" ht="15" customHeight="1" x14ac:dyDescent="0.2">
      <c r="A452" s="3">
        <v>45397</v>
      </c>
      <c r="B452" s="4">
        <v>15.03</v>
      </c>
      <c r="C452" s="5">
        <v>85850870</v>
      </c>
      <c r="D452" s="4">
        <v>-5.0000000000000697E-2</v>
      </c>
      <c r="E452" s="4">
        <v>-0.33156498673740897</v>
      </c>
      <c r="F452" s="4">
        <v>-0.33156498673740897</v>
      </c>
      <c r="G452" s="4">
        <v>15.03</v>
      </c>
      <c r="H452" s="4">
        <v>-2.8442146089204901</v>
      </c>
      <c r="I452" s="4">
        <v>15.09</v>
      </c>
      <c r="J452" s="4">
        <v>15.3</v>
      </c>
      <c r="K452" s="4">
        <v>15.01</v>
      </c>
      <c r="L452" s="4">
        <v>-2.8442146089204901</v>
      </c>
    </row>
    <row r="453" spans="1:12" ht="15" customHeight="1" x14ac:dyDescent="0.2">
      <c r="A453" s="6">
        <v>45394</v>
      </c>
      <c r="B453" s="7">
        <v>15.08</v>
      </c>
      <c r="C453" s="8">
        <v>58291300</v>
      </c>
      <c r="D453" s="7">
        <v>-0.22</v>
      </c>
      <c r="E453" s="7">
        <v>-1.4379084967320299</v>
      </c>
      <c r="F453" s="7">
        <v>-1.4379084967320299</v>
      </c>
      <c r="G453" s="7">
        <v>15.08</v>
      </c>
      <c r="H453" s="7">
        <v>-2.52100840336134</v>
      </c>
      <c r="I453" s="7">
        <v>15.3</v>
      </c>
      <c r="J453" s="7">
        <v>15.36</v>
      </c>
      <c r="K453" s="7">
        <v>15.06</v>
      </c>
      <c r="L453" s="7">
        <v>-2.52100840336134</v>
      </c>
    </row>
    <row r="454" spans="1:12" ht="15" customHeight="1" x14ac:dyDescent="0.2">
      <c r="A454" s="3">
        <v>45393</v>
      </c>
      <c r="B454" s="4">
        <v>15.3</v>
      </c>
      <c r="C454" s="5">
        <v>91670010</v>
      </c>
      <c r="D454" s="4">
        <v>0.100000000000001</v>
      </c>
      <c r="E454" s="4">
        <v>0.65789473684212396</v>
      </c>
      <c r="F454" s="4">
        <v>0.65789473684212396</v>
      </c>
      <c r="G454" s="4">
        <v>15.3</v>
      </c>
      <c r="H454" s="4">
        <v>-1.0989010989010899</v>
      </c>
      <c r="I454" s="4">
        <v>15.23</v>
      </c>
      <c r="J454" s="4">
        <v>15.37</v>
      </c>
      <c r="K454" s="4">
        <v>15.15</v>
      </c>
      <c r="L454" s="4">
        <v>-1.0989010989010899</v>
      </c>
    </row>
    <row r="455" spans="1:12" ht="15" customHeight="1" x14ac:dyDescent="0.2">
      <c r="A455" s="6">
        <v>45392</v>
      </c>
      <c r="B455" s="7">
        <v>15.2</v>
      </c>
      <c r="C455" s="8">
        <v>79136305</v>
      </c>
      <c r="D455" s="7">
        <v>-0.31</v>
      </c>
      <c r="E455" s="7">
        <v>-1.99871050934881</v>
      </c>
      <c r="F455" s="7">
        <v>-1.99871050934881</v>
      </c>
      <c r="G455" s="7">
        <v>15.2</v>
      </c>
      <c r="H455" s="7">
        <v>-1.7453135100193999</v>
      </c>
      <c r="I455" s="7">
        <v>15.45</v>
      </c>
      <c r="J455" s="7">
        <v>15.51</v>
      </c>
      <c r="K455" s="7">
        <v>15.17</v>
      </c>
      <c r="L455" s="7">
        <v>-1.7453135100193999</v>
      </c>
    </row>
    <row r="456" spans="1:12" ht="15" customHeight="1" x14ac:dyDescent="0.2">
      <c r="A456" s="3">
        <v>45391</v>
      </c>
      <c r="B456" s="4">
        <v>15.51</v>
      </c>
      <c r="C456" s="5">
        <v>79811664</v>
      </c>
      <c r="D456" s="4">
        <v>-0.109999999999999</v>
      </c>
      <c r="E456" s="4">
        <v>-0.70422535211267501</v>
      </c>
      <c r="F456" s="4">
        <v>-0.70422535211267501</v>
      </c>
      <c r="G456" s="4">
        <v>15.51</v>
      </c>
      <c r="H456" s="4">
        <v>0.25856496444731097</v>
      </c>
      <c r="I456" s="4">
        <v>15.6</v>
      </c>
      <c r="J456" s="4">
        <v>15.91</v>
      </c>
      <c r="K456" s="4">
        <v>15.47</v>
      </c>
      <c r="L456" s="4">
        <v>0.25856496444731097</v>
      </c>
    </row>
    <row r="457" spans="1:12" ht="15" customHeight="1" x14ac:dyDescent="0.2">
      <c r="A457" s="6">
        <v>45390</v>
      </c>
      <c r="B457" s="7">
        <v>15.62</v>
      </c>
      <c r="C457" s="8">
        <v>60334140</v>
      </c>
      <c r="D457" s="7">
        <v>0.22999999999999801</v>
      </c>
      <c r="E457" s="7">
        <v>1.4944769330734</v>
      </c>
      <c r="F457" s="7">
        <v>1.4944769330734</v>
      </c>
      <c r="G457" s="7">
        <v>15.62</v>
      </c>
      <c r="H457" s="7">
        <v>0.96961861667743099</v>
      </c>
      <c r="I457" s="7">
        <v>15.37</v>
      </c>
      <c r="J457" s="7">
        <v>15.66</v>
      </c>
      <c r="K457" s="7">
        <v>15.35</v>
      </c>
      <c r="L457" s="7">
        <v>0.96961861667743099</v>
      </c>
    </row>
    <row r="458" spans="1:12" ht="15" customHeight="1" x14ac:dyDescent="0.2">
      <c r="A458" s="3">
        <v>45387</v>
      </c>
      <c r="B458" s="4">
        <v>15.39</v>
      </c>
      <c r="C458" s="5">
        <v>70773240</v>
      </c>
      <c r="D458" s="4">
        <v>-0.119999999999999</v>
      </c>
      <c r="E458" s="4">
        <v>-0.77369439071566204</v>
      </c>
      <c r="F458" s="4">
        <v>-0.77369439071566204</v>
      </c>
      <c r="G458" s="4">
        <v>15.39</v>
      </c>
      <c r="H458" s="4">
        <v>-0.51712992889463505</v>
      </c>
      <c r="I458" s="4">
        <v>15.47</v>
      </c>
      <c r="J458" s="4">
        <v>15.49</v>
      </c>
      <c r="K458" s="4">
        <v>15.33</v>
      </c>
      <c r="L458" s="4">
        <v>-0.51712992889463505</v>
      </c>
    </row>
    <row r="459" spans="1:12" ht="15" customHeight="1" x14ac:dyDescent="0.2">
      <c r="A459" s="6">
        <v>45386</v>
      </c>
      <c r="B459" s="7">
        <v>15.51</v>
      </c>
      <c r="C459" s="8">
        <v>69079560</v>
      </c>
      <c r="D459" s="7">
        <v>0.14000000000000001</v>
      </c>
      <c r="E459" s="7">
        <v>0.91086532205595305</v>
      </c>
      <c r="F459" s="7">
        <v>0.91086532205595305</v>
      </c>
      <c r="G459" s="7">
        <v>15.51</v>
      </c>
      <c r="H459" s="7">
        <v>0.25856496444731097</v>
      </c>
      <c r="I459" s="7">
        <v>15.36</v>
      </c>
      <c r="J459" s="7">
        <v>15.63</v>
      </c>
      <c r="K459" s="7">
        <v>15.3</v>
      </c>
      <c r="L459" s="7">
        <v>0.25856496444731097</v>
      </c>
    </row>
    <row r="460" spans="1:12" ht="15" customHeight="1" x14ac:dyDescent="0.2">
      <c r="A460" s="3">
        <v>45385</v>
      </c>
      <c r="B460" s="4">
        <v>15.37</v>
      </c>
      <c r="C460" s="5">
        <v>66982195</v>
      </c>
      <c r="D460" s="4">
        <v>-0.14000000000000001</v>
      </c>
      <c r="E460" s="4">
        <v>-0.90264345583494998</v>
      </c>
      <c r="F460" s="4">
        <v>-0.90264345583494998</v>
      </c>
      <c r="G460" s="4">
        <v>15.37</v>
      </c>
      <c r="H460" s="4">
        <v>-0.64641241111830205</v>
      </c>
      <c r="I460" s="4">
        <v>15.55</v>
      </c>
      <c r="J460" s="4">
        <v>15.55</v>
      </c>
      <c r="K460" s="4">
        <v>15.32</v>
      </c>
      <c r="L460" s="4">
        <v>-0.64641241111830205</v>
      </c>
    </row>
    <row r="461" spans="1:12" ht="15" customHeight="1" x14ac:dyDescent="0.2">
      <c r="A461" s="6">
        <v>45384</v>
      </c>
      <c r="B461" s="7">
        <v>15.51</v>
      </c>
      <c r="C461" s="8">
        <v>59483367</v>
      </c>
      <c r="D461" s="7">
        <v>-9.9999999999999603E-2</v>
      </c>
      <c r="E461" s="7">
        <v>-0.64061499039077496</v>
      </c>
      <c r="F461" s="7">
        <v>-0.64061499039077496</v>
      </c>
      <c r="G461" s="7">
        <v>15.51</v>
      </c>
      <c r="H461" s="7">
        <v>0.25856496444731097</v>
      </c>
      <c r="I461" s="7">
        <v>15.53</v>
      </c>
      <c r="J461" s="7">
        <v>15.7</v>
      </c>
      <c r="K461" s="7">
        <v>15.35</v>
      </c>
      <c r="L461" s="7">
        <v>0.25856496444731097</v>
      </c>
    </row>
    <row r="462" spans="1:12" ht="15" customHeight="1" x14ac:dyDescent="0.2">
      <c r="A462" s="3">
        <v>45383</v>
      </c>
      <c r="B462" s="4">
        <v>15.61</v>
      </c>
      <c r="C462" s="5">
        <v>36201460</v>
      </c>
      <c r="D462" s="4">
        <v>2.9999999999999302E-2</v>
      </c>
      <c r="E462" s="4">
        <v>0.19255455712452399</v>
      </c>
      <c r="F462" s="4">
        <v>0.19255455712452399</v>
      </c>
      <c r="G462" s="4">
        <v>15.61</v>
      </c>
      <c r="H462" s="4">
        <v>0.90497737556560298</v>
      </c>
      <c r="I462" s="4">
        <v>15.58</v>
      </c>
      <c r="J462" s="4">
        <v>15.71</v>
      </c>
      <c r="K462" s="4">
        <v>15.43</v>
      </c>
      <c r="L462" s="4">
        <v>0.90497737556560298</v>
      </c>
    </row>
    <row r="463" spans="1:12" ht="15" customHeight="1" x14ac:dyDescent="0.2">
      <c r="A463" s="6">
        <v>45378</v>
      </c>
      <c r="B463" s="7">
        <v>15.58</v>
      </c>
      <c r="C463" s="8">
        <v>34669140</v>
      </c>
      <c r="D463" s="7">
        <v>0.38</v>
      </c>
      <c r="E463" s="7">
        <v>2.5000000000000102</v>
      </c>
      <c r="F463" s="7">
        <v>2.5000000000000102</v>
      </c>
      <c r="G463" s="7">
        <v>15.58</v>
      </c>
      <c r="H463" s="7">
        <v>0.71105365223011896</v>
      </c>
      <c r="I463" s="7">
        <v>15.29</v>
      </c>
      <c r="J463" s="7">
        <v>15.62</v>
      </c>
      <c r="K463" s="7">
        <v>15.21</v>
      </c>
      <c r="L463" s="7">
        <v>0.71105365223011896</v>
      </c>
    </row>
    <row r="464" spans="1:12" ht="15" customHeight="1" x14ac:dyDescent="0.2">
      <c r="A464" s="3">
        <v>45377</v>
      </c>
      <c r="B464" s="4">
        <v>15.2</v>
      </c>
      <c r="C464" s="5">
        <v>40068113</v>
      </c>
      <c r="D464" s="4">
        <v>-0.16999999999999901</v>
      </c>
      <c r="E464" s="4">
        <v>-1.10605074821079</v>
      </c>
      <c r="F464" s="4">
        <v>-1.10605074821079</v>
      </c>
      <c r="G464" s="4">
        <v>15.2</v>
      </c>
      <c r="H464" s="4">
        <v>-1.7453135100193999</v>
      </c>
      <c r="I464" s="4">
        <v>15.39</v>
      </c>
      <c r="J464" s="4">
        <v>15.48</v>
      </c>
      <c r="K464" s="4">
        <v>15.15</v>
      </c>
      <c r="L464" s="4">
        <v>-1.7453135100193999</v>
      </c>
    </row>
    <row r="465" spans="1:12" ht="15" customHeight="1" x14ac:dyDescent="0.2">
      <c r="A465" s="6">
        <v>45376</v>
      </c>
      <c r="B465" s="7">
        <v>15.37</v>
      </c>
      <c r="C465" s="8">
        <v>21115670</v>
      </c>
      <c r="D465" s="7">
        <v>-0.08</v>
      </c>
      <c r="E465" s="7">
        <v>-0.51779935275081401</v>
      </c>
      <c r="F465" s="7">
        <v>-0.51779935275081401</v>
      </c>
      <c r="G465" s="7">
        <v>15.37</v>
      </c>
      <c r="H465" s="7">
        <v>-0.64641241111830205</v>
      </c>
      <c r="I465" s="7">
        <v>15.53</v>
      </c>
      <c r="J465" s="7">
        <v>15.54</v>
      </c>
      <c r="K465" s="7">
        <v>15.33</v>
      </c>
      <c r="L465" s="7">
        <v>-0.64641241111830205</v>
      </c>
    </row>
    <row r="466" spans="1:12" ht="15" customHeight="1" x14ac:dyDescent="0.2">
      <c r="A466" s="3">
        <v>45373</v>
      </c>
      <c r="B466" s="4">
        <v>15.45</v>
      </c>
      <c r="C466" s="5">
        <v>65213840</v>
      </c>
      <c r="D466" s="4">
        <v>-0.25</v>
      </c>
      <c r="E466" s="4">
        <v>-1.5923566878980799</v>
      </c>
      <c r="F466" s="4">
        <v>-1.5923566878980799</v>
      </c>
      <c r="G466" s="4">
        <v>15.45</v>
      </c>
      <c r="H466" s="4">
        <v>-0.12928248222366701</v>
      </c>
      <c r="I466" s="4">
        <v>15.7</v>
      </c>
      <c r="J466" s="4">
        <v>15.73</v>
      </c>
      <c r="K466" s="4">
        <v>15.37</v>
      </c>
      <c r="L466" s="4">
        <v>-0.12928248222366701</v>
      </c>
    </row>
    <row r="467" spans="1:12" ht="15" customHeight="1" x14ac:dyDescent="0.2">
      <c r="A467" s="6">
        <v>45372</v>
      </c>
      <c r="B467" s="7">
        <v>15.7</v>
      </c>
      <c r="C467" s="8">
        <v>76421030</v>
      </c>
      <c r="D467" s="7">
        <v>-0.33999999999999903</v>
      </c>
      <c r="E467" s="7">
        <v>-2.1197007481296701</v>
      </c>
      <c r="F467" s="7">
        <v>-2.1197007481296701</v>
      </c>
      <c r="G467" s="7">
        <v>15.7</v>
      </c>
      <c r="H467" s="7">
        <v>1.4867485455720599</v>
      </c>
      <c r="I467" s="7">
        <v>16.02</v>
      </c>
      <c r="J467" s="7">
        <v>16.05</v>
      </c>
      <c r="K467" s="7">
        <v>15.62</v>
      </c>
      <c r="L467" s="7">
        <v>1.4867485455720599</v>
      </c>
    </row>
    <row r="468" spans="1:12" ht="15" customHeight="1" x14ac:dyDescent="0.2">
      <c r="A468" s="3">
        <v>45371</v>
      </c>
      <c r="B468" s="4">
        <v>16.04</v>
      </c>
      <c r="C468" s="5">
        <v>70202960</v>
      </c>
      <c r="D468" s="4">
        <v>0.38999999999999801</v>
      </c>
      <c r="E468" s="4">
        <v>2.4920127795527098</v>
      </c>
      <c r="F468" s="4">
        <v>2.4920127795527098</v>
      </c>
      <c r="G468" s="4">
        <v>16.04</v>
      </c>
      <c r="H468" s="4">
        <v>3.6845507433742601</v>
      </c>
      <c r="I468" s="4">
        <v>15.65</v>
      </c>
      <c r="J468" s="4">
        <v>16.09</v>
      </c>
      <c r="K468" s="4">
        <v>15.65</v>
      </c>
      <c r="L468" s="4">
        <v>3.6845507433742601</v>
      </c>
    </row>
    <row r="469" spans="1:12" ht="15" customHeight="1" x14ac:dyDescent="0.2">
      <c r="A469" s="6">
        <v>45370</v>
      </c>
      <c r="B469" s="7">
        <v>15.65</v>
      </c>
      <c r="C469" s="8">
        <v>77553750</v>
      </c>
      <c r="D469" s="7">
        <v>-0.119999999999999</v>
      </c>
      <c r="E469" s="7">
        <v>-0.76093849080531795</v>
      </c>
      <c r="F469" s="7">
        <v>-0.76093849080531795</v>
      </c>
      <c r="G469" s="7">
        <v>15.65</v>
      </c>
      <c r="H469" s="7">
        <v>1.1635423400129199</v>
      </c>
      <c r="I469" s="7">
        <v>15.88</v>
      </c>
      <c r="J469" s="7">
        <v>15.92</v>
      </c>
      <c r="K469" s="7">
        <v>15.6</v>
      </c>
      <c r="L469" s="7">
        <v>1.1635423400129199</v>
      </c>
    </row>
    <row r="470" spans="1:12" ht="15" customHeight="1" x14ac:dyDescent="0.2">
      <c r="A470" s="3">
        <v>45366</v>
      </c>
      <c r="B470" s="4">
        <v>15.77</v>
      </c>
      <c r="C470" s="5">
        <v>386929130</v>
      </c>
      <c r="D470" s="4">
        <v>-0.42999999999999899</v>
      </c>
      <c r="E470" s="4">
        <v>-2.6543209876543199</v>
      </c>
      <c r="F470" s="4">
        <v>-2.6543209876543199</v>
      </c>
      <c r="G470" s="4">
        <v>15.77</v>
      </c>
      <c r="H470" s="4">
        <v>1.93923723335487</v>
      </c>
      <c r="I470" s="4">
        <v>16.28</v>
      </c>
      <c r="J470" s="4">
        <v>16.3</v>
      </c>
      <c r="K470" s="4">
        <v>15.69</v>
      </c>
      <c r="L470" s="4">
        <v>1.93923723335487</v>
      </c>
    </row>
    <row r="471" spans="1:12" ht="15" customHeight="1" x14ac:dyDescent="0.2">
      <c r="A471" s="6">
        <v>45365</v>
      </c>
      <c r="B471" s="7">
        <v>16.2</v>
      </c>
      <c r="C471" s="8">
        <v>91146370</v>
      </c>
      <c r="D471" s="7">
        <v>-7.0000000000000201E-2</v>
      </c>
      <c r="E471" s="7">
        <v>-0.43023970497848502</v>
      </c>
      <c r="F471" s="7">
        <v>-0.43023970497848502</v>
      </c>
      <c r="G471" s="7">
        <v>16.2</v>
      </c>
      <c r="H471" s="7">
        <v>4.71881060116353</v>
      </c>
      <c r="I471" s="7">
        <v>16.329999999999998</v>
      </c>
      <c r="J471" s="7">
        <v>16.399999999999999</v>
      </c>
      <c r="K471" s="7">
        <v>16.170000000000002</v>
      </c>
      <c r="L471" s="7">
        <v>4.71881060116353</v>
      </c>
    </row>
    <row r="472" spans="1:12" ht="15" customHeight="1" x14ac:dyDescent="0.2">
      <c r="A472" s="3">
        <v>45364</v>
      </c>
      <c r="B472" s="4">
        <v>16.27</v>
      </c>
      <c r="C472" s="5">
        <v>88998040</v>
      </c>
      <c r="D472" s="4">
        <v>0.16999999999999801</v>
      </c>
      <c r="E472" s="4">
        <v>1.055900621118</v>
      </c>
      <c r="F472" s="4">
        <v>1.055900621118</v>
      </c>
      <c r="G472" s="4">
        <v>16.27</v>
      </c>
      <c r="H472" s="4">
        <v>5.1712992889463401</v>
      </c>
      <c r="I472" s="4">
        <v>16.05</v>
      </c>
      <c r="J472" s="4">
        <v>16.309999999999999</v>
      </c>
      <c r="K472" s="4">
        <v>15.98</v>
      </c>
      <c r="L472" s="4">
        <v>5.1712992889463401</v>
      </c>
    </row>
    <row r="473" spans="1:12" ht="15" customHeight="1" x14ac:dyDescent="0.2">
      <c r="A473" s="6">
        <v>45363</v>
      </c>
      <c r="B473" s="7">
        <v>16.100000000000001</v>
      </c>
      <c r="C473" s="8">
        <v>77291130</v>
      </c>
      <c r="D473" s="7">
        <v>0.160000000000001</v>
      </c>
      <c r="E473" s="7">
        <v>1.00376411543288</v>
      </c>
      <c r="F473" s="7">
        <v>1.00376411543288</v>
      </c>
      <c r="G473" s="7">
        <v>16.100000000000001</v>
      </c>
      <c r="H473" s="7">
        <v>4.0723981900452504</v>
      </c>
      <c r="I473" s="7">
        <v>15.95</v>
      </c>
      <c r="J473" s="7">
        <v>16.14</v>
      </c>
      <c r="K473" s="7">
        <v>15.95</v>
      </c>
      <c r="L473" s="7">
        <v>4.0723981900452504</v>
      </c>
    </row>
    <row r="474" spans="1:12" ht="15" customHeight="1" x14ac:dyDescent="0.2">
      <c r="A474" s="3">
        <v>45362</v>
      </c>
      <c r="B474" s="4">
        <v>15.94</v>
      </c>
      <c r="C474" s="5">
        <v>84047630</v>
      </c>
      <c r="D474" s="4">
        <v>-0.13</v>
      </c>
      <c r="E474" s="4">
        <v>-0.808960796515245</v>
      </c>
      <c r="F474" s="4">
        <v>-0.808960796515245</v>
      </c>
      <c r="G474" s="4">
        <v>15.94</v>
      </c>
      <c r="H474" s="4">
        <v>3.0381383322559699</v>
      </c>
      <c r="I474" s="4">
        <v>16.02</v>
      </c>
      <c r="J474" s="4">
        <v>16.16</v>
      </c>
      <c r="K474" s="4">
        <v>15.93</v>
      </c>
      <c r="L474" s="4">
        <v>3.0381383322559699</v>
      </c>
    </row>
    <row r="475" spans="1:12" ht="15" customHeight="1" x14ac:dyDescent="0.2">
      <c r="A475" s="6">
        <v>45359</v>
      </c>
      <c r="B475" s="7">
        <v>16.07</v>
      </c>
      <c r="C475" s="8">
        <v>46847600</v>
      </c>
      <c r="D475" s="7">
        <v>8.9999999999999802E-2</v>
      </c>
      <c r="E475" s="7">
        <v>0.56320400500624501</v>
      </c>
      <c r="F475" s="7">
        <v>0.56320400500624501</v>
      </c>
      <c r="G475" s="7">
        <v>16.07</v>
      </c>
      <c r="H475" s="7">
        <v>3.8784744667097502</v>
      </c>
      <c r="I475" s="7">
        <v>16.010000000000002</v>
      </c>
      <c r="J475" s="7">
        <v>16.12</v>
      </c>
      <c r="K475" s="7">
        <v>15.95</v>
      </c>
      <c r="L475" s="7">
        <v>3.8784744667097502</v>
      </c>
    </row>
    <row r="476" spans="1:12" ht="15" customHeight="1" x14ac:dyDescent="0.2">
      <c r="A476" s="3">
        <v>45358</v>
      </c>
      <c r="B476" s="4">
        <v>15.98</v>
      </c>
      <c r="C476" s="5">
        <v>76579484</v>
      </c>
      <c r="D476" s="4">
        <v>-0.23999999999999799</v>
      </c>
      <c r="E476" s="4">
        <v>-1.4796547472256301</v>
      </c>
      <c r="F476" s="4">
        <v>-1.4796547472256301</v>
      </c>
      <c r="G476" s="4">
        <v>15.98</v>
      </c>
      <c r="H476" s="4">
        <v>3.2967032967032899</v>
      </c>
      <c r="I476" s="4">
        <v>16.22</v>
      </c>
      <c r="J476" s="4">
        <v>16.25</v>
      </c>
      <c r="K476" s="4">
        <v>15.93</v>
      </c>
      <c r="L476" s="4">
        <v>3.2967032967032899</v>
      </c>
    </row>
    <row r="477" spans="1:12" ht="15" customHeight="1" x14ac:dyDescent="0.2">
      <c r="A477" s="6">
        <v>45357</v>
      </c>
      <c r="B477" s="7">
        <v>16.22</v>
      </c>
      <c r="C477" s="8">
        <v>61451273</v>
      </c>
      <c r="D477" s="7">
        <v>8.9999999999999802E-2</v>
      </c>
      <c r="E477" s="7">
        <v>0.55796652200867902</v>
      </c>
      <c r="F477" s="7">
        <v>0.55796652200867902</v>
      </c>
      <c r="G477" s="7">
        <v>16.22</v>
      </c>
      <c r="H477" s="7">
        <v>4.84809308338719</v>
      </c>
      <c r="I477" s="7">
        <v>16.190000000000001</v>
      </c>
      <c r="J477" s="7">
        <v>16.260000000000002</v>
      </c>
      <c r="K477" s="7">
        <v>16.059999999999999</v>
      </c>
      <c r="L477" s="7">
        <v>4.84809308338719</v>
      </c>
    </row>
    <row r="478" spans="1:12" ht="15" customHeight="1" x14ac:dyDescent="0.2">
      <c r="A478" s="3">
        <v>45356</v>
      </c>
      <c r="B478" s="4">
        <v>16.13</v>
      </c>
      <c r="C478" s="5">
        <v>72228350</v>
      </c>
      <c r="D478" s="4"/>
      <c r="E478" s="4"/>
      <c r="F478" s="4"/>
      <c r="G478" s="4">
        <v>16.13</v>
      </c>
      <c r="H478" s="4">
        <v>4.26632191338072</v>
      </c>
      <c r="I478" s="4">
        <v>16.100000000000001</v>
      </c>
      <c r="J478" s="4">
        <v>16.170000000000002</v>
      </c>
      <c r="K478" s="4">
        <v>15.86</v>
      </c>
      <c r="L478" s="4">
        <v>4.26632191338072</v>
      </c>
    </row>
    <row r="479" spans="1:12" ht="15" customHeight="1" x14ac:dyDescent="0.2">
      <c r="A479" s="6">
        <v>45355</v>
      </c>
      <c r="B479" s="7">
        <v>16.13</v>
      </c>
      <c r="C479" s="8">
        <v>57289390</v>
      </c>
      <c r="D479" s="7">
        <v>0.19999999999999901</v>
      </c>
      <c r="E479" s="7">
        <v>1.2554927809165</v>
      </c>
      <c r="F479" s="7">
        <v>1.2554927809165</v>
      </c>
      <c r="G479" s="7">
        <v>16.13</v>
      </c>
      <c r="H479" s="7">
        <v>4.26632191338072</v>
      </c>
      <c r="I479" s="7">
        <v>15.9</v>
      </c>
      <c r="J479" s="7">
        <v>16.27</v>
      </c>
      <c r="K479" s="7">
        <v>15.87</v>
      </c>
      <c r="L479" s="7">
        <v>4.26632191338072</v>
      </c>
    </row>
    <row r="480" spans="1:12" ht="15" customHeight="1" x14ac:dyDescent="0.2">
      <c r="A480" s="3">
        <v>45352</v>
      </c>
      <c r="B480" s="4">
        <v>15.93</v>
      </c>
      <c r="C480" s="5">
        <v>62565540</v>
      </c>
      <c r="D480" s="4">
        <v>-3.0000000000001099E-2</v>
      </c>
      <c r="E480" s="4">
        <v>-0.187969924812037</v>
      </c>
      <c r="F480" s="4">
        <v>-0.187969924812037</v>
      </c>
      <c r="G480" s="4">
        <v>15.93</v>
      </c>
      <c r="H480" s="4">
        <v>2.9734970911441398</v>
      </c>
      <c r="I480" s="4">
        <v>16</v>
      </c>
      <c r="J480" s="4">
        <v>16.05</v>
      </c>
      <c r="K480" s="4">
        <v>15.81</v>
      </c>
      <c r="L480" s="4">
        <v>2.9734970911441398</v>
      </c>
    </row>
    <row r="481" spans="1:12" ht="15" customHeight="1" x14ac:dyDescent="0.2">
      <c r="A481" s="6">
        <v>45351</v>
      </c>
      <c r="B481" s="7">
        <v>15.96</v>
      </c>
      <c r="C481" s="8">
        <v>213403810</v>
      </c>
      <c r="D481" s="7">
        <v>-0.23999999999999799</v>
      </c>
      <c r="E481" s="7">
        <v>-1.4814814814814701</v>
      </c>
      <c r="F481" s="7">
        <v>-1.4814814814814701</v>
      </c>
      <c r="G481" s="7">
        <v>15.96</v>
      </c>
      <c r="H481" s="7">
        <v>3.1674208144796299</v>
      </c>
      <c r="I481" s="7">
        <v>16.2</v>
      </c>
      <c r="J481" s="7">
        <v>16.21</v>
      </c>
      <c r="K481" s="7">
        <v>15.86</v>
      </c>
      <c r="L481" s="7">
        <v>3.1674208144796299</v>
      </c>
    </row>
    <row r="482" spans="1:12" ht="15" customHeight="1" x14ac:dyDescent="0.2">
      <c r="A482" s="3">
        <v>45350</v>
      </c>
      <c r="B482" s="4">
        <v>16.2</v>
      </c>
      <c r="C482" s="5">
        <v>77829930</v>
      </c>
      <c r="D482" s="4">
        <v>-0.33999999999999903</v>
      </c>
      <c r="E482" s="4">
        <v>-2.0556227327690402</v>
      </c>
      <c r="F482" s="4">
        <v>-2.0556227327690402</v>
      </c>
      <c r="G482" s="4">
        <v>16.2</v>
      </c>
      <c r="H482" s="4">
        <v>4.71881060116353</v>
      </c>
      <c r="I482" s="4">
        <v>16.53</v>
      </c>
      <c r="J482" s="4">
        <v>16.55</v>
      </c>
      <c r="K482" s="4">
        <v>16.09</v>
      </c>
      <c r="L482" s="4">
        <v>4.71881060116353</v>
      </c>
    </row>
    <row r="483" spans="1:12" ht="15" customHeight="1" x14ac:dyDescent="0.2">
      <c r="A483" s="6">
        <v>45349</v>
      </c>
      <c r="B483" s="7">
        <v>16.54</v>
      </c>
      <c r="C483" s="8">
        <v>64061220</v>
      </c>
      <c r="D483" s="7">
        <v>-3.0000000000001099E-2</v>
      </c>
      <c r="E483" s="7">
        <v>-0.181050090525047</v>
      </c>
      <c r="F483" s="7">
        <v>-0.181050090525047</v>
      </c>
      <c r="G483" s="7">
        <v>16.54</v>
      </c>
      <c r="H483" s="7">
        <v>6.9166127989657298</v>
      </c>
      <c r="I483" s="7">
        <v>16.510000000000002</v>
      </c>
      <c r="J483" s="7">
        <v>16.62</v>
      </c>
      <c r="K483" s="7">
        <v>16.309999999999999</v>
      </c>
      <c r="L483" s="7">
        <v>6.9166127989657298</v>
      </c>
    </row>
    <row r="484" spans="1:12" ht="15" customHeight="1" x14ac:dyDescent="0.2">
      <c r="A484" s="3">
        <v>45348</v>
      </c>
      <c r="B484" s="4">
        <v>16.57</v>
      </c>
      <c r="C484" s="5">
        <v>84007710</v>
      </c>
      <c r="D484" s="4">
        <v>3.0000000000001099E-2</v>
      </c>
      <c r="E484" s="4">
        <v>0.18137847642081201</v>
      </c>
      <c r="F484" s="4">
        <v>0.18137847642081201</v>
      </c>
      <c r="G484" s="4">
        <v>16.57</v>
      </c>
      <c r="H484" s="4">
        <v>7.1105365223012198</v>
      </c>
      <c r="I484" s="4">
        <v>16.54</v>
      </c>
      <c r="J484" s="4">
        <v>16.600000000000001</v>
      </c>
      <c r="K484" s="4">
        <v>16.32</v>
      </c>
      <c r="L484" s="4">
        <v>7.1105365223012198</v>
      </c>
    </row>
    <row r="485" spans="1:12" ht="15" customHeight="1" x14ac:dyDescent="0.2">
      <c r="A485" s="6">
        <v>45345</v>
      </c>
      <c r="B485" s="7">
        <v>16.54</v>
      </c>
      <c r="C485" s="8">
        <v>80521195</v>
      </c>
      <c r="D485" s="7">
        <v>0.28999999999999898</v>
      </c>
      <c r="E485" s="7">
        <v>1.7846153846153801</v>
      </c>
      <c r="F485" s="7">
        <v>1.7846153846153801</v>
      </c>
      <c r="G485" s="7">
        <v>16.54</v>
      </c>
      <c r="H485" s="7">
        <v>6.9166127989657298</v>
      </c>
      <c r="I485" s="7">
        <v>16.239999999999998</v>
      </c>
      <c r="J485" s="7">
        <v>16.57</v>
      </c>
      <c r="K485" s="7">
        <v>16.16</v>
      </c>
      <c r="L485" s="7">
        <v>6.9166127989657298</v>
      </c>
    </row>
    <row r="486" spans="1:12" ht="15" customHeight="1" x14ac:dyDescent="0.2">
      <c r="A486" s="3">
        <v>45344</v>
      </c>
      <c r="B486" s="4">
        <v>16.25</v>
      </c>
      <c r="C486" s="5">
        <v>61961960</v>
      </c>
      <c r="D486" s="4">
        <v>0.25999999999999901</v>
      </c>
      <c r="E486" s="4">
        <v>1.62601626016261</v>
      </c>
      <c r="F486" s="4">
        <v>1.62601626016261</v>
      </c>
      <c r="G486" s="4">
        <v>16.25</v>
      </c>
      <c r="H486" s="4">
        <v>5.04201680672268</v>
      </c>
      <c r="I486" s="4">
        <v>15.99</v>
      </c>
      <c r="J486" s="4">
        <v>16.309999999999999</v>
      </c>
      <c r="K486" s="4">
        <v>15.98</v>
      </c>
      <c r="L486" s="4">
        <v>5.04201680672268</v>
      </c>
    </row>
    <row r="487" spans="1:12" ht="15" customHeight="1" x14ac:dyDescent="0.2">
      <c r="A487" s="6">
        <v>45343</v>
      </c>
      <c r="B487" s="7">
        <v>15.99</v>
      </c>
      <c r="C487" s="8">
        <v>68761375</v>
      </c>
      <c r="D487" s="7">
        <v>0.24</v>
      </c>
      <c r="E487" s="7">
        <v>1.52380952380952</v>
      </c>
      <c r="F487" s="7">
        <v>1.52380952380952</v>
      </c>
      <c r="G487" s="7">
        <v>15.99</v>
      </c>
      <c r="H487" s="7">
        <v>3.3613445378151199</v>
      </c>
      <c r="I487" s="7">
        <v>15.75</v>
      </c>
      <c r="J487" s="7">
        <v>16.010000000000002</v>
      </c>
      <c r="K487" s="7">
        <v>15.71</v>
      </c>
      <c r="L487" s="7">
        <v>3.3613445378151199</v>
      </c>
    </row>
    <row r="488" spans="1:12" ht="15" customHeight="1" x14ac:dyDescent="0.2">
      <c r="A488" s="3">
        <v>45342</v>
      </c>
      <c r="B488" s="4">
        <v>15.75</v>
      </c>
      <c r="C488" s="5">
        <v>95649470</v>
      </c>
      <c r="D488" s="4">
        <v>-9.9999999999999603E-2</v>
      </c>
      <c r="E488" s="4">
        <v>-0.63091482649841801</v>
      </c>
      <c r="F488" s="4">
        <v>-0.63091482649841801</v>
      </c>
      <c r="G488" s="4">
        <v>15.75</v>
      </c>
      <c r="H488" s="4">
        <v>1.80995475113121</v>
      </c>
      <c r="I488" s="4">
        <v>15.83</v>
      </c>
      <c r="J488" s="4">
        <v>15.92</v>
      </c>
      <c r="K488" s="4">
        <v>15.63</v>
      </c>
      <c r="L488" s="4">
        <v>1.80995475113121</v>
      </c>
    </row>
    <row r="489" spans="1:12" ht="15" customHeight="1" x14ac:dyDescent="0.2">
      <c r="A489" s="6">
        <v>45341</v>
      </c>
      <c r="B489" s="7">
        <v>15.85</v>
      </c>
      <c r="C489" s="8">
        <v>12059790</v>
      </c>
      <c r="D489" s="7">
        <v>0.25999999999999901</v>
      </c>
      <c r="E489" s="7">
        <v>1.6677357280307801</v>
      </c>
      <c r="F489" s="7">
        <v>1.6677357280307801</v>
      </c>
      <c r="G489" s="7">
        <v>15.85</v>
      </c>
      <c r="H489" s="7">
        <v>2.4563671622494998</v>
      </c>
      <c r="I489" s="7">
        <v>15.6</v>
      </c>
      <c r="J489" s="7">
        <v>15.89</v>
      </c>
      <c r="K489" s="7">
        <v>15.5</v>
      </c>
      <c r="L489" s="7">
        <v>2.4563671622494998</v>
      </c>
    </row>
    <row r="490" spans="1:12" ht="15" customHeight="1" x14ac:dyDescent="0.2">
      <c r="A490" s="3">
        <v>45338</v>
      </c>
      <c r="B490" s="4">
        <v>15.59</v>
      </c>
      <c r="C490" s="5">
        <v>66360200</v>
      </c>
      <c r="D490" s="4">
        <v>0.3</v>
      </c>
      <c r="E490" s="4">
        <v>1.9620667102681499</v>
      </c>
      <c r="F490" s="4">
        <v>1.9620667102681499</v>
      </c>
      <c r="G490" s="4">
        <v>15.59</v>
      </c>
      <c r="H490" s="4">
        <v>0.77569489334194697</v>
      </c>
      <c r="I490" s="4">
        <v>15.3</v>
      </c>
      <c r="J490" s="4">
        <v>15.61</v>
      </c>
      <c r="K490" s="4">
        <v>15.3</v>
      </c>
      <c r="L490" s="4">
        <v>0.77569489334194697</v>
      </c>
    </row>
    <row r="491" spans="1:12" ht="15" customHeight="1" x14ac:dyDescent="0.2">
      <c r="A491" s="6">
        <v>45337</v>
      </c>
      <c r="B491" s="7">
        <v>15.29</v>
      </c>
      <c r="C491" s="8">
        <v>96328170</v>
      </c>
      <c r="D491" s="7">
        <v>0.27999999999999903</v>
      </c>
      <c r="E491" s="7">
        <v>1.8654230512991301</v>
      </c>
      <c r="F491" s="7">
        <v>1.8654230512991301</v>
      </c>
      <c r="G491" s="7">
        <v>15.29</v>
      </c>
      <c r="H491" s="7">
        <v>-1.1635423400129301</v>
      </c>
      <c r="I491" s="7">
        <v>15.01</v>
      </c>
      <c r="J491" s="7">
        <v>15.38</v>
      </c>
      <c r="K491" s="7">
        <v>15.01</v>
      </c>
      <c r="L491" s="7">
        <v>-1.1635423400129301</v>
      </c>
    </row>
    <row r="492" spans="1:12" ht="15" customHeight="1" x14ac:dyDescent="0.2">
      <c r="A492" s="3">
        <v>45336</v>
      </c>
      <c r="B492" s="4">
        <v>15.01</v>
      </c>
      <c r="C492" s="5">
        <v>88001360</v>
      </c>
      <c r="D492" s="4">
        <v>0.42999999999999899</v>
      </c>
      <c r="E492" s="4">
        <v>2.9492455418381298</v>
      </c>
      <c r="F492" s="4">
        <v>2.9492455418381298</v>
      </c>
      <c r="G492" s="4">
        <v>15.01</v>
      </c>
      <c r="H492" s="4">
        <v>-2.9734970911441501</v>
      </c>
      <c r="I492" s="4">
        <v>14.54</v>
      </c>
      <c r="J492" s="4">
        <v>15.05</v>
      </c>
      <c r="K492" s="4">
        <v>14.49</v>
      </c>
      <c r="L492" s="4">
        <v>-2.9734970911441501</v>
      </c>
    </row>
    <row r="493" spans="1:12" ht="15" customHeight="1" x14ac:dyDescent="0.2">
      <c r="A493" s="6">
        <v>45335</v>
      </c>
      <c r="B493" s="7">
        <v>14.58</v>
      </c>
      <c r="C493" s="8">
        <v>86023750</v>
      </c>
      <c r="D493" s="7">
        <v>-0.109999999999999</v>
      </c>
      <c r="E493" s="7">
        <v>-0.74880871341047595</v>
      </c>
      <c r="F493" s="7">
        <v>-0.74880871341047595</v>
      </c>
      <c r="G493" s="7">
        <v>14.58</v>
      </c>
      <c r="H493" s="7">
        <v>-5.7530704589528101</v>
      </c>
      <c r="I493" s="7">
        <v>14.63</v>
      </c>
      <c r="J493" s="7">
        <v>14.68</v>
      </c>
      <c r="K493" s="7">
        <v>14.5</v>
      </c>
      <c r="L493" s="7">
        <v>-5.7530704589528101</v>
      </c>
    </row>
    <row r="494" spans="1:12" ht="15" customHeight="1" x14ac:dyDescent="0.2">
      <c r="A494" s="3">
        <v>45334</v>
      </c>
      <c r="B494" s="4">
        <v>14.69</v>
      </c>
      <c r="C494" s="5">
        <v>75455670</v>
      </c>
      <c r="D494" s="4">
        <v>1.9999999999999501E-2</v>
      </c>
      <c r="E494" s="4">
        <v>0.13633265167007899</v>
      </c>
      <c r="F494" s="4">
        <v>0.13633265167007899</v>
      </c>
      <c r="G494" s="4">
        <v>14.69</v>
      </c>
      <c r="H494" s="4">
        <v>-5.0420168067226898</v>
      </c>
      <c r="I494" s="4">
        <v>14.68</v>
      </c>
      <c r="J494" s="4">
        <v>14.76</v>
      </c>
      <c r="K494" s="4">
        <v>14.62</v>
      </c>
      <c r="L494" s="4">
        <v>-5.0420168067226898</v>
      </c>
    </row>
    <row r="495" spans="1:12" ht="15" customHeight="1" x14ac:dyDescent="0.2">
      <c r="A495" s="6">
        <v>45331</v>
      </c>
      <c r="B495" s="7">
        <v>14.67</v>
      </c>
      <c r="C495" s="8">
        <v>40271120</v>
      </c>
      <c r="D495" s="7">
        <v>-0.17999999999999899</v>
      </c>
      <c r="E495" s="7">
        <v>-1.2121212121211999</v>
      </c>
      <c r="F495" s="7">
        <v>-1.2121212121211999</v>
      </c>
      <c r="G495" s="7">
        <v>14.67</v>
      </c>
      <c r="H495" s="7">
        <v>-5.1712992889463498</v>
      </c>
      <c r="I495" s="7">
        <v>14.9</v>
      </c>
      <c r="J495" s="7">
        <v>14.91</v>
      </c>
      <c r="K495" s="7">
        <v>14.61</v>
      </c>
      <c r="L495" s="7">
        <v>-5.1712992889463498</v>
      </c>
    </row>
    <row r="496" spans="1:12" ht="15" customHeight="1" x14ac:dyDescent="0.2">
      <c r="A496" s="3">
        <v>45330</v>
      </c>
      <c r="B496" s="4">
        <v>14.85</v>
      </c>
      <c r="C496" s="5">
        <v>82790305</v>
      </c>
      <c r="D496" s="4">
        <v>-0.39</v>
      </c>
      <c r="E496" s="4">
        <v>-2.5590551181102401</v>
      </c>
      <c r="F496" s="4">
        <v>-2.5590551181102401</v>
      </c>
      <c r="G496" s="4">
        <v>14.85</v>
      </c>
      <c r="H496" s="4">
        <v>-4.0077569489334204</v>
      </c>
      <c r="I496" s="4">
        <v>15.32</v>
      </c>
      <c r="J496" s="4">
        <v>15.32</v>
      </c>
      <c r="K496" s="4">
        <v>14.81</v>
      </c>
      <c r="L496" s="4">
        <v>-4.0077569489334204</v>
      </c>
    </row>
    <row r="497" spans="1:12" ht="15" customHeight="1" x14ac:dyDescent="0.2">
      <c r="A497" s="6">
        <v>45329</v>
      </c>
      <c r="B497" s="7">
        <v>15.24</v>
      </c>
      <c r="C497" s="8">
        <v>58478380</v>
      </c>
      <c r="D497" s="7">
        <v>-0.12999999999999901</v>
      </c>
      <c r="E497" s="7">
        <v>-0.84580351333766102</v>
      </c>
      <c r="F497" s="7">
        <v>-0.84580351333766102</v>
      </c>
      <c r="G497" s="7">
        <v>15.24</v>
      </c>
      <c r="H497" s="7">
        <v>-1.4867485455720699</v>
      </c>
      <c r="I497" s="7">
        <v>15.37</v>
      </c>
      <c r="J497" s="7">
        <v>15.49</v>
      </c>
      <c r="K497" s="7">
        <v>15.19</v>
      </c>
      <c r="L497" s="7">
        <v>-1.4867485455720699</v>
      </c>
    </row>
    <row r="498" spans="1:12" ht="15" customHeight="1" x14ac:dyDescent="0.2">
      <c r="A498" s="3">
        <v>45328</v>
      </c>
      <c r="B498" s="4">
        <v>15.37</v>
      </c>
      <c r="C498" s="5">
        <v>105413100</v>
      </c>
      <c r="D498" s="4">
        <v>-0.14000000000000001</v>
      </c>
      <c r="E498" s="4">
        <v>-0.90264345583494998</v>
      </c>
      <c r="F498" s="4">
        <v>-0.90264345583494998</v>
      </c>
      <c r="G498" s="4">
        <v>15.37</v>
      </c>
      <c r="H498" s="4">
        <v>-0.64641241111830205</v>
      </c>
      <c r="I498" s="4">
        <v>15.29</v>
      </c>
      <c r="J498" s="4">
        <v>15.52</v>
      </c>
      <c r="K498" s="4">
        <v>15.18</v>
      </c>
      <c r="L498" s="4">
        <v>-0.64641241111830205</v>
      </c>
    </row>
    <row r="499" spans="1:12" ht="15" customHeight="1" x14ac:dyDescent="0.2">
      <c r="A499" s="6">
        <v>45324</v>
      </c>
      <c r="B499" s="7">
        <v>15.51</v>
      </c>
      <c r="C499" s="8">
        <v>58567100</v>
      </c>
      <c r="D499" s="7">
        <v>1.9999999999999501E-2</v>
      </c>
      <c r="E499" s="7">
        <v>0.129115558424786</v>
      </c>
      <c r="F499" s="7">
        <v>0.129115558424786</v>
      </c>
      <c r="G499" s="7">
        <v>15.51</v>
      </c>
      <c r="H499" s="7">
        <v>0.25856496444731097</v>
      </c>
      <c r="I499" s="7">
        <v>15.5</v>
      </c>
      <c r="J499" s="7">
        <v>15.55</v>
      </c>
      <c r="K499" s="7">
        <v>15.37</v>
      </c>
      <c r="L499" s="7">
        <v>0.25856496444731097</v>
      </c>
    </row>
    <row r="500" spans="1:12" ht="15" customHeight="1" x14ac:dyDescent="0.2">
      <c r="A500" s="3">
        <v>45323</v>
      </c>
      <c r="B500" s="4">
        <v>15.49</v>
      </c>
      <c r="C500" s="5">
        <v>57864940</v>
      </c>
      <c r="D500" s="4">
        <v>-6.0000000000000497E-2</v>
      </c>
      <c r="E500" s="4">
        <v>-0.38585209003215698</v>
      </c>
      <c r="F500" s="4">
        <v>-0.38585209003215698</v>
      </c>
      <c r="G500" s="4">
        <v>15.49</v>
      </c>
      <c r="H500" s="4">
        <v>0.12928248222365499</v>
      </c>
      <c r="I500" s="4">
        <v>15.63</v>
      </c>
      <c r="J500" s="4">
        <v>15.67</v>
      </c>
      <c r="K500" s="4">
        <v>15.4</v>
      </c>
      <c r="L500" s="4">
        <v>0.12928248222365499</v>
      </c>
    </row>
    <row r="501" spans="1:12" ht="15" customHeight="1" x14ac:dyDescent="0.2">
      <c r="A501" s="6">
        <v>45322</v>
      </c>
      <c r="B501" s="7">
        <v>15.55</v>
      </c>
      <c r="C501" s="8">
        <v>80675570</v>
      </c>
      <c r="D501" s="7">
        <v>-1.9999999999999501E-2</v>
      </c>
      <c r="E501" s="7">
        <v>-0.12845215157353199</v>
      </c>
      <c r="F501" s="7">
        <v>-0.12845215157353199</v>
      </c>
      <c r="G501" s="7">
        <v>15.55</v>
      </c>
      <c r="H501" s="7">
        <v>0.51712992889463505</v>
      </c>
      <c r="I501" s="7">
        <v>15.51</v>
      </c>
      <c r="J501" s="7">
        <v>15.78</v>
      </c>
      <c r="K501" s="7">
        <v>15.43</v>
      </c>
      <c r="L501" s="7">
        <v>0.51712992889463505</v>
      </c>
    </row>
    <row r="502" spans="1:12" ht="15" customHeight="1" x14ac:dyDescent="0.2">
      <c r="A502" s="3">
        <v>45321</v>
      </c>
      <c r="B502" s="4">
        <v>15.57</v>
      </c>
      <c r="C502" s="5">
        <v>97539220</v>
      </c>
      <c r="D502" s="4">
        <v>0.08</v>
      </c>
      <c r="E502" s="4">
        <v>0.516462233699166</v>
      </c>
      <c r="F502" s="4">
        <v>0.516462233699166</v>
      </c>
      <c r="G502" s="4">
        <v>15.57</v>
      </c>
      <c r="H502" s="4">
        <v>0.64641241111829095</v>
      </c>
      <c r="I502" s="4">
        <v>15.49</v>
      </c>
      <c r="J502" s="4">
        <v>15.65</v>
      </c>
      <c r="K502" s="4">
        <v>15.4</v>
      </c>
      <c r="L502" s="4">
        <v>0.64641241111829095</v>
      </c>
    </row>
    <row r="503" spans="1:12" ht="15" customHeight="1" x14ac:dyDescent="0.2">
      <c r="A503" s="6">
        <v>45320</v>
      </c>
      <c r="B503" s="7">
        <v>15.49</v>
      </c>
      <c r="C503" s="8">
        <v>84056250</v>
      </c>
      <c r="D503" s="7">
        <v>1.9999999999999501E-2</v>
      </c>
      <c r="E503" s="7">
        <v>0.12928248222365801</v>
      </c>
      <c r="F503" s="7">
        <v>0.12928248222365801</v>
      </c>
      <c r="G503" s="7">
        <v>15.49</v>
      </c>
      <c r="H503" s="7">
        <v>0.12928248222365499</v>
      </c>
      <c r="I503" s="7">
        <v>15.53</v>
      </c>
      <c r="J503" s="7">
        <v>15.55</v>
      </c>
      <c r="K503" s="7">
        <v>15.32</v>
      </c>
      <c r="L503" s="7">
        <v>0.12928248222365499</v>
      </c>
    </row>
    <row r="504" spans="1:12" ht="15" customHeight="1" x14ac:dyDescent="0.2">
      <c r="A504" s="3">
        <v>45317</v>
      </c>
      <c r="B504" s="4">
        <v>15.47</v>
      </c>
      <c r="C504" s="5">
        <v>78650930</v>
      </c>
      <c r="D504" s="4"/>
      <c r="E504" s="4"/>
      <c r="F504" s="4"/>
      <c r="G504" s="4">
        <v>15.47</v>
      </c>
      <c r="H504" s="4"/>
      <c r="I504" s="4">
        <v>15.35</v>
      </c>
      <c r="J504" s="4">
        <v>15.6</v>
      </c>
      <c r="K504" s="4">
        <v>15.32</v>
      </c>
      <c r="L504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5880-173B-4D2E-997D-46CFF71AE171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10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13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22.1</v>
      </c>
      <c r="C4" s="5">
        <v>6768219</v>
      </c>
      <c r="D4" s="4">
        <v>-0.369999999999997</v>
      </c>
      <c r="E4" s="4">
        <v>-1.64663996439696</v>
      </c>
      <c r="F4" s="4">
        <v>-1.6466358888709101</v>
      </c>
      <c r="G4" s="4">
        <v>22.575386000000002</v>
      </c>
      <c r="H4" s="4">
        <v>59.543363957597101</v>
      </c>
      <c r="I4" s="4">
        <v>22.53</v>
      </c>
      <c r="J4" s="4">
        <v>22.1</v>
      </c>
      <c r="K4" s="4">
        <v>22.1</v>
      </c>
      <c r="L4" s="4">
        <v>56.1837455830388</v>
      </c>
    </row>
    <row r="5" spans="1:12" ht="15" customHeight="1" x14ac:dyDescent="0.2">
      <c r="A5" s="6">
        <v>46045</v>
      </c>
      <c r="B5" s="7">
        <v>22.47</v>
      </c>
      <c r="C5" s="8">
        <v>26442850</v>
      </c>
      <c r="D5" s="7">
        <v>-0.109999999999999</v>
      </c>
      <c r="E5" s="7">
        <v>-0.48715677590788198</v>
      </c>
      <c r="F5" s="7">
        <v>-0.48715604245435001</v>
      </c>
      <c r="G5" s="7">
        <v>22.953344000000001</v>
      </c>
      <c r="H5" s="7">
        <v>62.2144452296819</v>
      </c>
      <c r="I5" s="7">
        <v>22.66</v>
      </c>
      <c r="J5" s="7">
        <v>22.68</v>
      </c>
      <c r="K5" s="7">
        <v>22.27</v>
      </c>
      <c r="L5" s="7">
        <v>58.798586572438097</v>
      </c>
    </row>
    <row r="6" spans="1:12" ht="15" customHeight="1" x14ac:dyDescent="0.2">
      <c r="A6" s="3">
        <v>46044</v>
      </c>
      <c r="B6" s="4">
        <v>22.58</v>
      </c>
      <c r="C6" s="5">
        <v>38903600</v>
      </c>
      <c r="D6" s="4">
        <v>-4.00000000000027E-2</v>
      </c>
      <c r="E6" s="4">
        <v>-0.176834659593294</v>
      </c>
      <c r="F6" s="4">
        <v>-0.17683714299278</v>
      </c>
      <c r="G6" s="4">
        <v>23.065709999999999</v>
      </c>
      <c r="H6" s="4">
        <v>63.008551236749099</v>
      </c>
      <c r="I6" s="4">
        <v>22.72</v>
      </c>
      <c r="J6" s="4">
        <v>22.78</v>
      </c>
      <c r="K6" s="4">
        <v>22.38</v>
      </c>
      <c r="L6" s="4">
        <v>59.575971731448703</v>
      </c>
    </row>
    <row r="7" spans="1:12" ht="15" customHeight="1" x14ac:dyDescent="0.2">
      <c r="A7" s="6">
        <v>46043</v>
      </c>
      <c r="B7" s="7">
        <v>22.62</v>
      </c>
      <c r="C7" s="8">
        <v>36484040</v>
      </c>
      <c r="D7" s="7">
        <v>0.60000000000000098</v>
      </c>
      <c r="E7" s="7">
        <v>2.72479564032697</v>
      </c>
      <c r="F7" s="7">
        <v>2.7247892806801599</v>
      </c>
      <c r="G7" s="7">
        <v>23.106570999999999</v>
      </c>
      <c r="H7" s="7">
        <v>63.297321554770299</v>
      </c>
      <c r="I7" s="7">
        <v>22.12</v>
      </c>
      <c r="J7" s="7">
        <v>22.7</v>
      </c>
      <c r="K7" s="7">
        <v>22.03</v>
      </c>
      <c r="L7" s="7">
        <v>59.858657243816197</v>
      </c>
    </row>
    <row r="8" spans="1:12" ht="15" customHeight="1" x14ac:dyDescent="0.2">
      <c r="A8" s="3">
        <v>46042</v>
      </c>
      <c r="B8" s="4">
        <v>22.02</v>
      </c>
      <c r="C8" s="5">
        <v>24226280</v>
      </c>
      <c r="D8" s="4">
        <v>-0.17000000000000101</v>
      </c>
      <c r="E8" s="4">
        <v>-0.76611086074809198</v>
      </c>
      <c r="F8" s="4">
        <v>-0.76610726225179104</v>
      </c>
      <c r="G8" s="4">
        <v>22.493666000000001</v>
      </c>
      <c r="H8" s="4">
        <v>58.965837455830297</v>
      </c>
      <c r="I8" s="4">
        <v>22.03</v>
      </c>
      <c r="J8" s="4">
        <v>22.23</v>
      </c>
      <c r="K8" s="4">
        <v>21.73</v>
      </c>
      <c r="L8" s="4">
        <v>55.618374558303799</v>
      </c>
    </row>
    <row r="9" spans="1:12" ht="15" customHeight="1" x14ac:dyDescent="0.2">
      <c r="A9" s="6">
        <v>46041</v>
      </c>
      <c r="B9" s="7">
        <v>22.19</v>
      </c>
      <c r="C9" s="8">
        <v>4631105</v>
      </c>
      <c r="D9" s="7">
        <v>0.12000000000000099</v>
      </c>
      <c r="E9" s="7">
        <v>0.54372451291346802</v>
      </c>
      <c r="F9" s="7">
        <v>0.54373217627401405</v>
      </c>
      <c r="G9" s="7">
        <v>22.667321999999999</v>
      </c>
      <c r="H9" s="7">
        <v>60.193088339222598</v>
      </c>
      <c r="I9" s="7">
        <v>22.07</v>
      </c>
      <c r="J9" s="7">
        <v>22.24</v>
      </c>
      <c r="K9" s="7">
        <v>21.78</v>
      </c>
      <c r="L9" s="7">
        <v>56.819787985865702</v>
      </c>
    </row>
    <row r="10" spans="1:12" ht="15" customHeight="1" x14ac:dyDescent="0.2">
      <c r="A10" s="3">
        <v>46038</v>
      </c>
      <c r="B10" s="4">
        <v>22.07</v>
      </c>
      <c r="C10" s="5">
        <v>32553890</v>
      </c>
      <c r="D10" s="4">
        <v>0.26999999999999902</v>
      </c>
      <c r="E10" s="4">
        <v>1.2385321100917499</v>
      </c>
      <c r="F10" s="4">
        <v>1.23853728041714</v>
      </c>
      <c r="G10" s="4">
        <v>22.544739</v>
      </c>
      <c r="H10" s="4">
        <v>59.326777385158998</v>
      </c>
      <c r="I10" s="4">
        <v>21.9</v>
      </c>
      <c r="J10" s="4">
        <v>22.1</v>
      </c>
      <c r="K10" s="4">
        <v>21.76</v>
      </c>
      <c r="L10" s="4">
        <v>55.971731448763201</v>
      </c>
    </row>
    <row r="11" spans="1:12" ht="15" customHeight="1" x14ac:dyDescent="0.2">
      <c r="A11" s="6">
        <v>46037</v>
      </c>
      <c r="B11" s="7">
        <v>21.8</v>
      </c>
      <c r="C11" s="8">
        <v>41506800</v>
      </c>
      <c r="D11" s="7">
        <v>-0.55000000000000004</v>
      </c>
      <c r="E11" s="7">
        <v>-2.46085011185682</v>
      </c>
      <c r="F11" s="7">
        <v>-2.4608594990890098</v>
      </c>
      <c r="G11" s="7">
        <v>22.268930000000001</v>
      </c>
      <c r="H11" s="7">
        <v>57.3775971731448</v>
      </c>
      <c r="I11" s="7">
        <v>22.42</v>
      </c>
      <c r="J11" s="7">
        <v>22.47</v>
      </c>
      <c r="K11" s="7">
        <v>21.72</v>
      </c>
      <c r="L11" s="7">
        <v>54.063604240282601</v>
      </c>
    </row>
    <row r="12" spans="1:12" ht="15" customHeight="1" x14ac:dyDescent="0.2">
      <c r="A12" s="3">
        <v>46036</v>
      </c>
      <c r="B12" s="4">
        <v>22.35</v>
      </c>
      <c r="C12" s="5">
        <v>32592590</v>
      </c>
      <c r="D12" s="4">
        <v>0.3</v>
      </c>
      <c r="E12" s="4">
        <v>1.3605442176870699</v>
      </c>
      <c r="F12" s="4">
        <v>1.36054334183821</v>
      </c>
      <c r="G12" s="4">
        <v>22.830763000000001</v>
      </c>
      <c r="H12" s="4">
        <v>61.348148409893902</v>
      </c>
      <c r="I12" s="4">
        <v>22.1</v>
      </c>
      <c r="J12" s="4">
        <v>22.6</v>
      </c>
      <c r="K12" s="4">
        <v>21.91</v>
      </c>
      <c r="L12" s="4">
        <v>57.950530035335603</v>
      </c>
    </row>
    <row r="13" spans="1:12" ht="15" customHeight="1" x14ac:dyDescent="0.2">
      <c r="A13" s="6">
        <v>46035</v>
      </c>
      <c r="B13" s="7">
        <v>22.05</v>
      </c>
      <c r="C13" s="8">
        <v>27657220</v>
      </c>
      <c r="D13" s="7">
        <v>-0.21</v>
      </c>
      <c r="E13" s="7">
        <v>-0.94339622641509402</v>
      </c>
      <c r="F13" s="7">
        <v>-0.94339518920655197</v>
      </c>
      <c r="G13" s="7">
        <v>22.52431</v>
      </c>
      <c r="H13" s="7">
        <v>59.182402826855103</v>
      </c>
      <c r="I13" s="7">
        <v>22.37</v>
      </c>
      <c r="J13" s="7">
        <v>22.37</v>
      </c>
      <c r="K13" s="7">
        <v>21.86</v>
      </c>
      <c r="L13" s="7">
        <v>55.830388692579497</v>
      </c>
    </row>
    <row r="14" spans="1:12" ht="15" customHeight="1" x14ac:dyDescent="0.2">
      <c r="A14" s="3">
        <v>46034</v>
      </c>
      <c r="B14" s="4">
        <v>22.26</v>
      </c>
      <c r="C14" s="5">
        <v>22318040</v>
      </c>
      <c r="D14" s="4">
        <v>-9.9999999999997799E-2</v>
      </c>
      <c r="E14" s="4">
        <v>-0.44722719141322398</v>
      </c>
      <c r="F14" s="4">
        <v>-0.44723126797673302</v>
      </c>
      <c r="G14" s="4">
        <v>22.738827000000001</v>
      </c>
      <c r="H14" s="4">
        <v>60.698424028268498</v>
      </c>
      <c r="I14" s="4">
        <v>22.29</v>
      </c>
      <c r="J14" s="4">
        <v>22.49</v>
      </c>
      <c r="K14" s="4">
        <v>22.01</v>
      </c>
      <c r="L14" s="4">
        <v>57.314487632508801</v>
      </c>
    </row>
    <row r="15" spans="1:12" ht="15" customHeight="1" x14ac:dyDescent="0.2">
      <c r="A15" s="6">
        <v>46031</v>
      </c>
      <c r="B15" s="7">
        <v>22.36</v>
      </c>
      <c r="C15" s="8">
        <v>26891070</v>
      </c>
      <c r="D15" s="7">
        <v>0.32999999999999802</v>
      </c>
      <c r="E15" s="7">
        <v>1.4979573309123799</v>
      </c>
      <c r="F15" s="7">
        <v>1.4979594629903801</v>
      </c>
      <c r="G15" s="7">
        <v>22.840979000000001</v>
      </c>
      <c r="H15" s="7">
        <v>61.420346289752601</v>
      </c>
      <c r="I15" s="7">
        <v>21.91</v>
      </c>
      <c r="J15" s="7">
        <v>22.41</v>
      </c>
      <c r="K15" s="7">
        <v>21.91</v>
      </c>
      <c r="L15" s="7">
        <v>58.021201413427498</v>
      </c>
    </row>
    <row r="16" spans="1:12" ht="15" customHeight="1" x14ac:dyDescent="0.2">
      <c r="A16" s="3">
        <v>46030</v>
      </c>
      <c r="B16" s="4">
        <v>22.03</v>
      </c>
      <c r="C16" s="5">
        <v>24246780</v>
      </c>
      <c r="D16" s="4">
        <v>1.26999999999999</v>
      </c>
      <c r="E16" s="4">
        <v>6.1175337186897902</v>
      </c>
      <c r="F16" s="4">
        <v>6.1175309793260997</v>
      </c>
      <c r="G16" s="4">
        <v>22.503879999999999</v>
      </c>
      <c r="H16" s="4">
        <v>59.0380212014134</v>
      </c>
      <c r="I16" s="4">
        <v>20.86</v>
      </c>
      <c r="J16" s="4">
        <v>22.09</v>
      </c>
      <c r="K16" s="4">
        <v>20.86</v>
      </c>
      <c r="L16" s="4">
        <v>55.689045936395701</v>
      </c>
    </row>
    <row r="17" spans="1:12" ht="15" customHeight="1" x14ac:dyDescent="0.2">
      <c r="A17" s="6">
        <v>46029</v>
      </c>
      <c r="B17" s="7">
        <v>20.76</v>
      </c>
      <c r="C17" s="8">
        <v>17953270</v>
      </c>
      <c r="D17" s="7">
        <v>-0.59999999999999698</v>
      </c>
      <c r="E17" s="7">
        <v>-2.80898876404492</v>
      </c>
      <c r="F17" s="7">
        <v>-2.8089869102216301</v>
      </c>
      <c r="G17" s="7">
        <v>21.206562000000002</v>
      </c>
      <c r="H17" s="7">
        <v>49.869696113074198</v>
      </c>
      <c r="I17" s="7">
        <v>21.46</v>
      </c>
      <c r="J17" s="7">
        <v>21.46</v>
      </c>
      <c r="K17" s="7">
        <v>20.7</v>
      </c>
      <c r="L17" s="7">
        <v>46.713780918727899</v>
      </c>
    </row>
    <row r="18" spans="1:12" ht="15" customHeight="1" x14ac:dyDescent="0.2">
      <c r="A18" s="3">
        <v>46028</v>
      </c>
      <c r="B18" s="4">
        <v>21.36</v>
      </c>
      <c r="C18" s="5">
        <v>20194190</v>
      </c>
      <c r="D18" s="4">
        <v>0.17999999999999899</v>
      </c>
      <c r="E18" s="4">
        <v>0.84985835694051304</v>
      </c>
      <c r="F18" s="4">
        <v>0.84986338485260005</v>
      </c>
      <c r="G18" s="4">
        <v>21.819468000000001</v>
      </c>
      <c r="H18" s="4">
        <v>54.201187279151902</v>
      </c>
      <c r="I18" s="4">
        <v>21.35</v>
      </c>
      <c r="J18" s="4">
        <v>21.55</v>
      </c>
      <c r="K18" s="4">
        <v>21.29</v>
      </c>
      <c r="L18" s="4">
        <v>50.954063604240197</v>
      </c>
    </row>
    <row r="19" spans="1:12" ht="15" customHeight="1" x14ac:dyDescent="0.2">
      <c r="A19" s="6">
        <v>46027</v>
      </c>
      <c r="B19" s="7">
        <v>21.18</v>
      </c>
      <c r="C19" s="8">
        <v>17529680</v>
      </c>
      <c r="D19" s="7">
        <v>0.5</v>
      </c>
      <c r="E19" s="7">
        <v>2.4177949709864599</v>
      </c>
      <c r="F19" s="7">
        <v>2.4177934602108202</v>
      </c>
      <c r="G19" s="7">
        <v>21.635594999999999</v>
      </c>
      <c r="H19" s="7">
        <v>52.901731448763201</v>
      </c>
      <c r="I19" s="7">
        <v>20.78</v>
      </c>
      <c r="J19" s="7">
        <v>21.37</v>
      </c>
      <c r="K19" s="7">
        <v>20.74</v>
      </c>
      <c r="L19" s="7">
        <v>49.681978798586499</v>
      </c>
    </row>
    <row r="20" spans="1:12" ht="15" customHeight="1" x14ac:dyDescent="0.2">
      <c r="A20" s="3">
        <v>46024</v>
      </c>
      <c r="B20" s="4">
        <v>20.68</v>
      </c>
      <c r="C20" s="5">
        <v>6693054</v>
      </c>
      <c r="D20" s="4">
        <v>9.9999999999980105E-3</v>
      </c>
      <c r="E20" s="4">
        <v>4.8379293662303903E-2</v>
      </c>
      <c r="F20" s="4">
        <v>4.83740512382091E-2</v>
      </c>
      <c r="G20" s="4">
        <v>21.124839999999999</v>
      </c>
      <c r="H20" s="4">
        <v>49.292155477031699</v>
      </c>
      <c r="I20" s="4">
        <v>20.77</v>
      </c>
      <c r="J20" s="4">
        <v>20.81</v>
      </c>
      <c r="K20" s="4">
        <v>20.47</v>
      </c>
      <c r="L20" s="4">
        <v>46.148409893992898</v>
      </c>
    </row>
    <row r="21" spans="1:12" ht="15" customHeight="1" x14ac:dyDescent="0.2">
      <c r="A21" s="6">
        <v>46022</v>
      </c>
      <c r="B21" s="7">
        <v>20.67</v>
      </c>
      <c r="C21" s="8">
        <v>8677175</v>
      </c>
      <c r="D21" s="7">
        <v>-0.219999999999998</v>
      </c>
      <c r="E21" s="7">
        <v>-1.0531354715174599</v>
      </c>
      <c r="F21" s="7">
        <v>-1.0531292015968301</v>
      </c>
      <c r="G21" s="7">
        <v>21.114626000000001</v>
      </c>
      <c r="H21" s="7">
        <v>49.219971731448702</v>
      </c>
      <c r="I21" s="7">
        <v>20.99</v>
      </c>
      <c r="J21" s="7">
        <v>21.03</v>
      </c>
      <c r="K21" s="7">
        <v>20.62</v>
      </c>
      <c r="L21" s="7">
        <v>46.077738515900997</v>
      </c>
    </row>
    <row r="22" spans="1:12" ht="15" customHeight="1" x14ac:dyDescent="0.2">
      <c r="A22" s="3">
        <v>46021</v>
      </c>
      <c r="B22" s="4">
        <v>20.89</v>
      </c>
      <c r="C22" s="5">
        <v>11558180</v>
      </c>
      <c r="D22" s="4">
        <v>-0.37999999999999901</v>
      </c>
      <c r="E22" s="4">
        <v>-1.78655383168782</v>
      </c>
      <c r="F22" s="4">
        <v>-1.78655365858182</v>
      </c>
      <c r="G22" s="4">
        <v>21.339357</v>
      </c>
      <c r="H22" s="4">
        <v>50.8081766784452</v>
      </c>
      <c r="I22" s="4">
        <v>21.37</v>
      </c>
      <c r="J22" s="4">
        <v>21.37</v>
      </c>
      <c r="K22" s="4">
        <v>20.85</v>
      </c>
      <c r="L22" s="4">
        <v>47.632508833922202</v>
      </c>
    </row>
    <row r="23" spans="1:12" ht="15" customHeight="1" x14ac:dyDescent="0.2">
      <c r="A23" s="6">
        <v>46020</v>
      </c>
      <c r="B23" s="7">
        <v>21.27</v>
      </c>
      <c r="C23" s="8">
        <v>20584480</v>
      </c>
      <c r="D23" s="7">
        <v>-0.15000000000000199</v>
      </c>
      <c r="E23" s="7">
        <v>-0.70028011204482599</v>
      </c>
      <c r="F23" s="7">
        <v>-0.70028195549716099</v>
      </c>
      <c r="G23" s="7">
        <v>21.727530999999999</v>
      </c>
      <c r="H23" s="7">
        <v>53.551455830388598</v>
      </c>
      <c r="I23" s="7">
        <v>21.5</v>
      </c>
      <c r="J23" s="7">
        <v>21.5</v>
      </c>
      <c r="K23" s="7">
        <v>21.09</v>
      </c>
      <c r="L23" s="7">
        <v>50.318021201413401</v>
      </c>
    </row>
    <row r="24" spans="1:12" ht="15" customHeight="1" x14ac:dyDescent="0.2">
      <c r="A24" s="3">
        <v>46017</v>
      </c>
      <c r="B24" s="4">
        <v>21.42</v>
      </c>
      <c r="C24" s="5">
        <v>4277125</v>
      </c>
      <c r="D24" s="4">
        <v>0.130000000000002</v>
      </c>
      <c r="E24" s="4">
        <v>0.61061531235322397</v>
      </c>
      <c r="F24" s="4">
        <v>0.61060891082076396</v>
      </c>
      <c r="G24" s="4">
        <v>21.880758</v>
      </c>
      <c r="H24" s="4">
        <v>54.634332155476997</v>
      </c>
      <c r="I24" s="4">
        <v>21.25</v>
      </c>
      <c r="J24" s="4">
        <v>21.46</v>
      </c>
      <c r="K24" s="4">
        <v>21.2</v>
      </c>
      <c r="L24" s="4">
        <v>51.378091872791501</v>
      </c>
    </row>
    <row r="25" spans="1:12" ht="15" customHeight="1" x14ac:dyDescent="0.2">
      <c r="A25" s="6">
        <v>46015</v>
      </c>
      <c r="B25" s="7">
        <v>21.29</v>
      </c>
      <c r="C25" s="8">
        <v>2316730</v>
      </c>
      <c r="D25" s="7">
        <v>-1.0000000000001501E-2</v>
      </c>
      <c r="E25" s="7">
        <v>-4.6948356807519E-2</v>
      </c>
      <c r="F25" s="7">
        <v>-4.6943271028643201E-2</v>
      </c>
      <c r="G25" s="7">
        <v>21.747962999999999</v>
      </c>
      <c r="H25" s="7">
        <v>53.695851590105903</v>
      </c>
      <c r="I25" s="7">
        <v>21.4</v>
      </c>
      <c r="J25" s="7">
        <v>21.4</v>
      </c>
      <c r="K25" s="7">
        <v>21.17</v>
      </c>
      <c r="L25" s="7">
        <v>50.459363957597098</v>
      </c>
    </row>
    <row r="26" spans="1:12" ht="15" customHeight="1" x14ac:dyDescent="0.2">
      <c r="A26" s="3">
        <v>46014</v>
      </c>
      <c r="B26" s="4">
        <v>21.3</v>
      </c>
      <c r="C26" s="5">
        <v>20049100</v>
      </c>
      <c r="D26" s="4">
        <v>0.17000000000000101</v>
      </c>
      <c r="E26" s="4">
        <v>0.80454330336015001</v>
      </c>
      <c r="F26" s="4">
        <v>0.80455352303905303</v>
      </c>
      <c r="G26" s="4">
        <v>21.758177</v>
      </c>
      <c r="H26" s="4">
        <v>53.768035335689</v>
      </c>
      <c r="I26" s="4">
        <v>21.13</v>
      </c>
      <c r="J26" s="4">
        <v>21.36</v>
      </c>
      <c r="K26" s="4">
        <v>21</v>
      </c>
      <c r="L26" s="4">
        <v>50.530035335689</v>
      </c>
    </row>
    <row r="27" spans="1:12" ht="15" customHeight="1" x14ac:dyDescent="0.2">
      <c r="A27" s="6">
        <v>46013</v>
      </c>
      <c r="B27" s="7">
        <v>21.13</v>
      </c>
      <c r="C27" s="8">
        <v>21702160</v>
      </c>
      <c r="D27" s="7">
        <v>0.16999999999999801</v>
      </c>
      <c r="E27" s="7">
        <v>0.811068702290063</v>
      </c>
      <c r="F27" s="7">
        <v>0.81106496319482901</v>
      </c>
      <c r="G27" s="7">
        <v>21.584517999999999</v>
      </c>
      <c r="H27" s="7">
        <v>52.540763250883302</v>
      </c>
      <c r="I27" s="7">
        <v>21.05</v>
      </c>
      <c r="J27" s="7">
        <v>21.21</v>
      </c>
      <c r="K27" s="7">
        <v>20.77</v>
      </c>
      <c r="L27" s="7">
        <v>49.328621908127197</v>
      </c>
    </row>
    <row r="28" spans="1:12" ht="15" customHeight="1" x14ac:dyDescent="0.2">
      <c r="A28" s="3">
        <v>46010</v>
      </c>
      <c r="B28" s="4">
        <v>20.96</v>
      </c>
      <c r="C28" s="5">
        <v>108226400</v>
      </c>
      <c r="D28" s="4">
        <v>8.9999999999999802E-2</v>
      </c>
      <c r="E28" s="4">
        <v>0.431241015812178</v>
      </c>
      <c r="F28" s="4">
        <v>0.43123181428259499</v>
      </c>
      <c r="G28" s="4">
        <v>21.410862000000002</v>
      </c>
      <c r="H28" s="4">
        <v>51.3135123674911</v>
      </c>
      <c r="I28" s="4">
        <v>20.95</v>
      </c>
      <c r="J28" s="4">
        <v>21.24</v>
      </c>
      <c r="K28" s="4">
        <v>20.82</v>
      </c>
      <c r="L28" s="4">
        <v>48.127208480565301</v>
      </c>
    </row>
    <row r="29" spans="1:12" ht="15" customHeight="1" x14ac:dyDescent="0.2">
      <c r="A29" s="6">
        <v>46009</v>
      </c>
      <c r="B29" s="7">
        <v>20.87</v>
      </c>
      <c r="C29" s="8">
        <v>16494369.999999899</v>
      </c>
      <c r="D29" s="7">
        <v>0.76999999999999902</v>
      </c>
      <c r="E29" s="7">
        <v>3.8308457711442698</v>
      </c>
      <c r="F29" s="7">
        <v>3.8308496771243701</v>
      </c>
      <c r="G29" s="7">
        <v>21.318928</v>
      </c>
      <c r="H29" s="7">
        <v>50.663802120141298</v>
      </c>
      <c r="I29" s="7">
        <v>20.16</v>
      </c>
      <c r="J29" s="7">
        <v>20.91</v>
      </c>
      <c r="K29" s="7">
        <v>20.14</v>
      </c>
      <c r="L29" s="7">
        <v>47.491166077738498</v>
      </c>
    </row>
    <row r="30" spans="1:12" ht="15" customHeight="1" x14ac:dyDescent="0.2">
      <c r="A30" s="3">
        <v>46008</v>
      </c>
      <c r="B30" s="4">
        <v>20.100000000000001</v>
      </c>
      <c r="C30" s="5">
        <v>31100850</v>
      </c>
      <c r="D30" s="4">
        <v>-0.54999999999999705</v>
      </c>
      <c r="E30" s="4">
        <v>-2.6634382566585701</v>
      </c>
      <c r="F30" s="4">
        <v>-2.66343430803756</v>
      </c>
      <c r="G30" s="4">
        <v>20.532364000000001</v>
      </c>
      <c r="H30" s="4">
        <v>45.105045936395697</v>
      </c>
      <c r="I30" s="4">
        <v>20.7</v>
      </c>
      <c r="J30" s="4">
        <v>20.7</v>
      </c>
      <c r="K30" s="4">
        <v>20.04</v>
      </c>
      <c r="L30" s="4">
        <v>42.049469964664297</v>
      </c>
    </row>
    <row r="31" spans="1:12" ht="15" customHeight="1" x14ac:dyDescent="0.2">
      <c r="A31" s="6">
        <v>46007</v>
      </c>
      <c r="B31" s="7">
        <v>20.65</v>
      </c>
      <c r="C31" s="8">
        <v>40194473</v>
      </c>
      <c r="D31" s="7">
        <v>-0.32</v>
      </c>
      <c r="E31" s="7">
        <v>-1.52598950882212</v>
      </c>
      <c r="F31" s="7">
        <v>-1.52599229599929</v>
      </c>
      <c r="G31" s="7">
        <v>21.094194000000002</v>
      </c>
      <c r="H31" s="7">
        <v>49.075575971731404</v>
      </c>
      <c r="I31" s="7">
        <v>21.07</v>
      </c>
      <c r="J31" s="7">
        <v>21.16</v>
      </c>
      <c r="K31" s="7">
        <v>20.62</v>
      </c>
      <c r="L31" s="7">
        <v>45.9363957597173</v>
      </c>
    </row>
    <row r="32" spans="1:12" ht="15" customHeight="1" x14ac:dyDescent="0.2">
      <c r="A32" s="3">
        <v>46006</v>
      </c>
      <c r="B32" s="4">
        <v>20.97</v>
      </c>
      <c r="C32" s="5">
        <v>30820600</v>
      </c>
      <c r="D32" s="4">
        <v>0.85999999999999899</v>
      </c>
      <c r="E32" s="4">
        <v>4.2764793635007496</v>
      </c>
      <c r="F32" s="4">
        <v>4.47739180586328</v>
      </c>
      <c r="G32" s="4">
        <v>21.421078000000001</v>
      </c>
      <c r="H32" s="4">
        <v>51.385710247349799</v>
      </c>
      <c r="I32" s="4">
        <v>20.190000000000001</v>
      </c>
      <c r="J32" s="4">
        <v>21.27</v>
      </c>
      <c r="K32" s="4">
        <v>20.190000000000001</v>
      </c>
      <c r="L32" s="4">
        <v>48.197879858657203</v>
      </c>
    </row>
    <row r="33" spans="1:12" ht="15" customHeight="1" x14ac:dyDescent="0.2">
      <c r="A33" s="6">
        <v>46002</v>
      </c>
      <c r="B33" s="7">
        <v>20.11</v>
      </c>
      <c r="C33" s="8">
        <v>32308560</v>
      </c>
      <c r="D33" s="7">
        <v>0.37999999999999901</v>
      </c>
      <c r="E33" s="7">
        <v>1.9260010136847401</v>
      </c>
      <c r="F33" s="7">
        <v>1.92600824253914</v>
      </c>
      <c r="G33" s="7">
        <v>20.503074999999999</v>
      </c>
      <c r="H33" s="7">
        <v>44.898056537102399</v>
      </c>
      <c r="I33" s="7">
        <v>19.82</v>
      </c>
      <c r="J33" s="7">
        <v>20.23</v>
      </c>
      <c r="K33" s="7">
        <v>19.77</v>
      </c>
      <c r="L33" s="7">
        <v>42.120141342756099</v>
      </c>
    </row>
    <row r="34" spans="1:12" ht="15" customHeight="1" x14ac:dyDescent="0.2">
      <c r="A34" s="3">
        <v>46001</v>
      </c>
      <c r="B34" s="4">
        <v>19.73</v>
      </c>
      <c r="C34" s="5">
        <v>25132070</v>
      </c>
      <c r="D34" s="4">
        <v>-0.21</v>
      </c>
      <c r="E34" s="4">
        <v>-1.0531594784353</v>
      </c>
      <c r="F34" s="4">
        <v>-1.0531658231738199</v>
      </c>
      <c r="G34" s="4">
        <v>20.115646000000002</v>
      </c>
      <c r="H34" s="4">
        <v>42.160042402826797</v>
      </c>
      <c r="I34" s="4">
        <v>20.02</v>
      </c>
      <c r="J34" s="4">
        <v>20.02</v>
      </c>
      <c r="K34" s="4">
        <v>19.63</v>
      </c>
      <c r="L34" s="4">
        <v>39.434628975264999</v>
      </c>
    </row>
    <row r="35" spans="1:12" ht="15" customHeight="1" x14ac:dyDescent="0.2">
      <c r="A35" s="6">
        <v>46000</v>
      </c>
      <c r="B35" s="7">
        <v>19.940000000000001</v>
      </c>
      <c r="C35" s="8">
        <v>25490260</v>
      </c>
      <c r="D35" s="7">
        <v>-9.9999999999997799E-2</v>
      </c>
      <c r="E35" s="7">
        <v>-0.49900199600797501</v>
      </c>
      <c r="F35" s="7">
        <v>-0.499003827727173</v>
      </c>
      <c r="G35" s="7">
        <v>20.329751999999999</v>
      </c>
      <c r="H35" s="7">
        <v>43.673159010600699</v>
      </c>
      <c r="I35" s="7">
        <v>20.14</v>
      </c>
      <c r="J35" s="7">
        <v>20.14</v>
      </c>
      <c r="K35" s="7">
        <v>19.8</v>
      </c>
      <c r="L35" s="7">
        <v>40.918727915194303</v>
      </c>
    </row>
    <row r="36" spans="1:12" ht="15" customHeight="1" x14ac:dyDescent="0.2">
      <c r="A36" s="3">
        <v>45999</v>
      </c>
      <c r="B36" s="4">
        <v>20.04</v>
      </c>
      <c r="C36" s="5">
        <v>20468300</v>
      </c>
      <c r="D36" s="4">
        <v>0.37999999999999901</v>
      </c>
      <c r="E36" s="4">
        <v>1.9328585961342699</v>
      </c>
      <c r="F36" s="4">
        <v>1.93285565757412</v>
      </c>
      <c r="G36" s="4">
        <v>20.431706999999999</v>
      </c>
      <c r="H36" s="4">
        <v>44.393689045936298</v>
      </c>
      <c r="I36" s="4">
        <v>19.7</v>
      </c>
      <c r="J36" s="4">
        <v>20.260000000000002</v>
      </c>
      <c r="K36" s="4">
        <v>19.7</v>
      </c>
      <c r="L36" s="4">
        <v>41.625441696113</v>
      </c>
    </row>
    <row r="37" spans="1:12" ht="15" customHeight="1" x14ac:dyDescent="0.2">
      <c r="A37" s="6">
        <v>45996</v>
      </c>
      <c r="B37" s="7">
        <v>19.66</v>
      </c>
      <c r="C37" s="8">
        <v>16851080</v>
      </c>
      <c r="D37" s="7">
        <v>-0.32</v>
      </c>
      <c r="E37" s="7">
        <v>-1.6016016016015899</v>
      </c>
      <c r="F37" s="7">
        <v>-1.60159284982871</v>
      </c>
      <c r="G37" s="7">
        <v>20.044280000000001</v>
      </c>
      <c r="H37" s="7">
        <v>41.655689045936299</v>
      </c>
      <c r="I37" s="7">
        <v>19.989999999999998</v>
      </c>
      <c r="J37" s="7">
        <v>20.02</v>
      </c>
      <c r="K37" s="7">
        <v>19.62</v>
      </c>
      <c r="L37" s="7">
        <v>38.939929328621901</v>
      </c>
    </row>
    <row r="38" spans="1:12" ht="15" customHeight="1" x14ac:dyDescent="0.2">
      <c r="A38" s="3">
        <v>45995</v>
      </c>
      <c r="B38" s="4">
        <v>19.98</v>
      </c>
      <c r="C38" s="5">
        <v>14702510</v>
      </c>
      <c r="D38" s="4">
        <v>0.14000000000000001</v>
      </c>
      <c r="E38" s="4">
        <v>0.70564516129032395</v>
      </c>
      <c r="F38" s="4">
        <v>0.70564283396752303</v>
      </c>
      <c r="G38" s="4">
        <v>20.370533000000002</v>
      </c>
      <c r="H38" s="4">
        <v>43.961363957597101</v>
      </c>
      <c r="I38" s="4">
        <v>19.93</v>
      </c>
      <c r="J38" s="4">
        <v>20.04</v>
      </c>
      <c r="K38" s="4">
        <v>19.850000000000001</v>
      </c>
      <c r="L38" s="4">
        <v>41.201413427561803</v>
      </c>
    </row>
    <row r="39" spans="1:12" ht="15" customHeight="1" x14ac:dyDescent="0.2">
      <c r="A39" s="6">
        <v>45994</v>
      </c>
      <c r="B39" s="7">
        <v>19.84</v>
      </c>
      <c r="C39" s="8">
        <v>20057860</v>
      </c>
      <c r="D39" s="7">
        <v>0.23</v>
      </c>
      <c r="E39" s="7">
        <v>1.17287098419174</v>
      </c>
      <c r="F39" s="7">
        <v>1.17287285376237</v>
      </c>
      <c r="G39" s="7">
        <v>20.227796999999999</v>
      </c>
      <c r="H39" s="7">
        <v>42.952628975265</v>
      </c>
      <c r="I39" s="7">
        <v>19.440000000000001</v>
      </c>
      <c r="J39" s="7">
        <v>19.920000000000002</v>
      </c>
      <c r="K39" s="7">
        <v>19.440000000000001</v>
      </c>
      <c r="L39" s="7">
        <v>40.212014134275599</v>
      </c>
    </row>
    <row r="40" spans="1:12" ht="15" customHeight="1" x14ac:dyDescent="0.2">
      <c r="A40" s="3">
        <v>45993</v>
      </c>
      <c r="B40" s="4">
        <v>19.61</v>
      </c>
      <c r="C40" s="5">
        <v>33176460</v>
      </c>
      <c r="D40" s="4">
        <v>0.25999999999999801</v>
      </c>
      <c r="E40" s="4">
        <v>1.34366925064597</v>
      </c>
      <c r="F40" s="4">
        <v>1.34366405078611</v>
      </c>
      <c r="G40" s="4">
        <v>19.993300999999999</v>
      </c>
      <c r="H40" s="4">
        <v>41.295413427561797</v>
      </c>
      <c r="I40" s="4">
        <v>19.34</v>
      </c>
      <c r="J40" s="4">
        <v>19.78</v>
      </c>
      <c r="K40" s="4">
        <v>19.34</v>
      </c>
      <c r="L40" s="4">
        <v>38.586572438162499</v>
      </c>
    </row>
    <row r="41" spans="1:12" ht="15" customHeight="1" x14ac:dyDescent="0.2">
      <c r="A41" s="6">
        <v>45992</v>
      </c>
      <c r="B41" s="7">
        <v>19.350000000000001</v>
      </c>
      <c r="C41" s="8">
        <v>33488900</v>
      </c>
      <c r="D41" s="7">
        <v>-1.9999999999999501E-2</v>
      </c>
      <c r="E41" s="7">
        <v>-0.10325245224573799</v>
      </c>
      <c r="F41" s="7">
        <v>-0.10325283130039301</v>
      </c>
      <c r="G41" s="7">
        <v>19.72822</v>
      </c>
      <c r="H41" s="7">
        <v>39.422049469964598</v>
      </c>
      <c r="I41" s="7">
        <v>19.37</v>
      </c>
      <c r="J41" s="7">
        <v>19.690000000000001</v>
      </c>
      <c r="K41" s="7">
        <v>19.32</v>
      </c>
      <c r="L41" s="7">
        <v>36.7491166077738</v>
      </c>
    </row>
    <row r="42" spans="1:12" ht="15" customHeight="1" x14ac:dyDescent="0.2">
      <c r="A42" s="3">
        <v>45989</v>
      </c>
      <c r="B42" s="4">
        <v>19.37</v>
      </c>
      <c r="C42" s="5">
        <v>21129140</v>
      </c>
      <c r="D42" s="4">
        <v>0.44999999999999901</v>
      </c>
      <c r="E42" s="4">
        <v>2.37843551797038</v>
      </c>
      <c r="F42" s="4">
        <v>2.3784418035342298</v>
      </c>
      <c r="G42" s="4">
        <v>19.748611</v>
      </c>
      <c r="H42" s="4">
        <v>39.566155477031799</v>
      </c>
      <c r="I42" s="4">
        <v>19.09</v>
      </c>
      <c r="J42" s="4">
        <v>19.809999999999999</v>
      </c>
      <c r="K42" s="4">
        <v>18.95</v>
      </c>
      <c r="L42" s="4">
        <v>36.890459363957604</v>
      </c>
    </row>
    <row r="43" spans="1:12" ht="15" customHeight="1" x14ac:dyDescent="0.2">
      <c r="A43" s="6">
        <v>45988</v>
      </c>
      <c r="B43" s="7">
        <v>18.920000000000002</v>
      </c>
      <c r="C43" s="8">
        <v>5169888</v>
      </c>
      <c r="D43" s="7">
        <v>-0.41999999999999799</v>
      </c>
      <c r="E43" s="7">
        <v>-2.1716649431230501</v>
      </c>
      <c r="F43" s="7">
        <v>-2.1716629501852101</v>
      </c>
      <c r="G43" s="7">
        <v>19.289814</v>
      </c>
      <c r="H43" s="7">
        <v>36.323773851590097</v>
      </c>
      <c r="I43" s="7">
        <v>19.350000000000001</v>
      </c>
      <c r="J43" s="7">
        <v>19.350000000000001</v>
      </c>
      <c r="K43" s="7">
        <v>18.899999999999999</v>
      </c>
      <c r="L43" s="7">
        <v>33.710247349823298</v>
      </c>
    </row>
    <row r="44" spans="1:12" ht="15" customHeight="1" x14ac:dyDescent="0.2">
      <c r="A44" s="3">
        <v>45987</v>
      </c>
      <c r="B44" s="4">
        <v>19.34</v>
      </c>
      <c r="C44" s="5">
        <v>23287980</v>
      </c>
      <c r="D44" s="4">
        <v>0.16999999999999801</v>
      </c>
      <c r="E44" s="4">
        <v>0.88680229525299703</v>
      </c>
      <c r="F44" s="4">
        <v>0.88680307193254004</v>
      </c>
      <c r="G44" s="4">
        <v>19.718022999999999</v>
      </c>
      <c r="H44" s="4">
        <v>39.3499858657243</v>
      </c>
      <c r="I44" s="4">
        <v>19.190000000000001</v>
      </c>
      <c r="J44" s="4">
        <v>19.39</v>
      </c>
      <c r="K44" s="4">
        <v>19.03</v>
      </c>
      <c r="L44" s="4">
        <v>36.678445229681898</v>
      </c>
    </row>
    <row r="45" spans="1:12" ht="15" customHeight="1" x14ac:dyDescent="0.2">
      <c r="A45" s="6">
        <v>45986</v>
      </c>
      <c r="B45" s="7">
        <v>19.170000000000002</v>
      </c>
      <c r="C45" s="8">
        <v>21041640</v>
      </c>
      <c r="D45" s="7">
        <v>0.56999999999999995</v>
      </c>
      <c r="E45" s="7">
        <v>3.0645161290322598</v>
      </c>
      <c r="F45" s="7">
        <v>3.06450898459993</v>
      </c>
      <c r="G45" s="7">
        <v>19.544699999999999</v>
      </c>
      <c r="H45" s="7">
        <v>38.1250883392226</v>
      </c>
      <c r="I45" s="7">
        <v>18.5</v>
      </c>
      <c r="J45" s="7">
        <v>19.260000000000002</v>
      </c>
      <c r="K45" s="7">
        <v>18.5</v>
      </c>
      <c r="L45" s="7">
        <v>35.477031802120102</v>
      </c>
    </row>
    <row r="46" spans="1:12" ht="15" customHeight="1" x14ac:dyDescent="0.2">
      <c r="A46" s="3">
        <v>45985</v>
      </c>
      <c r="B46" s="4">
        <v>18.600000000000001</v>
      </c>
      <c r="C46" s="5">
        <v>96138150</v>
      </c>
      <c r="D46" s="4">
        <v>2.0000000000003099E-2</v>
      </c>
      <c r="E46" s="4">
        <v>0.107642626480108</v>
      </c>
      <c r="F46" s="4">
        <v>0.107643024247949</v>
      </c>
      <c r="G46" s="4">
        <v>18.963560000000001</v>
      </c>
      <c r="H46" s="4">
        <v>34.018091872791501</v>
      </c>
      <c r="I46" s="4">
        <v>18.48</v>
      </c>
      <c r="J46" s="4">
        <v>18.89</v>
      </c>
      <c r="K46" s="4">
        <v>18.46</v>
      </c>
      <c r="L46" s="4">
        <v>31.448763250883399</v>
      </c>
    </row>
    <row r="47" spans="1:12" ht="15" customHeight="1" x14ac:dyDescent="0.2">
      <c r="A47" s="6">
        <v>45982</v>
      </c>
      <c r="B47" s="7">
        <v>18.579999999999998</v>
      </c>
      <c r="C47" s="8">
        <v>37365610</v>
      </c>
      <c r="D47" s="7">
        <v>-0.24000000000000199</v>
      </c>
      <c r="E47" s="7">
        <v>-1.2752391073326299</v>
      </c>
      <c r="F47" s="7">
        <v>-1.2752334692473899</v>
      </c>
      <c r="G47" s="7">
        <v>18.943169000000001</v>
      </c>
      <c r="H47" s="7">
        <v>33.8739858657243</v>
      </c>
      <c r="I47" s="7">
        <v>18.91</v>
      </c>
      <c r="J47" s="7">
        <v>18.920000000000002</v>
      </c>
      <c r="K47" s="7">
        <v>18.46</v>
      </c>
      <c r="L47" s="7">
        <v>31.307420494699599</v>
      </c>
    </row>
    <row r="48" spans="1:12" ht="15" customHeight="1" x14ac:dyDescent="0.2">
      <c r="A48" s="3">
        <v>45981</v>
      </c>
      <c r="B48" s="4">
        <v>18.82</v>
      </c>
      <c r="C48" s="5">
        <v>16979670</v>
      </c>
      <c r="D48" s="4">
        <v>-0.109999999999999</v>
      </c>
      <c r="E48" s="4">
        <v>-0.58108821975699698</v>
      </c>
      <c r="F48" s="4">
        <v>-0.58109296316427494</v>
      </c>
      <c r="G48" s="4">
        <v>19.187859</v>
      </c>
      <c r="H48" s="4">
        <v>35.603243816254398</v>
      </c>
      <c r="I48" s="4">
        <v>18.899999999999999</v>
      </c>
      <c r="J48" s="4">
        <v>19.29</v>
      </c>
      <c r="K48" s="4">
        <v>18.739999999999998</v>
      </c>
      <c r="L48" s="4">
        <v>33.003533568904501</v>
      </c>
    </row>
    <row r="49" spans="1:12" ht="15" customHeight="1" x14ac:dyDescent="0.2">
      <c r="A49" s="6">
        <v>45980</v>
      </c>
      <c r="B49" s="7">
        <v>18.93</v>
      </c>
      <c r="C49" s="8">
        <v>17137170</v>
      </c>
      <c r="D49" s="7">
        <v>0.21</v>
      </c>
      <c r="E49" s="7">
        <v>1.12179487179486</v>
      </c>
      <c r="F49" s="7">
        <v>1.12179642516296</v>
      </c>
      <c r="G49" s="7">
        <v>19.30001</v>
      </c>
      <c r="H49" s="7">
        <v>36.395830388692502</v>
      </c>
      <c r="I49" s="7">
        <v>18.809999999999999</v>
      </c>
      <c r="J49" s="7">
        <v>19.05</v>
      </c>
      <c r="K49" s="7">
        <v>18.73</v>
      </c>
      <c r="L49" s="7">
        <v>33.7809187279151</v>
      </c>
    </row>
    <row r="50" spans="1:12" ht="15" customHeight="1" x14ac:dyDescent="0.2">
      <c r="A50" s="3">
        <v>45979</v>
      </c>
      <c r="B50" s="4">
        <v>18.72</v>
      </c>
      <c r="C50" s="5">
        <v>23384130</v>
      </c>
      <c r="D50" s="4">
        <v>0.19999999999999901</v>
      </c>
      <c r="E50" s="4">
        <v>1.0799136069114399</v>
      </c>
      <c r="F50" s="4">
        <v>1.0799123143548901</v>
      </c>
      <c r="G50" s="4">
        <v>19.085905</v>
      </c>
      <c r="H50" s="4">
        <v>34.882720848056501</v>
      </c>
      <c r="I50" s="4">
        <v>18.579999999999998</v>
      </c>
      <c r="J50" s="4">
        <v>18.89</v>
      </c>
      <c r="K50" s="4">
        <v>18.41</v>
      </c>
      <c r="L50" s="4">
        <v>32.296819787985797</v>
      </c>
    </row>
    <row r="51" spans="1:12" ht="15" customHeight="1" x14ac:dyDescent="0.2">
      <c r="A51" s="6">
        <v>45975</v>
      </c>
      <c r="B51" s="7">
        <v>18.52</v>
      </c>
      <c r="C51" s="8">
        <v>22788350</v>
      </c>
      <c r="D51" s="7">
        <v>-0.15000000000000199</v>
      </c>
      <c r="E51" s="7">
        <v>-0.80342795929299005</v>
      </c>
      <c r="F51" s="7">
        <v>-0.803423096920719</v>
      </c>
      <c r="G51" s="7">
        <v>18.881996000000001</v>
      </c>
      <c r="H51" s="7">
        <v>33.441667844522897</v>
      </c>
      <c r="I51" s="7">
        <v>18.5</v>
      </c>
      <c r="J51" s="7">
        <v>18.78</v>
      </c>
      <c r="K51" s="7">
        <v>18.38</v>
      </c>
      <c r="L51" s="7">
        <v>30.883392226148398</v>
      </c>
    </row>
    <row r="52" spans="1:12" ht="15" customHeight="1" x14ac:dyDescent="0.2">
      <c r="A52" s="3">
        <v>45974</v>
      </c>
      <c r="B52" s="4">
        <v>18.670000000000002</v>
      </c>
      <c r="C52" s="5">
        <v>17980240</v>
      </c>
      <c r="D52" s="4">
        <v>-0.28999999999999898</v>
      </c>
      <c r="E52" s="4">
        <v>-1.5295358649788999</v>
      </c>
      <c r="F52" s="4">
        <v>-1.52953388139371</v>
      </c>
      <c r="G52" s="4">
        <v>19.034927</v>
      </c>
      <c r="H52" s="4">
        <v>34.522452296819701</v>
      </c>
      <c r="I52" s="4">
        <v>19.05</v>
      </c>
      <c r="J52" s="4">
        <v>19.12</v>
      </c>
      <c r="K52" s="4">
        <v>18.61</v>
      </c>
      <c r="L52" s="4">
        <v>31.943462897526501</v>
      </c>
    </row>
    <row r="53" spans="1:12" ht="15" customHeight="1" x14ac:dyDescent="0.2">
      <c r="A53" s="6">
        <v>45973</v>
      </c>
      <c r="B53" s="7">
        <v>18.96</v>
      </c>
      <c r="C53" s="8">
        <v>26814470</v>
      </c>
      <c r="D53" s="7">
        <v>-0.32</v>
      </c>
      <c r="E53" s="7">
        <v>-1.6597510373444</v>
      </c>
      <c r="F53" s="7">
        <v>-1.6597521983430601</v>
      </c>
      <c r="G53" s="7">
        <v>19.330594999999999</v>
      </c>
      <c r="H53" s="7">
        <v>36.611978798586499</v>
      </c>
      <c r="I53" s="7">
        <v>19.25</v>
      </c>
      <c r="J53" s="7">
        <v>19.309999999999999</v>
      </c>
      <c r="K53" s="7">
        <v>18.91</v>
      </c>
      <c r="L53" s="7">
        <v>33.992932862190798</v>
      </c>
    </row>
    <row r="54" spans="1:12" ht="15" customHeight="1" x14ac:dyDescent="0.2">
      <c r="A54" s="3">
        <v>45972</v>
      </c>
      <c r="B54" s="4">
        <v>19.28</v>
      </c>
      <c r="C54" s="5">
        <v>16012410</v>
      </c>
      <c r="D54" s="4">
        <v>0.310000000000002</v>
      </c>
      <c r="E54" s="4">
        <v>1.63415919873486</v>
      </c>
      <c r="F54" s="4">
        <v>1.6341628237522801</v>
      </c>
      <c r="G54" s="4">
        <v>19.656849999999999</v>
      </c>
      <c r="H54" s="4">
        <v>38.917667844522903</v>
      </c>
      <c r="I54" s="4">
        <v>19.010000000000002</v>
      </c>
      <c r="J54" s="4">
        <v>19.350000000000001</v>
      </c>
      <c r="K54" s="4">
        <v>18.96</v>
      </c>
      <c r="L54" s="4">
        <v>36.254416961130701</v>
      </c>
    </row>
    <row r="55" spans="1:12" ht="15" customHeight="1" x14ac:dyDescent="0.2">
      <c r="A55" s="6">
        <v>45971</v>
      </c>
      <c r="B55" s="7">
        <v>18.97</v>
      </c>
      <c r="C55" s="8">
        <v>11673570</v>
      </c>
      <c r="D55" s="7">
        <v>0.16</v>
      </c>
      <c r="E55" s="7">
        <v>0.85061137692716804</v>
      </c>
      <c r="F55" s="7">
        <v>0.85060411945896397</v>
      </c>
      <c r="G55" s="7">
        <v>19.340789999999998</v>
      </c>
      <c r="H55" s="7">
        <v>36.684028268551202</v>
      </c>
      <c r="I55" s="7">
        <v>18.850000000000001</v>
      </c>
      <c r="J55" s="7">
        <v>19.09</v>
      </c>
      <c r="K55" s="7">
        <v>18.760000000000002</v>
      </c>
      <c r="L55" s="7">
        <v>34.063604240282601</v>
      </c>
    </row>
    <row r="56" spans="1:12" ht="15" customHeight="1" x14ac:dyDescent="0.2">
      <c r="A56" s="3">
        <v>45968</v>
      </c>
      <c r="B56" s="4">
        <v>18.809999999999999</v>
      </c>
      <c r="C56" s="5">
        <v>23808190</v>
      </c>
      <c r="D56" s="4">
        <v>-0.17999999999999899</v>
      </c>
      <c r="E56" s="4">
        <v>-0.94786729857819696</v>
      </c>
      <c r="F56" s="4">
        <v>-0.94786056697676502</v>
      </c>
      <c r="G56" s="4">
        <v>19.177664</v>
      </c>
      <c r="H56" s="4">
        <v>35.531194346289702</v>
      </c>
      <c r="I56" s="4">
        <v>18.95</v>
      </c>
      <c r="J56" s="4">
        <v>19.11</v>
      </c>
      <c r="K56" s="4">
        <v>18.62</v>
      </c>
      <c r="L56" s="4">
        <v>32.932862190812699</v>
      </c>
    </row>
    <row r="57" spans="1:12" ht="15" customHeight="1" x14ac:dyDescent="0.2">
      <c r="A57" s="6">
        <v>45967</v>
      </c>
      <c r="B57" s="7">
        <v>18.989999999999998</v>
      </c>
      <c r="C57" s="8">
        <v>21549840</v>
      </c>
      <c r="D57" s="7">
        <v>-0.130000000000002</v>
      </c>
      <c r="E57" s="7">
        <v>-0.67991631799164598</v>
      </c>
      <c r="F57" s="7">
        <v>-0.67993161902101196</v>
      </c>
      <c r="G57" s="7">
        <v>19.361180999999998</v>
      </c>
      <c r="H57" s="7">
        <v>36.828134275618297</v>
      </c>
      <c r="I57" s="7">
        <v>19.100000000000001</v>
      </c>
      <c r="J57" s="7">
        <v>19.36</v>
      </c>
      <c r="K57" s="7">
        <v>18.91</v>
      </c>
      <c r="L57" s="7">
        <v>34.204946996466397</v>
      </c>
    </row>
    <row r="58" spans="1:12" ht="15" customHeight="1" x14ac:dyDescent="0.2">
      <c r="A58" s="3">
        <v>45966</v>
      </c>
      <c r="B58" s="4">
        <v>19.12</v>
      </c>
      <c r="C58" s="5">
        <v>29621010</v>
      </c>
      <c r="D58" s="4">
        <v>0.32</v>
      </c>
      <c r="E58" s="4">
        <v>1.7021276595744701</v>
      </c>
      <c r="F58" s="4">
        <v>1.7021445765369201</v>
      </c>
      <c r="G58" s="4">
        <v>19.493725000000001</v>
      </c>
      <c r="H58" s="4">
        <v>37.764840989399197</v>
      </c>
      <c r="I58" s="4">
        <v>18.72</v>
      </c>
      <c r="J58" s="4">
        <v>19.350000000000001</v>
      </c>
      <c r="K58" s="4">
        <v>18.72</v>
      </c>
      <c r="L58" s="4">
        <v>35.1236749116607</v>
      </c>
    </row>
    <row r="59" spans="1:12" ht="15" customHeight="1" x14ac:dyDescent="0.2">
      <c r="A59" s="6">
        <v>45965</v>
      </c>
      <c r="B59" s="7">
        <v>18.8</v>
      </c>
      <c r="C59" s="8">
        <v>22570200</v>
      </c>
      <c r="D59" s="7">
        <v>3.0000000000001099E-2</v>
      </c>
      <c r="E59" s="7">
        <v>0.159829515183806</v>
      </c>
      <c r="F59" s="7">
        <v>0.159817040214949</v>
      </c>
      <c r="G59" s="7">
        <v>19.167466999999998</v>
      </c>
      <c r="H59" s="7">
        <v>35.459130742049403</v>
      </c>
      <c r="I59" s="7">
        <v>18.600000000000001</v>
      </c>
      <c r="J59" s="7">
        <v>19.149999999999999</v>
      </c>
      <c r="K59" s="7">
        <v>18.45</v>
      </c>
      <c r="L59" s="7">
        <v>32.862190812720797</v>
      </c>
    </row>
    <row r="60" spans="1:12" ht="15" customHeight="1" x14ac:dyDescent="0.2">
      <c r="A60" s="3">
        <v>45964</v>
      </c>
      <c r="B60" s="4">
        <v>18.77</v>
      </c>
      <c r="C60" s="5">
        <v>13153180</v>
      </c>
      <c r="D60" s="4">
        <v>-0.109999999999999</v>
      </c>
      <c r="E60" s="4">
        <v>-0.58262711864406302</v>
      </c>
      <c r="F60" s="4">
        <v>-0.58261634053162703</v>
      </c>
      <c r="G60" s="4">
        <v>19.136883000000001</v>
      </c>
      <c r="H60" s="4">
        <v>35.242989399293201</v>
      </c>
      <c r="I60" s="4">
        <v>18.84</v>
      </c>
      <c r="J60" s="4">
        <v>19.05</v>
      </c>
      <c r="K60" s="4">
        <v>18.71</v>
      </c>
      <c r="L60" s="4">
        <v>32.650176678445199</v>
      </c>
    </row>
    <row r="61" spans="1:12" ht="15" customHeight="1" x14ac:dyDescent="0.2">
      <c r="A61" s="6">
        <v>45961</v>
      </c>
      <c r="B61" s="7">
        <v>18.88</v>
      </c>
      <c r="C61" s="8">
        <v>32398720</v>
      </c>
      <c r="D61" s="7">
        <v>5.99999999999987E-2</v>
      </c>
      <c r="E61" s="7">
        <v>0.31880977683313899</v>
      </c>
      <c r="F61" s="7">
        <v>0.31880576149740902</v>
      </c>
      <c r="G61" s="7">
        <v>19.249030999999999</v>
      </c>
      <c r="H61" s="7">
        <v>36.035554770318001</v>
      </c>
      <c r="I61" s="7">
        <v>18.77</v>
      </c>
      <c r="J61" s="7">
        <v>19.04</v>
      </c>
      <c r="K61" s="7">
        <v>18.73</v>
      </c>
      <c r="L61" s="7">
        <v>33.427561837455798</v>
      </c>
    </row>
    <row r="62" spans="1:12" ht="15" customHeight="1" x14ac:dyDescent="0.2">
      <c r="A62" s="3">
        <v>45960</v>
      </c>
      <c r="B62" s="4">
        <v>18.82</v>
      </c>
      <c r="C62" s="5">
        <v>32119840</v>
      </c>
      <c r="D62" s="4">
        <v>-0.219999999999998</v>
      </c>
      <c r="E62" s="4">
        <v>-1.1554621848739399</v>
      </c>
      <c r="F62" s="4">
        <v>-1.1554664705009601</v>
      </c>
      <c r="G62" s="4">
        <v>19.187859</v>
      </c>
      <c r="H62" s="4">
        <v>35.603243816254398</v>
      </c>
      <c r="I62" s="4">
        <v>18.739999999999998</v>
      </c>
      <c r="J62" s="4">
        <v>19.149999999999999</v>
      </c>
      <c r="K62" s="4">
        <v>18.739999999999998</v>
      </c>
      <c r="L62" s="4">
        <v>33.003533568904501</v>
      </c>
    </row>
    <row r="63" spans="1:12" ht="15" customHeight="1" x14ac:dyDescent="0.2">
      <c r="A63" s="6">
        <v>45959</v>
      </c>
      <c r="B63" s="7">
        <v>19.04</v>
      </c>
      <c r="C63" s="8">
        <v>13727050</v>
      </c>
      <c r="D63" s="7">
        <v>8.9999999999999802E-2</v>
      </c>
      <c r="E63" s="7">
        <v>0.47493403693932201</v>
      </c>
      <c r="F63" s="7">
        <v>0.47492800615638298</v>
      </c>
      <c r="G63" s="7">
        <v>19.41216</v>
      </c>
      <c r="H63" s="7">
        <v>37.188409893992898</v>
      </c>
      <c r="I63" s="7">
        <v>18.850000000000001</v>
      </c>
      <c r="J63" s="7">
        <v>19.21</v>
      </c>
      <c r="K63" s="7">
        <v>18.71</v>
      </c>
      <c r="L63" s="7">
        <v>34.5583038869257</v>
      </c>
    </row>
    <row r="64" spans="1:12" ht="15" customHeight="1" x14ac:dyDescent="0.2">
      <c r="A64" s="3">
        <v>45958</v>
      </c>
      <c r="B64" s="4">
        <v>18.95</v>
      </c>
      <c r="C64" s="5">
        <v>52388560</v>
      </c>
      <c r="D64" s="4">
        <v>1.76999999999999</v>
      </c>
      <c r="E64" s="4">
        <v>10.302677532013901</v>
      </c>
      <c r="F64" s="4">
        <v>10.302684364360299</v>
      </c>
      <c r="G64" s="4">
        <v>19.320402000000001</v>
      </c>
      <c r="H64" s="4">
        <v>36.539943462897497</v>
      </c>
      <c r="I64" s="4">
        <v>17.5</v>
      </c>
      <c r="J64" s="4">
        <v>19.05</v>
      </c>
      <c r="K64" s="4">
        <v>17.5</v>
      </c>
      <c r="L64" s="4">
        <v>33.922261484098897</v>
      </c>
    </row>
    <row r="65" spans="1:12" ht="15" customHeight="1" x14ac:dyDescent="0.2">
      <c r="A65" s="6">
        <v>45957</v>
      </c>
      <c r="B65" s="7">
        <v>17.18</v>
      </c>
      <c r="C65" s="8">
        <v>31260660</v>
      </c>
      <c r="D65" s="7">
        <v>-3.0000000000001099E-2</v>
      </c>
      <c r="E65" s="7">
        <v>-0.174317257408485</v>
      </c>
      <c r="F65" s="7">
        <v>-0.17430936929531099</v>
      </c>
      <c r="G65" s="7">
        <v>17.515803999999999</v>
      </c>
      <c r="H65" s="7">
        <v>23.786600706713699</v>
      </c>
      <c r="I65" s="7">
        <v>17.3</v>
      </c>
      <c r="J65" s="7">
        <v>17.47</v>
      </c>
      <c r="K65" s="7">
        <v>17.11</v>
      </c>
      <c r="L65" s="7">
        <v>21.413427561837398</v>
      </c>
    </row>
    <row r="66" spans="1:12" ht="15" customHeight="1" x14ac:dyDescent="0.2">
      <c r="A66" s="3">
        <v>45954</v>
      </c>
      <c r="B66" s="4">
        <v>17.21</v>
      </c>
      <c r="C66" s="5">
        <v>25171090</v>
      </c>
      <c r="D66" s="4">
        <v>7.0000000000000201E-2</v>
      </c>
      <c r="E66" s="4">
        <v>0.40840140023337101</v>
      </c>
      <c r="F66" s="4">
        <v>0.40840008146485401</v>
      </c>
      <c r="G66" s="4">
        <v>17.546389000000001</v>
      </c>
      <c r="H66" s="4">
        <v>24.002749116607699</v>
      </c>
      <c r="I66" s="4">
        <v>17.100000000000001</v>
      </c>
      <c r="J66" s="4">
        <v>17.329999999999998</v>
      </c>
      <c r="K66" s="4">
        <v>17.09</v>
      </c>
      <c r="L66" s="4">
        <v>21.625441696113</v>
      </c>
    </row>
    <row r="67" spans="1:12" ht="15" customHeight="1" x14ac:dyDescent="0.2">
      <c r="A67" s="6">
        <v>45953</v>
      </c>
      <c r="B67" s="7">
        <v>17.14</v>
      </c>
      <c r="C67" s="8">
        <v>24975990</v>
      </c>
      <c r="D67" s="7">
        <v>0.17000000000000101</v>
      </c>
      <c r="E67" s="7">
        <v>1.0017678255745499</v>
      </c>
      <c r="F67" s="7">
        <v>1.0017628904537199</v>
      </c>
      <c r="G67" s="7">
        <v>17.475021000000002</v>
      </c>
      <c r="H67" s="7">
        <v>23.498381625441699</v>
      </c>
      <c r="I67" s="7">
        <v>16.940000000000001</v>
      </c>
      <c r="J67" s="7">
        <v>17.3</v>
      </c>
      <c r="K67" s="7">
        <v>16.8</v>
      </c>
      <c r="L67" s="7">
        <v>21.130742049469902</v>
      </c>
    </row>
    <row r="68" spans="1:12" ht="15" customHeight="1" x14ac:dyDescent="0.2">
      <c r="A68" s="3">
        <v>45952</v>
      </c>
      <c r="B68" s="4">
        <v>16.97</v>
      </c>
      <c r="C68" s="5">
        <v>43795120</v>
      </c>
      <c r="D68" s="4">
        <v>0.16</v>
      </c>
      <c r="E68" s="4">
        <v>0.95181439619274</v>
      </c>
      <c r="F68" s="4">
        <v>0.95182386861913904</v>
      </c>
      <c r="G68" s="4">
        <v>17.301698999999999</v>
      </c>
      <c r="H68" s="4">
        <v>22.273491166077701</v>
      </c>
      <c r="I68" s="4">
        <v>16.850000000000001</v>
      </c>
      <c r="J68" s="4">
        <v>17.170000000000002</v>
      </c>
      <c r="K68" s="4">
        <v>16.8</v>
      </c>
      <c r="L68" s="4">
        <v>19.929328621908098</v>
      </c>
    </row>
    <row r="69" spans="1:12" ht="15" customHeight="1" x14ac:dyDescent="0.2">
      <c r="A69" s="6">
        <v>45951</v>
      </c>
      <c r="B69" s="7">
        <v>16.809999999999999</v>
      </c>
      <c r="C69" s="8">
        <v>27308550</v>
      </c>
      <c r="D69" s="7">
        <v>-0.8</v>
      </c>
      <c r="E69" s="7">
        <v>-4.54287336740488</v>
      </c>
      <c r="F69" s="7">
        <v>-4.54287930717968</v>
      </c>
      <c r="G69" s="7">
        <v>17.138570000000001</v>
      </c>
      <c r="H69" s="7">
        <v>21.120636042402801</v>
      </c>
      <c r="I69" s="7">
        <v>17.53</v>
      </c>
      <c r="J69" s="7">
        <v>17.55</v>
      </c>
      <c r="K69" s="7">
        <v>16.77</v>
      </c>
      <c r="L69" s="7">
        <v>18.798586572438101</v>
      </c>
    </row>
    <row r="70" spans="1:12" ht="15" customHeight="1" x14ac:dyDescent="0.2">
      <c r="A70" s="3">
        <v>45950</v>
      </c>
      <c r="B70" s="4">
        <v>17.61</v>
      </c>
      <c r="C70" s="5">
        <v>27939540</v>
      </c>
      <c r="D70" s="4">
        <v>-0.12000000000000099</v>
      </c>
      <c r="E70" s="4">
        <v>-0.67681895093063504</v>
      </c>
      <c r="F70" s="4">
        <v>-0.67681598366678897</v>
      </c>
      <c r="G70" s="4">
        <v>17.954208000000001</v>
      </c>
      <c r="H70" s="4">
        <v>26.884862190812701</v>
      </c>
      <c r="I70" s="4">
        <v>17.809999999999999</v>
      </c>
      <c r="J70" s="4">
        <v>17.89</v>
      </c>
      <c r="K70" s="4">
        <v>17.440000000000001</v>
      </c>
      <c r="L70" s="4">
        <v>24.4522968197879</v>
      </c>
    </row>
    <row r="71" spans="1:12" ht="15" customHeight="1" x14ac:dyDescent="0.2">
      <c r="A71" s="6">
        <v>45947</v>
      </c>
      <c r="B71" s="7">
        <v>17.73</v>
      </c>
      <c r="C71" s="8">
        <v>25259020</v>
      </c>
      <c r="D71" s="7">
        <v>-0.23</v>
      </c>
      <c r="E71" s="7">
        <v>-1.2806236080178099</v>
      </c>
      <c r="F71" s="7">
        <v>-1.28062570309325</v>
      </c>
      <c r="G71" s="7">
        <v>18.076553000000001</v>
      </c>
      <c r="H71" s="7">
        <v>27.7494911660777</v>
      </c>
      <c r="I71" s="7">
        <v>17.8</v>
      </c>
      <c r="J71" s="7">
        <v>17.97</v>
      </c>
      <c r="K71" s="7">
        <v>17.61</v>
      </c>
      <c r="L71" s="7">
        <v>25.300353356890401</v>
      </c>
    </row>
    <row r="72" spans="1:12" ht="15" customHeight="1" x14ac:dyDescent="0.2">
      <c r="A72" s="3">
        <v>45946</v>
      </c>
      <c r="B72" s="4">
        <v>17.96</v>
      </c>
      <c r="C72" s="5">
        <v>24929180</v>
      </c>
      <c r="D72" s="4">
        <v>-0.219999999999998</v>
      </c>
      <c r="E72" s="4">
        <v>-1.2101210121012</v>
      </c>
      <c r="F72" s="4">
        <v>-1.2101255169176801</v>
      </c>
      <c r="G72" s="4">
        <v>18.311049000000001</v>
      </c>
      <c r="H72" s="4">
        <v>29.406706713780899</v>
      </c>
      <c r="I72" s="4">
        <v>18.18</v>
      </c>
      <c r="J72" s="4">
        <v>18.239999999999998</v>
      </c>
      <c r="K72" s="4">
        <v>17.88</v>
      </c>
      <c r="L72" s="4">
        <v>26.925795053003501</v>
      </c>
    </row>
    <row r="73" spans="1:12" ht="15" customHeight="1" x14ac:dyDescent="0.2">
      <c r="A73" s="6">
        <v>45945</v>
      </c>
      <c r="B73" s="7">
        <v>18.18</v>
      </c>
      <c r="C73" s="8">
        <v>48933710</v>
      </c>
      <c r="D73" s="7">
        <v>0.55000000000000004</v>
      </c>
      <c r="E73" s="7">
        <v>3.1196823596143002</v>
      </c>
      <c r="F73" s="7">
        <v>3.11969146681334</v>
      </c>
      <c r="G73" s="7">
        <v>18.535350000000001</v>
      </c>
      <c r="H73" s="7">
        <v>30.991872791519398</v>
      </c>
      <c r="I73" s="7">
        <v>17.600000000000001</v>
      </c>
      <c r="J73" s="7">
        <v>18.350000000000001</v>
      </c>
      <c r="K73" s="7">
        <v>17.600000000000001</v>
      </c>
      <c r="L73" s="7">
        <v>28.480565371024699</v>
      </c>
    </row>
    <row r="74" spans="1:12" ht="15" customHeight="1" x14ac:dyDescent="0.2">
      <c r="A74" s="3">
        <v>45944</v>
      </c>
      <c r="B74" s="4">
        <v>17.63</v>
      </c>
      <c r="C74" s="5">
        <v>30569350</v>
      </c>
      <c r="D74" s="4">
        <v>0.439999999999997</v>
      </c>
      <c r="E74" s="4">
        <v>2.55962769051771</v>
      </c>
      <c r="F74" s="4">
        <v>2.55961428734452</v>
      </c>
      <c r="G74" s="4">
        <v>17.974598</v>
      </c>
      <c r="H74" s="4">
        <v>27.028961130742001</v>
      </c>
      <c r="I74" s="4">
        <v>17.03</v>
      </c>
      <c r="J74" s="4">
        <v>17.68</v>
      </c>
      <c r="K74" s="4">
        <v>17.03</v>
      </c>
      <c r="L74" s="4">
        <v>24.5936395759717</v>
      </c>
    </row>
    <row r="75" spans="1:12" ht="15" customHeight="1" x14ac:dyDescent="0.2">
      <c r="A75" s="6">
        <v>45943</v>
      </c>
      <c r="B75" s="7">
        <v>17.190000000000001</v>
      </c>
      <c r="C75" s="8">
        <v>9196927</v>
      </c>
      <c r="D75" s="7">
        <v>0.23</v>
      </c>
      <c r="E75" s="7">
        <v>1.3561320754716899</v>
      </c>
      <c r="F75" s="7">
        <v>1.3561459264787901</v>
      </c>
      <c r="G75" s="7">
        <v>17.526</v>
      </c>
      <c r="H75" s="7">
        <v>23.8586572438162</v>
      </c>
      <c r="I75" s="7">
        <v>16.87</v>
      </c>
      <c r="J75" s="7">
        <v>17.3</v>
      </c>
      <c r="K75" s="7">
        <v>16.87</v>
      </c>
      <c r="L75" s="7">
        <v>21.4840989399293</v>
      </c>
    </row>
    <row r="76" spans="1:12" ht="15" customHeight="1" x14ac:dyDescent="0.2">
      <c r="A76" s="3">
        <v>45940</v>
      </c>
      <c r="B76" s="4">
        <v>16.96</v>
      </c>
      <c r="C76" s="5">
        <v>34402400</v>
      </c>
      <c r="D76" s="4">
        <v>0.17000000000000101</v>
      </c>
      <c r="E76" s="4">
        <v>1.0125074449076801</v>
      </c>
      <c r="F76" s="4">
        <v>1.0124965964549699</v>
      </c>
      <c r="G76" s="4">
        <v>17.291502000000001</v>
      </c>
      <c r="H76" s="4">
        <v>22.201427561837399</v>
      </c>
      <c r="I76" s="4">
        <v>16.79</v>
      </c>
      <c r="J76" s="4">
        <v>17.07</v>
      </c>
      <c r="K76" s="4">
        <v>16.73</v>
      </c>
      <c r="L76" s="4">
        <v>19.8586572438162</v>
      </c>
    </row>
    <row r="77" spans="1:12" ht="15" customHeight="1" x14ac:dyDescent="0.2">
      <c r="A77" s="6">
        <v>45939</v>
      </c>
      <c r="B77" s="7">
        <v>16.79</v>
      </c>
      <c r="C77" s="8">
        <v>30715350</v>
      </c>
      <c r="D77" s="7">
        <v>-0.14000000000000001</v>
      </c>
      <c r="E77" s="7">
        <v>-0.82693443591258498</v>
      </c>
      <c r="F77" s="7">
        <v>-0.82693747806461504</v>
      </c>
      <c r="G77" s="7">
        <v>17.118181</v>
      </c>
      <c r="H77" s="7">
        <v>20.976544169611302</v>
      </c>
      <c r="I77" s="7">
        <v>16.989999999999998</v>
      </c>
      <c r="J77" s="7">
        <v>16.989999999999998</v>
      </c>
      <c r="K77" s="7">
        <v>16.739999999999998</v>
      </c>
      <c r="L77" s="7">
        <v>18.6572438162544</v>
      </c>
    </row>
    <row r="78" spans="1:12" ht="15" customHeight="1" x14ac:dyDescent="0.2">
      <c r="A78" s="3">
        <v>45938</v>
      </c>
      <c r="B78" s="4">
        <v>16.93</v>
      </c>
      <c r="C78" s="5">
        <v>29650230</v>
      </c>
      <c r="D78" s="4">
        <v>0.25</v>
      </c>
      <c r="E78" s="4">
        <v>1.4988009592325999</v>
      </c>
      <c r="F78" s="4">
        <v>1.4988035715094199</v>
      </c>
      <c r="G78" s="4">
        <v>17.260918</v>
      </c>
      <c r="H78" s="4">
        <v>21.9852862190812</v>
      </c>
      <c r="I78" s="4">
        <v>16.59</v>
      </c>
      <c r="J78" s="4">
        <v>16.98</v>
      </c>
      <c r="K78" s="4">
        <v>16.510000000000002</v>
      </c>
      <c r="L78" s="4">
        <v>19.646643109540602</v>
      </c>
    </row>
    <row r="79" spans="1:12" ht="15" customHeight="1" x14ac:dyDescent="0.2">
      <c r="A79" s="6">
        <v>45937</v>
      </c>
      <c r="B79" s="7">
        <v>16.68</v>
      </c>
      <c r="C79" s="8">
        <v>25982200</v>
      </c>
      <c r="D79" s="7">
        <v>0.21</v>
      </c>
      <c r="E79" s="7">
        <v>1.27504553734063</v>
      </c>
      <c r="F79" s="7">
        <v>1.27505333664843</v>
      </c>
      <c r="G79" s="7">
        <v>17.006031</v>
      </c>
      <c r="H79" s="7">
        <v>20.183964664310899</v>
      </c>
      <c r="I79" s="7">
        <v>16.399999999999999</v>
      </c>
      <c r="J79" s="7">
        <v>16.760000000000002</v>
      </c>
      <c r="K79" s="7">
        <v>16.399999999999999</v>
      </c>
      <c r="L79" s="7">
        <v>17.879858657243801</v>
      </c>
    </row>
    <row r="80" spans="1:12" ht="15" customHeight="1" x14ac:dyDescent="0.2">
      <c r="A80" s="3">
        <v>45936</v>
      </c>
      <c r="B80" s="4">
        <v>16.47</v>
      </c>
      <c r="C80" s="5">
        <v>18007710</v>
      </c>
      <c r="D80" s="4">
        <v>-0.190000000000001</v>
      </c>
      <c r="E80" s="4">
        <v>-1.14045618247299</v>
      </c>
      <c r="F80" s="4">
        <v>-1.14046335610551</v>
      </c>
      <c r="G80" s="4">
        <v>16.791924999999999</v>
      </c>
      <c r="H80" s="4">
        <v>18.670848056537</v>
      </c>
      <c r="I80" s="4">
        <v>16.57</v>
      </c>
      <c r="J80" s="4">
        <v>16.760000000000002</v>
      </c>
      <c r="K80" s="4">
        <v>16.440000000000001</v>
      </c>
      <c r="L80" s="4">
        <v>16.395759717314402</v>
      </c>
    </row>
    <row r="81" spans="1:12" ht="15" customHeight="1" x14ac:dyDescent="0.2">
      <c r="A81" s="6">
        <v>45933</v>
      </c>
      <c r="B81" s="7">
        <v>16.66</v>
      </c>
      <c r="C81" s="8">
        <v>33749490</v>
      </c>
      <c r="D81" s="7">
        <v>1.0000000000001501E-2</v>
      </c>
      <c r="E81" s="7">
        <v>6.0060060060074201E-2</v>
      </c>
      <c r="F81" s="7">
        <v>6.0057335757623898E-2</v>
      </c>
      <c r="G81" s="7">
        <v>16.98564</v>
      </c>
      <c r="H81" s="7">
        <v>20.039858657243801</v>
      </c>
      <c r="I81" s="7">
        <v>16.510000000000002</v>
      </c>
      <c r="J81" s="7">
        <v>16.75</v>
      </c>
      <c r="K81" s="7">
        <v>16.43</v>
      </c>
      <c r="L81" s="7">
        <v>17.738515901060001</v>
      </c>
    </row>
    <row r="82" spans="1:12" ht="15" customHeight="1" x14ac:dyDescent="0.2">
      <c r="A82" s="3">
        <v>45932</v>
      </c>
      <c r="B82" s="4">
        <v>16.649999999999999</v>
      </c>
      <c r="C82" s="5">
        <v>22369030</v>
      </c>
      <c r="D82" s="4">
        <v>0.34999999999999698</v>
      </c>
      <c r="E82" s="4">
        <v>2.1472392638036601</v>
      </c>
      <c r="F82" s="4">
        <v>2.1472442659590598</v>
      </c>
      <c r="G82" s="4">
        <v>16.975445000000001</v>
      </c>
      <c r="H82" s="4">
        <v>19.967809187279101</v>
      </c>
      <c r="I82" s="4">
        <v>16.21</v>
      </c>
      <c r="J82" s="4">
        <v>16.670000000000002</v>
      </c>
      <c r="K82" s="4">
        <v>16.13</v>
      </c>
      <c r="L82" s="4">
        <v>17.6678445229681</v>
      </c>
    </row>
    <row r="83" spans="1:12" ht="15" customHeight="1" x14ac:dyDescent="0.2">
      <c r="A83" s="6">
        <v>45931</v>
      </c>
      <c r="B83" s="7">
        <v>16.3</v>
      </c>
      <c r="C83" s="8">
        <v>30064370</v>
      </c>
      <c r="D83" s="7">
        <v>-9.9999999999997799E-2</v>
      </c>
      <c r="E83" s="7">
        <v>-0.60975609756096505</v>
      </c>
      <c r="F83" s="7">
        <v>-0.60975835854282201</v>
      </c>
      <c r="G83" s="7">
        <v>16.618603</v>
      </c>
      <c r="H83" s="7">
        <v>17.445957597173098</v>
      </c>
      <c r="I83" s="7">
        <v>16.309999999999999</v>
      </c>
      <c r="J83" s="7">
        <v>16.809999999999999</v>
      </c>
      <c r="K83" s="7">
        <v>16.21</v>
      </c>
      <c r="L83" s="7">
        <v>15.1943462897526</v>
      </c>
    </row>
    <row r="84" spans="1:12" ht="15" customHeight="1" x14ac:dyDescent="0.2">
      <c r="A84" s="3">
        <v>45930</v>
      </c>
      <c r="B84" s="4">
        <v>16.399999999999999</v>
      </c>
      <c r="C84" s="5">
        <v>42131350</v>
      </c>
      <c r="D84" s="4">
        <v>-0.17000000000000101</v>
      </c>
      <c r="E84" s="4">
        <v>-1.02595051297527</v>
      </c>
      <c r="F84" s="4">
        <v>-1.0259454903195599</v>
      </c>
      <c r="G84" s="4">
        <v>16.720558</v>
      </c>
      <c r="H84" s="4">
        <v>18.166487632508801</v>
      </c>
      <c r="I84" s="4">
        <v>16.66</v>
      </c>
      <c r="J84" s="4">
        <v>16.690000000000001</v>
      </c>
      <c r="K84" s="4">
        <v>16.36</v>
      </c>
      <c r="L84" s="4">
        <v>15.901060070671299</v>
      </c>
    </row>
    <row r="85" spans="1:12" ht="15" customHeight="1" x14ac:dyDescent="0.2">
      <c r="A85" s="6">
        <v>45929</v>
      </c>
      <c r="B85" s="7">
        <v>16.57</v>
      </c>
      <c r="C85" s="8">
        <v>28263050</v>
      </c>
      <c r="D85" s="7">
        <v>1.9999999999999501E-2</v>
      </c>
      <c r="E85" s="7">
        <v>0.120845921450141</v>
      </c>
      <c r="F85" s="7">
        <v>0.120840442611447</v>
      </c>
      <c r="G85" s="7">
        <v>16.893879999999999</v>
      </c>
      <c r="H85" s="7">
        <v>19.391378091872699</v>
      </c>
      <c r="I85" s="7">
        <v>16.47</v>
      </c>
      <c r="J85" s="7">
        <v>16.75</v>
      </c>
      <c r="K85" s="7">
        <v>16.45</v>
      </c>
      <c r="L85" s="7">
        <v>17.102473498233199</v>
      </c>
    </row>
    <row r="86" spans="1:12" ht="15" customHeight="1" x14ac:dyDescent="0.2">
      <c r="A86" s="3">
        <v>45926</v>
      </c>
      <c r="B86" s="4">
        <v>16.55</v>
      </c>
      <c r="C86" s="5">
        <v>31488060</v>
      </c>
      <c r="D86" s="4">
        <v>-0.109999999999999</v>
      </c>
      <c r="E86" s="4">
        <v>-0.66026410564224902</v>
      </c>
      <c r="F86" s="4">
        <v>-0.66026361090897301</v>
      </c>
      <c r="G86" s="4">
        <v>16.87349</v>
      </c>
      <c r="H86" s="4">
        <v>19.247279151943399</v>
      </c>
      <c r="I86" s="4">
        <v>16.61</v>
      </c>
      <c r="J86" s="4">
        <v>16.73</v>
      </c>
      <c r="K86" s="4">
        <v>16.420000000000002</v>
      </c>
      <c r="L86" s="4">
        <v>16.961130742049399</v>
      </c>
    </row>
    <row r="87" spans="1:12" ht="15" customHeight="1" x14ac:dyDescent="0.2">
      <c r="A87" s="6">
        <v>45925</v>
      </c>
      <c r="B87" s="7">
        <v>16.66</v>
      </c>
      <c r="C87" s="8">
        <v>24760440</v>
      </c>
      <c r="D87" s="7">
        <v>0.12999999999999901</v>
      </c>
      <c r="E87" s="7">
        <v>0.78644888082273201</v>
      </c>
      <c r="F87" s="7">
        <v>0.78644285027680205</v>
      </c>
      <c r="G87" s="7">
        <v>16.98564</v>
      </c>
      <c r="H87" s="7">
        <v>20.039858657243801</v>
      </c>
      <c r="I87" s="7">
        <v>16.45</v>
      </c>
      <c r="J87" s="7">
        <v>16.829999999999998</v>
      </c>
      <c r="K87" s="7">
        <v>16.45</v>
      </c>
      <c r="L87" s="7">
        <v>17.738515901060001</v>
      </c>
    </row>
    <row r="88" spans="1:12" ht="15" customHeight="1" x14ac:dyDescent="0.2">
      <c r="A88" s="3">
        <v>45924</v>
      </c>
      <c r="B88" s="4">
        <v>16.53</v>
      </c>
      <c r="C88" s="5">
        <v>30079710</v>
      </c>
      <c r="D88" s="4">
        <v>-0.25</v>
      </c>
      <c r="E88" s="4">
        <v>-1.48986889153754</v>
      </c>
      <c r="F88" s="4">
        <v>-1.4898656101308401</v>
      </c>
      <c r="G88" s="4">
        <v>16.853100000000001</v>
      </c>
      <c r="H88" s="4">
        <v>19.103180212014099</v>
      </c>
      <c r="I88" s="4">
        <v>16.75</v>
      </c>
      <c r="J88" s="4">
        <v>17.010000000000002</v>
      </c>
      <c r="K88" s="4">
        <v>16.329999999999998</v>
      </c>
      <c r="L88" s="4">
        <v>16.819787985865698</v>
      </c>
    </row>
    <row r="89" spans="1:12" ht="15" customHeight="1" x14ac:dyDescent="0.2">
      <c r="A89" s="6">
        <v>45923</v>
      </c>
      <c r="B89" s="7">
        <v>16.78</v>
      </c>
      <c r="C89" s="8">
        <v>23737430</v>
      </c>
      <c r="D89" s="7">
        <v>-0.14000000000000001</v>
      </c>
      <c r="E89" s="7">
        <v>-0.82742316784870595</v>
      </c>
      <c r="F89" s="7">
        <v>-0.82741469182648897</v>
      </c>
      <c r="G89" s="7">
        <v>17.107986</v>
      </c>
      <c r="H89" s="7">
        <v>20.904494699646602</v>
      </c>
      <c r="I89" s="7">
        <v>16.91</v>
      </c>
      <c r="J89" s="7">
        <v>17.21</v>
      </c>
      <c r="K89" s="7">
        <v>16.739999999999998</v>
      </c>
      <c r="L89" s="7">
        <v>18.586572438162499</v>
      </c>
    </row>
    <row r="90" spans="1:12" ht="15" customHeight="1" x14ac:dyDescent="0.2">
      <c r="A90" s="3">
        <v>45922</v>
      </c>
      <c r="B90" s="4">
        <v>16.920000000000002</v>
      </c>
      <c r="C90" s="5">
        <v>16652439.999999899</v>
      </c>
      <c r="D90" s="4">
        <v>0.3</v>
      </c>
      <c r="E90" s="4">
        <v>1.80505415162455</v>
      </c>
      <c r="F90" s="4">
        <v>1.80504305170079</v>
      </c>
      <c r="G90" s="4">
        <v>17.250720999999999</v>
      </c>
      <c r="H90" s="4">
        <v>21.913222614840901</v>
      </c>
      <c r="I90" s="4">
        <v>16.62</v>
      </c>
      <c r="J90" s="4">
        <v>16.95</v>
      </c>
      <c r="K90" s="4">
        <v>16.579999999999998</v>
      </c>
      <c r="L90" s="4">
        <v>19.5759717314487</v>
      </c>
    </row>
    <row r="91" spans="1:12" ht="15" customHeight="1" x14ac:dyDescent="0.2">
      <c r="A91" s="6">
        <v>45919</v>
      </c>
      <c r="B91" s="7">
        <v>16.62</v>
      </c>
      <c r="C91" s="8">
        <v>212557110</v>
      </c>
      <c r="D91" s="7">
        <v>-0.52999999999999703</v>
      </c>
      <c r="E91" s="7">
        <v>-3.0903790087463401</v>
      </c>
      <c r="F91" s="7">
        <v>-3.0903650260883202</v>
      </c>
      <c r="G91" s="7">
        <v>16.944859000000001</v>
      </c>
      <c r="H91" s="7">
        <v>19.7516537102473</v>
      </c>
      <c r="I91" s="7">
        <v>17.12</v>
      </c>
      <c r="J91" s="7">
        <v>17.18</v>
      </c>
      <c r="K91" s="7">
        <v>16.57</v>
      </c>
      <c r="L91" s="7">
        <v>17.455830388692501</v>
      </c>
    </row>
    <row r="92" spans="1:12" ht="15" customHeight="1" x14ac:dyDescent="0.2">
      <c r="A92" s="3">
        <v>45918</v>
      </c>
      <c r="B92" s="4">
        <v>17.149999999999999</v>
      </c>
      <c r="C92" s="5">
        <v>30108750</v>
      </c>
      <c r="D92" s="4">
        <v>-0.14000000000000001</v>
      </c>
      <c r="E92" s="4">
        <v>-0.80971659919029104</v>
      </c>
      <c r="F92" s="4">
        <v>-0.80972528065366101</v>
      </c>
      <c r="G92" s="4">
        <v>17.485216000000001</v>
      </c>
      <c r="H92" s="4">
        <v>23.570431095406299</v>
      </c>
      <c r="I92" s="4">
        <v>17.37</v>
      </c>
      <c r="J92" s="4">
        <v>17.37</v>
      </c>
      <c r="K92" s="4">
        <v>17.05</v>
      </c>
      <c r="L92" s="4">
        <v>21.2014134275618</v>
      </c>
    </row>
    <row r="93" spans="1:12" ht="15" customHeight="1" x14ac:dyDescent="0.2">
      <c r="A93" s="6">
        <v>45917</v>
      </c>
      <c r="B93" s="7">
        <v>17.29</v>
      </c>
      <c r="C93" s="8">
        <v>26385580</v>
      </c>
      <c r="D93" s="7">
        <v>-0.100000000000001</v>
      </c>
      <c r="E93" s="7">
        <v>-0.57504312823462</v>
      </c>
      <c r="F93" s="7">
        <v>-0.33871807938843301</v>
      </c>
      <c r="G93" s="7">
        <v>17.627953999999999</v>
      </c>
      <c r="H93" s="7">
        <v>24.579180212014101</v>
      </c>
      <c r="I93" s="7">
        <v>17.45</v>
      </c>
      <c r="J93" s="7">
        <v>17.55</v>
      </c>
      <c r="K93" s="7">
        <v>17.23</v>
      </c>
      <c r="L93" s="7">
        <v>22.190812720848001</v>
      </c>
    </row>
    <row r="94" spans="1:12" ht="15" customHeight="1" x14ac:dyDescent="0.2">
      <c r="A94" s="3">
        <v>45915</v>
      </c>
      <c r="B94" s="4">
        <v>17.39</v>
      </c>
      <c r="C94" s="5">
        <v>26567460</v>
      </c>
      <c r="D94" s="4">
        <v>0.12999999999999901</v>
      </c>
      <c r="E94" s="4">
        <v>0.75318655851679395</v>
      </c>
      <c r="F94" s="4">
        <v>0.75318245304642994</v>
      </c>
      <c r="G94" s="4">
        <v>17.687866</v>
      </c>
      <c r="H94" s="4">
        <v>25.002586572438101</v>
      </c>
      <c r="I94" s="4">
        <v>17.21</v>
      </c>
      <c r="J94" s="4">
        <v>17.48</v>
      </c>
      <c r="K94" s="4">
        <v>17.21</v>
      </c>
      <c r="L94" s="4">
        <v>22.897526501766698</v>
      </c>
    </row>
    <row r="95" spans="1:12" ht="15" customHeight="1" x14ac:dyDescent="0.2">
      <c r="A95" s="6">
        <v>45912</v>
      </c>
      <c r="B95" s="7">
        <v>17.260000000000002</v>
      </c>
      <c r="C95" s="8">
        <v>25213490</v>
      </c>
      <c r="D95" s="7">
        <v>-0.17999999999999899</v>
      </c>
      <c r="E95" s="7">
        <v>-1.0321100917431201</v>
      </c>
      <c r="F95" s="7">
        <v>-1.0321148240425899</v>
      </c>
      <c r="G95" s="7">
        <v>17.55564</v>
      </c>
      <c r="H95" s="7">
        <v>24.068127208480501</v>
      </c>
      <c r="I95" s="7">
        <v>17.5</v>
      </c>
      <c r="J95" s="7">
        <v>17.53</v>
      </c>
      <c r="K95" s="7">
        <v>17.21</v>
      </c>
      <c r="L95" s="7">
        <v>21.978798586572399</v>
      </c>
    </row>
    <row r="96" spans="1:12" ht="15" customHeight="1" x14ac:dyDescent="0.2">
      <c r="A96" s="3">
        <v>45911</v>
      </c>
      <c r="B96" s="4">
        <v>17.440000000000001</v>
      </c>
      <c r="C96" s="5">
        <v>33544489.999999899</v>
      </c>
      <c r="D96" s="4">
        <v>0.42999999999999899</v>
      </c>
      <c r="E96" s="4">
        <v>2.5279247501469801</v>
      </c>
      <c r="F96" s="4">
        <v>2.5279346585357501</v>
      </c>
      <c r="G96" s="4">
        <v>17.738724000000001</v>
      </c>
      <c r="H96" s="4">
        <v>25.3620070671378</v>
      </c>
      <c r="I96" s="4">
        <v>17.059999999999999</v>
      </c>
      <c r="J96" s="4">
        <v>17.559999999999999</v>
      </c>
      <c r="K96" s="4">
        <v>16.940000000000001</v>
      </c>
      <c r="L96" s="4">
        <v>23.2508833922261</v>
      </c>
    </row>
    <row r="97" spans="1:12" ht="15" customHeight="1" x14ac:dyDescent="0.2">
      <c r="A97" s="6">
        <v>45910</v>
      </c>
      <c r="B97" s="7">
        <v>17.010000000000002</v>
      </c>
      <c r="C97" s="8">
        <v>25212720</v>
      </c>
      <c r="D97" s="7">
        <v>-0.48999999999999799</v>
      </c>
      <c r="E97" s="7">
        <v>-2.7999999999999901</v>
      </c>
      <c r="F97" s="7">
        <v>-2.8</v>
      </c>
      <c r="G97" s="7">
        <v>17.301356999999999</v>
      </c>
      <c r="H97" s="7">
        <v>22.271074204946899</v>
      </c>
      <c r="I97" s="7">
        <v>17.46</v>
      </c>
      <c r="J97" s="7">
        <v>17.690000000000001</v>
      </c>
      <c r="K97" s="7">
        <v>16.95</v>
      </c>
      <c r="L97" s="7">
        <v>20.212014134275599</v>
      </c>
    </row>
    <row r="98" spans="1:12" ht="15" customHeight="1" x14ac:dyDescent="0.2">
      <c r="A98" s="3">
        <v>45909</v>
      </c>
      <c r="B98" s="4">
        <v>17.5</v>
      </c>
      <c r="C98" s="5">
        <v>34599120</v>
      </c>
      <c r="D98" s="4">
        <v>-0.12999999999999901</v>
      </c>
      <c r="E98" s="4">
        <v>-0.73737946681792199</v>
      </c>
      <c r="F98" s="4">
        <v>-0.737375512882676</v>
      </c>
      <c r="G98" s="4">
        <v>17.79975</v>
      </c>
      <c r="H98" s="4">
        <v>25.7932862190812</v>
      </c>
      <c r="I98" s="4">
        <v>17.690000000000001</v>
      </c>
      <c r="J98" s="4">
        <v>17.690000000000001</v>
      </c>
      <c r="K98" s="4">
        <v>17.45</v>
      </c>
      <c r="L98" s="4">
        <v>23.674911660777301</v>
      </c>
    </row>
    <row r="99" spans="1:12" ht="15" customHeight="1" x14ac:dyDescent="0.2">
      <c r="A99" s="6">
        <v>45908</v>
      </c>
      <c r="B99" s="7">
        <v>17.63</v>
      </c>
      <c r="C99" s="8">
        <v>43122940</v>
      </c>
      <c r="D99" s="7">
        <v>3.9999999999999099E-2</v>
      </c>
      <c r="E99" s="7">
        <v>0.227401932916415</v>
      </c>
      <c r="F99" s="7">
        <v>0.22738993766406801</v>
      </c>
      <c r="G99" s="7">
        <v>17.931975999999999</v>
      </c>
      <c r="H99" s="7">
        <v>26.7277455830388</v>
      </c>
      <c r="I99" s="7">
        <v>17.670000000000002</v>
      </c>
      <c r="J99" s="7">
        <v>17.75</v>
      </c>
      <c r="K99" s="7">
        <v>17.45</v>
      </c>
      <c r="L99" s="7">
        <v>24.5936395759717</v>
      </c>
    </row>
    <row r="100" spans="1:12" ht="15" customHeight="1" x14ac:dyDescent="0.2">
      <c r="A100" s="3">
        <v>45905</v>
      </c>
      <c r="B100" s="4">
        <v>17.59</v>
      </c>
      <c r="C100" s="5">
        <v>24948010</v>
      </c>
      <c r="D100" s="4">
        <v>0.26999999999999902</v>
      </c>
      <c r="E100" s="4">
        <v>1.5588914549653401</v>
      </c>
      <c r="F100" s="4">
        <v>1.55889874060741</v>
      </c>
      <c r="G100" s="4">
        <v>17.891293000000001</v>
      </c>
      <c r="H100" s="4">
        <v>26.4402332155477</v>
      </c>
      <c r="I100" s="4">
        <v>17.32</v>
      </c>
      <c r="J100" s="4">
        <v>17.61</v>
      </c>
      <c r="K100" s="4">
        <v>17.32</v>
      </c>
      <c r="L100" s="4">
        <v>24.3109540636042</v>
      </c>
    </row>
    <row r="101" spans="1:12" ht="15" customHeight="1" x14ac:dyDescent="0.2">
      <c r="A101" s="6">
        <v>45904</v>
      </c>
      <c r="B101" s="7">
        <v>17.32</v>
      </c>
      <c r="C101" s="8">
        <v>45812040</v>
      </c>
      <c r="D101" s="7">
        <v>0.17999999999999899</v>
      </c>
      <c r="E101" s="7">
        <v>1.0501750291715199</v>
      </c>
      <c r="F101" s="7">
        <v>1.05018578511288</v>
      </c>
      <c r="G101" s="7">
        <v>17.616667</v>
      </c>
      <c r="H101" s="7">
        <v>24.499413427561802</v>
      </c>
      <c r="I101" s="7">
        <v>17.2</v>
      </c>
      <c r="J101" s="7">
        <v>17.36</v>
      </c>
      <c r="K101" s="7">
        <v>17.05</v>
      </c>
      <c r="L101" s="7">
        <v>22.4028268551236</v>
      </c>
    </row>
    <row r="102" spans="1:12" ht="15" customHeight="1" x14ac:dyDescent="0.2">
      <c r="A102" s="3">
        <v>45903</v>
      </c>
      <c r="B102" s="4">
        <v>17.14</v>
      </c>
      <c r="C102" s="5">
        <v>38719580</v>
      </c>
      <c r="D102" s="4">
        <v>-3.0000000000001099E-2</v>
      </c>
      <c r="E102" s="4">
        <v>-0.17472335468842101</v>
      </c>
      <c r="F102" s="4">
        <v>-0.1747356204712</v>
      </c>
      <c r="G102" s="4">
        <v>17.433582000000001</v>
      </c>
      <c r="H102" s="4">
        <v>23.205526501766698</v>
      </c>
      <c r="I102" s="4">
        <v>17.149999999999999</v>
      </c>
      <c r="J102" s="4">
        <v>17.27</v>
      </c>
      <c r="K102" s="4">
        <v>17.07</v>
      </c>
      <c r="L102" s="4">
        <v>21.130742049469902</v>
      </c>
    </row>
    <row r="103" spans="1:12" ht="15" customHeight="1" x14ac:dyDescent="0.2">
      <c r="A103" s="6">
        <v>45902</v>
      </c>
      <c r="B103" s="7">
        <v>17.170000000000002</v>
      </c>
      <c r="C103" s="8">
        <v>28749610</v>
      </c>
      <c r="D103" s="7">
        <v>0.48</v>
      </c>
      <c r="E103" s="7">
        <v>2.87597363690832</v>
      </c>
      <c r="F103" s="7">
        <v>2.8759752957667701</v>
      </c>
      <c r="G103" s="7">
        <v>17.464098</v>
      </c>
      <c r="H103" s="7">
        <v>23.421187279151901</v>
      </c>
      <c r="I103" s="7">
        <v>16.72</v>
      </c>
      <c r="J103" s="7">
        <v>17.239999999999998</v>
      </c>
      <c r="K103" s="7">
        <v>16.670000000000002</v>
      </c>
      <c r="L103" s="7">
        <v>21.3427561837455</v>
      </c>
    </row>
    <row r="104" spans="1:12" ht="15" customHeight="1" x14ac:dyDescent="0.2">
      <c r="A104" s="3">
        <v>45901</v>
      </c>
      <c r="B104" s="4">
        <v>16.690000000000001</v>
      </c>
      <c r="C104" s="5">
        <v>2714741</v>
      </c>
      <c r="D104" s="4">
        <v>-0.19999999999999901</v>
      </c>
      <c r="E104" s="4">
        <v>-1.1841326228537501</v>
      </c>
      <c r="F104" s="4">
        <v>-1.18412275238223</v>
      </c>
      <c r="G104" s="4">
        <v>16.975876</v>
      </c>
      <c r="H104" s="4">
        <v>19.970855123674902</v>
      </c>
      <c r="I104" s="4">
        <v>16.829999999999998</v>
      </c>
      <c r="J104" s="4">
        <v>16.88</v>
      </c>
      <c r="K104" s="4">
        <v>16.52</v>
      </c>
      <c r="L104" s="4">
        <v>17.9505300353356</v>
      </c>
    </row>
    <row r="105" spans="1:12" ht="15" customHeight="1" x14ac:dyDescent="0.2">
      <c r="A105" s="6">
        <v>45898</v>
      </c>
      <c r="B105" s="7">
        <v>16.89</v>
      </c>
      <c r="C105" s="8">
        <v>28677220</v>
      </c>
      <c r="D105" s="7">
        <v>-1.9999999999999501E-2</v>
      </c>
      <c r="E105" s="7">
        <v>-0.11827321111767999</v>
      </c>
      <c r="F105" s="7">
        <v>-0.118281517919782</v>
      </c>
      <c r="G105" s="7">
        <v>17.179300000000001</v>
      </c>
      <c r="H105" s="7">
        <v>21.408480565371001</v>
      </c>
      <c r="I105" s="7">
        <v>16.95</v>
      </c>
      <c r="J105" s="7">
        <v>17.05</v>
      </c>
      <c r="K105" s="7">
        <v>16.8</v>
      </c>
      <c r="L105" s="7">
        <v>19.363957597173101</v>
      </c>
    </row>
    <row r="106" spans="1:12" ht="15" customHeight="1" x14ac:dyDescent="0.2">
      <c r="A106" s="3">
        <v>45897</v>
      </c>
      <c r="B106" s="4">
        <v>16.91</v>
      </c>
      <c r="C106" s="5">
        <v>26654670</v>
      </c>
      <c r="D106" s="4">
        <v>0.28999999999999898</v>
      </c>
      <c r="E106" s="4">
        <v>1.74488567990371</v>
      </c>
      <c r="F106" s="4">
        <v>1.7448779562674701</v>
      </c>
      <c r="G106" s="4">
        <v>17.199643999999999</v>
      </c>
      <c r="H106" s="4">
        <v>21.552254416961102</v>
      </c>
      <c r="I106" s="4">
        <v>16.63</v>
      </c>
      <c r="J106" s="4">
        <v>16.989999999999998</v>
      </c>
      <c r="K106" s="4">
        <v>16.57</v>
      </c>
      <c r="L106" s="4">
        <v>19.505300353356802</v>
      </c>
    </row>
    <row r="107" spans="1:12" ht="15" customHeight="1" x14ac:dyDescent="0.2">
      <c r="A107" s="6">
        <v>45896</v>
      </c>
      <c r="B107" s="7">
        <v>16.62</v>
      </c>
      <c r="C107" s="8">
        <v>25096100</v>
      </c>
      <c r="D107" s="7">
        <v>-7.0000000000000201E-2</v>
      </c>
      <c r="E107" s="7">
        <v>-0.41941282204913599</v>
      </c>
      <c r="F107" s="7">
        <v>-0.41940692780743</v>
      </c>
      <c r="G107" s="7">
        <v>16.904678000000001</v>
      </c>
      <c r="H107" s="7">
        <v>19.4676890459363</v>
      </c>
      <c r="I107" s="7">
        <v>16.7</v>
      </c>
      <c r="J107" s="7">
        <v>16.7</v>
      </c>
      <c r="K107" s="7">
        <v>16.350000000000001</v>
      </c>
      <c r="L107" s="7">
        <v>17.455830388692501</v>
      </c>
    </row>
    <row r="108" spans="1:12" ht="15" customHeight="1" x14ac:dyDescent="0.2">
      <c r="A108" s="3">
        <v>45895</v>
      </c>
      <c r="B108" s="4">
        <v>16.690000000000001</v>
      </c>
      <c r="C108" s="5">
        <v>101562800</v>
      </c>
      <c r="D108" s="4">
        <v>0.12000000000000099</v>
      </c>
      <c r="E108" s="4">
        <v>0.72420036210019101</v>
      </c>
      <c r="F108" s="4">
        <v>0.72420377101451905</v>
      </c>
      <c r="G108" s="4">
        <v>16.975876</v>
      </c>
      <c r="H108" s="4">
        <v>19.970855123674902</v>
      </c>
      <c r="I108" s="4">
        <v>16.670000000000002</v>
      </c>
      <c r="J108" s="4">
        <v>17.11</v>
      </c>
      <c r="K108" s="4">
        <v>16.64</v>
      </c>
      <c r="L108" s="4">
        <v>17.9505300353356</v>
      </c>
    </row>
    <row r="109" spans="1:12" ht="15" customHeight="1" x14ac:dyDescent="0.2">
      <c r="A109" s="6">
        <v>45894</v>
      </c>
      <c r="B109" s="7">
        <v>16.57</v>
      </c>
      <c r="C109" s="8">
        <v>19914380</v>
      </c>
      <c r="D109" s="7">
        <v>8.9999999999999802E-2</v>
      </c>
      <c r="E109" s="7">
        <v>0.54611650485436503</v>
      </c>
      <c r="F109" s="7">
        <v>0.54611908954140798</v>
      </c>
      <c r="G109" s="7">
        <v>16.853819999999999</v>
      </c>
      <c r="H109" s="7">
        <v>19.108268551236701</v>
      </c>
      <c r="I109" s="7">
        <v>16.559999999999999</v>
      </c>
      <c r="J109" s="7">
        <v>16.670000000000002</v>
      </c>
      <c r="K109" s="7">
        <v>16.420000000000002</v>
      </c>
      <c r="L109" s="7">
        <v>17.102473498233199</v>
      </c>
    </row>
    <row r="110" spans="1:12" ht="15" customHeight="1" x14ac:dyDescent="0.2">
      <c r="A110" s="3">
        <v>45891</v>
      </c>
      <c r="B110" s="4">
        <v>16.48</v>
      </c>
      <c r="C110" s="5">
        <v>86743300</v>
      </c>
      <c r="D110" s="4">
        <v>0.100000000000001</v>
      </c>
      <c r="E110" s="4">
        <v>0.610500610500608</v>
      </c>
      <c r="F110" s="4">
        <v>0.61050754344209501</v>
      </c>
      <c r="G110" s="4">
        <v>16.762277999999998</v>
      </c>
      <c r="H110" s="4">
        <v>18.461328621908098</v>
      </c>
      <c r="I110" s="4">
        <v>16.32</v>
      </c>
      <c r="J110" s="4">
        <v>16.77</v>
      </c>
      <c r="K110" s="4">
        <v>16.309999999999999</v>
      </c>
      <c r="L110" s="4">
        <v>16.4664310954063</v>
      </c>
    </row>
    <row r="111" spans="1:12" ht="15" customHeight="1" x14ac:dyDescent="0.2">
      <c r="A111" s="6">
        <v>45890</v>
      </c>
      <c r="B111" s="7">
        <v>16.38</v>
      </c>
      <c r="C111" s="8">
        <v>38189246</v>
      </c>
      <c r="D111" s="7">
        <v>0.189999999999997</v>
      </c>
      <c r="E111" s="7">
        <v>1.1735639283508099</v>
      </c>
      <c r="F111" s="7">
        <v>1.1735491499766399</v>
      </c>
      <c r="G111" s="7">
        <v>16.660564000000001</v>
      </c>
      <c r="H111" s="7">
        <v>17.7425017667844</v>
      </c>
      <c r="I111" s="7">
        <v>16.11</v>
      </c>
      <c r="J111" s="7">
        <v>16.64</v>
      </c>
      <c r="K111" s="7">
        <v>16.09</v>
      </c>
      <c r="L111" s="7">
        <v>15.759717314487601</v>
      </c>
    </row>
    <row r="112" spans="1:12" ht="15" customHeight="1" x14ac:dyDescent="0.2">
      <c r="A112" s="3">
        <v>45889</v>
      </c>
      <c r="B112" s="4">
        <v>16.190000000000001</v>
      </c>
      <c r="C112" s="5">
        <v>19650180</v>
      </c>
      <c r="D112" s="4">
        <v>-1.9999999999999501E-2</v>
      </c>
      <c r="E112" s="4">
        <v>-0.123380629241209</v>
      </c>
      <c r="F112" s="4">
        <v>-0.123377164513516</v>
      </c>
      <c r="G112" s="4">
        <v>16.467312</v>
      </c>
      <c r="H112" s="4">
        <v>16.3767632508833</v>
      </c>
      <c r="I112" s="4">
        <v>16.25</v>
      </c>
      <c r="J112" s="4">
        <v>16.36</v>
      </c>
      <c r="K112" s="4">
        <v>16.079999999999998</v>
      </c>
      <c r="L112" s="4">
        <v>14.416961130741999</v>
      </c>
    </row>
    <row r="113" spans="1:12" ht="15" customHeight="1" x14ac:dyDescent="0.2">
      <c r="A113" s="6">
        <v>45888</v>
      </c>
      <c r="B113" s="7">
        <v>16.21</v>
      </c>
      <c r="C113" s="8">
        <v>34189140</v>
      </c>
      <c r="D113" s="7">
        <v>7.0000000000000201E-2</v>
      </c>
      <c r="E113" s="7">
        <v>0.43370508054523199</v>
      </c>
      <c r="F113" s="7">
        <v>0.43371120218773601</v>
      </c>
      <c r="G113" s="7">
        <v>16.487653999999999</v>
      </c>
      <c r="H113" s="7">
        <v>16.520522968197799</v>
      </c>
      <c r="I113" s="7">
        <v>16.07</v>
      </c>
      <c r="J113" s="7">
        <v>16.38</v>
      </c>
      <c r="K113" s="7">
        <v>16.07</v>
      </c>
      <c r="L113" s="7">
        <v>14.5583038869257</v>
      </c>
    </row>
    <row r="114" spans="1:12" ht="15" customHeight="1" x14ac:dyDescent="0.2">
      <c r="A114" s="3">
        <v>45887</v>
      </c>
      <c r="B114" s="4">
        <v>16.14</v>
      </c>
      <c r="C114" s="5">
        <v>27723700</v>
      </c>
      <c r="D114" s="4">
        <v>0.12999999999999901</v>
      </c>
      <c r="E114" s="4">
        <v>0.81199250468455497</v>
      </c>
      <c r="F114" s="4">
        <v>0.81197575814146905</v>
      </c>
      <c r="G114" s="4">
        <v>16.416454000000002</v>
      </c>
      <c r="H114" s="4">
        <v>16.017342756183702</v>
      </c>
      <c r="I114" s="4">
        <v>16.07</v>
      </c>
      <c r="J114" s="4">
        <v>16.2</v>
      </c>
      <c r="K114" s="4">
        <v>15.87</v>
      </c>
      <c r="L114" s="4">
        <v>14.063604240282601</v>
      </c>
    </row>
    <row r="115" spans="1:12" ht="15" customHeight="1" x14ac:dyDescent="0.2">
      <c r="A115" s="6">
        <v>45884</v>
      </c>
      <c r="B115" s="7">
        <v>16.010000000000002</v>
      </c>
      <c r="C115" s="8">
        <v>15792750</v>
      </c>
      <c r="D115" s="7">
        <v>1.0000000000001501E-2</v>
      </c>
      <c r="E115" s="7">
        <v>6.2500000000009701E-2</v>
      </c>
      <c r="F115" s="7">
        <v>6.2510534404558393E-2</v>
      </c>
      <c r="G115" s="7">
        <v>16.284230000000001</v>
      </c>
      <c r="H115" s="7">
        <v>15.0828975265017</v>
      </c>
      <c r="I115" s="7">
        <v>15.95</v>
      </c>
      <c r="J115" s="7">
        <v>16.04</v>
      </c>
      <c r="K115" s="7">
        <v>15.91</v>
      </c>
      <c r="L115" s="7">
        <v>13.144876325088299</v>
      </c>
    </row>
    <row r="116" spans="1:12" ht="15" customHeight="1" x14ac:dyDescent="0.2">
      <c r="A116" s="3">
        <v>45883</v>
      </c>
      <c r="B116" s="4">
        <v>16</v>
      </c>
      <c r="C116" s="5">
        <v>15177700</v>
      </c>
      <c r="D116" s="4">
        <v>-0.17999999999999899</v>
      </c>
      <c r="E116" s="4">
        <v>-1.1124845488257</v>
      </c>
      <c r="F116" s="4">
        <v>-1.11248370008397</v>
      </c>
      <c r="G116" s="4">
        <v>16.274056999999999</v>
      </c>
      <c r="H116" s="4">
        <v>15.0110035335688</v>
      </c>
      <c r="I116" s="4">
        <v>16.170000000000002</v>
      </c>
      <c r="J116" s="4">
        <v>16.23</v>
      </c>
      <c r="K116" s="4">
        <v>15.97</v>
      </c>
      <c r="L116" s="4">
        <v>13.074204946996399</v>
      </c>
    </row>
    <row r="117" spans="1:12" ht="15" customHeight="1" x14ac:dyDescent="0.2">
      <c r="A117" s="6">
        <v>45882</v>
      </c>
      <c r="B117" s="7">
        <v>16.18</v>
      </c>
      <c r="C117" s="8">
        <v>30216630</v>
      </c>
      <c r="D117" s="7">
        <v>-1.9999999999999501E-2</v>
      </c>
      <c r="E117" s="7">
        <v>-0.12345679012345501</v>
      </c>
      <c r="F117" s="7">
        <v>-0.123465451400239</v>
      </c>
      <c r="G117" s="7">
        <v>16.457139999999999</v>
      </c>
      <c r="H117" s="7">
        <v>16.304876325088301</v>
      </c>
      <c r="I117" s="7">
        <v>16.2</v>
      </c>
      <c r="J117" s="7">
        <v>16.350000000000001</v>
      </c>
      <c r="K117" s="7">
        <v>16.07</v>
      </c>
      <c r="L117" s="7">
        <v>14.346289752650099</v>
      </c>
    </row>
    <row r="118" spans="1:12" ht="15" customHeight="1" x14ac:dyDescent="0.2">
      <c r="A118" s="3">
        <v>45881</v>
      </c>
      <c r="B118" s="4">
        <v>16.2</v>
      </c>
      <c r="C118" s="5">
        <v>28605210</v>
      </c>
      <c r="D118" s="4"/>
      <c r="E118" s="4"/>
      <c r="F118" s="4"/>
      <c r="G118" s="4">
        <v>16.477484</v>
      </c>
      <c r="H118" s="4">
        <v>16.448650176678399</v>
      </c>
      <c r="I118" s="4">
        <v>16.11</v>
      </c>
      <c r="J118" s="4">
        <v>16.399999999999999</v>
      </c>
      <c r="K118" s="4">
        <v>16.11</v>
      </c>
      <c r="L118" s="4">
        <v>14.487632508833901</v>
      </c>
    </row>
    <row r="119" spans="1:12" ht="15" customHeight="1" x14ac:dyDescent="0.2">
      <c r="A119" s="6">
        <v>45880</v>
      </c>
      <c r="B119" s="7">
        <v>16.2</v>
      </c>
      <c r="C119" s="8">
        <v>12350530</v>
      </c>
      <c r="D119" s="7">
        <v>0.17999999999999899</v>
      </c>
      <c r="E119" s="7">
        <v>1.1235955056179801</v>
      </c>
      <c r="F119" s="7">
        <v>1.1236007462686699</v>
      </c>
      <c r="G119" s="7">
        <v>16.477484</v>
      </c>
      <c r="H119" s="7">
        <v>16.448650176678399</v>
      </c>
      <c r="I119" s="7">
        <v>15.93</v>
      </c>
      <c r="J119" s="7">
        <v>16.23</v>
      </c>
      <c r="K119" s="7">
        <v>15.93</v>
      </c>
      <c r="L119" s="7">
        <v>14.487632508833901</v>
      </c>
    </row>
    <row r="120" spans="1:12" ht="15" customHeight="1" x14ac:dyDescent="0.2">
      <c r="A120" s="3">
        <v>45877</v>
      </c>
      <c r="B120" s="4">
        <v>16.02</v>
      </c>
      <c r="C120" s="5">
        <v>22941390</v>
      </c>
      <c r="D120" s="4">
        <v>-1.9999999999999501E-2</v>
      </c>
      <c r="E120" s="4">
        <v>-0.124688279301743</v>
      </c>
      <c r="F120" s="4">
        <v>-0.124690900739288</v>
      </c>
      <c r="G120" s="4">
        <v>16.2944</v>
      </c>
      <c r="H120" s="4">
        <v>15.1547703180211</v>
      </c>
      <c r="I120" s="4">
        <v>15.98</v>
      </c>
      <c r="J120" s="4">
        <v>16.18</v>
      </c>
      <c r="K120" s="4">
        <v>15.95</v>
      </c>
      <c r="L120" s="4">
        <v>13.215547703180199</v>
      </c>
    </row>
    <row r="121" spans="1:12" ht="15" customHeight="1" x14ac:dyDescent="0.2">
      <c r="A121" s="6">
        <v>45876</v>
      </c>
      <c r="B121" s="7">
        <v>16.04</v>
      </c>
      <c r="C121" s="8">
        <v>28357080</v>
      </c>
      <c r="D121" s="7">
        <v>0.42999999999999899</v>
      </c>
      <c r="E121" s="7">
        <v>2.7546444586803198</v>
      </c>
      <c r="F121" s="7">
        <v>2.7546489574442998</v>
      </c>
      <c r="G121" s="7">
        <v>16.314743</v>
      </c>
      <c r="H121" s="7">
        <v>15.2985371024734</v>
      </c>
      <c r="I121" s="7">
        <v>15.63</v>
      </c>
      <c r="J121" s="7">
        <v>16.09</v>
      </c>
      <c r="K121" s="7">
        <v>15.63</v>
      </c>
      <c r="L121" s="7">
        <v>13.3568904593639</v>
      </c>
    </row>
    <row r="122" spans="1:12" ht="15" customHeight="1" x14ac:dyDescent="0.2">
      <c r="A122" s="3">
        <v>45875</v>
      </c>
      <c r="B122" s="4">
        <v>15.61</v>
      </c>
      <c r="C122" s="5">
        <v>21613840</v>
      </c>
      <c r="D122" s="4">
        <v>1.9999999999999501E-2</v>
      </c>
      <c r="E122" s="4">
        <v>0.128287363694679</v>
      </c>
      <c r="F122" s="4">
        <v>0.128283755443558</v>
      </c>
      <c r="G122" s="4">
        <v>15.877376999999999</v>
      </c>
      <c r="H122" s="4">
        <v>12.2076113074204</v>
      </c>
      <c r="I122" s="4">
        <v>15.59</v>
      </c>
      <c r="J122" s="4">
        <v>15.87</v>
      </c>
      <c r="K122" s="4">
        <v>15.45</v>
      </c>
      <c r="L122" s="4">
        <v>10.3180212014134</v>
      </c>
    </row>
    <row r="123" spans="1:12" ht="15" customHeight="1" x14ac:dyDescent="0.2">
      <c r="A123" s="6">
        <v>45874</v>
      </c>
      <c r="B123" s="7">
        <v>15.59</v>
      </c>
      <c r="C123" s="8">
        <v>28104440</v>
      </c>
      <c r="D123" s="7">
        <v>0.14000000000000001</v>
      </c>
      <c r="E123" s="7">
        <v>0.90614886731392696</v>
      </c>
      <c r="F123" s="7">
        <v>0.90615525552102305</v>
      </c>
      <c r="G123" s="7">
        <v>15.857035</v>
      </c>
      <c r="H123" s="7">
        <v>12.063851590105999</v>
      </c>
      <c r="I123" s="7">
        <v>15.42</v>
      </c>
      <c r="J123" s="7">
        <v>15.65</v>
      </c>
      <c r="K123" s="7">
        <v>15.37</v>
      </c>
      <c r="L123" s="7">
        <v>10.1766784452296</v>
      </c>
    </row>
    <row r="124" spans="1:12" ht="15" customHeight="1" x14ac:dyDescent="0.2">
      <c r="A124" s="3">
        <v>45873</v>
      </c>
      <c r="B124" s="4">
        <v>15.45</v>
      </c>
      <c r="C124" s="5">
        <v>36392406</v>
      </c>
      <c r="D124" s="4">
        <v>-0.36000000000000099</v>
      </c>
      <c r="E124" s="4">
        <v>-2.2770398481973402</v>
      </c>
      <c r="F124" s="4">
        <v>-2.2770442495937502</v>
      </c>
      <c r="G124" s="4">
        <v>15.714636</v>
      </c>
      <c r="H124" s="4">
        <v>11.057498233215499</v>
      </c>
      <c r="I124" s="4">
        <v>15.88</v>
      </c>
      <c r="J124" s="4">
        <v>16.100000000000001</v>
      </c>
      <c r="K124" s="4">
        <v>15.42</v>
      </c>
      <c r="L124" s="4">
        <v>9.18727915194345</v>
      </c>
    </row>
    <row r="125" spans="1:12" ht="15" customHeight="1" x14ac:dyDescent="0.2">
      <c r="A125" s="6">
        <v>45870</v>
      </c>
      <c r="B125" s="7">
        <v>15.81</v>
      </c>
      <c r="C125" s="8">
        <v>38338660</v>
      </c>
      <c r="D125" s="7">
        <v>-0.65999999999999803</v>
      </c>
      <c r="E125" s="7">
        <v>-4.0072859744990703</v>
      </c>
      <c r="F125" s="7">
        <v>-4.0072867247513004</v>
      </c>
      <c r="G125" s="7">
        <v>16.080803</v>
      </c>
      <c r="H125" s="7">
        <v>13.645250883392199</v>
      </c>
      <c r="I125" s="7">
        <v>16.399999999999999</v>
      </c>
      <c r="J125" s="7">
        <v>16.399999999999999</v>
      </c>
      <c r="K125" s="7">
        <v>15.77</v>
      </c>
      <c r="L125" s="7">
        <v>11.7314487632508</v>
      </c>
    </row>
    <row r="126" spans="1:12" ht="15" customHeight="1" x14ac:dyDescent="0.2">
      <c r="A126" s="3">
        <v>45869</v>
      </c>
      <c r="B126" s="4">
        <v>16.47</v>
      </c>
      <c r="C126" s="5">
        <v>30571300</v>
      </c>
      <c r="D126" s="4">
        <v>0.41</v>
      </c>
      <c r="E126" s="4">
        <v>2.5529265255292701</v>
      </c>
      <c r="F126" s="4">
        <v>2.5529282522864101</v>
      </c>
      <c r="G126" s="4">
        <v>16.752108</v>
      </c>
      <c r="H126" s="4">
        <v>18.389455830388599</v>
      </c>
      <c r="I126" s="4">
        <v>15.97</v>
      </c>
      <c r="J126" s="4">
        <v>16.55</v>
      </c>
      <c r="K126" s="4">
        <v>15.87</v>
      </c>
      <c r="L126" s="4">
        <v>16.395759717314402</v>
      </c>
    </row>
    <row r="127" spans="1:12" ht="15" customHeight="1" x14ac:dyDescent="0.2">
      <c r="A127" s="6">
        <v>45868</v>
      </c>
      <c r="B127" s="7">
        <v>16.059999999999999</v>
      </c>
      <c r="C127" s="8">
        <v>31151590</v>
      </c>
      <c r="D127" s="7">
        <v>-8.0000000000001806E-2</v>
      </c>
      <c r="E127" s="7">
        <v>-0.495662949194564</v>
      </c>
      <c r="F127" s="7">
        <v>-0.49565515183731501</v>
      </c>
      <c r="G127" s="7">
        <v>16.335084999999999</v>
      </c>
      <c r="H127" s="7">
        <v>15.4422968197879</v>
      </c>
      <c r="I127" s="7">
        <v>16.16</v>
      </c>
      <c r="J127" s="7">
        <v>16.2</v>
      </c>
      <c r="K127" s="7">
        <v>15.95</v>
      </c>
      <c r="L127" s="7">
        <v>13.4982332155476</v>
      </c>
    </row>
    <row r="128" spans="1:12" ht="15" customHeight="1" x14ac:dyDescent="0.2">
      <c r="A128" s="3">
        <v>45867</v>
      </c>
      <c r="B128" s="4">
        <v>16.14</v>
      </c>
      <c r="C128" s="5">
        <v>27983090</v>
      </c>
      <c r="D128" s="4">
        <v>0.41</v>
      </c>
      <c r="E128" s="4">
        <v>2.60648442466624</v>
      </c>
      <c r="F128" s="4">
        <v>2.6064800300410602</v>
      </c>
      <c r="G128" s="4">
        <v>16.416454000000002</v>
      </c>
      <c r="H128" s="4">
        <v>16.017342756183702</v>
      </c>
      <c r="I128" s="4">
        <v>15.65</v>
      </c>
      <c r="J128" s="4">
        <v>16.28</v>
      </c>
      <c r="K128" s="4">
        <v>15.65</v>
      </c>
      <c r="L128" s="4">
        <v>14.063604240282601</v>
      </c>
    </row>
    <row r="129" spans="1:12" ht="15" customHeight="1" x14ac:dyDescent="0.2">
      <c r="A129" s="6">
        <v>45866</v>
      </c>
      <c r="B129" s="7">
        <v>15.73</v>
      </c>
      <c r="C129" s="8">
        <v>35923434</v>
      </c>
      <c r="D129" s="7">
        <v>0.24</v>
      </c>
      <c r="E129" s="7">
        <v>1.54938670109747</v>
      </c>
      <c r="F129" s="7">
        <v>1.5493844413140001</v>
      </c>
      <c r="G129" s="7">
        <v>15.999432000000001</v>
      </c>
      <c r="H129" s="7">
        <v>13.070190812720799</v>
      </c>
      <c r="I129" s="7">
        <v>15.5</v>
      </c>
      <c r="J129" s="7">
        <v>15.78</v>
      </c>
      <c r="K129" s="7">
        <v>15.2</v>
      </c>
      <c r="L129" s="7">
        <v>11.1660777385159</v>
      </c>
    </row>
    <row r="130" spans="1:12" ht="15" customHeight="1" x14ac:dyDescent="0.2">
      <c r="A130" s="3">
        <v>45863</v>
      </c>
      <c r="B130" s="4">
        <v>15.49</v>
      </c>
      <c r="C130" s="5">
        <v>27126130</v>
      </c>
      <c r="D130" s="4">
        <v>0.25</v>
      </c>
      <c r="E130" s="4">
        <v>1.64041994750656</v>
      </c>
      <c r="F130" s="4">
        <v>1.64041901835036</v>
      </c>
      <c r="G130" s="4">
        <v>15.755321500000001</v>
      </c>
      <c r="H130" s="4">
        <v>11.3450282685512</v>
      </c>
      <c r="I130" s="4">
        <v>15.19</v>
      </c>
      <c r="J130" s="4">
        <v>15.64</v>
      </c>
      <c r="K130" s="4">
        <v>15.19</v>
      </c>
      <c r="L130" s="4">
        <v>9.4699646643109503</v>
      </c>
    </row>
    <row r="131" spans="1:12" ht="15" customHeight="1" x14ac:dyDescent="0.2">
      <c r="A131" s="6">
        <v>45862</v>
      </c>
      <c r="B131" s="7">
        <v>15.24</v>
      </c>
      <c r="C131" s="8">
        <v>49765420</v>
      </c>
      <c r="D131" s="7">
        <v>0.49</v>
      </c>
      <c r="E131" s="7">
        <v>3.3220338983050701</v>
      </c>
      <c r="F131" s="7">
        <v>3.3220373259490201</v>
      </c>
      <c r="G131" s="7">
        <v>15.501039499999999</v>
      </c>
      <c r="H131" s="7">
        <v>9.5479823321554598</v>
      </c>
      <c r="I131" s="7">
        <v>14.76</v>
      </c>
      <c r="J131" s="7">
        <v>15.66</v>
      </c>
      <c r="K131" s="7">
        <v>14.6</v>
      </c>
      <c r="L131" s="7">
        <v>7.7031802120141304</v>
      </c>
    </row>
    <row r="132" spans="1:12" ht="15" customHeight="1" x14ac:dyDescent="0.2">
      <c r="A132" s="3">
        <v>45861</v>
      </c>
      <c r="B132" s="4">
        <v>14.75</v>
      </c>
      <c r="C132" s="5">
        <v>53113440</v>
      </c>
      <c r="D132" s="4">
        <v>7.0000000000000201E-2</v>
      </c>
      <c r="E132" s="4">
        <v>0.47683923705721298</v>
      </c>
      <c r="F132" s="4">
        <v>0.47683252153440903</v>
      </c>
      <c r="G132" s="4">
        <v>15.002646</v>
      </c>
      <c r="H132" s="4">
        <v>6.0257667844522897</v>
      </c>
      <c r="I132" s="4">
        <v>14.71</v>
      </c>
      <c r="J132" s="4">
        <v>14.85</v>
      </c>
      <c r="K132" s="4">
        <v>14.57</v>
      </c>
      <c r="L132" s="4">
        <v>4.2402826855123603</v>
      </c>
    </row>
    <row r="133" spans="1:12" ht="15" customHeight="1" x14ac:dyDescent="0.2">
      <c r="A133" s="6">
        <v>45860</v>
      </c>
      <c r="B133" s="7">
        <v>14.68</v>
      </c>
      <c r="C133" s="8">
        <v>55162140</v>
      </c>
      <c r="D133" s="7">
        <v>0.33</v>
      </c>
      <c r="E133" s="7">
        <v>2.29965156794424</v>
      </c>
      <c r="F133" s="7">
        <v>2.2996484741222698</v>
      </c>
      <c r="G133" s="7">
        <v>14.931448</v>
      </c>
      <c r="H133" s="7">
        <v>5.5226007067137699</v>
      </c>
      <c r="I133" s="7">
        <v>14.43</v>
      </c>
      <c r="J133" s="7">
        <v>14.74</v>
      </c>
      <c r="K133" s="7">
        <v>14.32</v>
      </c>
      <c r="L133" s="7">
        <v>3.7455830388692499</v>
      </c>
    </row>
    <row r="134" spans="1:12" ht="15" customHeight="1" x14ac:dyDescent="0.2">
      <c r="A134" s="3">
        <v>45859</v>
      </c>
      <c r="B134" s="4">
        <v>14.35</v>
      </c>
      <c r="C134" s="5">
        <v>60197560</v>
      </c>
      <c r="D134" s="4">
        <v>0.119999999999999</v>
      </c>
      <c r="E134" s="4">
        <v>0.84328882642303804</v>
      </c>
      <c r="F134" s="4">
        <v>0.84329971681815696</v>
      </c>
      <c r="G134" s="4">
        <v>14.595796</v>
      </c>
      <c r="H134" s="4">
        <v>3.1505017667844402</v>
      </c>
      <c r="I134" s="4">
        <v>14.3</v>
      </c>
      <c r="J134" s="4">
        <v>14.57</v>
      </c>
      <c r="K134" s="4">
        <v>14.25</v>
      </c>
      <c r="L134" s="4">
        <v>1.4134275618374501</v>
      </c>
    </row>
    <row r="135" spans="1:12" ht="15" customHeight="1" x14ac:dyDescent="0.2">
      <c r="A135" s="6">
        <v>45856</v>
      </c>
      <c r="B135" s="7">
        <v>14.23</v>
      </c>
      <c r="C135" s="8">
        <v>21371550</v>
      </c>
      <c r="D135" s="7">
        <v>-0.32</v>
      </c>
      <c r="E135" s="7">
        <v>-2.1993127147766298</v>
      </c>
      <c r="F135" s="7">
        <v>-2.1993184641272601</v>
      </c>
      <c r="G135" s="7">
        <v>14.473739</v>
      </c>
      <c r="H135" s="7">
        <v>2.2879081272084698</v>
      </c>
      <c r="I135" s="7">
        <v>14.6</v>
      </c>
      <c r="J135" s="7">
        <v>14.61</v>
      </c>
      <c r="K135" s="7">
        <v>14.2</v>
      </c>
      <c r="L135" s="7">
        <v>0.56537102473498202</v>
      </c>
    </row>
    <row r="136" spans="1:12" ht="15" customHeight="1" x14ac:dyDescent="0.2">
      <c r="A136" s="3">
        <v>45855</v>
      </c>
      <c r="B136" s="4">
        <v>14.55</v>
      </c>
      <c r="C136" s="5">
        <v>39632180</v>
      </c>
      <c r="D136" s="4">
        <v>0.76000000000000101</v>
      </c>
      <c r="E136" s="4">
        <v>5.5112400290065304</v>
      </c>
      <c r="F136" s="4">
        <v>5.5112420660102996</v>
      </c>
      <c r="G136" s="4">
        <v>14.799220999999999</v>
      </c>
      <c r="H136" s="4">
        <v>4.5881342756183603</v>
      </c>
      <c r="I136" s="4">
        <v>13.72</v>
      </c>
      <c r="J136" s="4">
        <v>14.6</v>
      </c>
      <c r="K136" s="4">
        <v>13.72</v>
      </c>
      <c r="L136" s="4">
        <v>2.82685512367491</v>
      </c>
    </row>
    <row r="137" spans="1:12" ht="15" customHeight="1" x14ac:dyDescent="0.2">
      <c r="A137" s="6">
        <v>45854</v>
      </c>
      <c r="B137" s="7">
        <v>13.79</v>
      </c>
      <c r="C137" s="8">
        <v>23619760</v>
      </c>
      <c r="D137" s="7">
        <v>7.9999999999998295E-2</v>
      </c>
      <c r="E137" s="7">
        <v>0.583515681983937</v>
      </c>
      <c r="F137" s="7">
        <v>0.583513621138398</v>
      </c>
      <c r="G137" s="7">
        <v>14.026203000000001</v>
      </c>
      <c r="H137" s="7">
        <v>-0.87489045936395504</v>
      </c>
      <c r="I137" s="7">
        <v>13.64</v>
      </c>
      <c r="J137" s="7">
        <v>13.84</v>
      </c>
      <c r="K137" s="7">
        <v>13.63</v>
      </c>
      <c r="L137" s="7">
        <v>-2.5441696113074199</v>
      </c>
    </row>
    <row r="138" spans="1:12" ht="15" customHeight="1" x14ac:dyDescent="0.2">
      <c r="A138" s="3">
        <v>45853</v>
      </c>
      <c r="B138" s="4">
        <v>13.71</v>
      </c>
      <c r="C138" s="5">
        <v>36867520</v>
      </c>
      <c r="D138" s="4">
        <v>-0.119999999999999</v>
      </c>
      <c r="E138" s="4">
        <v>-0.86767895878524504</v>
      </c>
      <c r="F138" s="4">
        <v>-0.86767592092864498</v>
      </c>
      <c r="G138" s="4">
        <v>13.944832999999999</v>
      </c>
      <c r="H138" s="4">
        <v>-1.4499434628975301</v>
      </c>
      <c r="I138" s="4">
        <v>13.78</v>
      </c>
      <c r="J138" s="4">
        <v>13.91</v>
      </c>
      <c r="K138" s="4">
        <v>13.65</v>
      </c>
      <c r="L138" s="4">
        <v>-3.1095406360423898</v>
      </c>
    </row>
    <row r="139" spans="1:12" ht="15" customHeight="1" x14ac:dyDescent="0.2">
      <c r="A139" s="6">
        <v>45852</v>
      </c>
      <c r="B139" s="7">
        <v>13.83</v>
      </c>
      <c r="C139" s="8">
        <v>24949070</v>
      </c>
      <c r="D139" s="7">
        <v>9.9999999999999603E-2</v>
      </c>
      <c r="E139" s="7">
        <v>0.72833211944647303</v>
      </c>
      <c r="F139" s="7">
        <v>0.72833315730020898</v>
      </c>
      <c r="G139" s="7">
        <v>14.066888000000001</v>
      </c>
      <c r="H139" s="7">
        <v>-0.58736395759717197</v>
      </c>
      <c r="I139" s="7">
        <v>13.75</v>
      </c>
      <c r="J139" s="7">
        <v>13.93</v>
      </c>
      <c r="K139" s="7">
        <v>13.7</v>
      </c>
      <c r="L139" s="7">
        <v>-2.2614840989399299</v>
      </c>
    </row>
    <row r="140" spans="1:12" ht="15" customHeight="1" x14ac:dyDescent="0.2">
      <c r="A140" s="3">
        <v>45849</v>
      </c>
      <c r="B140" s="4">
        <v>13.73</v>
      </c>
      <c r="C140" s="5">
        <v>31365240</v>
      </c>
      <c r="D140" s="4">
        <v>-4.9999999999998899E-2</v>
      </c>
      <c r="E140" s="4">
        <v>-0.36284470246733502</v>
      </c>
      <c r="F140" s="4">
        <v>-0.36284166323546901</v>
      </c>
      <c r="G140" s="4">
        <v>13.965175</v>
      </c>
      <c r="H140" s="4">
        <v>-1.3061837455830301</v>
      </c>
      <c r="I140" s="4">
        <v>13.77</v>
      </c>
      <c r="J140" s="4">
        <v>13.77</v>
      </c>
      <c r="K140" s="4">
        <v>13.44</v>
      </c>
      <c r="L140" s="4">
        <v>-2.9681978798586499</v>
      </c>
    </row>
    <row r="141" spans="1:12" ht="15" customHeight="1" x14ac:dyDescent="0.2">
      <c r="A141" s="6">
        <v>45848</v>
      </c>
      <c r="B141" s="7">
        <v>13.78</v>
      </c>
      <c r="C141" s="8">
        <v>36773400</v>
      </c>
      <c r="D141" s="7">
        <v>6.9999999999998494E-2</v>
      </c>
      <c r="E141" s="7">
        <v>0.51057622173595796</v>
      </c>
      <c r="F141" s="7">
        <v>0.51056904015989102</v>
      </c>
      <c r="G141" s="7">
        <v>14.016031</v>
      </c>
      <c r="H141" s="7">
        <v>-0.946777385159013</v>
      </c>
      <c r="I141" s="7">
        <v>13.64</v>
      </c>
      <c r="J141" s="7">
        <v>13.97</v>
      </c>
      <c r="K141" s="7">
        <v>13.64</v>
      </c>
      <c r="L141" s="7">
        <v>-2.6148409893992999</v>
      </c>
    </row>
    <row r="142" spans="1:12" ht="15" customHeight="1" x14ac:dyDescent="0.2">
      <c r="A142" s="3">
        <v>45847</v>
      </c>
      <c r="B142" s="4">
        <v>13.71</v>
      </c>
      <c r="C142" s="5">
        <v>26925440</v>
      </c>
      <c r="D142" s="4">
        <v>0.34000000000000102</v>
      </c>
      <c r="E142" s="4">
        <v>2.5430067314884099</v>
      </c>
      <c r="F142" s="4">
        <v>2.5430088324818101</v>
      </c>
      <c r="G142" s="4">
        <v>13.944832999999999</v>
      </c>
      <c r="H142" s="4">
        <v>-1.4499434628975301</v>
      </c>
      <c r="I142" s="4">
        <v>13.37</v>
      </c>
      <c r="J142" s="4">
        <v>13.83</v>
      </c>
      <c r="K142" s="4">
        <v>13.37</v>
      </c>
      <c r="L142" s="4">
        <v>-3.1095406360423898</v>
      </c>
    </row>
    <row r="143" spans="1:12" ht="15" customHeight="1" x14ac:dyDescent="0.2">
      <c r="A143" s="6">
        <v>45846</v>
      </c>
      <c r="B143" s="7">
        <v>13.37</v>
      </c>
      <c r="C143" s="8">
        <v>22252860</v>
      </c>
      <c r="D143" s="7">
        <v>6.9999999999998494E-2</v>
      </c>
      <c r="E143" s="7">
        <v>0.52631578947366298</v>
      </c>
      <c r="F143" s="7">
        <v>0.52631578947368496</v>
      </c>
      <c r="G143" s="7">
        <v>13.599009000000001</v>
      </c>
      <c r="H143" s="7">
        <v>-3.8939293286218999</v>
      </c>
      <c r="I143" s="7">
        <v>13.31</v>
      </c>
      <c r="J143" s="7">
        <v>13.66</v>
      </c>
      <c r="K143" s="7">
        <v>13.31</v>
      </c>
      <c r="L143" s="7">
        <v>-5.5123674911660796</v>
      </c>
    </row>
    <row r="144" spans="1:12" ht="15" customHeight="1" x14ac:dyDescent="0.2">
      <c r="A144" s="3">
        <v>45845</v>
      </c>
      <c r="B144" s="4">
        <v>13.3</v>
      </c>
      <c r="C144" s="5">
        <v>22370440</v>
      </c>
      <c r="D144" s="4">
        <v>-0.189999999999999</v>
      </c>
      <c r="E144" s="4">
        <v>-1.40845070422535</v>
      </c>
      <c r="F144" s="4">
        <v>-1.4084548101768899</v>
      </c>
      <c r="G144" s="4">
        <v>13.527810000000001</v>
      </c>
      <c r="H144" s="4">
        <v>-4.3971024734982302</v>
      </c>
      <c r="I144" s="4">
        <v>13.49</v>
      </c>
      <c r="J144" s="4">
        <v>13.52</v>
      </c>
      <c r="K144" s="4">
        <v>13.27</v>
      </c>
      <c r="L144" s="4">
        <v>-6.0070671378091802</v>
      </c>
    </row>
    <row r="145" spans="1:12" ht="15" customHeight="1" x14ac:dyDescent="0.2">
      <c r="A145" s="6">
        <v>45842</v>
      </c>
      <c r="B145" s="7">
        <v>13.49</v>
      </c>
      <c r="C145" s="8">
        <v>4077012</v>
      </c>
      <c r="D145" s="7">
        <v>4.0000000000000903E-2</v>
      </c>
      <c r="E145" s="7">
        <v>0.29739776951673802</v>
      </c>
      <c r="F145" s="7">
        <v>0.29740404121845199</v>
      </c>
      <c r="G145" s="7">
        <v>13.721064999999999</v>
      </c>
      <c r="H145" s="7">
        <v>-3.0313427561837498</v>
      </c>
      <c r="I145" s="7">
        <v>13.43</v>
      </c>
      <c r="J145" s="7">
        <v>13.53</v>
      </c>
      <c r="K145" s="7">
        <v>13.37</v>
      </c>
      <c r="L145" s="7">
        <v>-4.6643109540636001</v>
      </c>
    </row>
    <row r="146" spans="1:12" ht="15" customHeight="1" x14ac:dyDescent="0.2">
      <c r="A146" s="3">
        <v>45841</v>
      </c>
      <c r="B146" s="4">
        <v>13.45</v>
      </c>
      <c r="C146" s="5">
        <v>24275360</v>
      </c>
      <c r="D146" s="4">
        <v>-5.0000000000000697E-2</v>
      </c>
      <c r="E146" s="4">
        <v>-0.37037037037037601</v>
      </c>
      <c r="F146" s="4">
        <v>-0.37037089634068798</v>
      </c>
      <c r="G146" s="4">
        <v>13.680379</v>
      </c>
      <c r="H146" s="4">
        <v>-3.31887632508833</v>
      </c>
      <c r="I146" s="4">
        <v>13.48</v>
      </c>
      <c r="J146" s="4">
        <v>13.63</v>
      </c>
      <c r="K146" s="4">
        <v>13.41</v>
      </c>
      <c r="L146" s="4">
        <v>-4.9469964664311004</v>
      </c>
    </row>
    <row r="147" spans="1:12" ht="15" customHeight="1" x14ac:dyDescent="0.2">
      <c r="A147" s="6">
        <v>45840</v>
      </c>
      <c r="B147" s="7">
        <v>13.5</v>
      </c>
      <c r="C147" s="8">
        <v>42343070</v>
      </c>
      <c r="D147" s="7">
        <v>0.21</v>
      </c>
      <c r="E147" s="7">
        <v>1.5801354401805801</v>
      </c>
      <c r="F147" s="7">
        <v>1.5801317079114201</v>
      </c>
      <c r="G147" s="7">
        <v>13.7312355</v>
      </c>
      <c r="H147" s="7">
        <v>-2.9594664310954002</v>
      </c>
      <c r="I147" s="7">
        <v>13.28</v>
      </c>
      <c r="J147" s="7">
        <v>13.66</v>
      </c>
      <c r="K147" s="7">
        <v>13.28</v>
      </c>
      <c r="L147" s="7">
        <v>-4.5936395759717303</v>
      </c>
    </row>
    <row r="148" spans="1:12" ht="15" customHeight="1" x14ac:dyDescent="0.2">
      <c r="A148" s="3">
        <v>45839</v>
      </c>
      <c r="B148" s="4">
        <v>13.29</v>
      </c>
      <c r="C148" s="5">
        <v>28881820</v>
      </c>
      <c r="D148" s="4">
        <v>0.33999999999999903</v>
      </c>
      <c r="E148" s="4">
        <v>2.62548262548263</v>
      </c>
      <c r="F148" s="4">
        <v>2.6254847946163902</v>
      </c>
      <c r="G148" s="4">
        <v>13.517639000000001</v>
      </c>
      <c r="H148" s="4">
        <v>-4.4689823321554698</v>
      </c>
      <c r="I148" s="4">
        <v>12.9</v>
      </c>
      <c r="J148" s="4">
        <v>13.33</v>
      </c>
      <c r="K148" s="4">
        <v>12.88</v>
      </c>
      <c r="L148" s="4">
        <v>-6.0777385159010597</v>
      </c>
    </row>
    <row r="149" spans="1:12" ht="15" customHeight="1" x14ac:dyDescent="0.2">
      <c r="A149" s="6">
        <v>45838</v>
      </c>
      <c r="B149" s="7">
        <v>12.95</v>
      </c>
      <c r="C149" s="8">
        <v>28180730</v>
      </c>
      <c r="D149" s="7">
        <v>6.9999999999998494E-2</v>
      </c>
      <c r="E149" s="7">
        <v>0.54347826086955597</v>
      </c>
      <c r="F149" s="7">
        <v>0.54347826086955597</v>
      </c>
      <c r="G149" s="7">
        <v>13.171815</v>
      </c>
      <c r="H149" s="7">
        <v>-6.9129681978798496</v>
      </c>
      <c r="I149" s="7">
        <v>12.88</v>
      </c>
      <c r="J149" s="7">
        <v>13.15</v>
      </c>
      <c r="K149" s="7">
        <v>12.63</v>
      </c>
      <c r="L149" s="7">
        <v>-8.4805653710247402</v>
      </c>
    </row>
    <row r="150" spans="1:12" ht="15" customHeight="1" x14ac:dyDescent="0.2">
      <c r="A150" s="3">
        <v>45835</v>
      </c>
      <c r="B150" s="4">
        <v>12.88</v>
      </c>
      <c r="C150" s="5">
        <v>28321850</v>
      </c>
      <c r="D150" s="4">
        <v>-8.9999999999999802E-2</v>
      </c>
      <c r="E150" s="4">
        <v>-0.69390902081727301</v>
      </c>
      <c r="F150" s="4">
        <v>-0.693912246957617</v>
      </c>
      <c r="G150" s="4">
        <v>13.100616</v>
      </c>
      <c r="H150" s="4">
        <v>-7.4161413427561804</v>
      </c>
      <c r="I150" s="4">
        <v>12.91</v>
      </c>
      <c r="J150" s="4">
        <v>12.97</v>
      </c>
      <c r="K150" s="4">
        <v>12.76</v>
      </c>
      <c r="L150" s="4">
        <v>-8.9752650176678408</v>
      </c>
    </row>
    <row r="151" spans="1:12" ht="15" customHeight="1" x14ac:dyDescent="0.2">
      <c r="A151" s="6">
        <v>45834</v>
      </c>
      <c r="B151" s="7">
        <v>12.97</v>
      </c>
      <c r="C151" s="8">
        <v>21289470</v>
      </c>
      <c r="D151" s="7">
        <v>0.16</v>
      </c>
      <c r="E151" s="7">
        <v>1.24902419984387</v>
      </c>
      <c r="F151" s="7">
        <v>1.24902748910407</v>
      </c>
      <c r="G151" s="7">
        <v>13.192157999999999</v>
      </c>
      <c r="H151" s="7">
        <v>-6.7692014134275604</v>
      </c>
      <c r="I151" s="7">
        <v>12.79</v>
      </c>
      <c r="J151" s="7">
        <v>13.02</v>
      </c>
      <c r="K151" s="7">
        <v>12.72</v>
      </c>
      <c r="L151" s="7">
        <v>-8.3392226148409794</v>
      </c>
    </row>
    <row r="152" spans="1:12" ht="15" customHeight="1" x14ac:dyDescent="0.2">
      <c r="A152" s="3">
        <v>45833</v>
      </c>
      <c r="B152" s="4">
        <v>12.81</v>
      </c>
      <c r="C152" s="5">
        <v>28728530</v>
      </c>
      <c r="D152" s="4">
        <v>-0.37999999999999901</v>
      </c>
      <c r="E152" s="4">
        <v>-2.88097043214555</v>
      </c>
      <c r="F152" s="4">
        <v>-2.8809642272150402</v>
      </c>
      <c r="G152" s="4">
        <v>13.029417</v>
      </c>
      <c r="H152" s="4">
        <v>-7.9193144876324997</v>
      </c>
      <c r="I152" s="4">
        <v>13.15</v>
      </c>
      <c r="J152" s="4">
        <v>13.25</v>
      </c>
      <c r="K152" s="4">
        <v>12.78</v>
      </c>
      <c r="L152" s="4">
        <v>-9.4699646643109503</v>
      </c>
    </row>
    <row r="153" spans="1:12" ht="15" customHeight="1" x14ac:dyDescent="0.2">
      <c r="A153" s="6">
        <v>45832</v>
      </c>
      <c r="B153" s="7">
        <v>13.19</v>
      </c>
      <c r="C153" s="8">
        <v>18726330</v>
      </c>
      <c r="D153" s="7">
        <v>0.22999999999999801</v>
      </c>
      <c r="E153" s="7">
        <v>1.7746913580246799</v>
      </c>
      <c r="F153" s="7">
        <v>1.7746793408307899</v>
      </c>
      <c r="G153" s="7">
        <v>13.415925</v>
      </c>
      <c r="H153" s="7">
        <v>-5.1878091872791501</v>
      </c>
      <c r="I153" s="7">
        <v>12.97</v>
      </c>
      <c r="J153" s="7">
        <v>13.26</v>
      </c>
      <c r="K153" s="7">
        <v>12.97</v>
      </c>
      <c r="L153" s="7">
        <v>-6.78445229681979</v>
      </c>
    </row>
    <row r="154" spans="1:12" ht="15" customHeight="1" x14ac:dyDescent="0.2">
      <c r="A154" s="3">
        <v>45831</v>
      </c>
      <c r="B154" s="4">
        <v>12.96</v>
      </c>
      <c r="C154" s="5">
        <v>17784360</v>
      </c>
      <c r="D154" s="4">
        <v>-2.9999999999999302E-2</v>
      </c>
      <c r="E154" s="4">
        <v>-0.23094688221708601</v>
      </c>
      <c r="F154" s="4">
        <v>-0.230940397350998</v>
      </c>
      <c r="G154" s="4">
        <v>13.181986999999999</v>
      </c>
      <c r="H154" s="4">
        <v>-6.8410812720848098</v>
      </c>
      <c r="I154" s="4">
        <v>12.9</v>
      </c>
      <c r="J154" s="4">
        <v>12.99</v>
      </c>
      <c r="K154" s="4">
        <v>12.69</v>
      </c>
      <c r="L154" s="4">
        <v>-8.4098939929328491</v>
      </c>
    </row>
    <row r="155" spans="1:12" ht="15" customHeight="1" x14ac:dyDescent="0.2">
      <c r="A155" s="6">
        <v>45828</v>
      </c>
      <c r="B155" s="7">
        <v>12.99</v>
      </c>
      <c r="C155" s="8">
        <v>156161800</v>
      </c>
      <c r="D155" s="7">
        <v>5.0000000000000697E-2</v>
      </c>
      <c r="E155" s="7">
        <v>0.38639876352395403</v>
      </c>
      <c r="F155" s="7">
        <v>0.38640312611426503</v>
      </c>
      <c r="G155" s="7">
        <v>13.2125</v>
      </c>
      <c r="H155" s="7">
        <v>-6.6254416961130698</v>
      </c>
      <c r="I155" s="7">
        <v>12.96</v>
      </c>
      <c r="J155" s="7">
        <v>13.15</v>
      </c>
      <c r="K155" s="7">
        <v>12.91</v>
      </c>
      <c r="L155" s="7">
        <v>-8.1978798586572399</v>
      </c>
    </row>
    <row r="156" spans="1:12" ht="15" customHeight="1" x14ac:dyDescent="0.2">
      <c r="A156" s="3">
        <v>45827</v>
      </c>
      <c r="B156" s="4">
        <v>12.94</v>
      </c>
      <c r="C156" s="5">
        <v>2141813</v>
      </c>
      <c r="D156" s="4">
        <v>-0.12000000000000099</v>
      </c>
      <c r="E156" s="4">
        <v>-0.91883614088821197</v>
      </c>
      <c r="F156" s="4">
        <v>-0.91884791134999499</v>
      </c>
      <c r="G156" s="4">
        <v>13.161643</v>
      </c>
      <c r="H156" s="4">
        <v>-6.9848551236749099</v>
      </c>
      <c r="I156" s="4">
        <v>13.05</v>
      </c>
      <c r="J156" s="4">
        <v>13.05</v>
      </c>
      <c r="K156" s="4">
        <v>12.83</v>
      </c>
      <c r="L156" s="4">
        <v>-8.5512367491166099</v>
      </c>
    </row>
    <row r="157" spans="1:12" ht="15" customHeight="1" x14ac:dyDescent="0.2">
      <c r="A157" s="6">
        <v>45826</v>
      </c>
      <c r="B157" s="7">
        <v>13.06</v>
      </c>
      <c r="C157" s="8">
        <v>33951000</v>
      </c>
      <c r="D157" s="7">
        <v>9.9999999999999603E-2</v>
      </c>
      <c r="E157" s="7">
        <v>0.77160493827159704</v>
      </c>
      <c r="F157" s="7">
        <v>0.77160598019099202</v>
      </c>
      <c r="G157" s="7">
        <v>13.2837</v>
      </c>
      <c r="H157" s="7">
        <v>-6.1222614840989404</v>
      </c>
      <c r="I157" s="7">
        <v>12.87</v>
      </c>
      <c r="J157" s="7">
        <v>13.13</v>
      </c>
      <c r="K157" s="7">
        <v>12.87</v>
      </c>
      <c r="L157" s="7">
        <v>-7.7031802120141304</v>
      </c>
    </row>
    <row r="158" spans="1:12" ht="15" customHeight="1" x14ac:dyDescent="0.2">
      <c r="A158" s="3">
        <v>45825</v>
      </c>
      <c r="B158" s="4">
        <v>12.96</v>
      </c>
      <c r="C158" s="5">
        <v>30809300</v>
      </c>
      <c r="D158" s="4">
        <v>-6.9999999999998494E-2</v>
      </c>
      <c r="E158" s="4">
        <v>-0.53722179585570196</v>
      </c>
      <c r="F158" s="4">
        <v>-0.212459404969844</v>
      </c>
      <c r="G158" s="4">
        <v>13.181986999999999</v>
      </c>
      <c r="H158" s="4">
        <v>-6.8410812720848098</v>
      </c>
      <c r="I158" s="4">
        <v>13.07</v>
      </c>
      <c r="J158" s="4">
        <v>13.07</v>
      </c>
      <c r="K158" s="4">
        <v>12.86</v>
      </c>
      <c r="L158" s="4">
        <v>-8.4098939929328491</v>
      </c>
    </row>
    <row r="159" spans="1:12" ht="15" customHeight="1" x14ac:dyDescent="0.2">
      <c r="A159" s="6">
        <v>45824</v>
      </c>
      <c r="B159" s="7">
        <v>13.03</v>
      </c>
      <c r="C159" s="8">
        <v>34720246</v>
      </c>
      <c r="D159" s="7">
        <v>0.16999999999999901</v>
      </c>
      <c r="E159" s="7">
        <v>1.32192846034213</v>
      </c>
      <c r="F159" s="7">
        <v>1.3219275418432499</v>
      </c>
      <c r="G159" s="7">
        <v>13.210053</v>
      </c>
      <c r="H159" s="7">
        <v>-6.6427349823321498</v>
      </c>
      <c r="I159" s="7">
        <v>12.92</v>
      </c>
      <c r="J159" s="7">
        <v>13.2</v>
      </c>
      <c r="K159" s="7">
        <v>12.92</v>
      </c>
      <c r="L159" s="7">
        <v>-7.9151943462897503</v>
      </c>
    </row>
    <row r="160" spans="1:12" ht="15" customHeight="1" x14ac:dyDescent="0.2">
      <c r="A160" s="3">
        <v>45821</v>
      </c>
      <c r="B160" s="4">
        <v>12.86</v>
      </c>
      <c r="C160" s="5">
        <v>27539500</v>
      </c>
      <c r="D160" s="4">
        <v>-0.440000000000001</v>
      </c>
      <c r="E160" s="4">
        <v>-3.30827067669173</v>
      </c>
      <c r="F160" s="4">
        <v>-3.3082844833046199</v>
      </c>
      <c r="G160" s="4">
        <v>13.037704</v>
      </c>
      <c r="H160" s="4">
        <v>-7.8607491166077699</v>
      </c>
      <c r="I160" s="4">
        <v>13.23</v>
      </c>
      <c r="J160" s="4">
        <v>13.23</v>
      </c>
      <c r="K160" s="4">
        <v>12.83</v>
      </c>
      <c r="L160" s="4">
        <v>-9.1166077738515892</v>
      </c>
    </row>
    <row r="161" spans="1:12" ht="15" customHeight="1" x14ac:dyDescent="0.2">
      <c r="A161" s="6">
        <v>45820</v>
      </c>
      <c r="B161" s="7">
        <v>13.3</v>
      </c>
      <c r="C161" s="8">
        <v>15642310</v>
      </c>
      <c r="D161" s="7">
        <v>0.08</v>
      </c>
      <c r="E161" s="7">
        <v>0.60514372163389396</v>
      </c>
      <c r="F161" s="7">
        <v>0.60514762719097104</v>
      </c>
      <c r="G161" s="7">
        <v>13.483786</v>
      </c>
      <c r="H161" s="7">
        <v>-4.7082261484098904</v>
      </c>
      <c r="I161" s="7">
        <v>13.11</v>
      </c>
      <c r="J161" s="7">
        <v>13.34</v>
      </c>
      <c r="K161" s="7">
        <v>13.06</v>
      </c>
      <c r="L161" s="7">
        <v>-6.0070671378091802</v>
      </c>
    </row>
    <row r="162" spans="1:12" ht="15" customHeight="1" x14ac:dyDescent="0.2">
      <c r="A162" s="3">
        <v>45819</v>
      </c>
      <c r="B162" s="4">
        <v>13.22</v>
      </c>
      <c r="C162" s="5">
        <v>64560180</v>
      </c>
      <c r="D162" s="4">
        <v>-4.9999999999998899E-2</v>
      </c>
      <c r="E162" s="4">
        <v>-0.37678975131875098</v>
      </c>
      <c r="F162" s="4">
        <v>-0.37679032266336698</v>
      </c>
      <c r="G162" s="4">
        <v>13.40268</v>
      </c>
      <c r="H162" s="4">
        <v>-5.2814134275618301</v>
      </c>
      <c r="I162" s="4">
        <v>13.17</v>
      </c>
      <c r="J162" s="4">
        <v>13.71</v>
      </c>
      <c r="K162" s="4">
        <v>13.17</v>
      </c>
      <c r="L162" s="4">
        <v>-6.5724381625441604</v>
      </c>
    </row>
    <row r="163" spans="1:12" ht="15" customHeight="1" x14ac:dyDescent="0.2">
      <c r="A163" s="6">
        <v>45818</v>
      </c>
      <c r="B163" s="7">
        <v>13.27</v>
      </c>
      <c r="C163" s="8">
        <v>44052970</v>
      </c>
      <c r="D163" s="7">
        <v>0.34999999999999898</v>
      </c>
      <c r="E163" s="7">
        <v>2.7089783281733602</v>
      </c>
      <c r="F163" s="7">
        <v>2.70897470594995</v>
      </c>
      <c r="G163" s="7">
        <v>13.453371000000001</v>
      </c>
      <c r="H163" s="7">
        <v>-4.9231731448763201</v>
      </c>
      <c r="I163" s="7">
        <v>12.92</v>
      </c>
      <c r="J163" s="7">
        <v>13.31</v>
      </c>
      <c r="K163" s="7">
        <v>12.91</v>
      </c>
      <c r="L163" s="7">
        <v>-6.2190812720848099</v>
      </c>
    </row>
    <row r="164" spans="1:12" ht="15" customHeight="1" x14ac:dyDescent="0.2">
      <c r="A164" s="3">
        <v>45817</v>
      </c>
      <c r="B164" s="4">
        <v>12.92</v>
      </c>
      <c r="C164" s="5">
        <v>13390310</v>
      </c>
      <c r="D164" s="4">
        <v>9.9999999999997799E-3</v>
      </c>
      <c r="E164" s="4">
        <v>7.7459333849727502E-2</v>
      </c>
      <c r="F164" s="4">
        <v>7.7465565681245005E-2</v>
      </c>
      <c r="G164" s="4">
        <v>13.098535</v>
      </c>
      <c r="H164" s="4">
        <v>-7.4308480565370996</v>
      </c>
      <c r="I164" s="4">
        <v>12.97</v>
      </c>
      <c r="J164" s="4">
        <v>13.05</v>
      </c>
      <c r="K164" s="4">
        <v>12.87</v>
      </c>
      <c r="L164" s="4">
        <v>-8.6925795053003494</v>
      </c>
    </row>
    <row r="165" spans="1:12" ht="15" customHeight="1" x14ac:dyDescent="0.2">
      <c r="A165" s="6">
        <v>45814</v>
      </c>
      <c r="B165" s="7">
        <v>12.91</v>
      </c>
      <c r="C165" s="8">
        <v>24158390</v>
      </c>
      <c r="D165" s="7">
        <v>-0.16999999999999901</v>
      </c>
      <c r="E165" s="7">
        <v>-1.2996941896024401</v>
      </c>
      <c r="F165" s="7">
        <v>-1.2996931921999899</v>
      </c>
      <c r="G165" s="7">
        <v>13.088395999999999</v>
      </c>
      <c r="H165" s="7">
        <v>-7.5025017667844498</v>
      </c>
      <c r="I165" s="7">
        <v>13.01</v>
      </c>
      <c r="J165" s="7">
        <v>13.14</v>
      </c>
      <c r="K165" s="7">
        <v>12.81</v>
      </c>
      <c r="L165" s="7">
        <v>-8.7632508833922191</v>
      </c>
    </row>
    <row r="166" spans="1:12" ht="15" customHeight="1" x14ac:dyDescent="0.2">
      <c r="A166" s="3">
        <v>45813</v>
      </c>
      <c r="B166" s="4">
        <v>13.08</v>
      </c>
      <c r="C166" s="5">
        <v>25102510</v>
      </c>
      <c r="D166" s="4">
        <v>4.0000000000000903E-2</v>
      </c>
      <c r="E166" s="4">
        <v>0.306748466257666</v>
      </c>
      <c r="F166" s="4">
        <v>0.30675046171795201</v>
      </c>
      <c r="G166" s="4">
        <v>13.260745</v>
      </c>
      <c r="H166" s="4">
        <v>-6.2844876325088297</v>
      </c>
      <c r="I166" s="4">
        <v>13.01</v>
      </c>
      <c r="J166" s="4">
        <v>13.15</v>
      </c>
      <c r="K166" s="4">
        <v>12.95</v>
      </c>
      <c r="L166" s="4">
        <v>-7.56183745583039</v>
      </c>
    </row>
    <row r="167" spans="1:12" ht="15" customHeight="1" x14ac:dyDescent="0.2">
      <c r="A167" s="6">
        <v>45812</v>
      </c>
      <c r="B167" s="7">
        <v>13.04</v>
      </c>
      <c r="C167" s="8">
        <v>31168200</v>
      </c>
      <c r="D167" s="7">
        <v>-6.0000000000000497E-2</v>
      </c>
      <c r="E167" s="7">
        <v>-0.45801526717557101</v>
      </c>
      <c r="F167" s="7">
        <v>-0.458021980537337</v>
      </c>
      <c r="G167" s="7">
        <v>13.220192000000001</v>
      </c>
      <c r="H167" s="7">
        <v>-6.5710812720848004</v>
      </c>
      <c r="I167" s="7">
        <v>13.06</v>
      </c>
      <c r="J167" s="7">
        <v>13.17</v>
      </c>
      <c r="K167" s="7">
        <v>13</v>
      </c>
      <c r="L167" s="7">
        <v>-7.8445229681978796</v>
      </c>
    </row>
    <row r="168" spans="1:12" ht="15" customHeight="1" x14ac:dyDescent="0.2">
      <c r="A168" s="3">
        <v>45811</v>
      </c>
      <c r="B168" s="4">
        <v>13.1</v>
      </c>
      <c r="C168" s="5">
        <v>26180580</v>
      </c>
      <c r="D168" s="4">
        <v>2.9999999999999302E-2</v>
      </c>
      <c r="E168" s="4">
        <v>0.22953328232593301</v>
      </c>
      <c r="F168" s="4">
        <v>0.229536654434014</v>
      </c>
      <c r="G168" s="4">
        <v>13.281022</v>
      </c>
      <c r="H168" s="4">
        <v>-6.1411872791519402</v>
      </c>
      <c r="I168" s="4">
        <v>13.17</v>
      </c>
      <c r="J168" s="4">
        <v>13.3</v>
      </c>
      <c r="K168" s="4">
        <v>12.98</v>
      </c>
      <c r="L168" s="4">
        <v>-7.4204946996466399</v>
      </c>
    </row>
    <row r="169" spans="1:12" ht="15" customHeight="1" x14ac:dyDescent="0.2">
      <c r="A169" s="6">
        <v>45810</v>
      </c>
      <c r="B169" s="7">
        <v>13.07</v>
      </c>
      <c r="C169" s="8">
        <v>35943473</v>
      </c>
      <c r="D169" s="7">
        <v>-0.20999999999999899</v>
      </c>
      <c r="E169" s="7">
        <v>-1.5813253012048101</v>
      </c>
      <c r="F169" s="7">
        <v>-1.5813262352333199</v>
      </c>
      <c r="G169" s="7">
        <v>13.250607</v>
      </c>
      <c r="H169" s="7">
        <v>-6.3561342756183699</v>
      </c>
      <c r="I169" s="7">
        <v>13.27</v>
      </c>
      <c r="J169" s="7">
        <v>13.36</v>
      </c>
      <c r="K169" s="7">
        <v>13.04</v>
      </c>
      <c r="L169" s="7">
        <v>-7.6325088339222598</v>
      </c>
    </row>
    <row r="170" spans="1:12" ht="15" customHeight="1" x14ac:dyDescent="0.2">
      <c r="A170" s="3">
        <v>45807</v>
      </c>
      <c r="B170" s="4">
        <v>13.28</v>
      </c>
      <c r="C170" s="5">
        <v>71205420</v>
      </c>
      <c r="D170" s="4">
        <v>-0.35000000000000098</v>
      </c>
      <c r="E170" s="4">
        <v>-2.5678650036683899</v>
      </c>
      <c r="F170" s="4">
        <v>-2.5678617808427902</v>
      </c>
      <c r="G170" s="4">
        <v>13.463509</v>
      </c>
      <c r="H170" s="4">
        <v>-4.8515265017667799</v>
      </c>
      <c r="I170" s="4">
        <v>13.56</v>
      </c>
      <c r="J170" s="4">
        <v>13.56</v>
      </c>
      <c r="K170" s="4">
        <v>13.23</v>
      </c>
      <c r="L170" s="4">
        <v>-6.1484098939929401</v>
      </c>
    </row>
    <row r="171" spans="1:12" ht="15" customHeight="1" x14ac:dyDescent="0.2">
      <c r="A171" s="6">
        <v>45806</v>
      </c>
      <c r="B171" s="7">
        <v>13.63</v>
      </c>
      <c r="C171" s="8">
        <v>32656630</v>
      </c>
      <c r="D171" s="7">
        <v>-0.17999999999999899</v>
      </c>
      <c r="E171" s="7">
        <v>-1.30340333091961</v>
      </c>
      <c r="F171" s="7">
        <v>-1.3034081615000901</v>
      </c>
      <c r="G171" s="7">
        <v>13.818345000000001</v>
      </c>
      <c r="H171" s="7">
        <v>-2.343851590106</v>
      </c>
      <c r="I171" s="7">
        <v>13.78</v>
      </c>
      <c r="J171" s="7">
        <v>13.89</v>
      </c>
      <c r="K171" s="7">
        <v>13.58</v>
      </c>
      <c r="L171" s="7">
        <v>-3.6749116607773802</v>
      </c>
    </row>
    <row r="172" spans="1:12" ht="15" customHeight="1" x14ac:dyDescent="0.2">
      <c r="A172" s="3">
        <v>45805</v>
      </c>
      <c r="B172" s="4">
        <v>13.81</v>
      </c>
      <c r="C172" s="5">
        <v>37002953</v>
      </c>
      <c r="D172" s="4">
        <v>-7.0000000000000201E-2</v>
      </c>
      <c r="E172" s="4">
        <v>-0.50432276657060804</v>
      </c>
      <c r="F172" s="4">
        <v>-0.50432069813385305</v>
      </c>
      <c r="G172" s="4">
        <v>14.000833</v>
      </c>
      <c r="H172" s="4">
        <v>-1.0541837455830401</v>
      </c>
      <c r="I172" s="4">
        <v>13.9</v>
      </c>
      <c r="J172" s="4">
        <v>13.99</v>
      </c>
      <c r="K172" s="4">
        <v>13.76</v>
      </c>
      <c r="L172" s="4">
        <v>-2.4028268551236698</v>
      </c>
    </row>
    <row r="173" spans="1:12" ht="15" customHeight="1" x14ac:dyDescent="0.2">
      <c r="A173" s="6">
        <v>45804</v>
      </c>
      <c r="B173" s="7">
        <v>13.88</v>
      </c>
      <c r="C173" s="8">
        <v>41078008</v>
      </c>
      <c r="D173" s="7">
        <v>-5.99999999999987E-2</v>
      </c>
      <c r="E173" s="7">
        <v>-0.43041606886655698</v>
      </c>
      <c r="F173" s="7">
        <v>-0.43040827226189499</v>
      </c>
      <c r="G173" s="7">
        <v>14.0718</v>
      </c>
      <c r="H173" s="7">
        <v>-0.55265017667844996</v>
      </c>
      <c r="I173" s="7">
        <v>13.91</v>
      </c>
      <c r="J173" s="7">
        <v>14.16</v>
      </c>
      <c r="K173" s="7">
        <v>13.81</v>
      </c>
      <c r="L173" s="7">
        <v>-1.9081272084805601</v>
      </c>
    </row>
    <row r="174" spans="1:12" ht="15" customHeight="1" x14ac:dyDescent="0.2">
      <c r="A174" s="3">
        <v>45803</v>
      </c>
      <c r="B174" s="4">
        <v>13.94</v>
      </c>
      <c r="C174" s="5">
        <v>5222961</v>
      </c>
      <c r="D174" s="4">
        <v>0.109999999999999</v>
      </c>
      <c r="E174" s="4">
        <v>0.79537237888647105</v>
      </c>
      <c r="F174" s="4">
        <v>0.79536504566080002</v>
      </c>
      <c r="G174" s="4">
        <v>14.132628</v>
      </c>
      <c r="H174" s="4">
        <v>-0.122770318021201</v>
      </c>
      <c r="I174" s="4">
        <v>13.83</v>
      </c>
      <c r="J174" s="4">
        <v>14.39</v>
      </c>
      <c r="K174" s="4">
        <v>13.83</v>
      </c>
      <c r="L174" s="4">
        <v>-1.4840989399293301</v>
      </c>
    </row>
    <row r="175" spans="1:12" ht="15" customHeight="1" x14ac:dyDescent="0.2">
      <c r="A175" s="6">
        <v>45800</v>
      </c>
      <c r="B175" s="7">
        <v>13.83</v>
      </c>
      <c r="C175" s="8">
        <v>29649700</v>
      </c>
      <c r="D175" s="7">
        <v>0.24</v>
      </c>
      <c r="E175" s="7">
        <v>1.7660044150110401</v>
      </c>
      <c r="F175" s="7">
        <v>1.7660012746598599</v>
      </c>
      <c r="G175" s="7">
        <v>14.021108999999999</v>
      </c>
      <c r="H175" s="7">
        <v>-0.91089045936396595</v>
      </c>
      <c r="I175" s="7">
        <v>13.42</v>
      </c>
      <c r="J175" s="7">
        <v>13.85</v>
      </c>
      <c r="K175" s="7">
        <v>13.35</v>
      </c>
      <c r="L175" s="7">
        <v>-2.2614840989399299</v>
      </c>
    </row>
    <row r="176" spans="1:12" ht="15" customHeight="1" x14ac:dyDescent="0.2">
      <c r="A176" s="3">
        <v>45799</v>
      </c>
      <c r="B176" s="4">
        <v>13.59</v>
      </c>
      <c r="C176" s="5">
        <v>31636400</v>
      </c>
      <c r="D176" s="4">
        <v>-5.0000000000000697E-2</v>
      </c>
      <c r="E176" s="4">
        <v>-0.36656891495601102</v>
      </c>
      <c r="F176" s="4">
        <v>-0.36656946632760401</v>
      </c>
      <c r="G176" s="4">
        <v>13.777793000000001</v>
      </c>
      <c r="H176" s="4">
        <v>-2.6304381625441602</v>
      </c>
      <c r="I176" s="4">
        <v>13.57</v>
      </c>
      <c r="J176" s="4">
        <v>13.64</v>
      </c>
      <c r="K176" s="4">
        <v>13.41</v>
      </c>
      <c r="L176" s="4">
        <v>-3.9575971731448698</v>
      </c>
    </row>
    <row r="177" spans="1:12" ht="15" customHeight="1" x14ac:dyDescent="0.2">
      <c r="A177" s="6">
        <v>45798</v>
      </c>
      <c r="B177" s="7">
        <v>13.64</v>
      </c>
      <c r="C177" s="8">
        <v>23619890</v>
      </c>
      <c r="D177" s="7">
        <v>0.100000000000001</v>
      </c>
      <c r="E177" s="7">
        <v>0.73855243722304997</v>
      </c>
      <c r="F177" s="7">
        <v>0.73856089497703603</v>
      </c>
      <c r="G177" s="7">
        <v>13.828484</v>
      </c>
      <c r="H177" s="7">
        <v>-2.27219787985866</v>
      </c>
      <c r="I177" s="7">
        <v>13.45</v>
      </c>
      <c r="J177" s="7">
        <v>13.71</v>
      </c>
      <c r="K177" s="7">
        <v>13.44</v>
      </c>
      <c r="L177" s="7">
        <v>-3.60424028268551</v>
      </c>
    </row>
    <row r="178" spans="1:12" ht="15" customHeight="1" x14ac:dyDescent="0.2">
      <c r="A178" s="3">
        <v>45797</v>
      </c>
      <c r="B178" s="4">
        <v>13.54</v>
      </c>
      <c r="C178" s="5">
        <v>29621800</v>
      </c>
      <c r="D178" s="4">
        <v>0.17999999999999899</v>
      </c>
      <c r="E178" s="4">
        <v>1.3473053892215601</v>
      </c>
      <c r="F178" s="4">
        <v>1.34730306821588</v>
      </c>
      <c r="G178" s="4">
        <v>13.727100999999999</v>
      </c>
      <c r="H178" s="4">
        <v>-2.98868551236749</v>
      </c>
      <c r="I178" s="4">
        <v>13.29</v>
      </c>
      <c r="J178" s="4">
        <v>13.59</v>
      </c>
      <c r="K178" s="4">
        <v>13.29</v>
      </c>
      <c r="L178" s="4">
        <v>-4.3109540636042398</v>
      </c>
    </row>
    <row r="179" spans="1:12" ht="15" customHeight="1" x14ac:dyDescent="0.2">
      <c r="A179" s="6">
        <v>45796</v>
      </c>
      <c r="B179" s="7">
        <v>13.36</v>
      </c>
      <c r="C179" s="8">
        <v>26835410</v>
      </c>
      <c r="D179" s="7"/>
      <c r="E179" s="7"/>
      <c r="F179" s="7"/>
      <c r="G179" s="7">
        <v>13.544613999999999</v>
      </c>
      <c r="H179" s="7">
        <v>-4.2783462897526503</v>
      </c>
      <c r="I179" s="7">
        <v>13.31</v>
      </c>
      <c r="J179" s="7">
        <v>13.47</v>
      </c>
      <c r="K179" s="7">
        <v>13.16</v>
      </c>
      <c r="L179" s="7">
        <v>-5.5830388692579502</v>
      </c>
    </row>
    <row r="180" spans="1:12" ht="15" customHeight="1" x14ac:dyDescent="0.2">
      <c r="A180" s="3">
        <v>45793</v>
      </c>
      <c r="B180" s="4">
        <v>13.36</v>
      </c>
      <c r="C180" s="5">
        <v>25055440</v>
      </c>
      <c r="D180" s="4">
        <v>-7.0000000000000201E-2</v>
      </c>
      <c r="E180" s="4">
        <v>-0.52122114668652297</v>
      </c>
      <c r="F180" s="4">
        <v>-0.52122268887303502</v>
      </c>
      <c r="G180" s="4">
        <v>13.544613999999999</v>
      </c>
      <c r="H180" s="4">
        <v>-4.2783462897526503</v>
      </c>
      <c r="I180" s="4">
        <v>13.42</v>
      </c>
      <c r="J180" s="4">
        <v>13.49</v>
      </c>
      <c r="K180" s="4">
        <v>13.29</v>
      </c>
      <c r="L180" s="4">
        <v>-5.5830388692579502</v>
      </c>
    </row>
    <row r="181" spans="1:12" ht="15" customHeight="1" x14ac:dyDescent="0.2">
      <c r="A181" s="6">
        <v>45792</v>
      </c>
      <c r="B181" s="7">
        <v>13.43</v>
      </c>
      <c r="C181" s="8">
        <v>25848060</v>
      </c>
      <c r="D181" s="7">
        <v>0.12999999999999901</v>
      </c>
      <c r="E181" s="7">
        <v>0.97744360902254301</v>
      </c>
      <c r="F181" s="7">
        <v>0.97743690088227797</v>
      </c>
      <c r="G181" s="7">
        <v>13.615581499999999</v>
      </c>
      <c r="H181" s="7">
        <v>-3.77680918727915</v>
      </c>
      <c r="I181" s="7">
        <v>13.27</v>
      </c>
      <c r="J181" s="7">
        <v>13.45</v>
      </c>
      <c r="K181" s="7">
        <v>13.1</v>
      </c>
      <c r="L181" s="7">
        <v>-5.0883392226148398</v>
      </c>
    </row>
    <row r="182" spans="1:12" ht="15" customHeight="1" x14ac:dyDescent="0.2">
      <c r="A182" s="3">
        <v>45791</v>
      </c>
      <c r="B182" s="4">
        <v>13.3</v>
      </c>
      <c r="C182" s="5">
        <v>33818130</v>
      </c>
      <c r="D182" s="4">
        <v>7.0000000000000201E-2</v>
      </c>
      <c r="E182" s="4">
        <v>0.52910052910053396</v>
      </c>
      <c r="F182" s="4">
        <v>0.52911331005260898</v>
      </c>
      <c r="G182" s="4">
        <v>13.483786</v>
      </c>
      <c r="H182" s="4">
        <v>-4.7082261484098904</v>
      </c>
      <c r="I182" s="4">
        <v>13.16</v>
      </c>
      <c r="J182" s="4">
        <v>13.4</v>
      </c>
      <c r="K182" s="4">
        <v>13.12</v>
      </c>
      <c r="L182" s="4">
        <v>-6.0070671378091802</v>
      </c>
    </row>
    <row r="183" spans="1:12" ht="15" customHeight="1" x14ac:dyDescent="0.2">
      <c r="A183" s="6">
        <v>45790</v>
      </c>
      <c r="B183" s="7">
        <v>13.23</v>
      </c>
      <c r="C183" s="8">
        <v>35276420</v>
      </c>
      <c r="D183" s="7">
        <v>0.32</v>
      </c>
      <c r="E183" s="7">
        <v>2.47869868319132</v>
      </c>
      <c r="F183" s="7">
        <v>2.4786918121976198</v>
      </c>
      <c r="G183" s="7">
        <v>13.412817</v>
      </c>
      <c r="H183" s="7">
        <v>-5.2097738515901</v>
      </c>
      <c r="I183" s="7">
        <v>12.85</v>
      </c>
      <c r="J183" s="7">
        <v>13.37</v>
      </c>
      <c r="K183" s="7">
        <v>12.85</v>
      </c>
      <c r="L183" s="7">
        <v>-6.5017667844522897</v>
      </c>
    </row>
    <row r="184" spans="1:12" ht="15" customHeight="1" x14ac:dyDescent="0.2">
      <c r="A184" s="3">
        <v>45789</v>
      </c>
      <c r="B184" s="4">
        <v>12.91</v>
      </c>
      <c r="C184" s="5">
        <v>30753870</v>
      </c>
      <c r="D184" s="4">
        <v>0.42999999999999899</v>
      </c>
      <c r="E184" s="4">
        <v>3.44551282051281</v>
      </c>
      <c r="F184" s="4">
        <v>3.4455215917419402</v>
      </c>
      <c r="G184" s="4">
        <v>13.088395999999999</v>
      </c>
      <c r="H184" s="4">
        <v>-7.5025017667844498</v>
      </c>
      <c r="I184" s="4">
        <v>12.62</v>
      </c>
      <c r="J184" s="4">
        <v>12.94</v>
      </c>
      <c r="K184" s="4">
        <v>12.52</v>
      </c>
      <c r="L184" s="4">
        <v>-8.7632508833922191</v>
      </c>
    </row>
    <row r="185" spans="1:12" ht="15" customHeight="1" x14ac:dyDescent="0.2">
      <c r="A185" s="6">
        <v>45786</v>
      </c>
      <c r="B185" s="7">
        <v>12.48</v>
      </c>
      <c r="C185" s="8">
        <v>20891620</v>
      </c>
      <c r="D185" s="7">
        <v>-0.16999999999999901</v>
      </c>
      <c r="E185" s="7">
        <v>-1.3438735177865599</v>
      </c>
      <c r="F185" s="7">
        <v>-1.34387259935865</v>
      </c>
      <c r="G185" s="7">
        <v>12.652453</v>
      </c>
      <c r="H185" s="7">
        <v>-10.5833710247349</v>
      </c>
      <c r="I185" s="7">
        <v>12.65</v>
      </c>
      <c r="J185" s="7">
        <v>12.73</v>
      </c>
      <c r="K185" s="7">
        <v>12.44</v>
      </c>
      <c r="L185" s="7">
        <v>-11.8021201413427</v>
      </c>
    </row>
    <row r="186" spans="1:12" ht="15" customHeight="1" x14ac:dyDescent="0.2">
      <c r="A186" s="3">
        <v>45785</v>
      </c>
      <c r="B186" s="4">
        <v>12.65</v>
      </c>
      <c r="C186" s="5">
        <v>36936490</v>
      </c>
      <c r="D186" s="4"/>
      <c r="E186" s="4"/>
      <c r="F186" s="4"/>
      <c r="G186" s="4">
        <v>12.824802</v>
      </c>
      <c r="H186" s="4">
        <v>-9.3653568904593598</v>
      </c>
      <c r="I186" s="4">
        <v>12.62</v>
      </c>
      <c r="J186" s="4">
        <v>12.79</v>
      </c>
      <c r="K186" s="4">
        <v>12.55</v>
      </c>
      <c r="L186" s="4">
        <v>-10.6007067137809</v>
      </c>
    </row>
    <row r="187" spans="1:12" ht="15" customHeight="1" x14ac:dyDescent="0.2">
      <c r="A187" s="6">
        <v>45784</v>
      </c>
      <c r="B187" s="7">
        <v>12.65</v>
      </c>
      <c r="C187" s="8">
        <v>45458820</v>
      </c>
      <c r="D187" s="7">
        <v>0.439999999999999</v>
      </c>
      <c r="E187" s="7">
        <v>3.6036036036035801</v>
      </c>
      <c r="F187" s="7">
        <v>3.6035946518877502</v>
      </c>
      <c r="G187" s="7">
        <v>12.824802</v>
      </c>
      <c r="H187" s="7">
        <v>-9.3653568904593598</v>
      </c>
      <c r="I187" s="7">
        <v>12.27</v>
      </c>
      <c r="J187" s="7">
        <v>12.73</v>
      </c>
      <c r="K187" s="7">
        <v>12.15</v>
      </c>
      <c r="L187" s="7">
        <v>-10.6007067137809</v>
      </c>
    </row>
    <row r="188" spans="1:12" ht="15" customHeight="1" x14ac:dyDescent="0.2">
      <c r="A188" s="3">
        <v>45783</v>
      </c>
      <c r="B188" s="4">
        <v>12.21</v>
      </c>
      <c r="C188" s="5">
        <v>38366740</v>
      </c>
      <c r="D188" s="4">
        <v>0.20000000000000101</v>
      </c>
      <c r="E188" s="4">
        <v>1.66527893422148</v>
      </c>
      <c r="F188" s="4">
        <v>1.6652732104901899</v>
      </c>
      <c r="G188" s="4">
        <v>12.378723000000001</v>
      </c>
      <c r="H188" s="4">
        <v>-12.517858657243799</v>
      </c>
      <c r="I188" s="4">
        <v>12</v>
      </c>
      <c r="J188" s="4">
        <v>12.33</v>
      </c>
      <c r="K188" s="4">
        <v>11.83</v>
      </c>
      <c r="L188" s="4">
        <v>-13.7102473498233</v>
      </c>
    </row>
    <row r="189" spans="1:12" ht="15" customHeight="1" x14ac:dyDescent="0.2">
      <c r="A189" s="6">
        <v>45782</v>
      </c>
      <c r="B189" s="7">
        <v>12.01</v>
      </c>
      <c r="C189" s="8">
        <v>20385880</v>
      </c>
      <c r="D189" s="7">
        <v>-7.0000000000000201E-2</v>
      </c>
      <c r="E189" s="7">
        <v>-0.57947019867550198</v>
      </c>
      <c r="F189" s="7">
        <v>-0.57945969462050995</v>
      </c>
      <c r="G189" s="7">
        <v>12.17596</v>
      </c>
      <c r="H189" s="7">
        <v>-13.950812720848001</v>
      </c>
      <c r="I189" s="7">
        <v>12</v>
      </c>
      <c r="J189" s="7">
        <v>12.17</v>
      </c>
      <c r="K189" s="7">
        <v>11.94</v>
      </c>
      <c r="L189" s="7">
        <v>-15.1236749116607</v>
      </c>
    </row>
    <row r="190" spans="1:12" ht="15" customHeight="1" x14ac:dyDescent="0.2">
      <c r="A190" s="3">
        <v>45779</v>
      </c>
      <c r="B190" s="4">
        <v>12.08</v>
      </c>
      <c r="C190" s="5">
        <v>33274239.999999899</v>
      </c>
      <c r="D190" s="4">
        <v>-1.9999999999999501E-2</v>
      </c>
      <c r="E190" s="4">
        <v>-0.165289256198342</v>
      </c>
      <c r="F190" s="4">
        <v>-0.16529440329633399</v>
      </c>
      <c r="G190" s="4">
        <v>12.246926</v>
      </c>
      <c r="H190" s="4">
        <v>-13.4492862190812</v>
      </c>
      <c r="I190" s="4">
        <v>12.12</v>
      </c>
      <c r="J190" s="4">
        <v>12.17</v>
      </c>
      <c r="K190" s="4">
        <v>11.99</v>
      </c>
      <c r="L190" s="4">
        <v>-14.628975265017599</v>
      </c>
    </row>
    <row r="191" spans="1:12" ht="15" customHeight="1" x14ac:dyDescent="0.2">
      <c r="A191" s="6">
        <v>45777</v>
      </c>
      <c r="B191" s="7">
        <v>12.1</v>
      </c>
      <c r="C191" s="8">
        <v>32607570</v>
      </c>
      <c r="D191" s="7">
        <v>0.19999999999999901</v>
      </c>
      <c r="E191" s="7">
        <v>1.6806722689075499</v>
      </c>
      <c r="F191" s="7">
        <v>1.68067491575862</v>
      </c>
      <c r="G191" s="7">
        <v>12.267203</v>
      </c>
      <c r="H191" s="7">
        <v>-13.305985865724301</v>
      </c>
      <c r="I191" s="7">
        <v>11.9</v>
      </c>
      <c r="J191" s="7">
        <v>12.14</v>
      </c>
      <c r="K191" s="7">
        <v>11.57</v>
      </c>
      <c r="L191" s="7">
        <v>-14.487632508833901</v>
      </c>
    </row>
    <row r="192" spans="1:12" ht="15" customHeight="1" x14ac:dyDescent="0.2">
      <c r="A192" s="3">
        <v>45776</v>
      </c>
      <c r="B192" s="4">
        <v>11.9</v>
      </c>
      <c r="C192" s="5">
        <v>69552480</v>
      </c>
      <c r="D192" s="4">
        <v>-0.17999999999999899</v>
      </c>
      <c r="E192" s="4">
        <v>-1.4900662251655601</v>
      </c>
      <c r="F192" s="4">
        <v>-1.4900637106813499</v>
      </c>
      <c r="G192" s="4">
        <v>12.064439</v>
      </c>
      <c r="H192" s="4">
        <v>-14.738946996466399</v>
      </c>
      <c r="I192" s="4">
        <v>12.01</v>
      </c>
      <c r="J192" s="4">
        <v>12.17</v>
      </c>
      <c r="K192" s="4">
        <v>11.82</v>
      </c>
      <c r="L192" s="4">
        <v>-15.901060070671299</v>
      </c>
    </row>
    <row r="193" spans="1:12" ht="15" customHeight="1" x14ac:dyDescent="0.2">
      <c r="A193" s="6">
        <v>45775</v>
      </c>
      <c r="B193" s="7">
        <v>12.08</v>
      </c>
      <c r="C193" s="8">
        <v>49176600</v>
      </c>
      <c r="D193" s="7">
        <v>0.42999999999999899</v>
      </c>
      <c r="E193" s="7">
        <v>3.69098712446351</v>
      </c>
      <c r="F193" s="7">
        <v>3.6909792028353201</v>
      </c>
      <c r="G193" s="7">
        <v>12.246926</v>
      </c>
      <c r="H193" s="7">
        <v>-13.4492862190812</v>
      </c>
      <c r="I193" s="7">
        <v>11.64</v>
      </c>
      <c r="J193" s="7">
        <v>12.25</v>
      </c>
      <c r="K193" s="7">
        <v>11.57</v>
      </c>
      <c r="L193" s="7">
        <v>-14.628975265017599</v>
      </c>
    </row>
    <row r="194" spans="1:12" ht="15" customHeight="1" x14ac:dyDescent="0.2">
      <c r="A194" s="3">
        <v>45772</v>
      </c>
      <c r="B194" s="4">
        <v>11.65</v>
      </c>
      <c r="C194" s="5">
        <v>81804650</v>
      </c>
      <c r="D194" s="4">
        <v>0.45000000000000101</v>
      </c>
      <c r="E194" s="4">
        <v>4.0178571428571601</v>
      </c>
      <c r="F194" s="4">
        <v>4.0178635121146602</v>
      </c>
      <c r="G194" s="4">
        <v>11.810985000000001</v>
      </c>
      <c r="H194" s="4">
        <v>-16.530141342756099</v>
      </c>
      <c r="I194" s="4">
        <v>11.14</v>
      </c>
      <c r="J194" s="4">
        <v>11.7</v>
      </c>
      <c r="K194" s="4">
        <v>11.04</v>
      </c>
      <c r="L194" s="4">
        <v>-17.667844522968199</v>
      </c>
    </row>
    <row r="195" spans="1:12" ht="15" customHeight="1" x14ac:dyDescent="0.2">
      <c r="A195" s="6">
        <v>45771</v>
      </c>
      <c r="B195" s="7">
        <v>11.2</v>
      </c>
      <c r="C195" s="8">
        <v>36767527</v>
      </c>
      <c r="D195" s="7">
        <v>0.13999999999999799</v>
      </c>
      <c r="E195" s="7">
        <v>1.26582278481011</v>
      </c>
      <c r="F195" s="7">
        <v>1.2658175918447601</v>
      </c>
      <c r="G195" s="7">
        <v>11.354766</v>
      </c>
      <c r="H195" s="7">
        <v>-19.754303886925701</v>
      </c>
      <c r="I195" s="7">
        <v>11.04</v>
      </c>
      <c r="J195" s="7">
        <v>11.33</v>
      </c>
      <c r="K195" s="7">
        <v>10.95</v>
      </c>
      <c r="L195" s="7">
        <v>-20.848056537102401</v>
      </c>
    </row>
    <row r="196" spans="1:12" ht="15" customHeight="1" x14ac:dyDescent="0.2">
      <c r="A196" s="3">
        <v>45770</v>
      </c>
      <c r="B196" s="4">
        <v>11.06</v>
      </c>
      <c r="C196" s="5">
        <v>44217540</v>
      </c>
      <c r="D196" s="4">
        <v>0.27000000000000102</v>
      </c>
      <c r="E196" s="4">
        <v>2.50231696014828</v>
      </c>
      <c r="F196" s="4">
        <v>2.5023171465369902</v>
      </c>
      <c r="G196" s="4">
        <v>11.212832000000001</v>
      </c>
      <c r="H196" s="4">
        <v>-20.757371024734901</v>
      </c>
      <c r="I196" s="4">
        <v>10.88</v>
      </c>
      <c r="J196" s="4">
        <v>11.25</v>
      </c>
      <c r="K196" s="4">
        <v>10.88</v>
      </c>
      <c r="L196" s="4">
        <v>-21.837455830388599</v>
      </c>
    </row>
    <row r="197" spans="1:12" ht="15" customHeight="1" x14ac:dyDescent="0.2">
      <c r="A197" s="6">
        <v>45769</v>
      </c>
      <c r="B197" s="7">
        <v>10.79</v>
      </c>
      <c r="C197" s="8">
        <v>44038953</v>
      </c>
      <c r="D197" s="7">
        <v>0.37999999999999901</v>
      </c>
      <c r="E197" s="7">
        <v>3.6503362151776901</v>
      </c>
      <c r="F197" s="7">
        <v>3.6503361332594202</v>
      </c>
      <c r="G197" s="7">
        <v>10.939101000000001</v>
      </c>
      <c r="H197" s="7">
        <v>-22.6918657243816</v>
      </c>
      <c r="I197" s="7">
        <v>10.46</v>
      </c>
      <c r="J197" s="7">
        <v>10.88</v>
      </c>
      <c r="K197" s="7">
        <v>10.46</v>
      </c>
      <c r="L197" s="7">
        <v>-23.745583038869199</v>
      </c>
    </row>
    <row r="198" spans="1:12" ht="15" customHeight="1" x14ac:dyDescent="0.2">
      <c r="A198" s="3">
        <v>45768</v>
      </c>
      <c r="B198" s="4">
        <v>10.41</v>
      </c>
      <c r="C198" s="5">
        <v>27240470</v>
      </c>
      <c r="D198" s="4"/>
      <c r="E198" s="4"/>
      <c r="F198" s="4"/>
      <c r="G198" s="4">
        <v>10.553850000000001</v>
      </c>
      <c r="H198" s="4">
        <v>-25.414487632508798</v>
      </c>
      <c r="I198" s="4">
        <v>10.49</v>
      </c>
      <c r="J198" s="4">
        <v>10.59</v>
      </c>
      <c r="K198" s="4">
        <v>10.210000000000001</v>
      </c>
      <c r="L198" s="4">
        <v>-26.431095406360399</v>
      </c>
    </row>
    <row r="199" spans="1:12" ht="15" customHeight="1" x14ac:dyDescent="0.2">
      <c r="A199" s="6">
        <v>45763</v>
      </c>
      <c r="B199" s="7">
        <v>10.41</v>
      </c>
      <c r="C199" s="8">
        <v>31486680</v>
      </c>
      <c r="D199" s="7">
        <v>-0.16999999999999901</v>
      </c>
      <c r="E199" s="7">
        <v>-1.60680529300567</v>
      </c>
      <c r="F199" s="7">
        <v>-1.6068040505308401</v>
      </c>
      <c r="G199" s="7">
        <v>10.553850000000001</v>
      </c>
      <c r="H199" s="7">
        <v>-25.414487632508798</v>
      </c>
      <c r="I199" s="7">
        <v>10.63</v>
      </c>
      <c r="J199" s="7">
        <v>10.63</v>
      </c>
      <c r="K199" s="7">
        <v>10.28</v>
      </c>
      <c r="L199" s="7">
        <v>-26.431095406360399</v>
      </c>
    </row>
    <row r="200" spans="1:12" ht="15" customHeight="1" x14ac:dyDescent="0.2">
      <c r="A200" s="3">
        <v>45762</v>
      </c>
      <c r="B200" s="4">
        <v>10.58</v>
      </c>
      <c r="C200" s="5">
        <v>29989750</v>
      </c>
      <c r="D200" s="4">
        <v>-0.15</v>
      </c>
      <c r="E200" s="4">
        <v>-1.3979496738117401</v>
      </c>
      <c r="F200" s="4">
        <v>-1.39794274292303</v>
      </c>
      <c r="G200" s="4">
        <v>10.726198999999999</v>
      </c>
      <c r="H200" s="4">
        <v>-24.1964734982332</v>
      </c>
      <c r="I200" s="4">
        <v>10.73</v>
      </c>
      <c r="J200" s="4">
        <v>10.78</v>
      </c>
      <c r="K200" s="4">
        <v>10.48</v>
      </c>
      <c r="L200" s="4">
        <v>-25.229681978798499</v>
      </c>
    </row>
    <row r="201" spans="1:12" ht="15" customHeight="1" x14ac:dyDescent="0.2">
      <c r="A201" s="6">
        <v>45761</v>
      </c>
      <c r="B201" s="7">
        <v>10.73</v>
      </c>
      <c r="C201" s="8">
        <v>27821760</v>
      </c>
      <c r="D201" s="7">
        <v>0.22</v>
      </c>
      <c r="E201" s="7">
        <v>2.0932445290199699</v>
      </c>
      <c r="F201" s="7">
        <v>2.0932345724616801</v>
      </c>
      <c r="G201" s="7">
        <v>10.878271</v>
      </c>
      <c r="H201" s="7">
        <v>-23.121759717314401</v>
      </c>
      <c r="I201" s="7">
        <v>10.57</v>
      </c>
      <c r="J201" s="7">
        <v>10.99</v>
      </c>
      <c r="K201" s="7">
        <v>10.57</v>
      </c>
      <c r="L201" s="7">
        <v>-24.1696113074204</v>
      </c>
    </row>
    <row r="202" spans="1:12" ht="15" customHeight="1" x14ac:dyDescent="0.2">
      <c r="A202" s="3">
        <v>45758</v>
      </c>
      <c r="B202" s="4">
        <v>10.51</v>
      </c>
      <c r="C202" s="5">
        <v>37725848</v>
      </c>
      <c r="D202" s="4">
        <v>0.19999999999999901</v>
      </c>
      <c r="E202" s="4">
        <v>1.93986420950533</v>
      </c>
      <c r="F202" s="4">
        <v>1.9398574633418999</v>
      </c>
      <c r="G202" s="4">
        <v>10.655232</v>
      </c>
      <c r="H202" s="4">
        <v>-24.698007067137802</v>
      </c>
      <c r="I202" s="4">
        <v>10.36</v>
      </c>
      <c r="J202" s="4">
        <v>10.6</v>
      </c>
      <c r="K202" s="4">
        <v>10.17</v>
      </c>
      <c r="L202" s="4">
        <v>-25.724381625441701</v>
      </c>
    </row>
    <row r="203" spans="1:12" ht="15" customHeight="1" x14ac:dyDescent="0.2">
      <c r="A203" s="6">
        <v>45757</v>
      </c>
      <c r="B203" s="7">
        <v>10.31</v>
      </c>
      <c r="C203" s="8">
        <v>46978880</v>
      </c>
      <c r="D203" s="7">
        <v>-0.54999999999999805</v>
      </c>
      <c r="E203" s="7">
        <v>-5.0644567219152696</v>
      </c>
      <c r="F203" s="7">
        <v>-5.0644464684505097</v>
      </c>
      <c r="G203" s="7">
        <v>10.452469000000001</v>
      </c>
      <c r="H203" s="7">
        <v>-26.130961130742001</v>
      </c>
      <c r="I203" s="7">
        <v>10.81</v>
      </c>
      <c r="J203" s="7">
        <v>10.81</v>
      </c>
      <c r="K203" s="7">
        <v>10.25</v>
      </c>
      <c r="L203" s="7">
        <v>-27.1378091872791</v>
      </c>
    </row>
    <row r="204" spans="1:12" ht="15" customHeight="1" x14ac:dyDescent="0.2">
      <c r="A204" s="3">
        <v>45756</v>
      </c>
      <c r="B204" s="4">
        <v>10.86</v>
      </c>
      <c r="C204" s="5">
        <v>46049490</v>
      </c>
      <c r="D204" s="4">
        <v>0.309999999999998</v>
      </c>
      <c r="E204" s="4">
        <v>2.9383886255924101</v>
      </c>
      <c r="F204" s="4">
        <v>2.9383818018032302</v>
      </c>
      <c r="G204" s="4">
        <v>11.010068</v>
      </c>
      <c r="H204" s="4">
        <v>-22.190332155477002</v>
      </c>
      <c r="I204" s="4">
        <v>10.62</v>
      </c>
      <c r="J204" s="4">
        <v>10.98</v>
      </c>
      <c r="K204" s="4">
        <v>10.26</v>
      </c>
      <c r="L204" s="4">
        <v>-23.2508833922261</v>
      </c>
    </row>
    <row r="205" spans="1:12" ht="15" customHeight="1" x14ac:dyDescent="0.2">
      <c r="A205" s="6">
        <v>45755</v>
      </c>
      <c r="B205" s="7">
        <v>10.55</v>
      </c>
      <c r="C205" s="8">
        <v>51153870</v>
      </c>
      <c r="D205" s="7">
        <v>-0.08</v>
      </c>
      <c r="E205" s="7">
        <v>-0.75258701787394</v>
      </c>
      <c r="F205" s="7">
        <v>-0.75258260963969503</v>
      </c>
      <c r="G205" s="7">
        <v>10.695785000000001</v>
      </c>
      <c r="H205" s="7">
        <v>-24.411413427561801</v>
      </c>
      <c r="I205" s="7">
        <v>10.82</v>
      </c>
      <c r="J205" s="7">
        <v>10.95</v>
      </c>
      <c r="K205" s="7">
        <v>10.41</v>
      </c>
      <c r="L205" s="7">
        <v>-25.441696113074201</v>
      </c>
    </row>
    <row r="206" spans="1:12" ht="15" customHeight="1" x14ac:dyDescent="0.2">
      <c r="A206" s="3">
        <v>45754</v>
      </c>
      <c r="B206" s="4">
        <v>10.63</v>
      </c>
      <c r="C206" s="5">
        <v>60299360</v>
      </c>
      <c r="D206" s="4">
        <v>0.110000000000001</v>
      </c>
      <c r="E206" s="4">
        <v>1.0456273764258599</v>
      </c>
      <c r="F206" s="4">
        <v>1.0456271090454501</v>
      </c>
      <c r="G206" s="4">
        <v>10.77689</v>
      </c>
      <c r="H206" s="4">
        <v>-23.838233215547699</v>
      </c>
      <c r="I206" s="4">
        <v>10.46</v>
      </c>
      <c r="J206" s="4">
        <v>11.28</v>
      </c>
      <c r="K206" s="4">
        <v>10.24</v>
      </c>
      <c r="L206" s="4">
        <v>-24.8763250883392</v>
      </c>
    </row>
    <row r="207" spans="1:12" ht="15" customHeight="1" x14ac:dyDescent="0.2">
      <c r="A207" s="6">
        <v>45751</v>
      </c>
      <c r="B207" s="7">
        <v>10.52</v>
      </c>
      <c r="C207" s="8">
        <v>50041180</v>
      </c>
      <c r="D207" s="7">
        <v>-0.57999999999999996</v>
      </c>
      <c r="E207" s="7">
        <v>-5.2252252252252198</v>
      </c>
      <c r="F207" s="7">
        <v>-5.2252277870169701</v>
      </c>
      <c r="G207" s="7">
        <v>10.665369999999999</v>
      </c>
      <c r="H207" s="7">
        <v>-24.626360424028199</v>
      </c>
      <c r="I207" s="7">
        <v>11.15</v>
      </c>
      <c r="J207" s="7">
        <v>11.15</v>
      </c>
      <c r="K207" s="7">
        <v>10.24</v>
      </c>
      <c r="L207" s="7">
        <v>-25.6537102473498</v>
      </c>
    </row>
    <row r="208" spans="1:12" ht="15" customHeight="1" x14ac:dyDescent="0.2">
      <c r="A208" s="3">
        <v>45750</v>
      </c>
      <c r="B208" s="4">
        <v>11.1</v>
      </c>
      <c r="C208" s="5">
        <v>60554992</v>
      </c>
      <c r="D208" s="4">
        <v>-0.56999999999999995</v>
      </c>
      <c r="E208" s="4">
        <v>-4.8843187660668397</v>
      </c>
      <c r="F208" s="4">
        <v>-4.8843225684631104</v>
      </c>
      <c r="G208" s="4">
        <v>11.253385</v>
      </c>
      <c r="H208" s="4">
        <v>-20.470777385159</v>
      </c>
      <c r="I208" s="4">
        <v>11.38</v>
      </c>
      <c r="J208" s="4">
        <v>11.47</v>
      </c>
      <c r="K208" s="4">
        <v>11</v>
      </c>
      <c r="L208" s="4">
        <v>-21.554770318021198</v>
      </c>
    </row>
    <row r="209" spans="1:12" ht="15" customHeight="1" x14ac:dyDescent="0.2">
      <c r="A209" s="6">
        <v>45749</v>
      </c>
      <c r="B209" s="7">
        <v>11.67</v>
      </c>
      <c r="C209" s="8">
        <v>43639566</v>
      </c>
      <c r="D209" s="7">
        <v>0.08</v>
      </c>
      <c r="E209" s="7">
        <v>0.690250215703192</v>
      </c>
      <c r="F209" s="7">
        <v>0.69026323482541596</v>
      </c>
      <c r="G209" s="7">
        <v>11.831262000000001</v>
      </c>
      <c r="H209" s="7">
        <v>-16.3868409893992</v>
      </c>
      <c r="I209" s="7">
        <v>11.51</v>
      </c>
      <c r="J209" s="7">
        <v>11.79</v>
      </c>
      <c r="K209" s="7">
        <v>11.51</v>
      </c>
      <c r="L209" s="7">
        <v>-17.526501766784399</v>
      </c>
    </row>
    <row r="210" spans="1:12" ht="15" customHeight="1" x14ac:dyDescent="0.2">
      <c r="A210" s="3">
        <v>45748</v>
      </c>
      <c r="B210" s="4">
        <v>11.59</v>
      </c>
      <c r="C210" s="5">
        <v>44116870</v>
      </c>
      <c r="D210" s="4">
        <v>3.9999999999999099E-2</v>
      </c>
      <c r="E210" s="4">
        <v>0.34632034632033898</v>
      </c>
      <c r="F210" s="4">
        <v>0.34631404668459198</v>
      </c>
      <c r="G210" s="4">
        <v>11.750154999999999</v>
      </c>
      <c r="H210" s="4">
        <v>-16.960035335689</v>
      </c>
      <c r="I210" s="4">
        <v>11.55</v>
      </c>
      <c r="J210" s="4">
        <v>11.61</v>
      </c>
      <c r="K210" s="4">
        <v>11.36</v>
      </c>
      <c r="L210" s="4">
        <v>-18.0918727915194</v>
      </c>
    </row>
    <row r="211" spans="1:12" ht="15" customHeight="1" x14ac:dyDescent="0.2">
      <c r="A211" s="6">
        <v>45747</v>
      </c>
      <c r="B211" s="7">
        <v>11.55</v>
      </c>
      <c r="C211" s="8">
        <v>37539640</v>
      </c>
      <c r="D211" s="7">
        <v>-5.99999999999987E-2</v>
      </c>
      <c r="E211" s="7">
        <v>-0.51679586563306801</v>
      </c>
      <c r="F211" s="7">
        <v>-0.516790739574846</v>
      </c>
      <c r="G211" s="7">
        <v>11.709603</v>
      </c>
      <c r="H211" s="7">
        <v>-17.246621908127199</v>
      </c>
      <c r="I211" s="7">
        <v>11.61</v>
      </c>
      <c r="J211" s="7">
        <v>11.61</v>
      </c>
      <c r="K211" s="7">
        <v>11.07</v>
      </c>
      <c r="L211" s="7">
        <v>-18.3745583038869</v>
      </c>
    </row>
    <row r="212" spans="1:12" ht="15" customHeight="1" x14ac:dyDescent="0.2">
      <c r="A212" s="3">
        <v>45744</v>
      </c>
      <c r="B212" s="4">
        <v>11.61</v>
      </c>
      <c r="C212" s="5">
        <v>31109140</v>
      </c>
      <c r="D212" s="4">
        <v>-0.63</v>
      </c>
      <c r="E212" s="4">
        <v>-5.1470588235294104</v>
      </c>
      <c r="F212" s="4">
        <v>-5.1470658155304596</v>
      </c>
      <c r="G212" s="4">
        <v>11.770431500000001</v>
      </c>
      <c r="H212" s="4">
        <v>-16.816738515901001</v>
      </c>
      <c r="I212" s="4">
        <v>12.17</v>
      </c>
      <c r="J212" s="4">
        <v>12.22</v>
      </c>
      <c r="K212" s="4">
        <v>11.56</v>
      </c>
      <c r="L212" s="4">
        <v>-17.9505300353356</v>
      </c>
    </row>
    <row r="213" spans="1:12" ht="15" customHeight="1" x14ac:dyDescent="0.2">
      <c r="A213" s="6">
        <v>45743</v>
      </c>
      <c r="B213" s="7">
        <v>12.24</v>
      </c>
      <c r="C213" s="8">
        <v>29022700</v>
      </c>
      <c r="D213" s="7">
        <v>0.15</v>
      </c>
      <c r="E213" s="7">
        <v>1.24069478908188</v>
      </c>
      <c r="F213" s="7">
        <v>1.24069669207105</v>
      </c>
      <c r="G213" s="7">
        <v>12.409138</v>
      </c>
      <c r="H213" s="7">
        <v>-12.302911660777299</v>
      </c>
      <c r="I213" s="7">
        <v>12.14</v>
      </c>
      <c r="J213" s="7">
        <v>12.28</v>
      </c>
      <c r="K213" s="7">
        <v>12.05</v>
      </c>
      <c r="L213" s="7">
        <v>-13.4982332155477</v>
      </c>
    </row>
    <row r="214" spans="1:12" ht="15" customHeight="1" x14ac:dyDescent="0.2">
      <c r="A214" s="3">
        <v>45742</v>
      </c>
      <c r="B214" s="4">
        <v>12.09</v>
      </c>
      <c r="C214" s="5">
        <v>33394190</v>
      </c>
      <c r="D214" s="4">
        <v>-0.50999999999999901</v>
      </c>
      <c r="E214" s="4">
        <v>-4.0476190476190403</v>
      </c>
      <c r="F214" s="4">
        <v>-4.0476235023128302</v>
      </c>
      <c r="G214" s="4">
        <v>12.257065000000001</v>
      </c>
      <c r="H214" s="4">
        <v>-13.3776325088339</v>
      </c>
      <c r="I214" s="4">
        <v>12.51</v>
      </c>
      <c r="J214" s="4">
        <v>12.52</v>
      </c>
      <c r="K214" s="4">
        <v>12.04</v>
      </c>
      <c r="L214" s="4">
        <v>-14.5583038869257</v>
      </c>
    </row>
    <row r="215" spans="1:12" ht="15" customHeight="1" x14ac:dyDescent="0.2">
      <c r="A215" s="6">
        <v>45741</v>
      </c>
      <c r="B215" s="7">
        <v>12.6</v>
      </c>
      <c r="C215" s="8">
        <v>44241520</v>
      </c>
      <c r="D215" s="7">
        <v>0.439999999999999</v>
      </c>
      <c r="E215" s="7">
        <v>3.6184210526315699</v>
      </c>
      <c r="F215" s="7">
        <v>3.6184283103742598</v>
      </c>
      <c r="G215" s="7">
        <v>12.774113</v>
      </c>
      <c r="H215" s="7">
        <v>-9.7235830388692595</v>
      </c>
      <c r="I215" s="7">
        <v>12.13</v>
      </c>
      <c r="J215" s="7">
        <v>12.67</v>
      </c>
      <c r="K215" s="7">
        <v>12.13</v>
      </c>
      <c r="L215" s="7">
        <v>-10.954063604240201</v>
      </c>
    </row>
    <row r="216" spans="1:12" ht="15" customHeight="1" x14ac:dyDescent="0.2">
      <c r="A216" s="3">
        <v>45740</v>
      </c>
      <c r="B216" s="4">
        <v>12.16</v>
      </c>
      <c r="C216" s="5">
        <v>24062730</v>
      </c>
      <c r="D216" s="4">
        <v>0.21</v>
      </c>
      <c r="E216" s="4">
        <v>1.7573221757322299</v>
      </c>
      <c r="F216" s="4">
        <v>1.75732328088926</v>
      </c>
      <c r="G216" s="4">
        <v>12.328032</v>
      </c>
      <c r="H216" s="4">
        <v>-12.8760989399293</v>
      </c>
      <c r="I216" s="4">
        <v>12.01</v>
      </c>
      <c r="J216" s="4">
        <v>12.23</v>
      </c>
      <c r="K216" s="4">
        <v>11.99</v>
      </c>
      <c r="L216" s="4">
        <v>-14.063604240282601</v>
      </c>
    </row>
    <row r="217" spans="1:12" ht="15" customHeight="1" x14ac:dyDescent="0.2">
      <c r="A217" s="6">
        <v>45737</v>
      </c>
      <c r="B217" s="7">
        <v>11.95</v>
      </c>
      <c r="C217" s="8">
        <v>129362900</v>
      </c>
      <c r="D217" s="7">
        <v>-0.27000000000000102</v>
      </c>
      <c r="E217" s="7">
        <v>-2.2094926350245498</v>
      </c>
      <c r="F217" s="7">
        <v>-2.2095007596339302</v>
      </c>
      <c r="G217" s="7">
        <v>12.115130000000001</v>
      </c>
      <c r="H217" s="7">
        <v>-14.380706713780899</v>
      </c>
      <c r="I217" s="7">
        <v>12.22</v>
      </c>
      <c r="J217" s="7">
        <v>12.24</v>
      </c>
      <c r="K217" s="7">
        <v>11.92</v>
      </c>
      <c r="L217" s="7">
        <v>-15.547703180212</v>
      </c>
    </row>
    <row r="218" spans="1:12" ht="15" customHeight="1" x14ac:dyDescent="0.2">
      <c r="A218" s="3">
        <v>45736</v>
      </c>
      <c r="B218" s="4">
        <v>12.22</v>
      </c>
      <c r="C218" s="5">
        <v>26935980</v>
      </c>
      <c r="D218" s="4">
        <v>-4.9999999999998899E-2</v>
      </c>
      <c r="E218" s="4">
        <v>-0.407497962510183</v>
      </c>
      <c r="F218" s="4">
        <v>-0.40749055914555099</v>
      </c>
      <c r="G218" s="4">
        <v>12.388862</v>
      </c>
      <c r="H218" s="4">
        <v>-12.446204946996399</v>
      </c>
      <c r="I218" s="4">
        <v>12.28</v>
      </c>
      <c r="J218" s="4">
        <v>12.38</v>
      </c>
      <c r="K218" s="4">
        <v>12.16</v>
      </c>
      <c r="L218" s="4">
        <v>-13.6395759717314</v>
      </c>
    </row>
    <row r="219" spans="1:12" ht="15" customHeight="1" x14ac:dyDescent="0.2">
      <c r="A219" s="6">
        <v>45735</v>
      </c>
      <c r="B219" s="7">
        <v>12.27</v>
      </c>
      <c r="C219" s="8">
        <v>43444450</v>
      </c>
      <c r="D219" s="7">
        <v>0.109999999999999</v>
      </c>
      <c r="E219" s="7">
        <v>0.90460526315789802</v>
      </c>
      <c r="F219" s="7">
        <v>0.90460504969487299</v>
      </c>
      <c r="G219" s="7">
        <v>12.439552000000001</v>
      </c>
      <c r="H219" s="7">
        <v>-12.0879717314487</v>
      </c>
      <c r="I219" s="7">
        <v>12.11</v>
      </c>
      <c r="J219" s="7">
        <v>12.37</v>
      </c>
      <c r="K219" s="7">
        <v>12.11</v>
      </c>
      <c r="L219" s="7">
        <v>-13.286219081272</v>
      </c>
    </row>
    <row r="220" spans="1:12" ht="15" customHeight="1" x14ac:dyDescent="0.2">
      <c r="A220" s="3">
        <v>45734</v>
      </c>
      <c r="B220" s="4">
        <v>12.16</v>
      </c>
      <c r="C220" s="5">
        <v>29710000</v>
      </c>
      <c r="D220" s="4">
        <v>0.13</v>
      </c>
      <c r="E220" s="4">
        <v>1.08063175394845</v>
      </c>
      <c r="F220" s="4">
        <v>1.0806284824268699</v>
      </c>
      <c r="G220" s="4">
        <v>12.328032</v>
      </c>
      <c r="H220" s="4">
        <v>-12.8760989399293</v>
      </c>
      <c r="I220" s="4">
        <v>12.09</v>
      </c>
      <c r="J220" s="4">
        <v>12.29</v>
      </c>
      <c r="K220" s="4">
        <v>12.03</v>
      </c>
      <c r="L220" s="4">
        <v>-14.063604240282601</v>
      </c>
    </row>
    <row r="221" spans="1:12" ht="15" customHeight="1" x14ac:dyDescent="0.2">
      <c r="A221" s="6">
        <v>45730</v>
      </c>
      <c r="B221" s="7">
        <v>12.03</v>
      </c>
      <c r="C221" s="8">
        <v>30553150</v>
      </c>
      <c r="D221" s="7">
        <v>0.16999999999999901</v>
      </c>
      <c r="E221" s="7">
        <v>1.43338954468803</v>
      </c>
      <c r="F221" s="7">
        <v>1.4333883876320499</v>
      </c>
      <c r="G221" s="7">
        <v>12.196236000000001</v>
      </c>
      <c r="H221" s="7">
        <v>-13.807519434628899</v>
      </c>
      <c r="I221" s="7">
        <v>11.99</v>
      </c>
      <c r="J221" s="7">
        <v>12.09</v>
      </c>
      <c r="K221" s="7">
        <v>11.7</v>
      </c>
      <c r="L221" s="7">
        <v>-14.982332155477</v>
      </c>
    </row>
    <row r="222" spans="1:12" ht="15" customHeight="1" x14ac:dyDescent="0.2">
      <c r="A222" s="3">
        <v>45729</v>
      </c>
      <c r="B222" s="4">
        <v>11.86</v>
      </c>
      <c r="C222" s="5">
        <v>21821370</v>
      </c>
      <c r="D222" s="4">
        <v>-0.27000000000000102</v>
      </c>
      <c r="E222" s="4">
        <v>-2.2258862324814599</v>
      </c>
      <c r="F222" s="4">
        <v>-2.2258863464453</v>
      </c>
      <c r="G222" s="4">
        <v>12.023887</v>
      </c>
      <c r="H222" s="4">
        <v>-15.0255335689045</v>
      </c>
      <c r="I222" s="4">
        <v>12.14</v>
      </c>
      <c r="J222" s="4">
        <v>12.2</v>
      </c>
      <c r="K222" s="4">
        <v>11.77</v>
      </c>
      <c r="L222" s="4">
        <v>-16.1837455830388</v>
      </c>
    </row>
    <row r="223" spans="1:12" ht="15" customHeight="1" x14ac:dyDescent="0.2">
      <c r="A223" s="6">
        <v>45728</v>
      </c>
      <c r="B223" s="7">
        <v>12.13</v>
      </c>
      <c r="C223" s="8">
        <v>36455870</v>
      </c>
      <c r="D223" s="7">
        <v>2.0000000000001301E-2</v>
      </c>
      <c r="E223" s="7">
        <v>0.16515276630883999</v>
      </c>
      <c r="F223" s="7">
        <v>0.16515791163575999</v>
      </c>
      <c r="G223" s="7">
        <v>12.297618</v>
      </c>
      <c r="H223" s="7">
        <v>-13.091038869257901</v>
      </c>
      <c r="I223" s="7">
        <v>12.2</v>
      </c>
      <c r="J223" s="7">
        <v>12.37</v>
      </c>
      <c r="K223" s="7">
        <v>11.9</v>
      </c>
      <c r="L223" s="7">
        <v>-14.275618374558199</v>
      </c>
    </row>
    <row r="224" spans="1:12" ht="15" customHeight="1" x14ac:dyDescent="0.2">
      <c r="A224" s="3">
        <v>45727</v>
      </c>
      <c r="B224" s="4">
        <v>12.11</v>
      </c>
      <c r="C224" s="5">
        <v>43344520</v>
      </c>
      <c r="D224" s="4">
        <v>3.9999999999999099E-2</v>
      </c>
      <c r="E224" s="4">
        <v>0.33140016570007902</v>
      </c>
      <c r="F224" s="4">
        <v>0.331402325512208</v>
      </c>
      <c r="G224" s="4">
        <v>12.277341</v>
      </c>
      <c r="H224" s="4">
        <v>-13.2343392226148</v>
      </c>
      <c r="I224" s="4">
        <v>12.07</v>
      </c>
      <c r="J224" s="4">
        <v>12.21</v>
      </c>
      <c r="K224" s="4">
        <v>11.88</v>
      </c>
      <c r="L224" s="4">
        <v>-14.416961130741999</v>
      </c>
    </row>
    <row r="225" spans="1:12" ht="15" customHeight="1" x14ac:dyDescent="0.2">
      <c r="A225" s="6">
        <v>45726</v>
      </c>
      <c r="B225" s="7">
        <v>12.07</v>
      </c>
      <c r="C225" s="8">
        <v>39964047</v>
      </c>
      <c r="D225" s="7">
        <v>-0.29999999999999799</v>
      </c>
      <c r="E225" s="7">
        <v>-2.4252223120452601</v>
      </c>
      <c r="F225" s="7">
        <v>-2.0863169238455601</v>
      </c>
      <c r="G225" s="7">
        <v>12.236788000000001</v>
      </c>
      <c r="H225" s="7">
        <v>-13.520932862190801</v>
      </c>
      <c r="I225" s="7">
        <v>12.43</v>
      </c>
      <c r="J225" s="7">
        <v>12.43</v>
      </c>
      <c r="K225" s="7">
        <v>11.9</v>
      </c>
      <c r="L225" s="7">
        <v>-14.699646643109499</v>
      </c>
    </row>
    <row r="226" spans="1:12" ht="15" customHeight="1" x14ac:dyDescent="0.2">
      <c r="A226" s="3">
        <v>45723</v>
      </c>
      <c r="B226" s="4">
        <v>12.37</v>
      </c>
      <c r="C226" s="5">
        <v>54098207</v>
      </c>
      <c r="D226" s="4">
        <v>-0.55000000000000004</v>
      </c>
      <c r="E226" s="4">
        <v>-4.2569659442724497</v>
      </c>
      <c r="F226" s="4">
        <v>-4.2569724489716902</v>
      </c>
      <c r="G226" s="4">
        <v>12.497526000000001</v>
      </c>
      <c r="H226" s="4">
        <v>-11.678261484098901</v>
      </c>
      <c r="I226" s="4">
        <v>12.85</v>
      </c>
      <c r="J226" s="4">
        <v>12.86</v>
      </c>
      <c r="K226" s="4">
        <v>12.18</v>
      </c>
      <c r="L226" s="4">
        <v>-12.579505300353301</v>
      </c>
    </row>
    <row r="227" spans="1:12" ht="15" customHeight="1" x14ac:dyDescent="0.2">
      <c r="A227" s="6">
        <v>45722</v>
      </c>
      <c r="B227" s="7">
        <v>12.92</v>
      </c>
      <c r="C227" s="8">
        <v>35818960</v>
      </c>
      <c r="D227" s="7">
        <v>0.22</v>
      </c>
      <c r="E227" s="7">
        <v>1.7322834645669301</v>
      </c>
      <c r="F227" s="7">
        <v>1.7322829859007101</v>
      </c>
      <c r="G227" s="7">
        <v>13.053197000000001</v>
      </c>
      <c r="H227" s="7">
        <v>-7.7512579505300296</v>
      </c>
      <c r="I227" s="7">
        <v>12.65</v>
      </c>
      <c r="J227" s="7">
        <v>13.01</v>
      </c>
      <c r="K227" s="7">
        <v>12.62</v>
      </c>
      <c r="L227" s="7">
        <v>-8.6925795053003494</v>
      </c>
    </row>
    <row r="228" spans="1:12" ht="15" customHeight="1" x14ac:dyDescent="0.2">
      <c r="A228" s="3">
        <v>45721</v>
      </c>
      <c r="B228" s="4">
        <v>12.7</v>
      </c>
      <c r="C228" s="5">
        <v>28973490</v>
      </c>
      <c r="D228" s="4">
        <v>0.31999999999999801</v>
      </c>
      <c r="E228" s="4">
        <v>2.58481421647818</v>
      </c>
      <c r="F228" s="4">
        <v>2.58482243117379</v>
      </c>
      <c r="G228" s="4">
        <v>12.830928999999999</v>
      </c>
      <c r="H228" s="4">
        <v>-9.3220565371024797</v>
      </c>
      <c r="I228" s="4">
        <v>12.44</v>
      </c>
      <c r="J228" s="4">
        <v>12.75</v>
      </c>
      <c r="K228" s="4">
        <v>12.35</v>
      </c>
      <c r="L228" s="4">
        <v>-10.2473498233215</v>
      </c>
    </row>
    <row r="229" spans="1:12" ht="15" customHeight="1" x14ac:dyDescent="0.2">
      <c r="A229" s="6">
        <v>45720</v>
      </c>
      <c r="B229" s="7">
        <v>12.38</v>
      </c>
      <c r="C229" s="8">
        <v>58013560</v>
      </c>
      <c r="D229" s="7">
        <v>9.0000000000001606E-2</v>
      </c>
      <c r="E229" s="7">
        <v>0.73230268510986396</v>
      </c>
      <c r="F229" s="7">
        <v>0.73229590272843004</v>
      </c>
      <c r="G229" s="7">
        <v>12.507629</v>
      </c>
      <c r="H229" s="7">
        <v>-11.6068621908127</v>
      </c>
      <c r="I229" s="7">
        <v>12.28</v>
      </c>
      <c r="J229" s="7">
        <v>12.55</v>
      </c>
      <c r="K229" s="7">
        <v>11.83</v>
      </c>
      <c r="L229" s="7">
        <v>-12.508833922261401</v>
      </c>
    </row>
    <row r="230" spans="1:12" ht="15" customHeight="1" x14ac:dyDescent="0.2">
      <c r="A230" s="3">
        <v>45719</v>
      </c>
      <c r="B230" s="4">
        <v>12.29</v>
      </c>
      <c r="C230" s="5">
        <v>36001560</v>
      </c>
      <c r="D230" s="4">
        <v>-0.34000000000000102</v>
      </c>
      <c r="E230" s="4">
        <v>-2.6920031670625599</v>
      </c>
      <c r="F230" s="4">
        <v>-2.6920017833566301</v>
      </c>
      <c r="G230" s="4">
        <v>12.416702000000001</v>
      </c>
      <c r="H230" s="4">
        <v>-12.2494558303886</v>
      </c>
      <c r="I230" s="4">
        <v>12.55</v>
      </c>
      <c r="J230" s="4">
        <v>12.87</v>
      </c>
      <c r="K230" s="4">
        <v>12.24</v>
      </c>
      <c r="L230" s="4">
        <v>-13.144876325088299</v>
      </c>
    </row>
    <row r="231" spans="1:12" ht="15" customHeight="1" x14ac:dyDescent="0.2">
      <c r="A231" s="6">
        <v>45716</v>
      </c>
      <c r="B231" s="7">
        <v>12.63</v>
      </c>
      <c r="C231" s="8">
        <v>126353510</v>
      </c>
      <c r="D231" s="7">
        <v>-0.33</v>
      </c>
      <c r="E231" s="7">
        <v>-2.5462962962962998</v>
      </c>
      <c r="F231" s="7">
        <v>-2.5462956775324601</v>
      </c>
      <c r="G231" s="7">
        <v>12.760206999999999</v>
      </c>
      <c r="H231" s="7">
        <v>-9.8218586572438191</v>
      </c>
      <c r="I231" s="7">
        <v>12.9</v>
      </c>
      <c r="J231" s="7">
        <v>12.95</v>
      </c>
      <c r="K231" s="7">
        <v>12.58</v>
      </c>
      <c r="L231" s="7">
        <v>-10.7420494699646</v>
      </c>
    </row>
    <row r="232" spans="1:12" ht="15" customHeight="1" x14ac:dyDescent="0.2">
      <c r="A232" s="3">
        <v>45715</v>
      </c>
      <c r="B232" s="4">
        <v>12.96</v>
      </c>
      <c r="C232" s="5">
        <v>39578420</v>
      </c>
      <c r="D232" s="4">
        <v>-0.32999999999999802</v>
      </c>
      <c r="E232" s="4">
        <v>-2.4830699774266201</v>
      </c>
      <c r="F232" s="4">
        <v>-2.4830730203813398</v>
      </c>
      <c r="G232" s="4">
        <v>13.093609000000001</v>
      </c>
      <c r="H232" s="4">
        <v>-7.4656607773851498</v>
      </c>
      <c r="I232" s="4">
        <v>13.3</v>
      </c>
      <c r="J232" s="4">
        <v>13.39</v>
      </c>
      <c r="K232" s="4">
        <v>12.9</v>
      </c>
      <c r="L232" s="4">
        <v>-8.4098939929328491</v>
      </c>
    </row>
    <row r="233" spans="1:12" ht="15" customHeight="1" x14ac:dyDescent="0.2">
      <c r="A233" s="6">
        <v>45714</v>
      </c>
      <c r="B233" s="7">
        <v>13.29</v>
      </c>
      <c r="C233" s="8">
        <v>49357940</v>
      </c>
      <c r="D233" s="7">
        <v>4.9999999999998899E-2</v>
      </c>
      <c r="E233" s="7">
        <v>0.37764350453170997</v>
      </c>
      <c r="F233" s="7">
        <v>0.37765124571122999</v>
      </c>
      <c r="G233" s="7">
        <v>13.427011500000001</v>
      </c>
      <c r="H233" s="7">
        <v>-5.1094593639575896</v>
      </c>
      <c r="I233" s="7">
        <v>13.26</v>
      </c>
      <c r="J233" s="7">
        <v>13.4</v>
      </c>
      <c r="K233" s="7">
        <v>13.09</v>
      </c>
      <c r="L233" s="7">
        <v>-6.0777385159010597</v>
      </c>
    </row>
    <row r="234" spans="1:12" ht="15" customHeight="1" x14ac:dyDescent="0.2">
      <c r="A234" s="3">
        <v>45713</v>
      </c>
      <c r="B234" s="4">
        <v>13.24</v>
      </c>
      <c r="C234" s="5">
        <v>42835650</v>
      </c>
      <c r="D234" s="4">
        <v>0.189999999999999</v>
      </c>
      <c r="E234" s="4">
        <v>1.45593869731799</v>
      </c>
      <c r="F234" s="4">
        <v>1.4559328097755599</v>
      </c>
      <c r="G234" s="4">
        <v>13.376495</v>
      </c>
      <c r="H234" s="4">
        <v>-5.4664664310953999</v>
      </c>
      <c r="I234" s="4">
        <v>13.12</v>
      </c>
      <c r="J234" s="4">
        <v>13.34</v>
      </c>
      <c r="K234" s="4">
        <v>13.01</v>
      </c>
      <c r="L234" s="4">
        <v>-6.43109540636042</v>
      </c>
    </row>
    <row r="235" spans="1:12" ht="15" customHeight="1" x14ac:dyDescent="0.2">
      <c r="A235" s="6">
        <v>45712</v>
      </c>
      <c r="B235" s="7">
        <v>13.05</v>
      </c>
      <c r="C235" s="8">
        <v>33702720</v>
      </c>
      <c r="D235" s="7">
        <v>-0.33999999999999903</v>
      </c>
      <c r="E235" s="7">
        <v>-2.5392083644510799</v>
      </c>
      <c r="F235" s="7">
        <v>-2.5392142825092998</v>
      </c>
      <c r="G235" s="7">
        <v>13.184537000000001</v>
      </c>
      <c r="H235" s="7">
        <v>-6.82306007067137</v>
      </c>
      <c r="I235" s="7">
        <v>13.45</v>
      </c>
      <c r="J235" s="7">
        <v>13.45</v>
      </c>
      <c r="K235" s="7">
        <v>12.98</v>
      </c>
      <c r="L235" s="7">
        <v>-7.7738515901060001</v>
      </c>
    </row>
    <row r="236" spans="1:12" ht="15" customHeight="1" x14ac:dyDescent="0.2">
      <c r="A236" s="3">
        <v>45709</v>
      </c>
      <c r="B236" s="4">
        <v>13.39</v>
      </c>
      <c r="C236" s="5">
        <v>13123690</v>
      </c>
      <c r="D236" s="4">
        <v>-0.25999999999999901</v>
      </c>
      <c r="E236" s="4">
        <v>-1.90476190476189</v>
      </c>
      <c r="F236" s="4">
        <v>-1.9047516148900601</v>
      </c>
      <c r="G236" s="4">
        <v>13.528043</v>
      </c>
      <c r="H236" s="4">
        <v>-4.3954558303886904</v>
      </c>
      <c r="I236" s="4">
        <v>13.58</v>
      </c>
      <c r="J236" s="4">
        <v>13.72</v>
      </c>
      <c r="K236" s="4">
        <v>13.32</v>
      </c>
      <c r="L236" s="4">
        <v>-5.3710247349823304</v>
      </c>
    </row>
    <row r="237" spans="1:12" ht="15" customHeight="1" x14ac:dyDescent="0.2">
      <c r="A237" s="6">
        <v>45708</v>
      </c>
      <c r="B237" s="7">
        <v>13.65</v>
      </c>
      <c r="C237" s="8">
        <v>17724380</v>
      </c>
      <c r="D237" s="7">
        <v>5.0000000000000697E-2</v>
      </c>
      <c r="E237" s="7">
        <v>0.36764705882352799</v>
      </c>
      <c r="F237" s="7">
        <v>0.36763635601439998</v>
      </c>
      <c r="G237" s="7">
        <v>13.790722000000001</v>
      </c>
      <c r="H237" s="7">
        <v>-2.5390671378091798</v>
      </c>
      <c r="I237" s="7">
        <v>13.63</v>
      </c>
      <c r="J237" s="7">
        <v>13.77</v>
      </c>
      <c r="K237" s="7">
        <v>13.45</v>
      </c>
      <c r="L237" s="7">
        <v>-3.53356890459363</v>
      </c>
    </row>
    <row r="238" spans="1:12" ht="15" customHeight="1" x14ac:dyDescent="0.2">
      <c r="A238" s="3">
        <v>45707</v>
      </c>
      <c r="B238" s="4">
        <v>13.6</v>
      </c>
      <c r="C238" s="5">
        <v>18902420</v>
      </c>
      <c r="D238" s="4"/>
      <c r="E238" s="4"/>
      <c r="F238" s="4"/>
      <c r="G238" s="4">
        <v>13.740208000000001</v>
      </c>
      <c r="H238" s="4">
        <v>-2.8960565371024698</v>
      </c>
      <c r="I238" s="4">
        <v>13.5</v>
      </c>
      <c r="J238" s="4">
        <v>13.66</v>
      </c>
      <c r="K238" s="4">
        <v>13.45</v>
      </c>
      <c r="L238" s="4">
        <v>-3.8869257950530001</v>
      </c>
    </row>
    <row r="239" spans="1:12" ht="15" customHeight="1" x14ac:dyDescent="0.2">
      <c r="A239" s="6">
        <v>45706</v>
      </c>
      <c r="B239" s="7">
        <v>13.6</v>
      </c>
      <c r="C239" s="8">
        <v>17863690</v>
      </c>
      <c r="D239" s="7">
        <v>-0.25</v>
      </c>
      <c r="E239" s="7">
        <v>-1.80505415162455</v>
      </c>
      <c r="F239" s="7">
        <v>-1.80504816607445</v>
      </c>
      <c r="G239" s="7">
        <v>13.740208000000001</v>
      </c>
      <c r="H239" s="7">
        <v>-2.8960565371024698</v>
      </c>
      <c r="I239" s="7">
        <v>13.78</v>
      </c>
      <c r="J239" s="7">
        <v>13.78</v>
      </c>
      <c r="K239" s="7">
        <v>13.5</v>
      </c>
      <c r="L239" s="7">
        <v>-3.8869257950530001</v>
      </c>
    </row>
    <row r="240" spans="1:12" ht="15" customHeight="1" x14ac:dyDescent="0.2">
      <c r="A240" s="3">
        <v>45705</v>
      </c>
      <c r="B240" s="4">
        <v>13.85</v>
      </c>
      <c r="C240" s="5">
        <v>2398233</v>
      </c>
      <c r="D240" s="4">
        <v>0.26999999999999902</v>
      </c>
      <c r="E240" s="4">
        <v>1.9882179675994001</v>
      </c>
      <c r="F240" s="4">
        <v>1.98821778511533</v>
      </c>
      <c r="G240" s="4">
        <v>13.992784500000001</v>
      </c>
      <c r="H240" s="4">
        <v>-1.11106360424027</v>
      </c>
      <c r="I240" s="4">
        <v>13.51</v>
      </c>
      <c r="J240" s="4">
        <v>13.87</v>
      </c>
      <c r="K240" s="4">
        <v>13.51</v>
      </c>
      <c r="L240" s="4">
        <v>-2.1201413427561802</v>
      </c>
    </row>
    <row r="241" spans="1:12" ht="15" customHeight="1" x14ac:dyDescent="0.2">
      <c r="A241" s="6">
        <v>45702</v>
      </c>
      <c r="B241" s="7">
        <v>13.58</v>
      </c>
      <c r="C241" s="8">
        <v>41728440</v>
      </c>
      <c r="D241" s="7">
        <v>5.0000000000000697E-2</v>
      </c>
      <c r="E241" s="7">
        <v>0.36954915003695099</v>
      </c>
      <c r="F241" s="7">
        <v>0.36955305924106702</v>
      </c>
      <c r="G241" s="7">
        <v>13.720001</v>
      </c>
      <c r="H241" s="7">
        <v>-3.0388621908127198</v>
      </c>
      <c r="I241" s="7">
        <v>13.62</v>
      </c>
      <c r="J241" s="7">
        <v>13.73</v>
      </c>
      <c r="K241" s="7">
        <v>13.39</v>
      </c>
      <c r="L241" s="7">
        <v>-4.0282685512367502</v>
      </c>
    </row>
    <row r="242" spans="1:12" ht="15" customHeight="1" x14ac:dyDescent="0.2">
      <c r="A242" s="3">
        <v>45701</v>
      </c>
      <c r="B242" s="4">
        <v>13.53</v>
      </c>
      <c r="C242" s="5">
        <v>34243008</v>
      </c>
      <c r="D242" s="4">
        <v>3.9999999999999099E-2</v>
      </c>
      <c r="E242" s="4">
        <v>0.29651593773165602</v>
      </c>
      <c r="F242" s="4">
        <v>0.29651319645877999</v>
      </c>
      <c r="G242" s="4">
        <v>13.669485</v>
      </c>
      <c r="H242" s="4">
        <v>-3.3958657243816202</v>
      </c>
      <c r="I242" s="4">
        <v>13.42</v>
      </c>
      <c r="J242" s="4">
        <v>13.82</v>
      </c>
      <c r="K242" s="4">
        <v>13.42</v>
      </c>
      <c r="L242" s="4">
        <v>-4.3816254416961202</v>
      </c>
    </row>
    <row r="243" spans="1:12" ht="15" customHeight="1" x14ac:dyDescent="0.2">
      <c r="A243" s="6">
        <v>45700</v>
      </c>
      <c r="B243" s="7">
        <v>13.49</v>
      </c>
      <c r="C243" s="8">
        <v>51999887</v>
      </c>
      <c r="D243" s="7">
        <v>-0.109999999999999</v>
      </c>
      <c r="E243" s="7">
        <v>-0.80882352941176106</v>
      </c>
      <c r="F243" s="7">
        <v>-0.80883055045455299</v>
      </c>
      <c r="G243" s="7">
        <v>13.629073</v>
      </c>
      <c r="H243" s="7">
        <v>-3.6814628975265</v>
      </c>
      <c r="I243" s="7">
        <v>13.53</v>
      </c>
      <c r="J243" s="7">
        <v>13.54</v>
      </c>
      <c r="K243" s="7">
        <v>13.17</v>
      </c>
      <c r="L243" s="7">
        <v>-4.6643109540636001</v>
      </c>
    </row>
    <row r="244" spans="1:12" ht="15" customHeight="1" x14ac:dyDescent="0.2">
      <c r="A244" s="3">
        <v>45699</v>
      </c>
      <c r="B244" s="4">
        <v>13.6</v>
      </c>
      <c r="C244" s="5">
        <v>48747820</v>
      </c>
      <c r="D244" s="4">
        <v>-1.9999999999999501E-2</v>
      </c>
      <c r="E244" s="4">
        <v>-0.146842878120412</v>
      </c>
      <c r="F244" s="4">
        <v>-0.14683425562880201</v>
      </c>
      <c r="G244" s="4">
        <v>13.740208000000001</v>
      </c>
      <c r="H244" s="4">
        <v>-2.8960565371024698</v>
      </c>
      <c r="I244" s="4">
        <v>13.64</v>
      </c>
      <c r="J244" s="4">
        <v>13.65</v>
      </c>
      <c r="K244" s="4">
        <v>13.43</v>
      </c>
      <c r="L244" s="4">
        <v>-3.8869257950530001</v>
      </c>
    </row>
    <row r="245" spans="1:12" ht="15" customHeight="1" x14ac:dyDescent="0.2">
      <c r="A245" s="6">
        <v>45698</v>
      </c>
      <c r="B245" s="7">
        <v>13.62</v>
      </c>
      <c r="C245" s="8">
        <v>53474688</v>
      </c>
      <c r="D245" s="7">
        <v>-0.16999999999999901</v>
      </c>
      <c r="E245" s="7">
        <v>-1.23277737490935</v>
      </c>
      <c r="F245" s="7">
        <v>-1.2327803157097099</v>
      </c>
      <c r="G245" s="7">
        <v>13.760413</v>
      </c>
      <c r="H245" s="7">
        <v>-2.7532650176678399</v>
      </c>
      <c r="I245" s="7">
        <v>13.75</v>
      </c>
      <c r="J245" s="7">
        <v>13.99</v>
      </c>
      <c r="K245" s="7">
        <v>13.58</v>
      </c>
      <c r="L245" s="7">
        <v>-3.7455830388692601</v>
      </c>
    </row>
    <row r="246" spans="1:12" ht="15" customHeight="1" x14ac:dyDescent="0.2">
      <c r="A246" s="3">
        <v>45695</v>
      </c>
      <c r="B246" s="4">
        <v>13.79</v>
      </c>
      <c r="C246" s="5">
        <v>39988633</v>
      </c>
      <c r="D246" s="4">
        <v>3.9999999999999099E-2</v>
      </c>
      <c r="E246" s="4">
        <v>0.29090909090907502</v>
      </c>
      <c r="F246" s="4">
        <v>0.29091360895923102</v>
      </c>
      <c r="G246" s="4">
        <v>13.932166</v>
      </c>
      <c r="H246" s="4">
        <v>-1.5394628975264999</v>
      </c>
      <c r="I246" s="4">
        <v>13.66</v>
      </c>
      <c r="J246" s="4">
        <v>14.03</v>
      </c>
      <c r="K246" s="4">
        <v>13.53</v>
      </c>
      <c r="L246" s="4">
        <v>-2.5441696113074199</v>
      </c>
    </row>
    <row r="247" spans="1:12" ht="15" customHeight="1" x14ac:dyDescent="0.2">
      <c r="A247" s="6">
        <v>45694</v>
      </c>
      <c r="B247" s="7">
        <v>13.75</v>
      </c>
      <c r="C247" s="8">
        <v>99004805</v>
      </c>
      <c r="D247" s="7">
        <v>1.51999999999999</v>
      </c>
      <c r="E247" s="7">
        <v>12.4284546197874</v>
      </c>
      <c r="F247" s="7">
        <v>12.4284532565862</v>
      </c>
      <c r="G247" s="7">
        <v>13.891753</v>
      </c>
      <c r="H247" s="7">
        <v>-1.8250671378091901</v>
      </c>
      <c r="I247" s="7">
        <v>12.4</v>
      </c>
      <c r="J247" s="7">
        <v>13.85</v>
      </c>
      <c r="K247" s="7">
        <v>12.4</v>
      </c>
      <c r="L247" s="7">
        <v>-2.82685512367491</v>
      </c>
    </row>
    <row r="248" spans="1:12" ht="15" customHeight="1" x14ac:dyDescent="0.2">
      <c r="A248" s="3">
        <v>45693</v>
      </c>
      <c r="B248" s="4">
        <v>12.23</v>
      </c>
      <c r="C248" s="5">
        <v>52656480</v>
      </c>
      <c r="D248" s="4">
        <v>-0.25</v>
      </c>
      <c r="E248" s="4">
        <v>-2.00320512820513</v>
      </c>
      <c r="F248" s="4">
        <v>-2.00320256077966</v>
      </c>
      <c r="G248" s="4">
        <v>12.356083</v>
      </c>
      <c r="H248" s="4">
        <v>-12.677858657243799</v>
      </c>
      <c r="I248" s="4">
        <v>12.4</v>
      </c>
      <c r="J248" s="4">
        <v>12.62</v>
      </c>
      <c r="K248" s="4">
        <v>12.21</v>
      </c>
      <c r="L248" s="4">
        <v>-13.5689045936395</v>
      </c>
    </row>
    <row r="249" spans="1:12" ht="15" customHeight="1" x14ac:dyDescent="0.2">
      <c r="A249" s="6">
        <v>45692</v>
      </c>
      <c r="B249" s="7">
        <v>12.48</v>
      </c>
      <c r="C249" s="8">
        <v>51371940</v>
      </c>
      <c r="D249" s="7">
        <v>0.17999999999999899</v>
      </c>
      <c r="E249" s="7">
        <v>1.4634146341463401</v>
      </c>
      <c r="F249" s="7">
        <v>1.46340505611035</v>
      </c>
      <c r="G249" s="7">
        <v>12.60866</v>
      </c>
      <c r="H249" s="7">
        <v>-10.8928621908127</v>
      </c>
      <c r="I249" s="7">
        <v>12.4</v>
      </c>
      <c r="J249" s="7">
        <v>12.59</v>
      </c>
      <c r="K249" s="7">
        <v>12.27</v>
      </c>
      <c r="L249" s="7">
        <v>-11.8021201413427</v>
      </c>
    </row>
    <row r="250" spans="1:12" ht="15" customHeight="1" x14ac:dyDescent="0.2">
      <c r="A250" s="3">
        <v>45688</v>
      </c>
      <c r="B250" s="4">
        <v>12.3</v>
      </c>
      <c r="C250" s="5">
        <v>48774400</v>
      </c>
      <c r="D250" s="4">
        <v>-0.16999999999999901</v>
      </c>
      <c r="E250" s="4">
        <v>-1.36327185244586</v>
      </c>
      <c r="F250" s="4">
        <v>-1.3632632689600701</v>
      </c>
      <c r="G250" s="4">
        <v>12.4268055</v>
      </c>
      <c r="H250" s="4">
        <v>-12.178053003533501</v>
      </c>
      <c r="I250" s="4">
        <v>12.4</v>
      </c>
      <c r="J250" s="4">
        <v>12.58</v>
      </c>
      <c r="K250" s="4">
        <v>12.24</v>
      </c>
      <c r="L250" s="4">
        <v>-13.074204946996399</v>
      </c>
    </row>
    <row r="251" spans="1:12" ht="15" customHeight="1" x14ac:dyDescent="0.2">
      <c r="A251" s="6">
        <v>45687</v>
      </c>
      <c r="B251" s="7">
        <v>12.47</v>
      </c>
      <c r="C251" s="8">
        <v>44530260</v>
      </c>
      <c r="D251" s="7">
        <v>0.35000000000000098</v>
      </c>
      <c r="E251" s="7">
        <v>2.8877887788778902</v>
      </c>
      <c r="F251" s="7">
        <v>2.8877866294093999</v>
      </c>
      <c r="G251" s="7">
        <v>12.598557</v>
      </c>
      <c r="H251" s="7">
        <v>-10.9642614840989</v>
      </c>
      <c r="I251" s="7">
        <v>12.18</v>
      </c>
      <c r="J251" s="7">
        <v>12.68</v>
      </c>
      <c r="K251" s="7">
        <v>12.15</v>
      </c>
      <c r="L251" s="7">
        <v>-11.8727915194346</v>
      </c>
    </row>
    <row r="252" spans="1:12" ht="15" customHeight="1" x14ac:dyDescent="0.2">
      <c r="A252" s="3">
        <v>45686</v>
      </c>
      <c r="B252" s="4">
        <v>12.12</v>
      </c>
      <c r="C252" s="5">
        <v>42859152</v>
      </c>
      <c r="D252" s="4">
        <v>0.149999999999998</v>
      </c>
      <c r="E252" s="4">
        <v>1.25313283208019</v>
      </c>
      <c r="F252" s="4">
        <v>1.25312949547782</v>
      </c>
      <c r="G252" s="4">
        <v>12.244949</v>
      </c>
      <c r="H252" s="4">
        <v>-13.46325795053</v>
      </c>
      <c r="I252" s="4">
        <v>11.96</v>
      </c>
      <c r="J252" s="4">
        <v>12.27</v>
      </c>
      <c r="K252" s="4">
        <v>11.93</v>
      </c>
      <c r="L252" s="4">
        <v>-14.346289752650099</v>
      </c>
    </row>
    <row r="253" spans="1:12" ht="15" customHeight="1" x14ac:dyDescent="0.2">
      <c r="A253" s="6">
        <v>45685</v>
      </c>
      <c r="B253" s="7">
        <v>11.97</v>
      </c>
      <c r="C253" s="8">
        <v>39206810</v>
      </c>
      <c r="D253" s="7">
        <v>-0.26999999999999902</v>
      </c>
      <c r="E253" s="7">
        <v>-2.2058823529411602</v>
      </c>
      <c r="F253" s="7">
        <v>-2.2058781907372298</v>
      </c>
      <c r="G253" s="7">
        <v>12.093403</v>
      </c>
      <c r="H253" s="7">
        <v>-14.534254416961099</v>
      </c>
      <c r="I253" s="7">
        <v>12.26</v>
      </c>
      <c r="J253" s="7">
        <v>12.26</v>
      </c>
      <c r="K253" s="7">
        <v>11.95</v>
      </c>
      <c r="L253" s="7">
        <v>-15.4063604240282</v>
      </c>
    </row>
    <row r="254" spans="1:12" ht="15" customHeight="1" x14ac:dyDescent="0.2">
      <c r="A254" s="3">
        <v>45684</v>
      </c>
      <c r="B254" s="4">
        <v>12.24</v>
      </c>
      <c r="C254" s="5">
        <v>32852330</v>
      </c>
      <c r="D254" s="4">
        <v>0.189999999999999</v>
      </c>
      <c r="E254" s="4">
        <v>1.5767634854771699</v>
      </c>
      <c r="F254" s="4">
        <v>1.5767570641851101</v>
      </c>
      <c r="G254" s="4">
        <v>12.366186000000001</v>
      </c>
      <c r="H254" s="4">
        <v>-12.6064593639575</v>
      </c>
      <c r="I254" s="4">
        <v>12</v>
      </c>
      <c r="J254" s="4">
        <v>12.32</v>
      </c>
      <c r="K254" s="4">
        <v>11.93</v>
      </c>
      <c r="L254" s="4">
        <v>-13.4982332155477</v>
      </c>
    </row>
    <row r="255" spans="1:12" ht="15" customHeight="1" x14ac:dyDescent="0.2">
      <c r="A255" s="6">
        <v>45681</v>
      </c>
      <c r="B255" s="7">
        <v>12.05</v>
      </c>
      <c r="C255" s="8">
        <v>38773380</v>
      </c>
      <c r="D255" s="7">
        <v>0.27000000000000102</v>
      </c>
      <c r="E255" s="7">
        <v>2.29202037351443</v>
      </c>
      <c r="F255" s="7">
        <v>2.2920286938302898</v>
      </c>
      <c r="G255" s="7">
        <v>12.174227999999999</v>
      </c>
      <c r="H255" s="7">
        <v>-13.963053003533499</v>
      </c>
      <c r="I255" s="7">
        <v>11.83</v>
      </c>
      <c r="J255" s="7">
        <v>12.09</v>
      </c>
      <c r="K255" s="7">
        <v>11.78</v>
      </c>
      <c r="L255" s="7">
        <v>-14.8409893992932</v>
      </c>
    </row>
    <row r="256" spans="1:12" ht="15" customHeight="1" x14ac:dyDescent="0.2">
      <c r="A256" s="3">
        <v>45680</v>
      </c>
      <c r="B256" s="4">
        <v>11.78</v>
      </c>
      <c r="C256" s="5">
        <v>35380350</v>
      </c>
      <c r="D256" s="4">
        <v>0.35999999999999899</v>
      </c>
      <c r="E256" s="4">
        <v>3.15236427320488</v>
      </c>
      <c r="F256" s="4">
        <v>3.15235670646911</v>
      </c>
      <c r="G256" s="4">
        <v>11.901443499999999</v>
      </c>
      <c r="H256" s="4">
        <v>-15.8908586572438</v>
      </c>
      <c r="I256" s="4">
        <v>11.42</v>
      </c>
      <c r="J256" s="4">
        <v>11.93</v>
      </c>
      <c r="K256" s="4">
        <v>11.27</v>
      </c>
      <c r="L256" s="4">
        <v>-16.7491166077738</v>
      </c>
    </row>
    <row r="257" spans="1:12" ht="15" customHeight="1" x14ac:dyDescent="0.2">
      <c r="A257" s="6">
        <v>45679</v>
      </c>
      <c r="B257" s="7">
        <v>11.42</v>
      </c>
      <c r="C257" s="8">
        <v>47101080</v>
      </c>
      <c r="D257" s="7">
        <v>0.08</v>
      </c>
      <c r="E257" s="7">
        <v>0.70546737213403798</v>
      </c>
      <c r="F257" s="7">
        <v>0.70546957346606598</v>
      </c>
      <c r="G257" s="7">
        <v>11.537732999999999</v>
      </c>
      <c r="H257" s="7">
        <v>-18.4612508833922</v>
      </c>
      <c r="I257" s="7">
        <v>11.34</v>
      </c>
      <c r="J257" s="7">
        <v>11.57</v>
      </c>
      <c r="K257" s="7">
        <v>11.22</v>
      </c>
      <c r="L257" s="7">
        <v>-19.2932862190812</v>
      </c>
    </row>
    <row r="258" spans="1:12" ht="15" customHeight="1" x14ac:dyDescent="0.2">
      <c r="A258" s="3">
        <v>45678</v>
      </c>
      <c r="B258" s="4">
        <v>11.34</v>
      </c>
      <c r="C258" s="5">
        <v>26538990</v>
      </c>
      <c r="D258" s="4">
        <v>0.14000000000000001</v>
      </c>
      <c r="E258" s="4">
        <v>1.24999999999999</v>
      </c>
      <c r="F258" s="4">
        <v>1.25000618622443</v>
      </c>
      <c r="G258" s="4">
        <v>11.456908</v>
      </c>
      <c r="H258" s="4">
        <v>-19.032452296819699</v>
      </c>
      <c r="I258" s="4">
        <v>11.24</v>
      </c>
      <c r="J258" s="4">
        <v>11.37</v>
      </c>
      <c r="K258" s="4">
        <v>11.14</v>
      </c>
      <c r="L258" s="4">
        <v>-19.8586572438162</v>
      </c>
    </row>
    <row r="259" spans="1:12" ht="15" customHeight="1" x14ac:dyDescent="0.2">
      <c r="A259" s="6">
        <v>45677</v>
      </c>
      <c r="B259" s="7">
        <v>11.2</v>
      </c>
      <c r="C259" s="8">
        <v>3341815</v>
      </c>
      <c r="D259" s="7">
        <v>6.9999999999998494E-2</v>
      </c>
      <c r="E259" s="7">
        <v>0.62893081761003999</v>
      </c>
      <c r="F259" s="7">
        <v>0.62892500077591496</v>
      </c>
      <c r="G259" s="7">
        <v>11.315464</v>
      </c>
      <c r="H259" s="7">
        <v>-20.032056537102399</v>
      </c>
      <c r="I259" s="7">
        <v>11.18</v>
      </c>
      <c r="J259" s="7">
        <v>11.28</v>
      </c>
      <c r="K259" s="7">
        <v>11.1</v>
      </c>
      <c r="L259" s="7">
        <v>-20.848056537102401</v>
      </c>
    </row>
    <row r="260" spans="1:12" ht="15" customHeight="1" x14ac:dyDescent="0.2">
      <c r="A260" s="3">
        <v>45674</v>
      </c>
      <c r="B260" s="4">
        <v>11.13</v>
      </c>
      <c r="C260" s="5">
        <v>26366250</v>
      </c>
      <c r="D260" s="4">
        <v>-0.17999999999999899</v>
      </c>
      <c r="E260" s="4">
        <v>-1.59151193633951</v>
      </c>
      <c r="F260" s="4">
        <v>-1.59151898165329</v>
      </c>
      <c r="G260" s="4">
        <v>11.244743</v>
      </c>
      <c r="H260" s="4">
        <v>-20.531851590106001</v>
      </c>
      <c r="I260" s="4">
        <v>11.36</v>
      </c>
      <c r="J260" s="4">
        <v>11.49</v>
      </c>
      <c r="K260" s="4">
        <v>11.1</v>
      </c>
      <c r="L260" s="4">
        <v>-21.3427561837455</v>
      </c>
    </row>
    <row r="261" spans="1:12" ht="15" customHeight="1" x14ac:dyDescent="0.2">
      <c r="A261" s="6">
        <v>45673</v>
      </c>
      <c r="B261" s="7">
        <v>11.31</v>
      </c>
      <c r="C261" s="8">
        <v>43717633</v>
      </c>
      <c r="D261" s="7">
        <v>-9.9999999999997799E-3</v>
      </c>
      <c r="E261" s="7">
        <v>-8.8339222614841603E-2</v>
      </c>
      <c r="F261" s="7">
        <v>-8.8334031961312398E-2</v>
      </c>
      <c r="G261" s="7">
        <v>11.4265995</v>
      </c>
      <c r="H261" s="7">
        <v>-19.2466466431095</v>
      </c>
      <c r="I261" s="7">
        <v>11.39</v>
      </c>
      <c r="J261" s="7">
        <v>11.45</v>
      </c>
      <c r="K261" s="7">
        <v>11.22</v>
      </c>
      <c r="L261" s="7">
        <v>-20.070671378091799</v>
      </c>
    </row>
    <row r="262" spans="1:12" ht="15" customHeight="1" x14ac:dyDescent="0.2">
      <c r="A262" s="3">
        <v>45672</v>
      </c>
      <c r="B262" s="4">
        <v>11.32</v>
      </c>
      <c r="C262" s="5">
        <v>61788390</v>
      </c>
      <c r="D262" s="4">
        <v>0.28999999999999998</v>
      </c>
      <c r="E262" s="4">
        <v>2.6291931097008199</v>
      </c>
      <c r="F262" s="4">
        <v>2.6291957293942798</v>
      </c>
      <c r="G262" s="4">
        <v>11.436702</v>
      </c>
      <c r="H262" s="4">
        <v>-19.175250883392199</v>
      </c>
      <c r="I262" s="4">
        <v>11.11</v>
      </c>
      <c r="J262" s="4">
        <v>11.35</v>
      </c>
      <c r="K262" s="4">
        <v>11.11</v>
      </c>
      <c r="L262" s="4">
        <v>-20</v>
      </c>
    </row>
    <row r="263" spans="1:12" ht="15" customHeight="1" x14ac:dyDescent="0.2">
      <c r="A263" s="6">
        <v>45671</v>
      </c>
      <c r="B263" s="7">
        <v>11.03</v>
      </c>
      <c r="C263" s="8">
        <v>48786400</v>
      </c>
      <c r="D263" s="7">
        <v>-0.100000000000001</v>
      </c>
      <c r="E263" s="7">
        <v>-0.89847259658581902</v>
      </c>
      <c r="F263" s="7">
        <v>-0.89847317986724295</v>
      </c>
      <c r="G263" s="7">
        <v>11.143712000000001</v>
      </c>
      <c r="H263" s="7">
        <v>-21.245851590106</v>
      </c>
      <c r="I263" s="7">
        <v>11.18</v>
      </c>
      <c r="J263" s="7">
        <v>11.23</v>
      </c>
      <c r="K263" s="7">
        <v>10.97</v>
      </c>
      <c r="L263" s="7">
        <v>-22.049469964664301</v>
      </c>
    </row>
    <row r="264" spans="1:12" ht="15" customHeight="1" x14ac:dyDescent="0.2">
      <c r="A264" s="3">
        <v>45670</v>
      </c>
      <c r="B264" s="4">
        <v>11.13</v>
      </c>
      <c r="C264" s="5">
        <v>44723710</v>
      </c>
      <c r="D264" s="4">
        <v>-0.38999999999999801</v>
      </c>
      <c r="E264" s="4">
        <v>-3.3854166666666501</v>
      </c>
      <c r="F264" s="4">
        <v>-3.3854196201589799</v>
      </c>
      <c r="G264" s="4">
        <v>11.244743</v>
      </c>
      <c r="H264" s="4">
        <v>-20.531851590106001</v>
      </c>
      <c r="I264" s="4">
        <v>11.55</v>
      </c>
      <c r="J264" s="4">
        <v>11.55</v>
      </c>
      <c r="K264" s="4">
        <v>11.04</v>
      </c>
      <c r="L264" s="4">
        <v>-21.3427561837455</v>
      </c>
    </row>
    <row r="265" spans="1:12" ht="15" customHeight="1" x14ac:dyDescent="0.2">
      <c r="A265" s="6">
        <v>45667</v>
      </c>
      <c r="B265" s="7">
        <v>11.52</v>
      </c>
      <c r="C265" s="8">
        <v>27031690</v>
      </c>
      <c r="D265" s="7">
        <v>0.189999999999999</v>
      </c>
      <c r="E265" s="7">
        <v>1.6769638128861299</v>
      </c>
      <c r="F265" s="7">
        <v>1.6769657559467499</v>
      </c>
      <c r="G265" s="7">
        <v>11.638764</v>
      </c>
      <c r="H265" s="7">
        <v>-17.747250883392201</v>
      </c>
      <c r="I265" s="7">
        <v>11.42</v>
      </c>
      <c r="J265" s="7">
        <v>11.67</v>
      </c>
      <c r="K265" s="7">
        <v>11.42</v>
      </c>
      <c r="L265" s="7">
        <v>-18.586572438162499</v>
      </c>
    </row>
    <row r="266" spans="1:12" ht="15" customHeight="1" x14ac:dyDescent="0.2">
      <c r="A266" s="3">
        <v>45666</v>
      </c>
      <c r="B266" s="4">
        <v>11.33</v>
      </c>
      <c r="C266" s="5">
        <v>8967635</v>
      </c>
      <c r="D266" s="4">
        <v>-0.19999999999999901</v>
      </c>
      <c r="E266" s="4">
        <v>-1.7346053772766601</v>
      </c>
      <c r="F266" s="4">
        <v>-1.7346064643024901</v>
      </c>
      <c r="G266" s="4">
        <v>11.446804999999999</v>
      </c>
      <c r="H266" s="4">
        <v>-19.103851590106</v>
      </c>
      <c r="I266" s="4">
        <v>11.52</v>
      </c>
      <c r="J266" s="4">
        <v>11.74</v>
      </c>
      <c r="K266" s="4">
        <v>11.3</v>
      </c>
      <c r="L266" s="4">
        <v>-19.929328621908098</v>
      </c>
    </row>
    <row r="267" spans="1:12" ht="15" customHeight="1" x14ac:dyDescent="0.2">
      <c r="A267" s="6">
        <v>45665</v>
      </c>
      <c r="B267" s="7">
        <v>11.53</v>
      </c>
      <c r="C267" s="8">
        <v>31183770</v>
      </c>
      <c r="D267" s="7">
        <v>2.9999999999999302E-2</v>
      </c>
      <c r="E267" s="7">
        <v>0.26086956521737997</v>
      </c>
      <c r="F267" s="7">
        <v>0.26087576968465398</v>
      </c>
      <c r="G267" s="7">
        <v>11.648866999999999</v>
      </c>
      <c r="H267" s="7">
        <v>-17.675851590105999</v>
      </c>
      <c r="I267" s="7">
        <v>11.5</v>
      </c>
      <c r="J267" s="7">
        <v>11.6</v>
      </c>
      <c r="K267" s="7">
        <v>11.4</v>
      </c>
      <c r="L267" s="7">
        <v>-18.5159010600706</v>
      </c>
    </row>
    <row r="268" spans="1:12" ht="15" customHeight="1" x14ac:dyDescent="0.2">
      <c r="A268" s="3">
        <v>45664</v>
      </c>
      <c r="B268" s="4">
        <v>11.5</v>
      </c>
      <c r="C268" s="5">
        <v>32898080</v>
      </c>
      <c r="D268" s="4">
        <v>-9.9999999999999603E-2</v>
      </c>
      <c r="E268" s="4">
        <v>-0.862068965517237</v>
      </c>
      <c r="F268" s="4">
        <v>-0.86207801314533905</v>
      </c>
      <c r="G268" s="4">
        <v>11.618556999999999</v>
      </c>
      <c r="H268" s="4">
        <v>-17.890056537102399</v>
      </c>
      <c r="I268" s="4">
        <v>11.57</v>
      </c>
      <c r="J268" s="4">
        <v>11.69</v>
      </c>
      <c r="K268" s="4">
        <v>11.38</v>
      </c>
      <c r="L268" s="4">
        <v>-18.727915194346199</v>
      </c>
    </row>
    <row r="269" spans="1:12" ht="15" customHeight="1" x14ac:dyDescent="0.2">
      <c r="A269" s="6">
        <v>45663</v>
      </c>
      <c r="B269" s="7">
        <v>11.6</v>
      </c>
      <c r="C269" s="8">
        <v>26026260</v>
      </c>
      <c r="D269" s="7">
        <v>-1.9999999999999501E-2</v>
      </c>
      <c r="E269" s="7">
        <v>-0.17211703958691599</v>
      </c>
      <c r="F269" s="7">
        <v>-0.172115441538811</v>
      </c>
      <c r="G269" s="7">
        <v>11.719588999999999</v>
      </c>
      <c r="H269" s="7">
        <v>-17.1760494699646</v>
      </c>
      <c r="I269" s="7">
        <v>11.6</v>
      </c>
      <c r="J269" s="7">
        <v>11.9</v>
      </c>
      <c r="K269" s="7">
        <v>11.57</v>
      </c>
      <c r="L269" s="7">
        <v>-18.021201413427502</v>
      </c>
    </row>
    <row r="270" spans="1:12" ht="15" customHeight="1" x14ac:dyDescent="0.2">
      <c r="A270" s="3">
        <v>45660</v>
      </c>
      <c r="B270" s="4">
        <v>11.62</v>
      </c>
      <c r="C270" s="5">
        <v>35267860</v>
      </c>
      <c r="D270" s="4">
        <v>-3.0000000000001099E-2</v>
      </c>
      <c r="E270" s="4">
        <v>-0.257510729613741</v>
      </c>
      <c r="F270" s="4">
        <v>-0.25749987064683699</v>
      </c>
      <c r="G270" s="4">
        <v>11.739795000000001</v>
      </c>
      <c r="H270" s="4">
        <v>-17.033250883392199</v>
      </c>
      <c r="I270" s="4">
        <v>11.69</v>
      </c>
      <c r="J270" s="4">
        <v>11.7</v>
      </c>
      <c r="K270" s="4">
        <v>11.55</v>
      </c>
      <c r="L270" s="4">
        <v>-17.879858657243801</v>
      </c>
    </row>
    <row r="271" spans="1:12" ht="15" customHeight="1" x14ac:dyDescent="0.2">
      <c r="A271" s="6">
        <v>45659</v>
      </c>
      <c r="B271" s="7">
        <v>11.65</v>
      </c>
      <c r="C271" s="8">
        <v>19522390</v>
      </c>
      <c r="D271" s="7">
        <v>-2.9999999999999302E-2</v>
      </c>
      <c r="E271" s="7">
        <v>-0.25684931506848502</v>
      </c>
      <c r="F271" s="7">
        <v>-0.25685541684007301</v>
      </c>
      <c r="G271" s="7">
        <v>11.770103000000001</v>
      </c>
      <c r="H271" s="7">
        <v>-16.819060070671298</v>
      </c>
      <c r="I271" s="7">
        <v>11.68</v>
      </c>
      <c r="J271" s="7">
        <v>11.89</v>
      </c>
      <c r="K271" s="7">
        <v>11.58</v>
      </c>
      <c r="L271" s="7">
        <v>-17.667844522968199</v>
      </c>
    </row>
    <row r="272" spans="1:12" ht="15" customHeight="1" x14ac:dyDescent="0.2">
      <c r="A272" s="3">
        <v>45657</v>
      </c>
      <c r="B272" s="4">
        <v>11.68</v>
      </c>
      <c r="C272" s="5">
        <v>21820890</v>
      </c>
      <c r="D272" s="4">
        <v>0.31</v>
      </c>
      <c r="E272" s="4">
        <v>2.7264731750219902</v>
      </c>
      <c r="F272" s="4">
        <v>2.7264741320721999</v>
      </c>
      <c r="G272" s="4">
        <v>11.800413000000001</v>
      </c>
      <c r="H272" s="4">
        <v>-16.604855123674898</v>
      </c>
      <c r="I272" s="4">
        <v>11.43</v>
      </c>
      <c r="J272" s="4">
        <v>11.76</v>
      </c>
      <c r="K272" s="4">
        <v>11.43</v>
      </c>
      <c r="L272" s="4">
        <v>-17.455830388692501</v>
      </c>
    </row>
    <row r="273" spans="1:12" ht="15" customHeight="1" x14ac:dyDescent="0.2">
      <c r="A273" s="6">
        <v>45656</v>
      </c>
      <c r="B273" s="7">
        <v>11.37</v>
      </c>
      <c r="C273" s="8">
        <v>35198770</v>
      </c>
      <c r="D273" s="7">
        <v>-0.110000000000001</v>
      </c>
      <c r="E273" s="7">
        <v>-0.95818815331011298</v>
      </c>
      <c r="F273" s="7">
        <v>-0.95818793550910197</v>
      </c>
      <c r="G273" s="7">
        <v>11.487216999999999</v>
      </c>
      <c r="H273" s="7">
        <v>-18.8182544169611</v>
      </c>
      <c r="I273" s="7">
        <v>11.48</v>
      </c>
      <c r="J273" s="7">
        <v>11.48</v>
      </c>
      <c r="K273" s="7">
        <v>11.25</v>
      </c>
      <c r="L273" s="7">
        <v>-19.646643109540602</v>
      </c>
    </row>
    <row r="274" spans="1:12" ht="15" customHeight="1" x14ac:dyDescent="0.2">
      <c r="A274" s="3">
        <v>45653</v>
      </c>
      <c r="B274" s="4">
        <v>11.48</v>
      </c>
      <c r="C274" s="5">
        <v>16256140</v>
      </c>
      <c r="D274" s="4">
        <v>1.9999999999999501E-2</v>
      </c>
      <c r="E274" s="4">
        <v>0.17452006980802601</v>
      </c>
      <c r="F274" s="4">
        <v>0.17451845697216101</v>
      </c>
      <c r="G274" s="4">
        <v>11.598350999999999</v>
      </c>
      <c r="H274" s="4">
        <v>-18.032855123674899</v>
      </c>
      <c r="I274" s="4">
        <v>11.4</v>
      </c>
      <c r="J274" s="4">
        <v>11.59</v>
      </c>
      <c r="K274" s="4">
        <v>11.37</v>
      </c>
      <c r="L274" s="4">
        <v>-18.869257950529999</v>
      </c>
    </row>
    <row r="275" spans="1:12" ht="15" customHeight="1" x14ac:dyDescent="0.2">
      <c r="A275" s="6">
        <v>45652</v>
      </c>
      <c r="B275" s="7">
        <v>11.46</v>
      </c>
      <c r="C275" s="8">
        <v>12938090</v>
      </c>
      <c r="D275" s="7">
        <v>0.13</v>
      </c>
      <c r="E275" s="7">
        <v>1.14739629302735</v>
      </c>
      <c r="F275" s="7">
        <v>1.14739440394067</v>
      </c>
      <c r="G275" s="7">
        <v>11.578144999999999</v>
      </c>
      <c r="H275" s="7">
        <v>-18.1756537102473</v>
      </c>
      <c r="I275" s="7">
        <v>11.35</v>
      </c>
      <c r="J275" s="7">
        <v>11.56</v>
      </c>
      <c r="K275" s="7">
        <v>11.22</v>
      </c>
      <c r="L275" s="7">
        <v>-19.010600706713699</v>
      </c>
    </row>
    <row r="276" spans="1:12" ht="15" customHeight="1" x14ac:dyDescent="0.2">
      <c r="A276" s="3">
        <v>45650</v>
      </c>
      <c r="B276" s="4">
        <v>11.33</v>
      </c>
      <c r="C276" s="5">
        <v>2737268</v>
      </c>
      <c r="D276" s="4">
        <v>0.13</v>
      </c>
      <c r="E276" s="4">
        <v>1.16071428571429</v>
      </c>
      <c r="F276" s="4">
        <v>1.1607212925603201</v>
      </c>
      <c r="G276" s="4">
        <v>11.446804999999999</v>
      </c>
      <c r="H276" s="4">
        <v>-19.103851590106</v>
      </c>
      <c r="I276" s="4">
        <v>11.2</v>
      </c>
      <c r="J276" s="4">
        <v>11.37</v>
      </c>
      <c r="K276" s="4">
        <v>11.19</v>
      </c>
      <c r="L276" s="4">
        <v>-19.929328621908098</v>
      </c>
    </row>
    <row r="277" spans="1:12" ht="15" customHeight="1" x14ac:dyDescent="0.2">
      <c r="A277" s="6">
        <v>45649</v>
      </c>
      <c r="B277" s="7">
        <v>11.2</v>
      </c>
      <c r="C277" s="8">
        <v>16917030</v>
      </c>
      <c r="D277" s="7">
        <v>-0.100000000000001</v>
      </c>
      <c r="E277" s="7">
        <v>-0.88495575221240097</v>
      </c>
      <c r="F277" s="7">
        <v>-0.884956372336687</v>
      </c>
      <c r="G277" s="7">
        <v>11.315464</v>
      </c>
      <c r="H277" s="7">
        <v>-20.032056537102399</v>
      </c>
      <c r="I277" s="7">
        <v>11.34</v>
      </c>
      <c r="J277" s="7">
        <v>11.45</v>
      </c>
      <c r="K277" s="7">
        <v>11.14</v>
      </c>
      <c r="L277" s="7">
        <v>-20.848056537102401</v>
      </c>
    </row>
    <row r="278" spans="1:12" ht="15" customHeight="1" x14ac:dyDescent="0.2">
      <c r="A278" s="3">
        <v>45646</v>
      </c>
      <c r="B278" s="4">
        <v>11.3</v>
      </c>
      <c r="C278" s="5">
        <v>257629900</v>
      </c>
      <c r="D278" s="4">
        <v>-3.9999999999999099E-2</v>
      </c>
      <c r="E278" s="4">
        <v>-0.352733686067008</v>
      </c>
      <c r="F278" s="4">
        <v>-0.35273915091227298</v>
      </c>
      <c r="G278" s="4">
        <v>11.416494999999999</v>
      </c>
      <c r="H278" s="4">
        <v>-19.3180565371024</v>
      </c>
      <c r="I278" s="4">
        <v>11.29</v>
      </c>
      <c r="J278" s="4">
        <v>11.58</v>
      </c>
      <c r="K278" s="4">
        <v>11.17</v>
      </c>
      <c r="L278" s="4">
        <v>-20.1413427561837</v>
      </c>
    </row>
    <row r="279" spans="1:12" ht="15" customHeight="1" x14ac:dyDescent="0.2">
      <c r="A279" s="6">
        <v>45645</v>
      </c>
      <c r="B279" s="7">
        <v>11.34</v>
      </c>
      <c r="C279" s="8">
        <v>50948260</v>
      </c>
      <c r="D279" s="7">
        <v>9.9999999999997799E-3</v>
      </c>
      <c r="E279" s="7">
        <v>8.8261253309784807E-2</v>
      </c>
      <c r="F279" s="7">
        <v>8.8260435990661301E-2</v>
      </c>
      <c r="G279" s="7">
        <v>11.456908</v>
      </c>
      <c r="H279" s="7">
        <v>-19.032452296819699</v>
      </c>
      <c r="I279" s="7">
        <v>11.26</v>
      </c>
      <c r="J279" s="7">
        <v>11.44</v>
      </c>
      <c r="K279" s="7">
        <v>11.17</v>
      </c>
      <c r="L279" s="7">
        <v>-19.8586572438162</v>
      </c>
    </row>
    <row r="280" spans="1:12" ht="15" customHeight="1" x14ac:dyDescent="0.2">
      <c r="A280" s="3">
        <v>45644</v>
      </c>
      <c r="B280" s="4">
        <v>11.33</v>
      </c>
      <c r="C280" s="5">
        <v>40410594</v>
      </c>
      <c r="D280" s="4">
        <v>4.0000000000000903E-2</v>
      </c>
      <c r="E280" s="4">
        <v>0.35429583702393203</v>
      </c>
      <c r="F280" s="4">
        <v>0.35430134261560298</v>
      </c>
      <c r="G280" s="4">
        <v>11.446804999999999</v>
      </c>
      <c r="H280" s="4">
        <v>-19.103851590106</v>
      </c>
      <c r="I280" s="4">
        <v>11.21</v>
      </c>
      <c r="J280" s="4">
        <v>11.4</v>
      </c>
      <c r="K280" s="4">
        <v>11.16</v>
      </c>
      <c r="L280" s="4">
        <v>-19.929328621908098</v>
      </c>
    </row>
    <row r="281" spans="1:12" ht="15" customHeight="1" x14ac:dyDescent="0.2">
      <c r="A281" s="6">
        <v>45643</v>
      </c>
      <c r="B281" s="7">
        <v>11.29</v>
      </c>
      <c r="C281" s="8">
        <v>40923688</v>
      </c>
      <c r="D281" s="7">
        <v>9.9999999999999603E-2</v>
      </c>
      <c r="E281" s="7">
        <v>0.89365504915102001</v>
      </c>
      <c r="F281" s="7">
        <v>0.89365567362245102</v>
      </c>
      <c r="G281" s="7">
        <v>11.406392</v>
      </c>
      <c r="H281" s="7">
        <v>-19.389455830388599</v>
      </c>
      <c r="I281" s="7">
        <v>11.18</v>
      </c>
      <c r="J281" s="7">
        <v>11.38</v>
      </c>
      <c r="K281" s="7">
        <v>11.1</v>
      </c>
      <c r="L281" s="7">
        <v>-20.212014134275599</v>
      </c>
    </row>
    <row r="282" spans="1:12" ht="15" customHeight="1" x14ac:dyDescent="0.2">
      <c r="A282" s="3">
        <v>45642</v>
      </c>
      <c r="B282" s="4">
        <v>11.19</v>
      </c>
      <c r="C282" s="5">
        <v>42452754</v>
      </c>
      <c r="D282" s="4">
        <v>-6.0000000000000497E-2</v>
      </c>
      <c r="E282" s="4">
        <v>-0.53333333333334099</v>
      </c>
      <c r="F282" s="4">
        <v>-0.53333720453494404</v>
      </c>
      <c r="G282" s="4">
        <v>11.305361</v>
      </c>
      <c r="H282" s="4">
        <v>-20.103455830388601</v>
      </c>
      <c r="I282" s="4">
        <v>11.28</v>
      </c>
      <c r="J282" s="4">
        <v>11.31</v>
      </c>
      <c r="K282" s="4">
        <v>11.12</v>
      </c>
      <c r="L282" s="4">
        <v>-20.9187279151943</v>
      </c>
    </row>
    <row r="283" spans="1:12" ht="15" customHeight="1" x14ac:dyDescent="0.2">
      <c r="A283" s="6">
        <v>45639</v>
      </c>
      <c r="B283" s="7">
        <v>11.25</v>
      </c>
      <c r="C283" s="8">
        <v>38697080</v>
      </c>
      <c r="D283" s="7">
        <v>0.13</v>
      </c>
      <c r="E283" s="7">
        <v>1.16906474820144</v>
      </c>
      <c r="F283" s="7">
        <v>1.1690628271132799</v>
      </c>
      <c r="G283" s="7">
        <v>11.36598</v>
      </c>
      <c r="H283" s="7">
        <v>-19.675053003533499</v>
      </c>
      <c r="I283" s="7">
        <v>11.21</v>
      </c>
      <c r="J283" s="7">
        <v>11.31</v>
      </c>
      <c r="K283" s="7">
        <v>11.08</v>
      </c>
      <c r="L283" s="7">
        <v>-20.494699646643099</v>
      </c>
    </row>
    <row r="284" spans="1:12" ht="15" customHeight="1" x14ac:dyDescent="0.2">
      <c r="A284" s="3">
        <v>45637</v>
      </c>
      <c r="B284" s="4">
        <v>11.12</v>
      </c>
      <c r="C284" s="5">
        <v>47994880</v>
      </c>
      <c r="D284" s="4">
        <v>-0.4</v>
      </c>
      <c r="E284" s="4">
        <v>-3.4722222222222201</v>
      </c>
      <c r="F284" s="4">
        <v>-3.4722243702166198</v>
      </c>
      <c r="G284" s="4">
        <v>11.234640000000001</v>
      </c>
      <c r="H284" s="4">
        <v>-20.603250883392199</v>
      </c>
      <c r="I284" s="4">
        <v>11.5</v>
      </c>
      <c r="J284" s="4">
        <v>11.5</v>
      </c>
      <c r="K284" s="4">
        <v>11.03</v>
      </c>
      <c r="L284" s="4">
        <v>-21.413427561837398</v>
      </c>
    </row>
    <row r="285" spans="1:12" ht="15" customHeight="1" x14ac:dyDescent="0.2">
      <c r="A285" s="6">
        <v>45636</v>
      </c>
      <c r="B285" s="7">
        <v>11.52</v>
      </c>
      <c r="C285" s="8">
        <v>47013980</v>
      </c>
      <c r="D285" s="7">
        <v>-0.34999999999999898</v>
      </c>
      <c r="E285" s="7">
        <v>-2.9486099410277999</v>
      </c>
      <c r="F285" s="7">
        <v>-2.5976590409578799</v>
      </c>
      <c r="G285" s="7">
        <v>11.638764</v>
      </c>
      <c r="H285" s="7">
        <v>-17.747250883392201</v>
      </c>
      <c r="I285" s="7">
        <v>11.85</v>
      </c>
      <c r="J285" s="7">
        <v>11.85</v>
      </c>
      <c r="K285" s="7">
        <v>11.43</v>
      </c>
      <c r="L285" s="7">
        <v>-18.586572438162499</v>
      </c>
    </row>
    <row r="286" spans="1:12" ht="15" customHeight="1" x14ac:dyDescent="0.2">
      <c r="A286" s="3">
        <v>45635</v>
      </c>
      <c r="B286" s="4">
        <v>11.87</v>
      </c>
      <c r="C286" s="5">
        <v>43403640</v>
      </c>
      <c r="D286" s="4">
        <v>0.149999999999998</v>
      </c>
      <c r="E286" s="4">
        <v>1.27986348122866</v>
      </c>
      <c r="F286" s="4">
        <v>1.27986460941966</v>
      </c>
      <c r="G286" s="4">
        <v>11.9491625</v>
      </c>
      <c r="H286" s="4">
        <v>-15.5536219081272</v>
      </c>
      <c r="I286" s="4">
        <v>11.71</v>
      </c>
      <c r="J286" s="4">
        <v>11.97</v>
      </c>
      <c r="K286" s="4">
        <v>11.71</v>
      </c>
      <c r="L286" s="4">
        <v>-16.113074204947001</v>
      </c>
    </row>
    <row r="287" spans="1:12" ht="15" customHeight="1" x14ac:dyDescent="0.2">
      <c r="A287" s="6">
        <v>45632</v>
      </c>
      <c r="B287" s="7">
        <v>11.72</v>
      </c>
      <c r="C287" s="8">
        <v>41690832</v>
      </c>
      <c r="D287" s="7">
        <v>-6.9999999999998494E-2</v>
      </c>
      <c r="E287" s="7">
        <v>-0.59372349448684103</v>
      </c>
      <c r="F287" s="7">
        <v>-0.59372485229760497</v>
      </c>
      <c r="G287" s="7">
        <v>11.798162</v>
      </c>
      <c r="H287" s="7">
        <v>-16.6207632508833</v>
      </c>
      <c r="I287" s="7">
        <v>11.73</v>
      </c>
      <c r="J287" s="7">
        <v>11.95</v>
      </c>
      <c r="K287" s="7">
        <v>11.69</v>
      </c>
      <c r="L287" s="7">
        <v>-17.173144876325001</v>
      </c>
    </row>
    <row r="288" spans="1:12" ht="15" customHeight="1" x14ac:dyDescent="0.2">
      <c r="A288" s="3">
        <v>45631</v>
      </c>
      <c r="B288" s="4">
        <v>11.79</v>
      </c>
      <c r="C288" s="5">
        <v>45405832</v>
      </c>
      <c r="D288" s="4">
        <v>7.9999999999998295E-2</v>
      </c>
      <c r="E288" s="4">
        <v>0.68317677198974602</v>
      </c>
      <c r="F288" s="4">
        <v>0.68318078536013704</v>
      </c>
      <c r="G288" s="4">
        <v>11.868629</v>
      </c>
      <c r="H288" s="4">
        <v>-16.122763250883299</v>
      </c>
      <c r="I288" s="4">
        <v>11.65</v>
      </c>
      <c r="J288" s="4">
        <v>11.89</v>
      </c>
      <c r="K288" s="4">
        <v>11.47</v>
      </c>
      <c r="L288" s="4">
        <v>-16.678445229681898</v>
      </c>
    </row>
    <row r="289" spans="1:12" ht="15" customHeight="1" x14ac:dyDescent="0.2">
      <c r="A289" s="6">
        <v>45630</v>
      </c>
      <c r="B289" s="7">
        <v>11.71</v>
      </c>
      <c r="C289" s="8">
        <v>49809367</v>
      </c>
      <c r="D289" s="7">
        <v>9.0000000000001606E-2</v>
      </c>
      <c r="E289" s="7">
        <v>0.77452667814115195</v>
      </c>
      <c r="F289" s="7">
        <v>0.77452480210506902</v>
      </c>
      <c r="G289" s="7">
        <v>11.788095</v>
      </c>
      <c r="H289" s="7">
        <v>-16.6919081272084</v>
      </c>
      <c r="I289" s="7">
        <v>11.56</v>
      </c>
      <c r="J289" s="7">
        <v>11.95</v>
      </c>
      <c r="K289" s="7">
        <v>11.56</v>
      </c>
      <c r="L289" s="7">
        <v>-17.243816254416899</v>
      </c>
    </row>
    <row r="290" spans="1:12" ht="15" customHeight="1" x14ac:dyDescent="0.2">
      <c r="A290" s="3">
        <v>45629</v>
      </c>
      <c r="B290" s="4">
        <v>11.62</v>
      </c>
      <c r="C290" s="5">
        <v>55788450</v>
      </c>
      <c r="D290" s="4"/>
      <c r="E290" s="4"/>
      <c r="F290" s="4"/>
      <c r="G290" s="4">
        <v>11.697495</v>
      </c>
      <c r="H290" s="4">
        <v>-17.3321908127208</v>
      </c>
      <c r="I290" s="4">
        <v>11.62</v>
      </c>
      <c r="J290" s="4">
        <v>11.68</v>
      </c>
      <c r="K290" s="4">
        <v>11.41</v>
      </c>
      <c r="L290" s="4">
        <v>-17.879858657243801</v>
      </c>
    </row>
    <row r="291" spans="1:12" ht="15" customHeight="1" x14ac:dyDescent="0.2">
      <c r="A291" s="6">
        <v>45628</v>
      </c>
      <c r="B291" s="7">
        <v>11.62</v>
      </c>
      <c r="C291" s="8">
        <v>48202832</v>
      </c>
      <c r="D291" s="7">
        <v>0.47999999999999798</v>
      </c>
      <c r="E291" s="7">
        <v>4.3087971274685604</v>
      </c>
      <c r="F291" s="7">
        <v>4.3087955425459503</v>
      </c>
      <c r="G291" s="7">
        <v>11.697495</v>
      </c>
      <c r="H291" s="7">
        <v>-17.3321908127208</v>
      </c>
      <c r="I291" s="7">
        <v>11.1</v>
      </c>
      <c r="J291" s="7">
        <v>11.76</v>
      </c>
      <c r="K291" s="7">
        <v>11.1</v>
      </c>
      <c r="L291" s="7">
        <v>-17.879858657243801</v>
      </c>
    </row>
    <row r="292" spans="1:12" ht="15" customHeight="1" x14ac:dyDescent="0.2">
      <c r="A292" s="3">
        <v>45625</v>
      </c>
      <c r="B292" s="4">
        <v>11.14</v>
      </c>
      <c r="C292" s="5">
        <v>29850670</v>
      </c>
      <c r="D292" s="4">
        <v>-8.9999999999999802E-2</v>
      </c>
      <c r="E292" s="4">
        <v>-0.80142475512021605</v>
      </c>
      <c r="F292" s="4">
        <v>-0.80141842999228396</v>
      </c>
      <c r="G292" s="4">
        <v>11.214294000000001</v>
      </c>
      <c r="H292" s="4">
        <v>-20.747038869257899</v>
      </c>
      <c r="I292" s="4">
        <v>11.24</v>
      </c>
      <c r="J292" s="4">
        <v>11.53</v>
      </c>
      <c r="K292" s="4">
        <v>11.05</v>
      </c>
      <c r="L292" s="4">
        <v>-21.272084805653702</v>
      </c>
    </row>
    <row r="293" spans="1:12" ht="15" customHeight="1" x14ac:dyDescent="0.2">
      <c r="A293" s="6">
        <v>45624</v>
      </c>
      <c r="B293" s="7">
        <v>11.23</v>
      </c>
      <c r="C293" s="8">
        <v>4289948</v>
      </c>
      <c r="D293" s="7">
        <v>5.0000000000000697E-2</v>
      </c>
      <c r="E293" s="7">
        <v>0.44722719141323503</v>
      </c>
      <c r="F293" s="7">
        <v>0.44721868760584299</v>
      </c>
      <c r="G293" s="7">
        <v>11.3048935</v>
      </c>
      <c r="H293" s="7">
        <v>-20.1067597173144</v>
      </c>
      <c r="I293" s="7">
        <v>11.18</v>
      </c>
      <c r="J293" s="7">
        <v>11.35</v>
      </c>
      <c r="K293" s="7">
        <v>11.18</v>
      </c>
      <c r="L293" s="7">
        <v>-20.636042402826799</v>
      </c>
    </row>
    <row r="294" spans="1:12" ht="15" customHeight="1" x14ac:dyDescent="0.2">
      <c r="A294" s="3">
        <v>45623</v>
      </c>
      <c r="B294" s="4">
        <v>11.18</v>
      </c>
      <c r="C294" s="5">
        <v>41924020</v>
      </c>
      <c r="D294" s="4">
        <v>-4.0000000000000903E-2</v>
      </c>
      <c r="E294" s="4">
        <v>-0.35650623885918797</v>
      </c>
      <c r="F294" s="4">
        <v>-0.35650830627965702</v>
      </c>
      <c r="G294" s="4">
        <v>11.254561000000001</v>
      </c>
      <c r="H294" s="4">
        <v>-20.4624664310954</v>
      </c>
      <c r="I294" s="4">
        <v>11.16</v>
      </c>
      <c r="J294" s="4">
        <v>11.48</v>
      </c>
      <c r="K294" s="4">
        <v>11.16</v>
      </c>
      <c r="L294" s="4">
        <v>-20.989399293286201</v>
      </c>
    </row>
    <row r="295" spans="1:12" ht="15" customHeight="1" x14ac:dyDescent="0.2">
      <c r="A295" s="6">
        <v>45622</v>
      </c>
      <c r="B295" s="7">
        <v>11.22</v>
      </c>
      <c r="C295" s="8">
        <v>41880070</v>
      </c>
      <c r="D295" s="7">
        <v>-0.50999999999999901</v>
      </c>
      <c r="E295" s="7">
        <v>-4.34782608695651</v>
      </c>
      <c r="F295" s="7">
        <v>-4.3478198275041802</v>
      </c>
      <c r="G295" s="7">
        <v>11.294828000000001</v>
      </c>
      <c r="H295" s="7">
        <v>-20.177893992932798</v>
      </c>
      <c r="I295" s="7">
        <v>11.61</v>
      </c>
      <c r="J295" s="7">
        <v>11.61</v>
      </c>
      <c r="K295" s="7">
        <v>11.19</v>
      </c>
      <c r="L295" s="7">
        <v>-20.706713780918701</v>
      </c>
    </row>
    <row r="296" spans="1:12" ht="15" customHeight="1" x14ac:dyDescent="0.2">
      <c r="A296" s="3">
        <v>45621</v>
      </c>
      <c r="B296" s="4">
        <v>11.73</v>
      </c>
      <c r="C296" s="5">
        <v>107477000</v>
      </c>
      <c r="D296" s="4">
        <v>0.4</v>
      </c>
      <c r="E296" s="4">
        <v>3.5304501323918802</v>
      </c>
      <c r="F296" s="4">
        <v>3.5304488748953302</v>
      </c>
      <c r="G296" s="4">
        <v>11.8082285</v>
      </c>
      <c r="H296" s="4">
        <v>-16.5496219081272</v>
      </c>
      <c r="I296" s="4">
        <v>11.33</v>
      </c>
      <c r="J296" s="4">
        <v>11.78</v>
      </c>
      <c r="K296" s="4">
        <v>11.33</v>
      </c>
      <c r="L296" s="4">
        <v>-17.102473498233199</v>
      </c>
    </row>
    <row r="297" spans="1:12" ht="15" customHeight="1" x14ac:dyDescent="0.2">
      <c r="A297" s="6">
        <v>45618</v>
      </c>
      <c r="B297" s="7">
        <v>11.33</v>
      </c>
      <c r="C297" s="8">
        <v>35004793</v>
      </c>
      <c r="D297" s="7">
        <v>0.21</v>
      </c>
      <c r="E297" s="7">
        <v>1.88848920863309</v>
      </c>
      <c r="F297" s="7">
        <v>1.8884936431139101</v>
      </c>
      <c r="G297" s="7">
        <v>11.405561000000001</v>
      </c>
      <c r="H297" s="7">
        <v>-19.395328621908099</v>
      </c>
      <c r="I297" s="7">
        <v>11.22</v>
      </c>
      <c r="J297" s="7">
        <v>11.41</v>
      </c>
      <c r="K297" s="7">
        <v>11.17</v>
      </c>
      <c r="L297" s="7">
        <v>-19.929328621908098</v>
      </c>
    </row>
    <row r="298" spans="1:12" ht="15" customHeight="1" x14ac:dyDescent="0.2">
      <c r="A298" s="3">
        <v>45617</v>
      </c>
      <c r="B298" s="4">
        <v>11.12</v>
      </c>
      <c r="C298" s="5">
        <v>59312940</v>
      </c>
      <c r="D298" s="4">
        <v>9.9999999999999603E-2</v>
      </c>
      <c r="E298" s="4">
        <v>0.90744101633393104</v>
      </c>
      <c r="F298" s="4">
        <v>0.90743277095566199</v>
      </c>
      <c r="G298" s="4">
        <v>11.19416</v>
      </c>
      <c r="H298" s="4">
        <v>-20.889328621908099</v>
      </c>
      <c r="I298" s="4">
        <v>11</v>
      </c>
      <c r="J298" s="4">
        <v>11.29</v>
      </c>
      <c r="K298" s="4">
        <v>10.95</v>
      </c>
      <c r="L298" s="4">
        <v>-21.413427561837398</v>
      </c>
    </row>
    <row r="299" spans="1:12" ht="15" customHeight="1" x14ac:dyDescent="0.2">
      <c r="A299" s="6">
        <v>45616</v>
      </c>
      <c r="B299" s="7">
        <v>11.02</v>
      </c>
      <c r="C299" s="8">
        <v>25083070</v>
      </c>
      <c r="D299" s="7">
        <v>8.9999999999999802E-2</v>
      </c>
      <c r="E299" s="7">
        <v>0.82342177493137603</v>
      </c>
      <c r="F299" s="7">
        <v>0.82341972939119401</v>
      </c>
      <c r="G299" s="7">
        <v>11.093494</v>
      </c>
      <c r="H299" s="7">
        <v>-21.600749116607702</v>
      </c>
      <c r="I299" s="7">
        <v>10.92</v>
      </c>
      <c r="J299" s="7">
        <v>11.05</v>
      </c>
      <c r="K299" s="7">
        <v>10.81</v>
      </c>
      <c r="L299" s="7">
        <v>-22.120141342756099</v>
      </c>
    </row>
    <row r="300" spans="1:12" ht="15" customHeight="1" x14ac:dyDescent="0.2">
      <c r="A300" s="3">
        <v>45615</v>
      </c>
      <c r="B300" s="4">
        <v>10.93</v>
      </c>
      <c r="C300" s="5">
        <v>44105960</v>
      </c>
      <c r="D300" s="4">
        <v>-0.26999999999999902</v>
      </c>
      <c r="E300" s="4">
        <v>-2.41071428571427</v>
      </c>
      <c r="F300" s="4">
        <v>-2.4107084413998301</v>
      </c>
      <c r="G300" s="4">
        <v>11.002894</v>
      </c>
      <c r="H300" s="4">
        <v>-22.241031802120101</v>
      </c>
      <c r="I300" s="4">
        <v>11.16</v>
      </c>
      <c r="J300" s="4">
        <v>11.16</v>
      </c>
      <c r="K300" s="4">
        <v>10.84</v>
      </c>
      <c r="L300" s="4">
        <v>-22.756183745583002</v>
      </c>
    </row>
    <row r="301" spans="1:12" ht="15" customHeight="1" x14ac:dyDescent="0.2">
      <c r="A301" s="6">
        <v>45611</v>
      </c>
      <c r="B301" s="7">
        <v>11.2</v>
      </c>
      <c r="C301" s="8">
        <v>32738330</v>
      </c>
      <c r="D301" s="7">
        <v>0.23999999999999799</v>
      </c>
      <c r="E301" s="7">
        <v>2.1897810218977898</v>
      </c>
      <c r="F301" s="7">
        <v>2.18978485905994</v>
      </c>
      <c r="G301" s="7">
        <v>11.274694</v>
      </c>
      <c r="H301" s="7">
        <v>-20.320183745583002</v>
      </c>
      <c r="I301" s="7">
        <v>10.9</v>
      </c>
      <c r="J301" s="7">
        <v>11.22</v>
      </c>
      <c r="K301" s="7">
        <v>10.9</v>
      </c>
      <c r="L301" s="7">
        <v>-20.848056537102401</v>
      </c>
    </row>
    <row r="302" spans="1:12" ht="15" customHeight="1" x14ac:dyDescent="0.2">
      <c r="A302" s="3">
        <v>45610</v>
      </c>
      <c r="B302" s="4">
        <v>10.96</v>
      </c>
      <c r="C302" s="5">
        <v>50179832</v>
      </c>
      <c r="D302" s="4">
        <v>2.0000000000001301E-2</v>
      </c>
      <c r="E302" s="4">
        <v>0.182815356489962</v>
      </c>
      <c r="F302" s="4">
        <v>0.182816435491295</v>
      </c>
      <c r="G302" s="4">
        <v>11.033092999999999</v>
      </c>
      <c r="H302" s="4">
        <v>-22.0276113074205</v>
      </c>
      <c r="I302" s="4">
        <v>10.97</v>
      </c>
      <c r="J302" s="4">
        <v>11.11</v>
      </c>
      <c r="K302" s="4">
        <v>10.84</v>
      </c>
      <c r="L302" s="4">
        <v>-22.544169611307399</v>
      </c>
    </row>
    <row r="303" spans="1:12" ht="15" customHeight="1" x14ac:dyDescent="0.2">
      <c r="A303" s="6">
        <v>45609</v>
      </c>
      <c r="B303" s="7">
        <v>10.94</v>
      </c>
      <c r="C303" s="8">
        <v>43403340</v>
      </c>
      <c r="D303" s="7">
        <v>-0.33999999999999903</v>
      </c>
      <c r="E303" s="7">
        <v>-3.0141843971631199</v>
      </c>
      <c r="F303" s="7">
        <v>-3.0141845689214199</v>
      </c>
      <c r="G303" s="7">
        <v>11.012959499999999</v>
      </c>
      <c r="H303" s="7">
        <v>-22.1698975265017</v>
      </c>
      <c r="I303" s="7">
        <v>11.19</v>
      </c>
      <c r="J303" s="7">
        <v>11.33</v>
      </c>
      <c r="K303" s="7">
        <v>10.91</v>
      </c>
      <c r="L303" s="7">
        <v>-22.6855123674911</v>
      </c>
    </row>
    <row r="304" spans="1:12" ht="15" customHeight="1" x14ac:dyDescent="0.2">
      <c r="A304" s="3">
        <v>45608</v>
      </c>
      <c r="B304" s="4">
        <v>11.28</v>
      </c>
      <c r="C304" s="5">
        <v>32450390</v>
      </c>
      <c r="D304" s="4">
        <v>-0.27000000000000102</v>
      </c>
      <c r="E304" s="4">
        <v>-2.3376623376623402</v>
      </c>
      <c r="F304" s="4">
        <v>-2.3376653087960202</v>
      </c>
      <c r="G304" s="4">
        <v>11.355226999999999</v>
      </c>
      <c r="H304" s="4">
        <v>-19.751045936395698</v>
      </c>
      <c r="I304" s="4">
        <v>11.52</v>
      </c>
      <c r="J304" s="4">
        <v>11.54</v>
      </c>
      <c r="K304" s="4">
        <v>11.21</v>
      </c>
      <c r="L304" s="4">
        <v>-20.2826855123675</v>
      </c>
    </row>
    <row r="305" spans="1:12" ht="15" customHeight="1" x14ac:dyDescent="0.2">
      <c r="A305" s="6">
        <v>45607</v>
      </c>
      <c r="B305" s="7">
        <v>11.55</v>
      </c>
      <c r="C305" s="8">
        <v>30844790</v>
      </c>
      <c r="D305" s="7">
        <v>-0.37999999999999901</v>
      </c>
      <c r="E305" s="7">
        <v>-3.1852472757753398</v>
      </c>
      <c r="F305" s="7">
        <v>-3.1852532852361102</v>
      </c>
      <c r="G305" s="7">
        <v>11.627027999999999</v>
      </c>
      <c r="H305" s="7">
        <v>-17.830190812720801</v>
      </c>
      <c r="I305" s="7">
        <v>11.87</v>
      </c>
      <c r="J305" s="7">
        <v>12.17</v>
      </c>
      <c r="K305" s="7">
        <v>11.51</v>
      </c>
      <c r="L305" s="7">
        <v>-18.3745583038869</v>
      </c>
    </row>
    <row r="306" spans="1:12" ht="15" customHeight="1" x14ac:dyDescent="0.2">
      <c r="A306" s="3">
        <v>45604</v>
      </c>
      <c r="B306" s="4">
        <v>11.93</v>
      </c>
      <c r="C306" s="5">
        <v>34005000</v>
      </c>
      <c r="D306" s="4">
        <v>-0.16</v>
      </c>
      <c r="E306" s="4">
        <v>-1.3234077750206701</v>
      </c>
      <c r="F306" s="4">
        <v>-1.32340319783788</v>
      </c>
      <c r="G306" s="4">
        <v>12.009563</v>
      </c>
      <c r="H306" s="4">
        <v>-15.1267632508833</v>
      </c>
      <c r="I306" s="4">
        <v>11.94</v>
      </c>
      <c r="J306" s="4">
        <v>12.08</v>
      </c>
      <c r="K306" s="4">
        <v>11.74</v>
      </c>
      <c r="L306" s="4">
        <v>-15.689045936395701</v>
      </c>
    </row>
    <row r="307" spans="1:12" ht="15" customHeight="1" x14ac:dyDescent="0.2">
      <c r="A307" s="6">
        <v>45603</v>
      </c>
      <c r="B307" s="7">
        <v>12.09</v>
      </c>
      <c r="C307" s="8">
        <v>59102350</v>
      </c>
      <c r="D307" s="7">
        <v>0.50999999999999901</v>
      </c>
      <c r="E307" s="7">
        <v>4.4041450777201998</v>
      </c>
      <c r="F307" s="7">
        <v>4.4041473667667903</v>
      </c>
      <c r="G307" s="7">
        <v>12.1706295</v>
      </c>
      <c r="H307" s="7">
        <v>-13.9884840989399</v>
      </c>
      <c r="I307" s="7">
        <v>11.59</v>
      </c>
      <c r="J307" s="7">
        <v>12.27</v>
      </c>
      <c r="K307" s="7">
        <v>11.47</v>
      </c>
      <c r="L307" s="7">
        <v>-14.5583038869257</v>
      </c>
    </row>
    <row r="308" spans="1:12" ht="15" customHeight="1" x14ac:dyDescent="0.2">
      <c r="A308" s="3">
        <v>45602</v>
      </c>
      <c r="B308" s="4">
        <v>11.58</v>
      </c>
      <c r="C308" s="5">
        <v>60970047</v>
      </c>
      <c r="D308" s="4">
        <v>0.91999999999999904</v>
      </c>
      <c r="E308" s="4">
        <v>8.6303939962476495</v>
      </c>
      <c r="F308" s="4">
        <v>8.6303984720287499</v>
      </c>
      <c r="G308" s="4">
        <v>11.657228</v>
      </c>
      <c r="H308" s="4">
        <v>-17.616763250883299</v>
      </c>
      <c r="I308" s="4">
        <v>10.66</v>
      </c>
      <c r="J308" s="4">
        <v>11.62</v>
      </c>
      <c r="K308" s="4">
        <v>10.33</v>
      </c>
      <c r="L308" s="4">
        <v>-18.162544169611301</v>
      </c>
    </row>
    <row r="309" spans="1:12" ht="15" customHeight="1" x14ac:dyDescent="0.2">
      <c r="A309" s="6">
        <v>45601</v>
      </c>
      <c r="B309" s="7">
        <v>10.66</v>
      </c>
      <c r="C309" s="8">
        <v>41822832</v>
      </c>
      <c r="D309" s="7">
        <v>0.189999999999999</v>
      </c>
      <c r="E309" s="7">
        <v>1.8147086914995101</v>
      </c>
      <c r="F309" s="7">
        <v>1.8146978896995201</v>
      </c>
      <c r="G309" s="7">
        <v>10.731092</v>
      </c>
      <c r="H309" s="7">
        <v>-24.1618939929328</v>
      </c>
      <c r="I309" s="7">
        <v>10.4</v>
      </c>
      <c r="J309" s="7">
        <v>10.69</v>
      </c>
      <c r="K309" s="7">
        <v>10.4</v>
      </c>
      <c r="L309" s="7">
        <v>-24.664310954063598</v>
      </c>
    </row>
    <row r="310" spans="1:12" ht="15" customHeight="1" x14ac:dyDescent="0.2">
      <c r="A310" s="3">
        <v>45600</v>
      </c>
      <c r="B310" s="4">
        <v>10.47</v>
      </c>
      <c r="C310" s="5">
        <v>18691240</v>
      </c>
      <c r="D310" s="4">
        <v>-9.9999999999999603E-2</v>
      </c>
      <c r="E310" s="4">
        <v>-0.94607379375590805</v>
      </c>
      <c r="F310" s="4">
        <v>-0.94606527592897505</v>
      </c>
      <c r="G310" s="4">
        <v>10.539826</v>
      </c>
      <c r="H310" s="4">
        <v>-25.513597173144799</v>
      </c>
      <c r="I310" s="4">
        <v>10.57</v>
      </c>
      <c r="J310" s="4">
        <v>10.67</v>
      </c>
      <c r="K310" s="4">
        <v>10.39</v>
      </c>
      <c r="L310" s="4">
        <v>-26.007067137809099</v>
      </c>
    </row>
    <row r="311" spans="1:12" ht="15" customHeight="1" x14ac:dyDescent="0.2">
      <c r="A311" s="6">
        <v>45597</v>
      </c>
      <c r="B311" s="7">
        <v>10.57</v>
      </c>
      <c r="C311" s="8">
        <v>22812940</v>
      </c>
      <c r="D311" s="7">
        <v>3.0000000000001099E-2</v>
      </c>
      <c r="E311" s="7">
        <v>0.28462998102467502</v>
      </c>
      <c r="F311" s="7">
        <v>0.28462930143675602</v>
      </c>
      <c r="G311" s="7">
        <v>10.640492</v>
      </c>
      <c r="H311" s="7">
        <v>-24.8021766784452</v>
      </c>
      <c r="I311" s="7">
        <v>10.54</v>
      </c>
      <c r="J311" s="7">
        <v>10.65</v>
      </c>
      <c r="K311" s="7">
        <v>10.45</v>
      </c>
      <c r="L311" s="7">
        <v>-25.300353356890401</v>
      </c>
    </row>
    <row r="312" spans="1:12" ht="15" customHeight="1" x14ac:dyDescent="0.2">
      <c r="A312" s="3">
        <v>45596</v>
      </c>
      <c r="B312" s="4">
        <v>10.54</v>
      </c>
      <c r="C312" s="5">
        <v>47210320</v>
      </c>
      <c r="D312" s="4">
        <v>-0.08</v>
      </c>
      <c r="E312" s="4">
        <v>-0.75329566854990204</v>
      </c>
      <c r="F312" s="4">
        <v>-0.75330007241722896</v>
      </c>
      <c r="G312" s="4">
        <v>10.610291999999999</v>
      </c>
      <c r="H312" s="4">
        <v>-25.015604240282599</v>
      </c>
      <c r="I312" s="4">
        <v>10.63</v>
      </c>
      <c r="J312" s="4">
        <v>10.64</v>
      </c>
      <c r="K312" s="4">
        <v>10.45</v>
      </c>
      <c r="L312" s="4">
        <v>-25.512367491166</v>
      </c>
    </row>
    <row r="313" spans="1:12" ht="15" customHeight="1" x14ac:dyDescent="0.2">
      <c r="A313" s="6">
        <v>45595</v>
      </c>
      <c r="B313" s="7">
        <v>10.62</v>
      </c>
      <c r="C313" s="8">
        <v>37042920</v>
      </c>
      <c r="D313" s="7">
        <v>2.9999999999999302E-2</v>
      </c>
      <c r="E313" s="7">
        <v>0.28328611898016298</v>
      </c>
      <c r="F313" s="7">
        <v>0.28328542807898299</v>
      </c>
      <c r="G313" s="7">
        <v>10.690825999999999</v>
      </c>
      <c r="H313" s="7">
        <v>-24.446459363957601</v>
      </c>
      <c r="I313" s="7">
        <v>10.6</v>
      </c>
      <c r="J313" s="7">
        <v>10.77</v>
      </c>
      <c r="K313" s="7">
        <v>10.55</v>
      </c>
      <c r="L313" s="7">
        <v>-24.946996466431099</v>
      </c>
    </row>
    <row r="314" spans="1:12" ht="15" customHeight="1" x14ac:dyDescent="0.2">
      <c r="A314" s="3">
        <v>45594</v>
      </c>
      <c r="B314" s="4">
        <v>10.59</v>
      </c>
      <c r="C314" s="5">
        <v>57852520</v>
      </c>
      <c r="D314" s="4">
        <v>-0.41999999999999899</v>
      </c>
      <c r="E314" s="4">
        <v>-3.8147138964577598</v>
      </c>
      <c r="F314" s="4">
        <v>-3.8147136260291901</v>
      </c>
      <c r="G314" s="4">
        <v>10.660626000000001</v>
      </c>
      <c r="H314" s="4">
        <v>-24.659886925795</v>
      </c>
      <c r="I314" s="4">
        <v>11.05</v>
      </c>
      <c r="J314" s="4">
        <v>11.05</v>
      </c>
      <c r="K314" s="4">
        <v>10.5</v>
      </c>
      <c r="L314" s="4">
        <v>-25.159010600706701</v>
      </c>
    </row>
    <row r="315" spans="1:12" ht="15" customHeight="1" x14ac:dyDescent="0.2">
      <c r="A315" s="6">
        <v>45593</v>
      </c>
      <c r="B315" s="7">
        <v>11.01</v>
      </c>
      <c r="C315" s="8">
        <v>88760030</v>
      </c>
      <c r="D315" s="7">
        <v>-0.92999999999999905</v>
      </c>
      <c r="E315" s="7">
        <v>-7.78894472361808</v>
      </c>
      <c r="F315" s="7">
        <v>-7.7889464063763398</v>
      </c>
      <c r="G315" s="7">
        <v>11.083427</v>
      </c>
      <c r="H315" s="7">
        <v>-21.671893992932802</v>
      </c>
      <c r="I315" s="7">
        <v>11.8</v>
      </c>
      <c r="J315" s="7">
        <v>11.8</v>
      </c>
      <c r="K315" s="7">
        <v>10.75</v>
      </c>
      <c r="L315" s="7">
        <v>-22.190812720848001</v>
      </c>
    </row>
    <row r="316" spans="1:12" ht="15" customHeight="1" x14ac:dyDescent="0.2">
      <c r="A316" s="3">
        <v>45590</v>
      </c>
      <c r="B316" s="4">
        <v>11.94</v>
      </c>
      <c r="C316" s="5">
        <v>41202550</v>
      </c>
      <c r="D316" s="4">
        <v>-9.9999999999997799E-3</v>
      </c>
      <c r="E316" s="4">
        <v>-8.3682008368202096E-2</v>
      </c>
      <c r="F316" s="4">
        <v>-8.36762659537027E-2</v>
      </c>
      <c r="G316" s="4">
        <v>12.019629500000001</v>
      </c>
      <c r="H316" s="4">
        <v>-15.0556219081272</v>
      </c>
      <c r="I316" s="4">
        <v>11.98</v>
      </c>
      <c r="J316" s="4">
        <v>12.15</v>
      </c>
      <c r="K316" s="4">
        <v>11.9</v>
      </c>
      <c r="L316" s="4">
        <v>-15.618374558303801</v>
      </c>
    </row>
    <row r="317" spans="1:12" ht="15" customHeight="1" x14ac:dyDescent="0.2">
      <c r="A317" s="6">
        <v>45589</v>
      </c>
      <c r="B317" s="7">
        <v>11.95</v>
      </c>
      <c r="C317" s="8">
        <v>37378080</v>
      </c>
      <c r="D317" s="7">
        <v>0.25</v>
      </c>
      <c r="E317" s="7">
        <v>2.1367521367521198</v>
      </c>
      <c r="F317" s="7">
        <v>2.1367497964536399</v>
      </c>
      <c r="G317" s="7">
        <v>12.029695500000001</v>
      </c>
      <c r="H317" s="7">
        <v>-14.9844840989399</v>
      </c>
      <c r="I317" s="7">
        <v>11.75</v>
      </c>
      <c r="J317" s="7">
        <v>11.98</v>
      </c>
      <c r="K317" s="7">
        <v>11.63</v>
      </c>
      <c r="L317" s="7">
        <v>-15.547703180212</v>
      </c>
    </row>
    <row r="318" spans="1:12" ht="15" customHeight="1" x14ac:dyDescent="0.2">
      <c r="A318" s="3">
        <v>45588</v>
      </c>
      <c r="B318" s="4">
        <v>11.7</v>
      </c>
      <c r="C318" s="5">
        <v>40940992</v>
      </c>
      <c r="D318" s="4">
        <v>2.9999999999999302E-2</v>
      </c>
      <c r="E318" s="4">
        <v>0.257069408740351</v>
      </c>
      <c r="F318" s="4">
        <v>0.257068785095038</v>
      </c>
      <c r="G318" s="4">
        <v>11.7780285</v>
      </c>
      <c r="H318" s="4">
        <v>-16.763049469964599</v>
      </c>
      <c r="I318" s="4">
        <v>11.55</v>
      </c>
      <c r="J318" s="4">
        <v>11.81</v>
      </c>
      <c r="K318" s="4">
        <v>11.55</v>
      </c>
      <c r="L318" s="4">
        <v>-17.314487632508801</v>
      </c>
    </row>
    <row r="319" spans="1:12" ht="15" customHeight="1" x14ac:dyDescent="0.2">
      <c r="A319" s="6">
        <v>45587</v>
      </c>
      <c r="B319" s="7">
        <v>11.67</v>
      </c>
      <c r="C319" s="8">
        <v>54092273</v>
      </c>
      <c r="D319" s="7">
        <v>-0.109999999999999</v>
      </c>
      <c r="E319" s="7">
        <v>-0.93378607809846403</v>
      </c>
      <c r="F319" s="7">
        <v>-0.93378522623568305</v>
      </c>
      <c r="G319" s="7">
        <v>11.747828500000001</v>
      </c>
      <c r="H319" s="7">
        <v>-16.976477031802101</v>
      </c>
      <c r="I319" s="7">
        <v>11.76</v>
      </c>
      <c r="J319" s="7">
        <v>11.76</v>
      </c>
      <c r="K319" s="7">
        <v>11.55</v>
      </c>
      <c r="L319" s="7">
        <v>-17.526501766784399</v>
      </c>
    </row>
    <row r="320" spans="1:12" ht="15" customHeight="1" x14ac:dyDescent="0.2">
      <c r="A320" s="3">
        <v>45586</v>
      </c>
      <c r="B320" s="4">
        <v>11.78</v>
      </c>
      <c r="C320" s="5">
        <v>27039160</v>
      </c>
      <c r="D320" s="4">
        <v>-0.16999999999999901</v>
      </c>
      <c r="E320" s="4">
        <v>-1.4225941422594099</v>
      </c>
      <c r="F320" s="4">
        <v>-1.42259211798005</v>
      </c>
      <c r="G320" s="4">
        <v>11.858561999999999</v>
      </c>
      <c r="H320" s="4">
        <v>-16.193908127208399</v>
      </c>
      <c r="I320" s="4">
        <v>11.89</v>
      </c>
      <c r="J320" s="4">
        <v>11.98</v>
      </c>
      <c r="K320" s="4">
        <v>11.75</v>
      </c>
      <c r="L320" s="4">
        <v>-16.7491166077738</v>
      </c>
    </row>
    <row r="321" spans="1:12" ht="15" customHeight="1" x14ac:dyDescent="0.2">
      <c r="A321" s="6">
        <v>45583</v>
      </c>
      <c r="B321" s="7">
        <v>11.95</v>
      </c>
      <c r="C321" s="8">
        <v>55364390</v>
      </c>
      <c r="D321" s="7">
        <v>0.16999999999999901</v>
      </c>
      <c r="E321" s="7">
        <v>1.4431239388794601</v>
      </c>
      <c r="F321" s="7">
        <v>1.44312185575283</v>
      </c>
      <c r="G321" s="7">
        <v>12.029695500000001</v>
      </c>
      <c r="H321" s="7">
        <v>-14.9844840989399</v>
      </c>
      <c r="I321" s="7">
        <v>11.75</v>
      </c>
      <c r="J321" s="7">
        <v>11.98</v>
      </c>
      <c r="K321" s="7">
        <v>11.69</v>
      </c>
      <c r="L321" s="7">
        <v>-15.547703180212</v>
      </c>
    </row>
    <row r="322" spans="1:12" ht="15" customHeight="1" x14ac:dyDescent="0.2">
      <c r="A322" s="3">
        <v>45582</v>
      </c>
      <c r="B322" s="4">
        <v>11.78</v>
      </c>
      <c r="C322" s="5">
        <v>29065890</v>
      </c>
      <c r="D322" s="4">
        <v>-3.0000000000001099E-2</v>
      </c>
      <c r="E322" s="4">
        <v>-0.254022015241328</v>
      </c>
      <c r="F322" s="4">
        <v>-0.25402140273310603</v>
      </c>
      <c r="G322" s="4">
        <v>11.858561999999999</v>
      </c>
      <c r="H322" s="4">
        <v>-16.193908127208399</v>
      </c>
      <c r="I322" s="4">
        <v>11.77</v>
      </c>
      <c r="J322" s="4">
        <v>11.87</v>
      </c>
      <c r="K322" s="4">
        <v>11.74</v>
      </c>
      <c r="L322" s="4">
        <v>-16.7491166077738</v>
      </c>
    </row>
    <row r="323" spans="1:12" ht="15" customHeight="1" x14ac:dyDescent="0.2">
      <c r="A323" s="6">
        <v>45581</v>
      </c>
      <c r="B323" s="7">
        <v>11.81</v>
      </c>
      <c r="C323" s="8">
        <v>48869047</v>
      </c>
      <c r="D323" s="7">
        <v>8.9999999999999802E-2</v>
      </c>
      <c r="E323" s="7">
        <v>0.76791808873719603</v>
      </c>
      <c r="F323" s="7">
        <v>0.76791622288285799</v>
      </c>
      <c r="G323" s="7">
        <v>11.888762</v>
      </c>
      <c r="H323" s="7">
        <v>-15.980480565371</v>
      </c>
      <c r="I323" s="7">
        <v>11.71</v>
      </c>
      <c r="J323" s="7">
        <v>11.9</v>
      </c>
      <c r="K323" s="7">
        <v>11.71</v>
      </c>
      <c r="L323" s="7">
        <v>-16.537102473498202</v>
      </c>
    </row>
    <row r="324" spans="1:12" ht="15" customHeight="1" x14ac:dyDescent="0.2">
      <c r="A324" s="3">
        <v>45580</v>
      </c>
      <c r="B324" s="4">
        <v>11.72</v>
      </c>
      <c r="C324" s="5">
        <v>44422633</v>
      </c>
      <c r="D324" s="4">
        <v>4.0000000000000903E-2</v>
      </c>
      <c r="E324" s="4">
        <v>0.34246575342467001</v>
      </c>
      <c r="F324" s="4">
        <v>0.342467763149789</v>
      </c>
      <c r="G324" s="4">
        <v>11.798162</v>
      </c>
      <c r="H324" s="4">
        <v>-16.6207632508833</v>
      </c>
      <c r="I324" s="4">
        <v>11.75</v>
      </c>
      <c r="J324" s="4">
        <v>11.86</v>
      </c>
      <c r="K324" s="4">
        <v>11.61</v>
      </c>
      <c r="L324" s="4">
        <v>-17.173144876325001</v>
      </c>
    </row>
    <row r="325" spans="1:12" ht="15" customHeight="1" x14ac:dyDescent="0.2">
      <c r="A325" s="6">
        <v>45579</v>
      </c>
      <c r="B325" s="7">
        <v>11.68</v>
      </c>
      <c r="C325" s="8">
        <v>43058420</v>
      </c>
      <c r="D325" s="7">
        <v>-0.28999999999999998</v>
      </c>
      <c r="E325" s="7">
        <v>-2.4227234753550499</v>
      </c>
      <c r="F325" s="7">
        <v>-2.4227272261404198</v>
      </c>
      <c r="G325" s="7">
        <v>11.757895</v>
      </c>
      <c r="H325" s="7">
        <v>-16.905335689045899</v>
      </c>
      <c r="I325" s="7">
        <v>11.97</v>
      </c>
      <c r="J325" s="7">
        <v>12</v>
      </c>
      <c r="K325" s="7">
        <v>11.64</v>
      </c>
      <c r="L325" s="7">
        <v>-17.455830388692501</v>
      </c>
    </row>
    <row r="326" spans="1:12" ht="15" customHeight="1" x14ac:dyDescent="0.2">
      <c r="A326" s="3">
        <v>45576</v>
      </c>
      <c r="B326" s="4">
        <v>11.97</v>
      </c>
      <c r="C326" s="5">
        <v>27545950</v>
      </c>
      <c r="D326" s="4">
        <v>-3.9999999999999099E-2</v>
      </c>
      <c r="E326" s="4">
        <v>-0.33305578684429399</v>
      </c>
      <c r="F326" s="4">
        <v>-0.33305360023609898</v>
      </c>
      <c r="G326" s="4">
        <v>12.0498295</v>
      </c>
      <c r="H326" s="4">
        <v>-14.8421943462897</v>
      </c>
      <c r="I326" s="4">
        <v>11.98</v>
      </c>
      <c r="J326" s="4">
        <v>12.07</v>
      </c>
      <c r="K326" s="4">
        <v>11.86</v>
      </c>
      <c r="L326" s="4">
        <v>-15.4063604240282</v>
      </c>
    </row>
    <row r="327" spans="1:12" ht="15" customHeight="1" x14ac:dyDescent="0.2">
      <c r="A327" s="6">
        <v>45575</v>
      </c>
      <c r="B327" s="7">
        <v>12.01</v>
      </c>
      <c r="C327" s="8">
        <v>46478168</v>
      </c>
      <c r="D327" s="7">
        <v>0.189999999999999</v>
      </c>
      <c r="E327" s="7">
        <v>1.6074450084602301</v>
      </c>
      <c r="F327" s="7">
        <v>1.6074481618085299</v>
      </c>
      <c r="G327" s="7">
        <v>12.090096000000001</v>
      </c>
      <c r="H327" s="7">
        <v>-14.5576254416961</v>
      </c>
      <c r="I327" s="7">
        <v>11.77</v>
      </c>
      <c r="J327" s="7">
        <v>12.11</v>
      </c>
      <c r="K327" s="7">
        <v>11.73</v>
      </c>
      <c r="L327" s="7">
        <v>-15.1236749116607</v>
      </c>
    </row>
    <row r="328" spans="1:12" ht="15" customHeight="1" x14ac:dyDescent="0.2">
      <c r="A328" s="3">
        <v>45574</v>
      </c>
      <c r="B328" s="4">
        <v>11.82</v>
      </c>
      <c r="C328" s="5">
        <v>39021260</v>
      </c>
      <c r="D328" s="4">
        <v>1.9999999999999501E-2</v>
      </c>
      <c r="E328" s="4">
        <v>0.16949152542371501</v>
      </c>
      <c r="F328" s="4">
        <v>0.16948830787017999</v>
      </c>
      <c r="G328" s="4">
        <v>11.8988285</v>
      </c>
      <c r="H328" s="4">
        <v>-15.9093392226148</v>
      </c>
      <c r="I328" s="4">
        <v>11.85</v>
      </c>
      <c r="J328" s="4">
        <v>11.88</v>
      </c>
      <c r="K328" s="4">
        <v>11.68</v>
      </c>
      <c r="L328" s="4">
        <v>-16.4664310954063</v>
      </c>
    </row>
    <row r="329" spans="1:12" ht="15" customHeight="1" x14ac:dyDescent="0.2">
      <c r="A329" s="6">
        <v>45573</v>
      </c>
      <c r="B329" s="7">
        <v>11.8</v>
      </c>
      <c r="C329" s="8">
        <v>73091555</v>
      </c>
      <c r="D329" s="7">
        <v>0.37000000000000099</v>
      </c>
      <c r="E329" s="7">
        <v>3.23709536307963</v>
      </c>
      <c r="F329" s="7">
        <v>3.2370947281767699</v>
      </c>
      <c r="G329" s="7">
        <v>11.878695499999999</v>
      </c>
      <c r="H329" s="7">
        <v>-16.051621908127199</v>
      </c>
      <c r="I329" s="7">
        <v>11.48</v>
      </c>
      <c r="J329" s="7">
        <v>11.84</v>
      </c>
      <c r="K329" s="7">
        <v>11.31</v>
      </c>
      <c r="L329" s="7">
        <v>-16.6077738515901</v>
      </c>
    </row>
    <row r="330" spans="1:12" ht="15" customHeight="1" x14ac:dyDescent="0.2">
      <c r="A330" s="3">
        <v>45572</v>
      </c>
      <c r="B330" s="4">
        <v>11.43</v>
      </c>
      <c r="C330" s="5">
        <v>33817848</v>
      </c>
      <c r="D330" s="4">
        <v>9.9999999999997799E-3</v>
      </c>
      <c r="E330" s="4">
        <v>8.7565674255696196E-2</v>
      </c>
      <c r="F330" s="4">
        <v>8.7568363038759103E-2</v>
      </c>
      <c r="G330" s="4">
        <v>11.506228</v>
      </c>
      <c r="H330" s="4">
        <v>-18.6839010600706</v>
      </c>
      <c r="I330" s="4">
        <v>11.49</v>
      </c>
      <c r="J330" s="4">
        <v>11.65</v>
      </c>
      <c r="K330" s="4">
        <v>11.37</v>
      </c>
      <c r="L330" s="4">
        <v>-19.222614840989401</v>
      </c>
    </row>
    <row r="331" spans="1:12" ht="15" customHeight="1" x14ac:dyDescent="0.2">
      <c r="A331" s="6">
        <v>45569</v>
      </c>
      <c r="B331" s="7">
        <v>11.42</v>
      </c>
      <c r="C331" s="8">
        <v>42150793</v>
      </c>
      <c r="D331" s="7">
        <v>-0.21</v>
      </c>
      <c r="E331" s="7">
        <v>-1.8056749785038699</v>
      </c>
      <c r="F331" s="7">
        <v>-1.8056790986885001</v>
      </c>
      <c r="G331" s="7">
        <v>11.496161000000001</v>
      </c>
      <c r="H331" s="7">
        <v>-18.7550459363957</v>
      </c>
      <c r="I331" s="7">
        <v>11.68</v>
      </c>
      <c r="J331" s="7">
        <v>11.79</v>
      </c>
      <c r="K331" s="7">
        <v>11.39</v>
      </c>
      <c r="L331" s="7">
        <v>-19.2932862190812</v>
      </c>
    </row>
    <row r="332" spans="1:12" ht="15" customHeight="1" x14ac:dyDescent="0.2">
      <c r="A332" s="3">
        <v>45568</v>
      </c>
      <c r="B332" s="4">
        <v>11.63</v>
      </c>
      <c r="C332" s="5">
        <v>49038090</v>
      </c>
      <c r="D332" s="4">
        <v>0.12000000000000099</v>
      </c>
      <c r="E332" s="4">
        <v>1.0425716768027899</v>
      </c>
      <c r="F332" s="4">
        <v>1.04257781790786</v>
      </c>
      <c r="G332" s="4">
        <v>11.707561999999999</v>
      </c>
      <c r="H332" s="4">
        <v>-17.2610459363957</v>
      </c>
      <c r="I332" s="4">
        <v>11.54</v>
      </c>
      <c r="J332" s="4">
        <v>11.67</v>
      </c>
      <c r="K332" s="4">
        <v>11.27</v>
      </c>
      <c r="L332" s="4">
        <v>-17.809187279151899</v>
      </c>
    </row>
    <row r="333" spans="1:12" ht="15" customHeight="1" x14ac:dyDescent="0.2">
      <c r="A333" s="6">
        <v>45567</v>
      </c>
      <c r="B333" s="7">
        <v>11.51</v>
      </c>
      <c r="C333" s="8">
        <v>86004060</v>
      </c>
      <c r="D333" s="7">
        <v>-0.55000000000000004</v>
      </c>
      <c r="E333" s="7">
        <v>-4.5605306799336702</v>
      </c>
      <c r="F333" s="7">
        <v>-4.5605386300155804</v>
      </c>
      <c r="G333" s="7">
        <v>11.586760999999999</v>
      </c>
      <c r="H333" s="7">
        <v>-18.114763250883399</v>
      </c>
      <c r="I333" s="7">
        <v>11.97</v>
      </c>
      <c r="J333" s="7">
        <v>12.15</v>
      </c>
      <c r="K333" s="7">
        <v>11.46</v>
      </c>
      <c r="L333" s="7">
        <v>-18.6572438162544</v>
      </c>
    </row>
    <row r="334" spans="1:12" ht="15" customHeight="1" x14ac:dyDescent="0.2">
      <c r="A334" s="3">
        <v>45565</v>
      </c>
      <c r="B334" s="4">
        <v>12.06</v>
      </c>
      <c r="C334" s="5">
        <v>46719970</v>
      </c>
      <c r="D334" s="4">
        <v>-0.19999999999999901</v>
      </c>
      <c r="E334" s="4">
        <v>-1.6313213703099401</v>
      </c>
      <c r="F334" s="4">
        <v>-1.63131873333985</v>
      </c>
      <c r="G334" s="4">
        <v>12.14043</v>
      </c>
      <c r="H334" s="4">
        <v>-14.2019081272084</v>
      </c>
      <c r="I334" s="4">
        <v>12.23</v>
      </c>
      <c r="J334" s="4">
        <v>12.26</v>
      </c>
      <c r="K334" s="4">
        <v>11.99</v>
      </c>
      <c r="L334" s="4">
        <v>-14.770318021201399</v>
      </c>
    </row>
    <row r="335" spans="1:12" ht="15" customHeight="1" x14ac:dyDescent="0.2">
      <c r="A335" s="6">
        <v>45562</v>
      </c>
      <c r="B335" s="7">
        <v>12.26</v>
      </c>
      <c r="C335" s="8">
        <v>47561793</v>
      </c>
      <c r="D335" s="7">
        <v>-0.33999999999999903</v>
      </c>
      <c r="E335" s="7">
        <v>-2.6984126984126999</v>
      </c>
      <c r="F335" s="7">
        <v>-2.6984165089782199</v>
      </c>
      <c r="G335" s="7">
        <v>12.341763500000001</v>
      </c>
      <c r="H335" s="7">
        <v>-12.779056537102401</v>
      </c>
      <c r="I335" s="7">
        <v>12.53</v>
      </c>
      <c r="J335" s="7">
        <v>12.65</v>
      </c>
      <c r="K335" s="7">
        <v>12.23</v>
      </c>
      <c r="L335" s="7">
        <v>-13.3568904593639</v>
      </c>
    </row>
    <row r="336" spans="1:12" ht="15" customHeight="1" x14ac:dyDescent="0.2">
      <c r="A336" s="3">
        <v>45561</v>
      </c>
      <c r="B336" s="4">
        <v>12.6</v>
      </c>
      <c r="C336" s="5">
        <v>48628740</v>
      </c>
      <c r="D336" s="4">
        <v>6.0000000000000497E-2</v>
      </c>
      <c r="E336" s="4">
        <v>0.47846889952154398</v>
      </c>
      <c r="F336" s="4">
        <v>0.47847168536532197</v>
      </c>
      <c r="G336" s="4">
        <v>12.6840315</v>
      </c>
      <c r="H336" s="4">
        <v>-10.3602014134275</v>
      </c>
      <c r="I336" s="4">
        <v>12.52</v>
      </c>
      <c r="J336" s="4">
        <v>12.75</v>
      </c>
      <c r="K336" s="4">
        <v>12.33</v>
      </c>
      <c r="L336" s="4">
        <v>-10.954063604240201</v>
      </c>
    </row>
    <row r="337" spans="1:12" ht="15" customHeight="1" x14ac:dyDescent="0.2">
      <c r="A337" s="6">
        <v>45560</v>
      </c>
      <c r="B337" s="7">
        <v>12.54</v>
      </c>
      <c r="C337" s="8">
        <v>56791350</v>
      </c>
      <c r="D337" s="7">
        <v>-0.08</v>
      </c>
      <c r="E337" s="7">
        <v>-0.63391442155309397</v>
      </c>
      <c r="F337" s="7">
        <v>-0.63391417829956598</v>
      </c>
      <c r="G337" s="7">
        <v>12.623631</v>
      </c>
      <c r="H337" s="7">
        <v>-10.7870600706713</v>
      </c>
      <c r="I337" s="7">
        <v>12.56</v>
      </c>
      <c r="J337" s="7">
        <v>12.63</v>
      </c>
      <c r="K337" s="7">
        <v>12.42</v>
      </c>
      <c r="L337" s="7">
        <v>-11.378091872791501</v>
      </c>
    </row>
    <row r="338" spans="1:12" ht="15" customHeight="1" x14ac:dyDescent="0.2">
      <c r="A338" s="3">
        <v>45559</v>
      </c>
      <c r="B338" s="4">
        <v>12.62</v>
      </c>
      <c r="C338" s="5">
        <v>67566960</v>
      </c>
      <c r="D338" s="4">
        <v>0.12999999999999901</v>
      </c>
      <c r="E338" s="4">
        <v>1.0408326661328999</v>
      </c>
      <c r="F338" s="4">
        <v>1.04083276483355</v>
      </c>
      <c r="G338" s="4">
        <v>12.704164499999999</v>
      </c>
      <c r="H338" s="4">
        <v>-10.217918727915199</v>
      </c>
      <c r="I338" s="4">
        <v>12.37</v>
      </c>
      <c r="J338" s="4">
        <v>12.67</v>
      </c>
      <c r="K338" s="4">
        <v>12.37</v>
      </c>
      <c r="L338" s="4">
        <v>-10.8127208480565</v>
      </c>
    </row>
    <row r="339" spans="1:12" ht="15" customHeight="1" x14ac:dyDescent="0.2">
      <c r="A339" s="6">
        <v>45558</v>
      </c>
      <c r="B339" s="7">
        <v>12.49</v>
      </c>
      <c r="C339" s="8">
        <v>84058430</v>
      </c>
      <c r="D339" s="7">
        <v>9.9999999999997799E-3</v>
      </c>
      <c r="E339" s="7">
        <v>8.01282051281937E-2</v>
      </c>
      <c r="F339" s="7">
        <v>8.0130663844779598E-2</v>
      </c>
      <c r="G339" s="7">
        <v>12.573297500000001</v>
      </c>
      <c r="H339" s="7">
        <v>-11.1427738515901</v>
      </c>
      <c r="I339" s="7">
        <v>12.48</v>
      </c>
      <c r="J339" s="7">
        <v>12.66</v>
      </c>
      <c r="K339" s="7">
        <v>12.22</v>
      </c>
      <c r="L339" s="7">
        <v>-11.7314487632508</v>
      </c>
    </row>
    <row r="340" spans="1:12" ht="15" customHeight="1" x14ac:dyDescent="0.2">
      <c r="A340" s="3">
        <v>45555</v>
      </c>
      <c r="B340" s="4">
        <v>12.48</v>
      </c>
      <c r="C340" s="5">
        <v>367352470</v>
      </c>
      <c r="D340" s="4">
        <v>0.15</v>
      </c>
      <c r="E340" s="4">
        <v>1.21654501216545</v>
      </c>
      <c r="F340" s="4">
        <v>1.21654202280565</v>
      </c>
      <c r="G340" s="4">
        <v>12.5632305</v>
      </c>
      <c r="H340" s="4">
        <v>-11.2139187279152</v>
      </c>
      <c r="I340" s="4">
        <v>12.32</v>
      </c>
      <c r="J340" s="4">
        <v>12.71</v>
      </c>
      <c r="K340" s="4">
        <v>11.95</v>
      </c>
      <c r="L340" s="4">
        <v>-11.8021201413427</v>
      </c>
    </row>
    <row r="341" spans="1:12" ht="15" customHeight="1" x14ac:dyDescent="0.2">
      <c r="A341" s="6">
        <v>45554</v>
      </c>
      <c r="B341" s="7">
        <v>12.33</v>
      </c>
      <c r="C341" s="8">
        <v>52736832</v>
      </c>
      <c r="D341" s="7">
        <v>0.39</v>
      </c>
      <c r="E341" s="7">
        <v>3.2663316582914601</v>
      </c>
      <c r="F341" s="7">
        <v>3.2663319613969599</v>
      </c>
      <c r="G341" s="7">
        <v>12.4122305</v>
      </c>
      <c r="H341" s="7">
        <v>-12.281056537102399</v>
      </c>
      <c r="I341" s="7">
        <v>12.05</v>
      </c>
      <c r="J341" s="7">
        <v>12.39</v>
      </c>
      <c r="K341" s="7">
        <v>12.04</v>
      </c>
      <c r="L341" s="7">
        <v>-12.862190812720799</v>
      </c>
    </row>
    <row r="342" spans="1:12" ht="15" customHeight="1" x14ac:dyDescent="0.2">
      <c r="A342" s="3">
        <v>45553</v>
      </c>
      <c r="B342" s="4">
        <v>11.94</v>
      </c>
      <c r="C342" s="5">
        <v>39030870</v>
      </c>
      <c r="D342" s="4">
        <v>0.19999999999999901</v>
      </c>
      <c r="E342" s="4">
        <v>1.70357751277683</v>
      </c>
      <c r="F342" s="4">
        <v>1.7035789974958899</v>
      </c>
      <c r="G342" s="4">
        <v>12.019629500000001</v>
      </c>
      <c r="H342" s="4">
        <v>-15.0556219081272</v>
      </c>
      <c r="I342" s="4">
        <v>11.75</v>
      </c>
      <c r="J342" s="4">
        <v>12.04</v>
      </c>
      <c r="K342" s="4">
        <v>11.7</v>
      </c>
      <c r="L342" s="4">
        <v>-15.618374558303801</v>
      </c>
    </row>
    <row r="343" spans="1:12" ht="15" customHeight="1" x14ac:dyDescent="0.2">
      <c r="A343" s="6">
        <v>45552</v>
      </c>
      <c r="B343" s="7">
        <v>11.74</v>
      </c>
      <c r="C343" s="8">
        <v>45150246</v>
      </c>
      <c r="D343" s="7">
        <v>0.15</v>
      </c>
      <c r="E343" s="7">
        <v>1.29421915444349</v>
      </c>
      <c r="F343" s="7">
        <v>1.29422029699257</v>
      </c>
      <c r="G343" s="7">
        <v>11.8182955</v>
      </c>
      <c r="H343" s="7">
        <v>-16.4784770318021</v>
      </c>
      <c r="I343" s="7">
        <v>11.53</v>
      </c>
      <c r="J343" s="7">
        <v>11.84</v>
      </c>
      <c r="K343" s="7">
        <v>11.53</v>
      </c>
      <c r="L343" s="7">
        <v>-17.0318021201413</v>
      </c>
    </row>
    <row r="344" spans="1:12" ht="15" customHeight="1" x14ac:dyDescent="0.2">
      <c r="A344" s="3">
        <v>45548</v>
      </c>
      <c r="B344" s="4">
        <v>11.59</v>
      </c>
      <c r="C344" s="5">
        <v>31102100</v>
      </c>
      <c r="D344" s="4">
        <v>-6.0000000000000497E-2</v>
      </c>
      <c r="E344" s="4">
        <v>-0.515021459227471</v>
      </c>
      <c r="F344" s="4">
        <v>-0.16749565965909999</v>
      </c>
      <c r="G344" s="4">
        <v>11.667294999999999</v>
      </c>
      <c r="H344" s="4">
        <v>-17.545618374558298</v>
      </c>
      <c r="I344" s="4">
        <v>11.66</v>
      </c>
      <c r="J344" s="4">
        <v>11.75</v>
      </c>
      <c r="K344" s="4">
        <v>11.54</v>
      </c>
      <c r="L344" s="4">
        <v>-18.0918727915194</v>
      </c>
    </row>
    <row r="345" spans="1:12" ht="15" customHeight="1" x14ac:dyDescent="0.2">
      <c r="A345" s="6">
        <v>45547</v>
      </c>
      <c r="B345" s="7">
        <v>11.65</v>
      </c>
      <c r="C345" s="8">
        <v>40525840</v>
      </c>
      <c r="D345" s="7">
        <v>0.33</v>
      </c>
      <c r="E345" s="7">
        <v>2.9151943462897498</v>
      </c>
      <c r="F345" s="7">
        <v>2.9152089711851699</v>
      </c>
      <c r="G345" s="7">
        <v>11.686870000000001</v>
      </c>
      <c r="H345" s="7">
        <v>-17.407279151943399</v>
      </c>
      <c r="I345" s="7">
        <v>11.4</v>
      </c>
      <c r="J345" s="7">
        <v>11.71</v>
      </c>
      <c r="K345" s="7">
        <v>11.38</v>
      </c>
      <c r="L345" s="7">
        <v>-17.667844522968199</v>
      </c>
    </row>
    <row r="346" spans="1:12" ht="15" customHeight="1" x14ac:dyDescent="0.2">
      <c r="A346" s="3">
        <v>45546</v>
      </c>
      <c r="B346" s="4">
        <v>11.32</v>
      </c>
      <c r="C346" s="5">
        <v>52015848</v>
      </c>
      <c r="D346" s="4">
        <v>4.0000000000000903E-2</v>
      </c>
      <c r="E346" s="4">
        <v>0.35460992907803102</v>
      </c>
      <c r="F346" s="4">
        <v>0.35459585837338498</v>
      </c>
      <c r="G346" s="4">
        <v>11.355824</v>
      </c>
      <c r="H346" s="4">
        <v>-19.746826855123601</v>
      </c>
      <c r="I346" s="4">
        <v>11.21</v>
      </c>
      <c r="J346" s="4">
        <v>11.45</v>
      </c>
      <c r="K346" s="4">
        <v>10.96</v>
      </c>
      <c r="L346" s="4">
        <v>-20</v>
      </c>
    </row>
    <row r="347" spans="1:12" ht="15" customHeight="1" x14ac:dyDescent="0.2">
      <c r="A347" s="6">
        <v>45545</v>
      </c>
      <c r="B347" s="7">
        <v>11.28</v>
      </c>
      <c r="C347" s="8">
        <v>46565207</v>
      </c>
      <c r="D347" s="7">
        <v>-9.9999999999997799E-3</v>
      </c>
      <c r="E347" s="7">
        <v>-8.8573959255977497E-2</v>
      </c>
      <c r="F347" s="7">
        <v>-8.8568242400266506E-2</v>
      </c>
      <c r="G347" s="7">
        <v>11.315699</v>
      </c>
      <c r="H347" s="7">
        <v>-20.030395759717301</v>
      </c>
      <c r="I347" s="7">
        <v>11.27</v>
      </c>
      <c r="J347" s="7">
        <v>11.36</v>
      </c>
      <c r="K347" s="7">
        <v>11.11</v>
      </c>
      <c r="L347" s="7">
        <v>-20.2826855123675</v>
      </c>
    </row>
    <row r="348" spans="1:12" ht="15" customHeight="1" x14ac:dyDescent="0.2">
      <c r="A348" s="3">
        <v>45544</v>
      </c>
      <c r="B348" s="4">
        <v>11.29</v>
      </c>
      <c r="C348" s="5">
        <v>30469180</v>
      </c>
      <c r="D348" s="4">
        <v>-7.0000000000000201E-2</v>
      </c>
      <c r="E348" s="4">
        <v>-0.61619718309859906</v>
      </c>
      <c r="F348" s="4">
        <v>-0.61619254066641505</v>
      </c>
      <c r="G348" s="4">
        <v>11.32573</v>
      </c>
      <c r="H348" s="4">
        <v>-19.9595053003533</v>
      </c>
      <c r="I348" s="4">
        <v>11.39</v>
      </c>
      <c r="J348" s="4">
        <v>11.43</v>
      </c>
      <c r="K348" s="4">
        <v>11.23</v>
      </c>
      <c r="L348" s="4">
        <v>-20.212014134275599</v>
      </c>
    </row>
    <row r="349" spans="1:12" ht="15" customHeight="1" x14ac:dyDescent="0.2">
      <c r="A349" s="6">
        <v>45541</v>
      </c>
      <c r="B349" s="7">
        <v>11.36</v>
      </c>
      <c r="C349" s="8">
        <v>32613170</v>
      </c>
      <c r="D349" s="7">
        <v>-0.28000000000000103</v>
      </c>
      <c r="E349" s="7">
        <v>-2.4054982817869499</v>
      </c>
      <c r="F349" s="7">
        <v>-2.40550566857226</v>
      </c>
      <c r="G349" s="7">
        <v>11.395951</v>
      </c>
      <c r="H349" s="7">
        <v>-19.463243816254401</v>
      </c>
      <c r="I349" s="7">
        <v>11.81</v>
      </c>
      <c r="J349" s="7">
        <v>11.83</v>
      </c>
      <c r="K349" s="7">
        <v>11.26</v>
      </c>
      <c r="L349" s="7">
        <v>-19.7173144876325</v>
      </c>
    </row>
    <row r="350" spans="1:12" ht="15" customHeight="1" x14ac:dyDescent="0.2">
      <c r="A350" s="3">
        <v>45540</v>
      </c>
      <c r="B350" s="4">
        <v>11.64</v>
      </c>
      <c r="C350" s="5">
        <v>38064880</v>
      </c>
      <c r="D350" s="4">
        <v>0.100000000000001</v>
      </c>
      <c r="E350" s="4">
        <v>0.86655112651647903</v>
      </c>
      <c r="F350" s="4">
        <v>0.866555677651348</v>
      </c>
      <c r="G350" s="4">
        <v>11.676838</v>
      </c>
      <c r="H350" s="4">
        <v>-17.478176678445202</v>
      </c>
      <c r="I350" s="4">
        <v>11.55</v>
      </c>
      <c r="J350" s="4">
        <v>11.76</v>
      </c>
      <c r="K350" s="4">
        <v>11.55</v>
      </c>
      <c r="L350" s="4">
        <v>-17.738515901060001</v>
      </c>
    </row>
    <row r="351" spans="1:12" ht="15" customHeight="1" x14ac:dyDescent="0.2">
      <c r="A351" s="6">
        <v>45539</v>
      </c>
      <c r="B351" s="7">
        <v>11.54</v>
      </c>
      <c r="C351" s="8">
        <v>39176190</v>
      </c>
      <c r="D351" s="7">
        <v>-0.3</v>
      </c>
      <c r="E351" s="7">
        <v>-2.53378378378379</v>
      </c>
      <c r="F351" s="7">
        <v>-2.5337885480840101</v>
      </c>
      <c r="G351" s="7">
        <v>11.576521</v>
      </c>
      <c r="H351" s="7">
        <v>-18.187130742049401</v>
      </c>
      <c r="I351" s="7">
        <v>11.78</v>
      </c>
      <c r="J351" s="7">
        <v>11.85</v>
      </c>
      <c r="K351" s="7">
        <v>11.42</v>
      </c>
      <c r="L351" s="7">
        <v>-18.445229681978802</v>
      </c>
    </row>
    <row r="352" spans="1:12" ht="15" customHeight="1" x14ac:dyDescent="0.2">
      <c r="A352" s="3">
        <v>45538</v>
      </c>
      <c r="B352" s="4">
        <v>11.84</v>
      </c>
      <c r="C352" s="5">
        <v>38988594</v>
      </c>
      <c r="D352" s="4">
        <v>-0.13</v>
      </c>
      <c r="E352" s="4">
        <v>-1.0860484544695099</v>
      </c>
      <c r="F352" s="4">
        <v>-1.0860449827871399</v>
      </c>
      <c r="G352" s="4">
        <v>11.877471</v>
      </c>
      <c r="H352" s="4">
        <v>-16.060275618374501</v>
      </c>
      <c r="I352" s="4">
        <v>11.97</v>
      </c>
      <c r="J352" s="4">
        <v>12.08</v>
      </c>
      <c r="K352" s="4">
        <v>11.79</v>
      </c>
      <c r="L352" s="4">
        <v>-16.325088339222599</v>
      </c>
    </row>
    <row r="353" spans="1:12" ht="15" customHeight="1" x14ac:dyDescent="0.2">
      <c r="A353" s="6">
        <v>45537</v>
      </c>
      <c r="B353" s="7">
        <v>11.97</v>
      </c>
      <c r="C353" s="8">
        <v>3541009</v>
      </c>
      <c r="D353" s="7"/>
      <c r="E353" s="7"/>
      <c r="F353" s="7"/>
      <c r="G353" s="7">
        <v>12.007882</v>
      </c>
      <c r="H353" s="7">
        <v>-15.138643109540601</v>
      </c>
      <c r="I353" s="7">
        <v>12.06</v>
      </c>
      <c r="J353" s="7">
        <v>12.1</v>
      </c>
      <c r="K353" s="7">
        <v>11.91</v>
      </c>
      <c r="L353" s="7">
        <v>-15.4063604240282</v>
      </c>
    </row>
    <row r="354" spans="1:12" ht="15" customHeight="1" x14ac:dyDescent="0.2">
      <c r="A354" s="3">
        <v>45534</v>
      </c>
      <c r="B354" s="4">
        <v>11.97</v>
      </c>
      <c r="C354" s="5">
        <v>61101848</v>
      </c>
      <c r="D354" s="4">
        <v>2.0000000000001301E-2</v>
      </c>
      <c r="E354" s="4">
        <v>0.167364016736404</v>
      </c>
      <c r="F354" s="4">
        <v>0.16736155258933999</v>
      </c>
      <c r="G354" s="4">
        <v>12.007882</v>
      </c>
      <c r="H354" s="4">
        <v>-15.138643109540601</v>
      </c>
      <c r="I354" s="4">
        <v>11.89</v>
      </c>
      <c r="J354" s="4">
        <v>12.11</v>
      </c>
      <c r="K354" s="4">
        <v>11.89</v>
      </c>
      <c r="L354" s="4">
        <v>-15.4063604240282</v>
      </c>
    </row>
    <row r="355" spans="1:12" ht="15" customHeight="1" x14ac:dyDescent="0.2">
      <c r="A355" s="6">
        <v>45533</v>
      </c>
      <c r="B355" s="7">
        <v>11.95</v>
      </c>
      <c r="C355" s="8">
        <v>77635370</v>
      </c>
      <c r="D355" s="7">
        <v>0.28999999999999898</v>
      </c>
      <c r="E355" s="7">
        <v>2.4871355060034102</v>
      </c>
      <c r="F355" s="7">
        <v>2.4871374050271902</v>
      </c>
      <c r="G355" s="7">
        <v>11.987819</v>
      </c>
      <c r="H355" s="7">
        <v>-15.2804310954063</v>
      </c>
      <c r="I355" s="7">
        <v>11.66</v>
      </c>
      <c r="J355" s="7">
        <v>11.99</v>
      </c>
      <c r="K355" s="7">
        <v>11.65</v>
      </c>
      <c r="L355" s="7">
        <v>-15.547703180212</v>
      </c>
    </row>
    <row r="356" spans="1:12" ht="15" customHeight="1" x14ac:dyDescent="0.2">
      <c r="A356" s="3">
        <v>45532</v>
      </c>
      <c r="B356" s="4">
        <v>11.66</v>
      </c>
      <c r="C356" s="5">
        <v>60147070</v>
      </c>
      <c r="D356" s="4">
        <v>-0.15</v>
      </c>
      <c r="E356" s="4">
        <v>-1.2701100762066</v>
      </c>
      <c r="F356" s="4">
        <v>-1.27011247047447</v>
      </c>
      <c r="G356" s="4">
        <v>11.696901</v>
      </c>
      <c r="H356" s="4">
        <v>-17.336388692579501</v>
      </c>
      <c r="I356" s="4">
        <v>11.78</v>
      </c>
      <c r="J356" s="4">
        <v>11.91</v>
      </c>
      <c r="K356" s="4">
        <v>11.55</v>
      </c>
      <c r="L356" s="4">
        <v>-17.597173144876301</v>
      </c>
    </row>
    <row r="357" spans="1:12" ht="15" customHeight="1" x14ac:dyDescent="0.2">
      <c r="A357" s="6">
        <v>45531</v>
      </c>
      <c r="B357" s="7">
        <v>11.81</v>
      </c>
      <c r="C357" s="8">
        <v>39343090</v>
      </c>
      <c r="D357" s="7">
        <v>-0.34999999999999898</v>
      </c>
      <c r="E357" s="7">
        <v>-2.8782894736842</v>
      </c>
      <c r="F357" s="7">
        <v>-2.8782841276247</v>
      </c>
      <c r="G357" s="7">
        <v>11.847376000000001</v>
      </c>
      <c r="H357" s="7">
        <v>-16.272961130742001</v>
      </c>
      <c r="I357" s="7">
        <v>12.21</v>
      </c>
      <c r="J357" s="7">
        <v>12.33</v>
      </c>
      <c r="K357" s="7">
        <v>11.76</v>
      </c>
      <c r="L357" s="7">
        <v>-16.537102473498202</v>
      </c>
    </row>
    <row r="358" spans="1:12" ht="15" customHeight="1" x14ac:dyDescent="0.2">
      <c r="A358" s="3">
        <v>45530</v>
      </c>
      <c r="B358" s="4">
        <v>12.16</v>
      </c>
      <c r="C358" s="5">
        <v>51976313</v>
      </c>
      <c r="D358" s="4">
        <v>-0.34999999999999898</v>
      </c>
      <c r="E358" s="4">
        <v>-2.7977617905675398</v>
      </c>
      <c r="F358" s="4">
        <v>-2.7977644849142802</v>
      </c>
      <c r="G358" s="4">
        <v>12.198483</v>
      </c>
      <c r="H358" s="4">
        <v>-13.791639575971701</v>
      </c>
      <c r="I358" s="4">
        <v>12.45</v>
      </c>
      <c r="J358" s="4">
        <v>12.64</v>
      </c>
      <c r="K358" s="4">
        <v>12.12</v>
      </c>
      <c r="L358" s="4">
        <v>-14.063604240282601</v>
      </c>
    </row>
    <row r="359" spans="1:12" ht="15" customHeight="1" x14ac:dyDescent="0.2">
      <c r="A359" s="6">
        <v>45527</v>
      </c>
      <c r="B359" s="7">
        <v>12.51</v>
      </c>
      <c r="C359" s="8">
        <v>114385100</v>
      </c>
      <c r="D359" s="7">
        <v>9.9999999999999603E-2</v>
      </c>
      <c r="E359" s="7">
        <v>0.80580177276390297</v>
      </c>
      <c r="F359" s="7">
        <v>0.80579792799177996</v>
      </c>
      <c r="G359" s="7">
        <v>12.549590999999999</v>
      </c>
      <c r="H359" s="7">
        <v>-11.310310954063601</v>
      </c>
      <c r="I359" s="7">
        <v>12.45</v>
      </c>
      <c r="J359" s="7">
        <v>12.75</v>
      </c>
      <c r="K359" s="7">
        <v>12.35</v>
      </c>
      <c r="L359" s="7">
        <v>-11.590106007067099</v>
      </c>
    </row>
    <row r="360" spans="1:12" ht="15" customHeight="1" x14ac:dyDescent="0.2">
      <c r="A360" s="3">
        <v>45526</v>
      </c>
      <c r="B360" s="4">
        <v>12.41</v>
      </c>
      <c r="C360" s="5">
        <v>107098400</v>
      </c>
      <c r="D360" s="4"/>
      <c r="E360" s="4"/>
      <c r="F360" s="4"/>
      <c r="G360" s="4">
        <v>12.449275</v>
      </c>
      <c r="H360" s="4">
        <v>-12.019257950529999</v>
      </c>
      <c r="I360" s="4">
        <v>12.41</v>
      </c>
      <c r="J360" s="4">
        <v>12.77</v>
      </c>
      <c r="K360" s="4">
        <v>12.37</v>
      </c>
      <c r="L360" s="4">
        <v>-12.2968197879858</v>
      </c>
    </row>
    <row r="361" spans="1:12" ht="15" customHeight="1" x14ac:dyDescent="0.2">
      <c r="A361" s="6">
        <v>45525</v>
      </c>
      <c r="B361" s="7">
        <v>12.41</v>
      </c>
      <c r="C361" s="8">
        <v>65534840</v>
      </c>
      <c r="D361" s="7">
        <v>-7.0000000000000201E-2</v>
      </c>
      <c r="E361" s="7">
        <v>-0.56089743589743302</v>
      </c>
      <c r="F361" s="7">
        <v>-0.560893186115485</v>
      </c>
      <c r="G361" s="7">
        <v>12.449275</v>
      </c>
      <c r="H361" s="7">
        <v>-12.019257950529999</v>
      </c>
      <c r="I361" s="7">
        <v>12.42</v>
      </c>
      <c r="J361" s="7">
        <v>12.55</v>
      </c>
      <c r="K361" s="7">
        <v>12.32</v>
      </c>
      <c r="L361" s="7">
        <v>-12.2968197879858</v>
      </c>
    </row>
    <row r="362" spans="1:12" ht="15" customHeight="1" x14ac:dyDescent="0.2">
      <c r="A362" s="3">
        <v>45524</v>
      </c>
      <c r="B362" s="4">
        <v>12.48</v>
      </c>
      <c r="C362" s="5">
        <v>37863140</v>
      </c>
      <c r="D362" s="4">
        <v>0.08</v>
      </c>
      <c r="E362" s="4">
        <v>0.64516129032257097</v>
      </c>
      <c r="F362" s="4">
        <v>0.645167929042611</v>
      </c>
      <c r="G362" s="4">
        <v>12.519496</v>
      </c>
      <c r="H362" s="4">
        <v>-11.522996466431</v>
      </c>
      <c r="I362" s="4">
        <v>12.46</v>
      </c>
      <c r="J362" s="4">
        <v>12.65</v>
      </c>
      <c r="K362" s="4">
        <v>12.41</v>
      </c>
      <c r="L362" s="4">
        <v>-11.8021201413427</v>
      </c>
    </row>
    <row r="363" spans="1:12" ht="15" customHeight="1" x14ac:dyDescent="0.2">
      <c r="A363" s="6">
        <v>45523</v>
      </c>
      <c r="B363" s="7">
        <v>12.4</v>
      </c>
      <c r="C363" s="8">
        <v>27331120</v>
      </c>
      <c r="D363" s="7">
        <v>-9.9999999999997799E-3</v>
      </c>
      <c r="E363" s="7">
        <v>-8.0580177276390302E-2</v>
      </c>
      <c r="F363" s="7">
        <v>-8.0591038433963605E-2</v>
      </c>
      <c r="G363" s="7">
        <v>12.439242</v>
      </c>
      <c r="H363" s="7">
        <v>-12.090162544169599</v>
      </c>
      <c r="I363" s="7">
        <v>12.39</v>
      </c>
      <c r="J363" s="7">
        <v>12.61</v>
      </c>
      <c r="K363" s="7">
        <v>12.38</v>
      </c>
      <c r="L363" s="7">
        <v>-12.3674911660777</v>
      </c>
    </row>
    <row r="364" spans="1:12" ht="15" customHeight="1" x14ac:dyDescent="0.2">
      <c r="A364" s="3">
        <v>45520</v>
      </c>
      <c r="B364" s="4">
        <v>12.41</v>
      </c>
      <c r="C364" s="5">
        <v>30746280</v>
      </c>
      <c r="D364" s="4">
        <v>-0.33999999999999903</v>
      </c>
      <c r="E364" s="4">
        <v>-2.6666666666666599</v>
      </c>
      <c r="F364" s="4">
        <v>-2.6666664581761501</v>
      </c>
      <c r="G364" s="4">
        <v>12.449275</v>
      </c>
      <c r="H364" s="4">
        <v>-12.019257950529999</v>
      </c>
      <c r="I364" s="4">
        <v>12.73</v>
      </c>
      <c r="J364" s="4">
        <v>12.73</v>
      </c>
      <c r="K364" s="4">
        <v>12.37</v>
      </c>
      <c r="L364" s="4">
        <v>-12.2968197879858</v>
      </c>
    </row>
    <row r="365" spans="1:12" ht="15" customHeight="1" x14ac:dyDescent="0.2">
      <c r="A365" s="6">
        <v>45519</v>
      </c>
      <c r="B365" s="7">
        <v>12.75</v>
      </c>
      <c r="C365" s="8">
        <v>50479273</v>
      </c>
      <c r="D365" s="7">
        <v>0.75</v>
      </c>
      <c r="E365" s="7">
        <v>6.25</v>
      </c>
      <c r="F365" s="7">
        <v>6.2500036343315601</v>
      </c>
      <c r="G365" s="7">
        <v>12.790350999999999</v>
      </c>
      <c r="H365" s="7">
        <v>-9.6088268551236808</v>
      </c>
      <c r="I365" s="7">
        <v>11.97</v>
      </c>
      <c r="J365" s="7">
        <v>12.78</v>
      </c>
      <c r="K365" s="7">
        <v>11.97</v>
      </c>
      <c r="L365" s="7">
        <v>-9.8939929328621901</v>
      </c>
    </row>
    <row r="366" spans="1:12" ht="15" customHeight="1" x14ac:dyDescent="0.2">
      <c r="A366" s="3">
        <v>45518</v>
      </c>
      <c r="B366" s="4">
        <v>12</v>
      </c>
      <c r="C366" s="5">
        <v>49978207</v>
      </c>
      <c r="D366" s="4">
        <v>-3.9999999999999099E-2</v>
      </c>
      <c r="E366" s="4">
        <v>-0.33222591362125298</v>
      </c>
      <c r="F366" s="4">
        <v>-0.332229296916142</v>
      </c>
      <c r="G366" s="4">
        <v>12.037977</v>
      </c>
      <c r="H366" s="4">
        <v>-14.925957597173101</v>
      </c>
      <c r="I366" s="4">
        <v>12</v>
      </c>
      <c r="J366" s="4">
        <v>12.1</v>
      </c>
      <c r="K366" s="4">
        <v>11.88</v>
      </c>
      <c r="L366" s="4">
        <v>-15.1943462897526</v>
      </c>
    </row>
    <row r="367" spans="1:12" ht="15" customHeight="1" x14ac:dyDescent="0.2">
      <c r="A367" s="6">
        <v>45517</v>
      </c>
      <c r="B367" s="7">
        <v>12.04</v>
      </c>
      <c r="C367" s="8">
        <v>50390460</v>
      </c>
      <c r="D367" s="7">
        <v>0.13999999999999799</v>
      </c>
      <c r="E367" s="7">
        <v>1.1764705882352899</v>
      </c>
      <c r="F367" s="7">
        <v>1.17647847233042</v>
      </c>
      <c r="G367" s="7">
        <v>12.078104</v>
      </c>
      <c r="H367" s="7">
        <v>-14.6423745583038</v>
      </c>
      <c r="I367" s="7">
        <v>11.95</v>
      </c>
      <c r="J367" s="7">
        <v>12.15</v>
      </c>
      <c r="K367" s="7">
        <v>11.95</v>
      </c>
      <c r="L367" s="7">
        <v>-14.9116607773851</v>
      </c>
    </row>
    <row r="368" spans="1:12" ht="15" customHeight="1" x14ac:dyDescent="0.2">
      <c r="A368" s="3">
        <v>45516</v>
      </c>
      <c r="B368" s="4">
        <v>11.9</v>
      </c>
      <c r="C368" s="5">
        <v>34846720</v>
      </c>
      <c r="D368" s="4">
        <v>-8.9999999999999802E-2</v>
      </c>
      <c r="E368" s="4">
        <v>-0.75062552126772197</v>
      </c>
      <c r="F368" s="4">
        <v>-0.75063110320877602</v>
      </c>
      <c r="G368" s="4">
        <v>11.937659999999999</v>
      </c>
      <c r="H368" s="4">
        <v>-15.6349116607773</v>
      </c>
      <c r="I368" s="4">
        <v>12</v>
      </c>
      <c r="J368" s="4">
        <v>12.01</v>
      </c>
      <c r="K368" s="4">
        <v>11.79</v>
      </c>
      <c r="L368" s="4">
        <v>-15.901060070671299</v>
      </c>
    </row>
    <row r="369" spans="1:12" ht="15" customHeight="1" x14ac:dyDescent="0.2">
      <c r="A369" s="6">
        <v>45513</v>
      </c>
      <c r="B369" s="7">
        <v>11.99</v>
      </c>
      <c r="C369" s="8">
        <v>33690350</v>
      </c>
      <c r="D369" s="7">
        <v>-3.9999999999999099E-2</v>
      </c>
      <c r="E369" s="7">
        <v>-0.33250207813798599</v>
      </c>
      <c r="F369" s="7">
        <v>-0.33250133078425098</v>
      </c>
      <c r="G369" s="7">
        <v>12.0279455</v>
      </c>
      <c r="H369" s="7">
        <v>-14.996851590106001</v>
      </c>
      <c r="I369" s="7">
        <v>11.96</v>
      </c>
      <c r="J369" s="7">
        <v>12.05</v>
      </c>
      <c r="K369" s="7">
        <v>11.89</v>
      </c>
      <c r="L369" s="7">
        <v>-15.2650176678445</v>
      </c>
    </row>
    <row r="370" spans="1:12" ht="15" customHeight="1" x14ac:dyDescent="0.2">
      <c r="A370" s="3">
        <v>45512</v>
      </c>
      <c r="B370" s="4">
        <v>12.03</v>
      </c>
      <c r="C370" s="5">
        <v>48904860</v>
      </c>
      <c r="D370" s="4">
        <v>5.99999999999987E-2</v>
      </c>
      <c r="E370" s="4">
        <v>0.50125313283206896</v>
      </c>
      <c r="F370" s="4">
        <v>0.50125409293662004</v>
      </c>
      <c r="G370" s="4">
        <v>12.068072000000001</v>
      </c>
      <c r="H370" s="4">
        <v>-14.713272084805601</v>
      </c>
      <c r="I370" s="4">
        <v>11.97</v>
      </c>
      <c r="J370" s="4">
        <v>12.11</v>
      </c>
      <c r="K370" s="4">
        <v>11.87</v>
      </c>
      <c r="L370" s="4">
        <v>-14.982332155477</v>
      </c>
    </row>
    <row r="371" spans="1:12" ht="15" customHeight="1" x14ac:dyDescent="0.2">
      <c r="A371" s="6">
        <v>45511</v>
      </c>
      <c r="B371" s="7">
        <v>11.97</v>
      </c>
      <c r="C371" s="8">
        <v>55752870</v>
      </c>
      <c r="D371" s="7"/>
      <c r="E371" s="7"/>
      <c r="F371" s="7"/>
      <c r="G371" s="7">
        <v>12.007882</v>
      </c>
      <c r="H371" s="7">
        <v>-15.138643109540601</v>
      </c>
      <c r="I371" s="7">
        <v>11.91</v>
      </c>
      <c r="J371" s="7">
        <v>12.24</v>
      </c>
      <c r="K371" s="7">
        <v>11.87</v>
      </c>
      <c r="L371" s="7">
        <v>-15.4063604240282</v>
      </c>
    </row>
    <row r="372" spans="1:12" ht="15" customHeight="1" x14ac:dyDescent="0.2">
      <c r="A372" s="3">
        <v>45510</v>
      </c>
      <c r="B372" s="4">
        <v>11.97</v>
      </c>
      <c r="C372" s="5">
        <v>41539727</v>
      </c>
      <c r="D372" s="4">
        <v>0.35000000000000098</v>
      </c>
      <c r="E372" s="4">
        <v>3.0120481927710898</v>
      </c>
      <c r="F372" s="4">
        <v>3.0120467716005099</v>
      </c>
      <c r="G372" s="4">
        <v>12.007882</v>
      </c>
      <c r="H372" s="4">
        <v>-15.138643109540601</v>
      </c>
      <c r="I372" s="4">
        <v>11.65</v>
      </c>
      <c r="J372" s="4">
        <v>12.07</v>
      </c>
      <c r="K372" s="4">
        <v>11.6</v>
      </c>
      <c r="L372" s="4">
        <v>-15.4063604240282</v>
      </c>
    </row>
    <row r="373" spans="1:12" ht="15" customHeight="1" x14ac:dyDescent="0.2">
      <c r="A373" s="6">
        <v>45509</v>
      </c>
      <c r="B373" s="7">
        <v>11.62</v>
      </c>
      <c r="C373" s="8">
        <v>24402420</v>
      </c>
      <c r="D373" s="7">
        <v>1.9999999999999501E-2</v>
      </c>
      <c r="E373" s="7">
        <v>0.17241379310344301</v>
      </c>
      <c r="F373" s="7">
        <v>0.17240694794200501</v>
      </c>
      <c r="G373" s="7">
        <v>11.656774499999999</v>
      </c>
      <c r="H373" s="7">
        <v>-17.6199681978798</v>
      </c>
      <c r="I373" s="7">
        <v>11.4</v>
      </c>
      <c r="J373" s="7">
        <v>11.66</v>
      </c>
      <c r="K373" s="7">
        <v>11.09</v>
      </c>
      <c r="L373" s="7">
        <v>-17.879858657243801</v>
      </c>
    </row>
    <row r="374" spans="1:12" ht="15" customHeight="1" x14ac:dyDescent="0.2">
      <c r="A374" s="3">
        <v>45506</v>
      </c>
      <c r="B374" s="4">
        <v>11.6</v>
      </c>
      <c r="C374" s="5">
        <v>59762113</v>
      </c>
      <c r="D374" s="4">
        <v>-0.16999999999999901</v>
      </c>
      <c r="E374" s="4">
        <v>-1.44435004248087</v>
      </c>
      <c r="F374" s="4">
        <v>-1.4443498697834001</v>
      </c>
      <c r="G374" s="4">
        <v>11.636711999999999</v>
      </c>
      <c r="H374" s="4">
        <v>-17.7617526501766</v>
      </c>
      <c r="I374" s="4">
        <v>11.7</v>
      </c>
      <c r="J374" s="4">
        <v>11.73</v>
      </c>
      <c r="K374" s="4">
        <v>11.37</v>
      </c>
      <c r="L374" s="4">
        <v>-18.021201413427502</v>
      </c>
    </row>
    <row r="375" spans="1:12" ht="15" customHeight="1" x14ac:dyDescent="0.2">
      <c r="A375" s="6">
        <v>45505</v>
      </c>
      <c r="B375" s="7">
        <v>11.77</v>
      </c>
      <c r="C375" s="8">
        <v>74532900</v>
      </c>
      <c r="D375" s="7">
        <v>-0.26999999999999902</v>
      </c>
      <c r="E375" s="7">
        <v>-2.2425249169435202</v>
      </c>
      <c r="F375" s="7">
        <v>-2.2425208459870798</v>
      </c>
      <c r="G375" s="7">
        <v>11.80725</v>
      </c>
      <c r="H375" s="7">
        <v>-16.556537102473499</v>
      </c>
      <c r="I375" s="7">
        <v>11.93</v>
      </c>
      <c r="J375" s="7">
        <v>12.04</v>
      </c>
      <c r="K375" s="7">
        <v>11.68</v>
      </c>
      <c r="L375" s="7">
        <v>-16.819787985865698</v>
      </c>
    </row>
    <row r="376" spans="1:12" ht="15" customHeight="1" x14ac:dyDescent="0.2">
      <c r="A376" s="3">
        <v>45504</v>
      </c>
      <c r="B376" s="4">
        <v>12.04</v>
      </c>
      <c r="C376" s="5">
        <v>121202000</v>
      </c>
      <c r="D376" s="4">
        <v>0.25</v>
      </c>
      <c r="E376" s="4">
        <v>2.12044105173876</v>
      </c>
      <c r="F376" s="4">
        <v>2.1204479935931402</v>
      </c>
      <c r="G376" s="4">
        <v>12.078104</v>
      </c>
      <c r="H376" s="4">
        <v>-14.6423745583038</v>
      </c>
      <c r="I376" s="4">
        <v>11.73</v>
      </c>
      <c r="J376" s="4">
        <v>12.12</v>
      </c>
      <c r="K376" s="4">
        <v>11.73</v>
      </c>
      <c r="L376" s="4">
        <v>-14.9116607773851</v>
      </c>
    </row>
    <row r="377" spans="1:12" ht="15" customHeight="1" x14ac:dyDescent="0.2">
      <c r="A377" s="6">
        <v>45503</v>
      </c>
      <c r="B377" s="7">
        <v>11.79</v>
      </c>
      <c r="C377" s="8">
        <v>55860320</v>
      </c>
      <c r="D377" s="7">
        <v>-0.13</v>
      </c>
      <c r="E377" s="7">
        <v>-1.0906040268456401</v>
      </c>
      <c r="F377" s="7">
        <v>-1.0906171533464799</v>
      </c>
      <c r="G377" s="7">
        <v>11.827311999999999</v>
      </c>
      <c r="H377" s="7">
        <v>-16.414756183745499</v>
      </c>
      <c r="I377" s="7">
        <v>11.93</v>
      </c>
      <c r="J377" s="7">
        <v>12.27</v>
      </c>
      <c r="K377" s="7">
        <v>11.73</v>
      </c>
      <c r="L377" s="7">
        <v>-16.678445229681898</v>
      </c>
    </row>
    <row r="378" spans="1:12" ht="15" customHeight="1" x14ac:dyDescent="0.2">
      <c r="A378" s="3">
        <v>45502</v>
      </c>
      <c r="B378" s="4">
        <v>11.92</v>
      </c>
      <c r="C378" s="5">
        <v>72362484</v>
      </c>
      <c r="D378" s="4">
        <v>3.9999999999999099E-2</v>
      </c>
      <c r="E378" s="4">
        <v>0.33670033670032401</v>
      </c>
      <c r="F378" s="4">
        <v>0.33670375523657797</v>
      </c>
      <c r="G378" s="4">
        <v>11.957725</v>
      </c>
      <c r="H378" s="4">
        <v>-15.493109540636</v>
      </c>
      <c r="I378" s="4">
        <v>11.86</v>
      </c>
      <c r="J378" s="4">
        <v>11.99</v>
      </c>
      <c r="K378" s="4">
        <v>11.74</v>
      </c>
      <c r="L378" s="4">
        <v>-15.759717314487601</v>
      </c>
    </row>
    <row r="379" spans="1:12" ht="15" customHeight="1" x14ac:dyDescent="0.2">
      <c r="A379" s="6">
        <v>45499</v>
      </c>
      <c r="B379" s="7">
        <v>11.88</v>
      </c>
      <c r="C379" s="8">
        <v>71399110</v>
      </c>
      <c r="D379" s="7">
        <v>0.18000000000000099</v>
      </c>
      <c r="E379" s="7">
        <v>1.5384615384615501</v>
      </c>
      <c r="F379" s="7">
        <v>1.5384730732919101</v>
      </c>
      <c r="G379" s="7">
        <v>11.917598</v>
      </c>
      <c r="H379" s="7">
        <v>-15.776692579505299</v>
      </c>
      <c r="I379" s="7">
        <v>11.71</v>
      </c>
      <c r="J379" s="7">
        <v>12.15</v>
      </c>
      <c r="K379" s="7">
        <v>11.61</v>
      </c>
      <c r="L379" s="7">
        <v>-16.042402826855099</v>
      </c>
    </row>
    <row r="380" spans="1:12" ht="15" customHeight="1" x14ac:dyDescent="0.2">
      <c r="A380" s="3">
        <v>45498</v>
      </c>
      <c r="B380" s="4">
        <v>11.7</v>
      </c>
      <c r="C380" s="5">
        <v>79328060</v>
      </c>
      <c r="D380" s="4">
        <v>0.31999999999999801</v>
      </c>
      <c r="E380" s="4">
        <v>2.8119507908611299</v>
      </c>
      <c r="F380" s="4">
        <v>2.8119354422768601</v>
      </c>
      <c r="G380" s="4">
        <v>11.737026999999999</v>
      </c>
      <c r="H380" s="4">
        <v>-17.052812720847999</v>
      </c>
      <c r="I380" s="4">
        <v>11.35</v>
      </c>
      <c r="J380" s="4">
        <v>11.93</v>
      </c>
      <c r="K380" s="4">
        <v>11</v>
      </c>
      <c r="L380" s="4">
        <v>-17.314487632508801</v>
      </c>
    </row>
    <row r="381" spans="1:12" ht="15" customHeight="1" x14ac:dyDescent="0.2">
      <c r="A381" s="6">
        <v>45497</v>
      </c>
      <c r="B381" s="7">
        <v>11.38</v>
      </c>
      <c r="C381" s="8">
        <v>52259113</v>
      </c>
      <c r="D381" s="7">
        <v>-0.40999999999999798</v>
      </c>
      <c r="E381" s="7">
        <v>-3.4775233248515498</v>
      </c>
      <c r="F381" s="7">
        <v>-3.47751035907396</v>
      </c>
      <c r="G381" s="7">
        <v>11.416016000000001</v>
      </c>
      <c r="H381" s="7">
        <v>-19.321441696112998</v>
      </c>
      <c r="I381" s="7">
        <v>11.69</v>
      </c>
      <c r="J381" s="7">
        <v>11.75</v>
      </c>
      <c r="K381" s="7">
        <v>11.35</v>
      </c>
      <c r="L381" s="7">
        <v>-19.5759717314487</v>
      </c>
    </row>
    <row r="382" spans="1:12" ht="15" customHeight="1" x14ac:dyDescent="0.2">
      <c r="A382" s="3">
        <v>45496</v>
      </c>
      <c r="B382" s="4">
        <v>11.79</v>
      </c>
      <c r="C382" s="5">
        <v>75955270</v>
      </c>
      <c r="D382" s="4">
        <v>0.23999999999999799</v>
      </c>
      <c r="E382" s="4">
        <v>2.0779220779220502</v>
      </c>
      <c r="F382" s="4">
        <v>2.07790858265537</v>
      </c>
      <c r="G382" s="4">
        <v>11.827311999999999</v>
      </c>
      <c r="H382" s="4">
        <v>-16.414756183745499</v>
      </c>
      <c r="I382" s="4">
        <v>11.49</v>
      </c>
      <c r="J382" s="4">
        <v>11.84</v>
      </c>
      <c r="K382" s="4">
        <v>11.44</v>
      </c>
      <c r="L382" s="4">
        <v>-16.678445229681898</v>
      </c>
    </row>
    <row r="383" spans="1:12" ht="15" customHeight="1" x14ac:dyDescent="0.2">
      <c r="A383" s="6">
        <v>45495</v>
      </c>
      <c r="B383" s="7">
        <v>11.55</v>
      </c>
      <c r="C383" s="8">
        <v>85049930</v>
      </c>
      <c r="D383" s="7">
        <v>0.33999999999999903</v>
      </c>
      <c r="E383" s="7">
        <v>3.0330062444246102</v>
      </c>
      <c r="F383" s="7">
        <v>3.03301496237109</v>
      </c>
      <c r="G383" s="7">
        <v>11.586554</v>
      </c>
      <c r="H383" s="7">
        <v>-18.116226148409801</v>
      </c>
      <c r="I383" s="7">
        <v>11.18</v>
      </c>
      <c r="J383" s="7">
        <v>11.59</v>
      </c>
      <c r="K383" s="7">
        <v>11.08</v>
      </c>
      <c r="L383" s="7">
        <v>-18.3745583038869</v>
      </c>
    </row>
    <row r="384" spans="1:12" ht="15" customHeight="1" x14ac:dyDescent="0.2">
      <c r="A384" s="3">
        <v>45492</v>
      </c>
      <c r="B384" s="4">
        <v>11.21</v>
      </c>
      <c r="C384" s="5">
        <v>37089220</v>
      </c>
      <c r="D384" s="4">
        <v>-0.159999999999998</v>
      </c>
      <c r="E384" s="4">
        <v>-1.40721196130165</v>
      </c>
      <c r="F384" s="4">
        <v>-1.4072088306637001</v>
      </c>
      <c r="G384" s="4">
        <v>11.245476999999999</v>
      </c>
      <c r="H384" s="4">
        <v>-20.526664310954001</v>
      </c>
      <c r="I384" s="4">
        <v>11.38</v>
      </c>
      <c r="J384" s="4">
        <v>11.38</v>
      </c>
      <c r="K384" s="4">
        <v>11.05</v>
      </c>
      <c r="L384" s="4">
        <v>-20.7773851590105</v>
      </c>
    </row>
    <row r="385" spans="1:12" ht="15" customHeight="1" x14ac:dyDescent="0.2">
      <c r="A385" s="6">
        <v>45491</v>
      </c>
      <c r="B385" s="7">
        <v>11.37</v>
      </c>
      <c r="C385" s="8">
        <v>45384246</v>
      </c>
      <c r="D385" s="7">
        <v>-0.15</v>
      </c>
      <c r="E385" s="7">
        <v>-1.3020833333333299</v>
      </c>
      <c r="F385" s="7">
        <v>-1.3020858121060701</v>
      </c>
      <c r="G385" s="7">
        <v>11.405983000000001</v>
      </c>
      <c r="H385" s="7">
        <v>-19.392346289752599</v>
      </c>
      <c r="I385" s="7">
        <v>11.57</v>
      </c>
      <c r="J385" s="7">
        <v>11.73</v>
      </c>
      <c r="K385" s="7">
        <v>11.32</v>
      </c>
      <c r="L385" s="7">
        <v>-19.646643109540602</v>
      </c>
    </row>
    <row r="386" spans="1:12" ht="15" customHeight="1" x14ac:dyDescent="0.2">
      <c r="A386" s="3">
        <v>45490</v>
      </c>
      <c r="B386" s="4">
        <v>11.52</v>
      </c>
      <c r="C386" s="5">
        <v>55506832</v>
      </c>
      <c r="D386" s="4">
        <v>-0.57999999999999996</v>
      </c>
      <c r="E386" s="4">
        <v>-4.7933884297520599</v>
      </c>
      <c r="F386" s="4">
        <v>-4.7933918885141598</v>
      </c>
      <c r="G386" s="4">
        <v>11.556457999999999</v>
      </c>
      <c r="H386" s="4">
        <v>-18.328918727915202</v>
      </c>
      <c r="I386" s="4">
        <v>12.03</v>
      </c>
      <c r="J386" s="4">
        <v>12.12</v>
      </c>
      <c r="K386" s="4">
        <v>11.45</v>
      </c>
      <c r="L386" s="4">
        <v>-18.586572438162499</v>
      </c>
    </row>
    <row r="387" spans="1:12" ht="15" customHeight="1" x14ac:dyDescent="0.2">
      <c r="A387" s="6">
        <v>45489</v>
      </c>
      <c r="B387" s="7">
        <v>12.1</v>
      </c>
      <c r="C387" s="8">
        <v>44258320</v>
      </c>
      <c r="D387" s="7">
        <v>0.16999999999999901</v>
      </c>
      <c r="E387" s="7">
        <v>1.4249790444258199</v>
      </c>
      <c r="F387" s="7">
        <v>1.4249789183536199</v>
      </c>
      <c r="G387" s="7">
        <v>12.138294</v>
      </c>
      <c r="H387" s="7">
        <v>-14.217003533568899</v>
      </c>
      <c r="I387" s="7">
        <v>11.85</v>
      </c>
      <c r="J387" s="7">
        <v>12.13</v>
      </c>
      <c r="K387" s="7">
        <v>11.85</v>
      </c>
      <c r="L387" s="7">
        <v>-14.487632508833901</v>
      </c>
    </row>
    <row r="388" spans="1:12" ht="15" customHeight="1" x14ac:dyDescent="0.2">
      <c r="A388" s="3">
        <v>45488</v>
      </c>
      <c r="B388" s="4">
        <v>11.93</v>
      </c>
      <c r="C388" s="5">
        <v>47907540</v>
      </c>
      <c r="D388" s="4">
        <v>-0.23</v>
      </c>
      <c r="E388" s="4">
        <v>-1.89144736842105</v>
      </c>
      <c r="F388" s="4">
        <v>-1.8914401077576499</v>
      </c>
      <c r="G388" s="4">
        <v>11.967756</v>
      </c>
      <c r="H388" s="4">
        <v>-15.422219081272001</v>
      </c>
      <c r="I388" s="4">
        <v>12.14</v>
      </c>
      <c r="J388" s="4">
        <v>12.35</v>
      </c>
      <c r="K388" s="4">
        <v>11.9</v>
      </c>
      <c r="L388" s="4">
        <v>-15.689045936395701</v>
      </c>
    </row>
    <row r="389" spans="1:12" ht="15" customHeight="1" x14ac:dyDescent="0.2">
      <c r="A389" s="6">
        <v>45485</v>
      </c>
      <c r="B389" s="7">
        <v>12.16</v>
      </c>
      <c r="C389" s="8">
        <v>45278780</v>
      </c>
      <c r="D389" s="7">
        <v>-1.9999999999999501E-2</v>
      </c>
      <c r="E389" s="7">
        <v>-0.16420361247947399</v>
      </c>
      <c r="F389" s="7">
        <v>-0.164209377759894</v>
      </c>
      <c r="G389" s="7">
        <v>12.198483</v>
      </c>
      <c r="H389" s="7">
        <v>-13.791639575971701</v>
      </c>
      <c r="I389" s="7">
        <v>12.15</v>
      </c>
      <c r="J389" s="7">
        <v>12.37</v>
      </c>
      <c r="K389" s="7">
        <v>12.09</v>
      </c>
      <c r="L389" s="7">
        <v>-14.063604240282601</v>
      </c>
    </row>
    <row r="390" spans="1:12" ht="15" customHeight="1" x14ac:dyDescent="0.2">
      <c r="A390" s="3">
        <v>45484</v>
      </c>
      <c r="B390" s="4">
        <v>12.18</v>
      </c>
      <c r="C390" s="5">
        <v>44299120</v>
      </c>
      <c r="D390" s="4">
        <v>0.25999999999999901</v>
      </c>
      <c r="E390" s="4">
        <v>2.1812080536912601</v>
      </c>
      <c r="F390" s="4">
        <v>2.18120085551389</v>
      </c>
      <c r="G390" s="4">
        <v>12.218546999999999</v>
      </c>
      <c r="H390" s="4">
        <v>-13.6498445229682</v>
      </c>
      <c r="I390" s="4">
        <v>11.92</v>
      </c>
      <c r="J390" s="4">
        <v>12.53</v>
      </c>
      <c r="K390" s="4">
        <v>11.92</v>
      </c>
      <c r="L390" s="4">
        <v>-13.9222614840989</v>
      </c>
    </row>
    <row r="391" spans="1:12" ht="15" customHeight="1" x14ac:dyDescent="0.2">
      <c r="A391" s="6">
        <v>45483</v>
      </c>
      <c r="B391" s="7">
        <v>11.92</v>
      </c>
      <c r="C391" s="8">
        <v>59219400</v>
      </c>
      <c r="D391" s="7">
        <v>0.73</v>
      </c>
      <c r="E391" s="7">
        <v>6.5236818588024903</v>
      </c>
      <c r="F391" s="7">
        <v>6.5236976136200999</v>
      </c>
      <c r="G391" s="7">
        <v>11.957725</v>
      </c>
      <c r="H391" s="7">
        <v>-15.493109540636</v>
      </c>
      <c r="I391" s="7">
        <v>11.14</v>
      </c>
      <c r="J391" s="7">
        <v>11.96</v>
      </c>
      <c r="K391" s="7">
        <v>11.14</v>
      </c>
      <c r="L391" s="7">
        <v>-15.759717314487601</v>
      </c>
    </row>
    <row r="392" spans="1:12" ht="15" customHeight="1" x14ac:dyDescent="0.2">
      <c r="A392" s="3">
        <v>45482</v>
      </c>
      <c r="B392" s="4">
        <v>11.19</v>
      </c>
      <c r="C392" s="5">
        <v>33748870</v>
      </c>
      <c r="D392" s="4">
        <v>-0.13</v>
      </c>
      <c r="E392" s="4">
        <v>-1.1484098939929399</v>
      </c>
      <c r="F392" s="4">
        <v>-1.14840631556107</v>
      </c>
      <c r="G392" s="4">
        <v>11.225413</v>
      </c>
      <c r="H392" s="4">
        <v>-20.668459363957599</v>
      </c>
      <c r="I392" s="4">
        <v>11.35</v>
      </c>
      <c r="J392" s="4">
        <v>11.39</v>
      </c>
      <c r="K392" s="4">
        <v>11.12</v>
      </c>
      <c r="L392" s="4">
        <v>-20.9187279151943</v>
      </c>
    </row>
    <row r="393" spans="1:12" ht="15" customHeight="1" x14ac:dyDescent="0.2">
      <c r="A393" s="6">
        <v>45481</v>
      </c>
      <c r="B393" s="7">
        <v>11.32</v>
      </c>
      <c r="C393" s="8">
        <v>45080610</v>
      </c>
      <c r="D393" s="7">
        <v>0.21</v>
      </c>
      <c r="E393" s="7">
        <v>1.8901890189018999</v>
      </c>
      <c r="F393" s="7">
        <v>1.8901745789047</v>
      </c>
      <c r="G393" s="7">
        <v>11.355824</v>
      </c>
      <c r="H393" s="7">
        <v>-19.746826855123601</v>
      </c>
      <c r="I393" s="7">
        <v>11.14</v>
      </c>
      <c r="J393" s="7">
        <v>11.35</v>
      </c>
      <c r="K393" s="7">
        <v>11.09</v>
      </c>
      <c r="L393" s="7">
        <v>-20</v>
      </c>
    </row>
    <row r="394" spans="1:12" ht="15" customHeight="1" x14ac:dyDescent="0.2">
      <c r="A394" s="3">
        <v>45478</v>
      </c>
      <c r="B394" s="4">
        <v>11.11</v>
      </c>
      <c r="C394" s="5">
        <v>42629670</v>
      </c>
      <c r="D394" s="4">
        <v>-2.0000000000001301E-2</v>
      </c>
      <c r="E394" s="4">
        <v>-0.17969451931717501</v>
      </c>
      <c r="F394" s="4">
        <v>-0.17969187183347601</v>
      </c>
      <c r="G394" s="4">
        <v>11.145161</v>
      </c>
      <c r="H394" s="4">
        <v>-21.235611307420498</v>
      </c>
      <c r="I394" s="4">
        <v>11.11</v>
      </c>
      <c r="J394" s="4">
        <v>11.3</v>
      </c>
      <c r="K394" s="4">
        <v>11.09</v>
      </c>
      <c r="L394" s="4">
        <v>-21.4840989399293</v>
      </c>
    </row>
    <row r="395" spans="1:12" ht="15" customHeight="1" x14ac:dyDescent="0.2">
      <c r="A395" s="6">
        <v>45477</v>
      </c>
      <c r="B395" s="7">
        <v>11.13</v>
      </c>
      <c r="C395" s="8">
        <v>1703969</v>
      </c>
      <c r="D395" s="7">
        <v>-9.9999999999997799E-3</v>
      </c>
      <c r="E395" s="7">
        <v>-8.97666068222613E-2</v>
      </c>
      <c r="F395" s="7">
        <v>-8.9769755610058496E-2</v>
      </c>
      <c r="G395" s="7">
        <v>11.165224</v>
      </c>
      <c r="H395" s="7">
        <v>-21.093823321554702</v>
      </c>
      <c r="I395" s="7">
        <v>11.18</v>
      </c>
      <c r="J395" s="7">
        <v>11.2</v>
      </c>
      <c r="K395" s="7">
        <v>11.09</v>
      </c>
      <c r="L395" s="7">
        <v>-21.3427561837455</v>
      </c>
    </row>
    <row r="396" spans="1:12" ht="15" customHeight="1" x14ac:dyDescent="0.2">
      <c r="A396" s="3">
        <v>45476</v>
      </c>
      <c r="B396" s="4">
        <v>11.14</v>
      </c>
      <c r="C396" s="5">
        <v>19386140</v>
      </c>
      <c r="D396" s="4">
        <v>-4.9999999999998899E-2</v>
      </c>
      <c r="E396" s="4">
        <v>-0.44682752457549901</v>
      </c>
      <c r="F396" s="4">
        <v>-0.44681652247450199</v>
      </c>
      <c r="G396" s="4">
        <v>11.175255999999999</v>
      </c>
      <c r="H396" s="4">
        <v>-21.022925795052998</v>
      </c>
      <c r="I396" s="4">
        <v>11.14</v>
      </c>
      <c r="J396" s="4">
        <v>11.45</v>
      </c>
      <c r="K396" s="4">
        <v>11.01</v>
      </c>
      <c r="L396" s="4">
        <v>-21.272084805653702</v>
      </c>
    </row>
    <row r="397" spans="1:12" ht="15" customHeight="1" x14ac:dyDescent="0.2">
      <c r="A397" s="6">
        <v>45475</v>
      </c>
      <c r="B397" s="7">
        <v>11.19</v>
      </c>
      <c r="C397" s="8">
        <v>69246430</v>
      </c>
      <c r="D397" s="7">
        <v>-0.39</v>
      </c>
      <c r="E397" s="7">
        <v>-3.3678756476683902</v>
      </c>
      <c r="F397" s="7">
        <v>-3.3678820258649398</v>
      </c>
      <c r="G397" s="7">
        <v>11.225413</v>
      </c>
      <c r="H397" s="7">
        <v>-20.668459363957599</v>
      </c>
      <c r="I397" s="7">
        <v>11.54</v>
      </c>
      <c r="J397" s="7">
        <v>11.56</v>
      </c>
      <c r="K397" s="7">
        <v>11.05</v>
      </c>
      <c r="L397" s="7">
        <v>-20.9187279151943</v>
      </c>
    </row>
    <row r="398" spans="1:12" ht="15" customHeight="1" x14ac:dyDescent="0.2">
      <c r="A398" s="3">
        <v>45474</v>
      </c>
      <c r="B398" s="4">
        <v>11.58</v>
      </c>
      <c r="C398" s="5">
        <v>42695240</v>
      </c>
      <c r="D398" s="4">
        <v>-0.13</v>
      </c>
      <c r="E398" s="4">
        <v>-1.11016225448334</v>
      </c>
      <c r="F398" s="4">
        <v>-1.1101671396928099</v>
      </c>
      <c r="G398" s="4">
        <v>11.616648</v>
      </c>
      <c r="H398" s="4">
        <v>-17.903547703180202</v>
      </c>
      <c r="I398" s="4">
        <v>11.76</v>
      </c>
      <c r="J398" s="4">
        <v>11.83</v>
      </c>
      <c r="K398" s="4">
        <v>11.55</v>
      </c>
      <c r="L398" s="4">
        <v>-18.162544169611301</v>
      </c>
    </row>
    <row r="399" spans="1:12" ht="15" customHeight="1" x14ac:dyDescent="0.2">
      <c r="A399" s="6">
        <v>45471</v>
      </c>
      <c r="B399" s="7">
        <v>11.71</v>
      </c>
      <c r="C399" s="8">
        <v>50460434</v>
      </c>
      <c r="D399" s="7">
        <v>-1.9999999999999501E-2</v>
      </c>
      <c r="E399" s="7">
        <v>-0.17050298380221199</v>
      </c>
      <c r="F399" s="7">
        <v>-0.17049198606082699</v>
      </c>
      <c r="G399" s="7">
        <v>11.747059999999999</v>
      </c>
      <c r="H399" s="7">
        <v>-16.981908127208399</v>
      </c>
      <c r="I399" s="7">
        <v>11.73</v>
      </c>
      <c r="J399" s="7">
        <v>11.84</v>
      </c>
      <c r="K399" s="7">
        <v>11.56</v>
      </c>
      <c r="L399" s="7">
        <v>-17.243816254416899</v>
      </c>
    </row>
    <row r="400" spans="1:12" ht="15" customHeight="1" x14ac:dyDescent="0.2">
      <c r="A400" s="3">
        <v>45470</v>
      </c>
      <c r="B400" s="4">
        <v>11.73</v>
      </c>
      <c r="C400" s="5">
        <v>45264060</v>
      </c>
      <c r="D400" s="4">
        <v>0.110000000000001</v>
      </c>
      <c r="E400" s="4">
        <v>0.946643717728057</v>
      </c>
      <c r="F400" s="4">
        <v>0.94663836895876297</v>
      </c>
      <c r="G400" s="4">
        <v>11.767122000000001</v>
      </c>
      <c r="H400" s="4">
        <v>-16.840127208480499</v>
      </c>
      <c r="I400" s="4">
        <v>11.66</v>
      </c>
      <c r="J400" s="4">
        <v>11.79</v>
      </c>
      <c r="K400" s="4">
        <v>11.52</v>
      </c>
      <c r="L400" s="4">
        <v>-17.102473498233199</v>
      </c>
    </row>
    <row r="401" spans="1:12" ht="15" customHeight="1" x14ac:dyDescent="0.2">
      <c r="A401" s="6">
        <v>45469</v>
      </c>
      <c r="B401" s="7">
        <v>11.62</v>
      </c>
      <c r="C401" s="8">
        <v>71280440</v>
      </c>
      <c r="D401" s="7">
        <v>6.9999999999998494E-2</v>
      </c>
      <c r="E401" s="7">
        <v>0.60606060606058698</v>
      </c>
      <c r="F401" s="7">
        <v>0.60605163536975304</v>
      </c>
      <c r="G401" s="7">
        <v>11.656774499999999</v>
      </c>
      <c r="H401" s="7">
        <v>-17.6199681978798</v>
      </c>
      <c r="I401" s="7">
        <v>11.55</v>
      </c>
      <c r="J401" s="7">
        <v>11.78</v>
      </c>
      <c r="K401" s="7">
        <v>11.36</v>
      </c>
      <c r="L401" s="7">
        <v>-17.879858657243801</v>
      </c>
    </row>
    <row r="402" spans="1:12" ht="15" customHeight="1" x14ac:dyDescent="0.2">
      <c r="A402" s="3">
        <v>45468</v>
      </c>
      <c r="B402" s="4">
        <v>11.55</v>
      </c>
      <c r="C402" s="5">
        <v>53729047</v>
      </c>
      <c r="D402" s="4">
        <v>7.0000000000000201E-2</v>
      </c>
      <c r="E402" s="4">
        <v>0.60975609756097604</v>
      </c>
      <c r="F402" s="4">
        <v>0.609768857807235</v>
      </c>
      <c r="G402" s="4">
        <v>11.586554</v>
      </c>
      <c r="H402" s="4">
        <v>-18.116226148409801</v>
      </c>
      <c r="I402" s="4">
        <v>11.43</v>
      </c>
      <c r="J402" s="4">
        <v>11.6</v>
      </c>
      <c r="K402" s="4">
        <v>11.26</v>
      </c>
      <c r="L402" s="4">
        <v>-18.3745583038869</v>
      </c>
    </row>
    <row r="403" spans="1:12" ht="15" customHeight="1" x14ac:dyDescent="0.2">
      <c r="A403" s="6">
        <v>45467</v>
      </c>
      <c r="B403" s="7">
        <v>11.48</v>
      </c>
      <c r="C403" s="8">
        <v>58943030</v>
      </c>
      <c r="D403" s="7">
        <v>4.0000000000000903E-2</v>
      </c>
      <c r="E403" s="7">
        <v>0.34965034965035402</v>
      </c>
      <c r="F403" s="7">
        <v>0.34964520065647797</v>
      </c>
      <c r="G403" s="7">
        <v>11.516330999999999</v>
      </c>
      <c r="H403" s="7">
        <v>-18.612501766784401</v>
      </c>
      <c r="I403" s="7">
        <v>11.44</v>
      </c>
      <c r="J403" s="7">
        <v>11.6</v>
      </c>
      <c r="K403" s="7">
        <v>11.3</v>
      </c>
      <c r="L403" s="7">
        <v>-18.869257950529999</v>
      </c>
    </row>
    <row r="404" spans="1:12" ht="15" customHeight="1" x14ac:dyDescent="0.2">
      <c r="A404" s="3">
        <v>45464</v>
      </c>
      <c r="B404" s="4">
        <v>11.44</v>
      </c>
      <c r="C404" s="5">
        <v>312289220</v>
      </c>
      <c r="D404" s="4">
        <v>-0.32</v>
      </c>
      <c r="E404" s="4">
        <v>-2.72108843537415</v>
      </c>
      <c r="F404" s="4">
        <v>-2.7210906842613198</v>
      </c>
      <c r="G404" s="4">
        <v>11.476205</v>
      </c>
      <c r="H404" s="4">
        <v>-18.896077738515899</v>
      </c>
      <c r="I404" s="4">
        <v>11.85</v>
      </c>
      <c r="J404" s="4">
        <v>11.85</v>
      </c>
      <c r="K404" s="4">
        <v>11.24</v>
      </c>
      <c r="L404" s="4">
        <v>-19.151943462897499</v>
      </c>
    </row>
    <row r="405" spans="1:12" ht="15" customHeight="1" x14ac:dyDescent="0.2">
      <c r="A405" s="6">
        <v>45463</v>
      </c>
      <c r="B405" s="7">
        <v>11.76</v>
      </c>
      <c r="C405" s="8">
        <v>28935460</v>
      </c>
      <c r="D405" s="7">
        <v>-0.23</v>
      </c>
      <c r="E405" s="7">
        <v>-1.91826522101752</v>
      </c>
      <c r="F405" s="7">
        <v>-1.9182619342596601</v>
      </c>
      <c r="G405" s="7">
        <v>11.797218000000001</v>
      </c>
      <c r="H405" s="7">
        <v>-16.627434628975202</v>
      </c>
      <c r="I405" s="7">
        <v>11.99</v>
      </c>
      <c r="J405" s="7">
        <v>12</v>
      </c>
      <c r="K405" s="7">
        <v>11.64</v>
      </c>
      <c r="L405" s="7">
        <v>-16.8904593639576</v>
      </c>
    </row>
    <row r="406" spans="1:12" ht="15" customHeight="1" x14ac:dyDescent="0.2">
      <c r="A406" s="3">
        <v>45462</v>
      </c>
      <c r="B406" s="4">
        <v>11.99</v>
      </c>
      <c r="C406" s="5">
        <v>4967108</v>
      </c>
      <c r="D406" s="4">
        <v>4.0000000000000903E-2</v>
      </c>
      <c r="E406" s="4">
        <v>0.334728033472808</v>
      </c>
      <c r="F406" s="4">
        <v>0.33472727607914898</v>
      </c>
      <c r="G406" s="4">
        <v>12.0279455</v>
      </c>
      <c r="H406" s="4">
        <v>-14.996851590106001</v>
      </c>
      <c r="I406" s="4">
        <v>11.96</v>
      </c>
      <c r="J406" s="4">
        <v>12.13</v>
      </c>
      <c r="K406" s="4">
        <v>11.91</v>
      </c>
      <c r="L406" s="4">
        <v>-15.2650176678445</v>
      </c>
    </row>
    <row r="407" spans="1:12" ht="15" customHeight="1" x14ac:dyDescent="0.2">
      <c r="A407" s="6">
        <v>45461</v>
      </c>
      <c r="B407" s="7">
        <v>11.95</v>
      </c>
      <c r="C407" s="8">
        <v>32034510</v>
      </c>
      <c r="D407" s="7">
        <v>-0.100000000000001</v>
      </c>
      <c r="E407" s="7">
        <v>-0.82987551867220699</v>
      </c>
      <c r="F407" s="7">
        <v>-0.82987980942636996</v>
      </c>
      <c r="G407" s="7">
        <v>11.987819</v>
      </c>
      <c r="H407" s="7">
        <v>-15.2804310954063</v>
      </c>
      <c r="I407" s="7">
        <v>12.05</v>
      </c>
      <c r="J407" s="7">
        <v>12.23</v>
      </c>
      <c r="K407" s="7">
        <v>11.91</v>
      </c>
      <c r="L407" s="7">
        <v>-15.547703180212</v>
      </c>
    </row>
    <row r="408" spans="1:12" ht="15" customHeight="1" x14ac:dyDescent="0.2">
      <c r="A408" s="3">
        <v>45460</v>
      </c>
      <c r="B408" s="4">
        <v>12.05</v>
      </c>
      <c r="C408" s="5">
        <v>25637860</v>
      </c>
      <c r="D408" s="4">
        <v>0.16</v>
      </c>
      <c r="E408" s="4">
        <v>1.3456686291000799</v>
      </c>
      <c r="F408" s="4">
        <v>1.66640874684609</v>
      </c>
      <c r="G408" s="4">
        <v>12.088136</v>
      </c>
      <c r="H408" s="4">
        <v>-14.5714770318021</v>
      </c>
      <c r="I408" s="4">
        <v>11.83</v>
      </c>
      <c r="J408" s="4">
        <v>12.09</v>
      </c>
      <c r="K408" s="4">
        <v>11.73</v>
      </c>
      <c r="L408" s="4">
        <v>-14.8409893992932</v>
      </c>
    </row>
    <row r="409" spans="1:12" ht="15" customHeight="1" x14ac:dyDescent="0.2">
      <c r="A409" s="6">
        <v>45457</v>
      </c>
      <c r="B409" s="7">
        <v>11.89</v>
      </c>
      <c r="C409" s="8">
        <v>55004220</v>
      </c>
      <c r="D409" s="7">
        <v>-0.29999999999999799</v>
      </c>
      <c r="E409" s="7">
        <v>-2.4610336341263102</v>
      </c>
      <c r="F409" s="7">
        <v>-2.4610336341263102</v>
      </c>
      <c r="G409" s="7">
        <v>11.89</v>
      </c>
      <c r="H409" s="7">
        <v>-15.971731448763199</v>
      </c>
      <c r="I409" s="7">
        <v>12.17</v>
      </c>
      <c r="J409" s="7">
        <v>12.17</v>
      </c>
      <c r="K409" s="7">
        <v>11.76</v>
      </c>
      <c r="L409" s="7">
        <v>-15.971731448763199</v>
      </c>
    </row>
    <row r="410" spans="1:12" ht="15" customHeight="1" x14ac:dyDescent="0.2">
      <c r="A410" s="3">
        <v>45456</v>
      </c>
      <c r="B410" s="4">
        <v>12.19</v>
      </c>
      <c r="C410" s="5">
        <v>34782490</v>
      </c>
      <c r="D410" s="4">
        <v>-0.21</v>
      </c>
      <c r="E410" s="4">
        <v>-1.69354838709677</v>
      </c>
      <c r="F410" s="4">
        <v>-1.69354838709677</v>
      </c>
      <c r="G410" s="4">
        <v>12.19</v>
      </c>
      <c r="H410" s="4">
        <v>-13.851590106007</v>
      </c>
      <c r="I410" s="4">
        <v>12.34</v>
      </c>
      <c r="J410" s="4">
        <v>12.37</v>
      </c>
      <c r="K410" s="4">
        <v>12.11</v>
      </c>
      <c r="L410" s="4">
        <v>-13.851590106007</v>
      </c>
    </row>
    <row r="411" spans="1:12" ht="15" customHeight="1" x14ac:dyDescent="0.2">
      <c r="A411" s="6">
        <v>45455</v>
      </c>
      <c r="B411" s="7">
        <v>12.4</v>
      </c>
      <c r="C411" s="8">
        <v>50669350</v>
      </c>
      <c r="D411" s="7">
        <v>0.46</v>
      </c>
      <c r="E411" s="7">
        <v>3.8525963149078799</v>
      </c>
      <c r="F411" s="7">
        <v>3.8525963149078799</v>
      </c>
      <c r="G411" s="7">
        <v>12.4</v>
      </c>
      <c r="H411" s="7">
        <v>-12.3674911660777</v>
      </c>
      <c r="I411" s="7">
        <v>12.01</v>
      </c>
      <c r="J411" s="7">
        <v>12.48</v>
      </c>
      <c r="K411" s="7">
        <v>12</v>
      </c>
      <c r="L411" s="7">
        <v>-12.3674911660777</v>
      </c>
    </row>
    <row r="412" spans="1:12" ht="15" customHeight="1" x14ac:dyDescent="0.2">
      <c r="A412" s="3">
        <v>45454</v>
      </c>
      <c r="B412" s="4">
        <v>11.94</v>
      </c>
      <c r="C412" s="5">
        <v>40195960</v>
      </c>
      <c r="D412" s="4">
        <v>-0.24</v>
      </c>
      <c r="E412" s="4">
        <v>-1.97044334975369</v>
      </c>
      <c r="F412" s="4">
        <v>-1.97044334975369</v>
      </c>
      <c r="G412" s="4">
        <v>11.94</v>
      </c>
      <c r="H412" s="4">
        <v>-15.618374558303801</v>
      </c>
      <c r="I412" s="4">
        <v>12.19</v>
      </c>
      <c r="J412" s="4">
        <v>12.32</v>
      </c>
      <c r="K412" s="4">
        <v>11.9</v>
      </c>
      <c r="L412" s="4">
        <v>-15.618374558303801</v>
      </c>
    </row>
    <row r="413" spans="1:12" ht="15" customHeight="1" x14ac:dyDescent="0.2">
      <c r="A413" s="6">
        <v>45453</v>
      </c>
      <c r="B413" s="7">
        <v>12.18</v>
      </c>
      <c r="C413" s="8">
        <v>47001330</v>
      </c>
      <c r="D413" s="7">
        <v>0.08</v>
      </c>
      <c r="E413" s="7">
        <v>0.66115702479339</v>
      </c>
      <c r="F413" s="7">
        <v>0.66115702479339</v>
      </c>
      <c r="G413" s="7">
        <v>12.18</v>
      </c>
      <c r="H413" s="7">
        <v>-13.9222614840989</v>
      </c>
      <c r="I413" s="7">
        <v>12.18</v>
      </c>
      <c r="J413" s="7">
        <v>12.43</v>
      </c>
      <c r="K413" s="7">
        <v>12.09</v>
      </c>
      <c r="L413" s="7">
        <v>-13.9222614840989</v>
      </c>
    </row>
    <row r="414" spans="1:12" ht="15" customHeight="1" x14ac:dyDescent="0.2">
      <c r="A414" s="3">
        <v>45450</v>
      </c>
      <c r="B414" s="4">
        <v>12.1</v>
      </c>
      <c r="C414" s="5">
        <v>72607940</v>
      </c>
      <c r="D414" s="4">
        <v>-0.31</v>
      </c>
      <c r="E414" s="4">
        <v>-2.4979854955680798</v>
      </c>
      <c r="F414" s="4">
        <v>-2.4979854955680798</v>
      </c>
      <c r="G414" s="4">
        <v>12.1</v>
      </c>
      <c r="H414" s="4">
        <v>-14.487632508833901</v>
      </c>
      <c r="I414" s="4">
        <v>12.36</v>
      </c>
      <c r="J414" s="4">
        <v>12.63</v>
      </c>
      <c r="K414" s="4">
        <v>11.98</v>
      </c>
      <c r="L414" s="4">
        <v>-14.487632508833901</v>
      </c>
    </row>
    <row r="415" spans="1:12" ht="15" customHeight="1" x14ac:dyDescent="0.2">
      <c r="A415" s="6">
        <v>45449</v>
      </c>
      <c r="B415" s="7">
        <v>12.41</v>
      </c>
      <c r="C415" s="8">
        <v>77129920</v>
      </c>
      <c r="D415" s="7">
        <v>-1.9999999999999501E-2</v>
      </c>
      <c r="E415" s="7">
        <v>-0.16090104585679799</v>
      </c>
      <c r="F415" s="7">
        <v>-0.16090104585679799</v>
      </c>
      <c r="G415" s="7">
        <v>12.41</v>
      </c>
      <c r="H415" s="7">
        <v>-12.2968197879858</v>
      </c>
      <c r="I415" s="7">
        <v>12.45</v>
      </c>
      <c r="J415" s="7">
        <v>12.67</v>
      </c>
      <c r="K415" s="7">
        <v>12.35</v>
      </c>
      <c r="L415" s="7">
        <v>-12.2968197879858</v>
      </c>
    </row>
    <row r="416" spans="1:12" ht="15" customHeight="1" x14ac:dyDescent="0.2">
      <c r="A416" s="3">
        <v>45448</v>
      </c>
      <c r="B416" s="4">
        <v>12.43</v>
      </c>
      <c r="C416" s="5">
        <v>60808260</v>
      </c>
      <c r="D416" s="4">
        <v>8.9999999999999802E-2</v>
      </c>
      <c r="E416" s="4">
        <v>0.72933549432738698</v>
      </c>
      <c r="F416" s="4">
        <v>0.72933549432738698</v>
      </c>
      <c r="G416" s="4">
        <v>12.43</v>
      </c>
      <c r="H416" s="4">
        <v>-12.1554770318021</v>
      </c>
      <c r="I416" s="4">
        <v>12.36</v>
      </c>
      <c r="J416" s="4">
        <v>12.61</v>
      </c>
      <c r="K416" s="4">
        <v>12.28</v>
      </c>
      <c r="L416" s="4">
        <v>-12.1554770318021</v>
      </c>
    </row>
    <row r="417" spans="1:12" ht="15" customHeight="1" x14ac:dyDescent="0.2">
      <c r="A417" s="6">
        <v>45447</v>
      </c>
      <c r="B417" s="7">
        <v>12.34</v>
      </c>
      <c r="C417" s="8">
        <v>78098400</v>
      </c>
      <c r="D417" s="7">
        <v>0.23</v>
      </c>
      <c r="E417" s="7">
        <v>1.8992568125516001</v>
      </c>
      <c r="F417" s="7">
        <v>1.8992568125516001</v>
      </c>
      <c r="G417" s="7">
        <v>12.34</v>
      </c>
      <c r="H417" s="7">
        <v>-12.791519434628899</v>
      </c>
      <c r="I417" s="7">
        <v>12.16</v>
      </c>
      <c r="J417" s="7">
        <v>12.65</v>
      </c>
      <c r="K417" s="7">
        <v>12.16</v>
      </c>
      <c r="L417" s="7">
        <v>-12.791519434628899</v>
      </c>
    </row>
    <row r="418" spans="1:12" ht="15" customHeight="1" x14ac:dyDescent="0.2">
      <c r="A418" s="3">
        <v>45446</v>
      </c>
      <c r="B418" s="4">
        <v>12.11</v>
      </c>
      <c r="C418" s="5">
        <v>70812870</v>
      </c>
      <c r="D418" s="4">
        <v>-0.66</v>
      </c>
      <c r="E418" s="4">
        <v>-5.16836335160533</v>
      </c>
      <c r="F418" s="4">
        <v>-5.16836335160533</v>
      </c>
      <c r="G418" s="4">
        <v>12.11</v>
      </c>
      <c r="H418" s="4">
        <v>-14.416961130741999</v>
      </c>
      <c r="I418" s="4">
        <v>12.7</v>
      </c>
      <c r="J418" s="4">
        <v>12.87</v>
      </c>
      <c r="K418" s="4">
        <v>11.96</v>
      </c>
      <c r="L418" s="4">
        <v>-14.416961130741999</v>
      </c>
    </row>
    <row r="419" spans="1:12" ht="15" customHeight="1" x14ac:dyDescent="0.2">
      <c r="A419" s="6">
        <v>45443</v>
      </c>
      <c r="B419" s="7">
        <v>12.77</v>
      </c>
      <c r="C419" s="8">
        <v>199316980</v>
      </c>
      <c r="D419" s="7">
        <v>-0.24</v>
      </c>
      <c r="E419" s="7">
        <v>-1.8447348193697199</v>
      </c>
      <c r="F419" s="7">
        <v>-1.8447348193697199</v>
      </c>
      <c r="G419" s="7">
        <v>12.77</v>
      </c>
      <c r="H419" s="7">
        <v>-9.7526501766784506</v>
      </c>
      <c r="I419" s="7">
        <v>12.93</v>
      </c>
      <c r="J419" s="7">
        <v>13</v>
      </c>
      <c r="K419" s="7">
        <v>12.7</v>
      </c>
      <c r="L419" s="7">
        <v>-9.7526501766784506</v>
      </c>
    </row>
    <row r="420" spans="1:12" ht="15" customHeight="1" x14ac:dyDescent="0.2">
      <c r="A420" s="3">
        <v>45442</v>
      </c>
      <c r="B420" s="4">
        <v>13.01</v>
      </c>
      <c r="C420" s="5">
        <v>50486727</v>
      </c>
      <c r="D420" s="4">
        <v>0.25999999999999901</v>
      </c>
      <c r="E420" s="4">
        <v>2.0392156862744901</v>
      </c>
      <c r="F420" s="4">
        <v>2.0392156862744901</v>
      </c>
      <c r="G420" s="4">
        <v>13.01</v>
      </c>
      <c r="H420" s="4">
        <v>-8.0565371024735004</v>
      </c>
      <c r="I420" s="4">
        <v>12.75</v>
      </c>
      <c r="J420" s="4">
        <v>13.14</v>
      </c>
      <c r="K420" s="4">
        <v>12.57</v>
      </c>
      <c r="L420" s="4">
        <v>-8.0565371024735004</v>
      </c>
    </row>
    <row r="421" spans="1:12" ht="15" customHeight="1" x14ac:dyDescent="0.2">
      <c r="A421" s="6">
        <v>45441</v>
      </c>
      <c r="B421" s="7">
        <v>12.75</v>
      </c>
      <c r="C421" s="8">
        <v>69361050</v>
      </c>
      <c r="D421" s="7">
        <v>9.9999999999997799E-3</v>
      </c>
      <c r="E421" s="7">
        <v>7.8492935635798802E-2</v>
      </c>
      <c r="F421" s="7">
        <v>7.8492935635798802E-2</v>
      </c>
      <c r="G421" s="7">
        <v>12.75</v>
      </c>
      <c r="H421" s="7">
        <v>-9.8939929328621901</v>
      </c>
      <c r="I421" s="7">
        <v>12.66</v>
      </c>
      <c r="J421" s="7">
        <v>12.8</v>
      </c>
      <c r="K421" s="7">
        <v>12.42</v>
      </c>
      <c r="L421" s="7">
        <v>-9.8939929328621901</v>
      </c>
    </row>
    <row r="422" spans="1:12" ht="15" customHeight="1" x14ac:dyDescent="0.2">
      <c r="A422" s="3">
        <v>45440</v>
      </c>
      <c r="B422" s="4">
        <v>12.74</v>
      </c>
      <c r="C422" s="5">
        <v>45719953</v>
      </c>
      <c r="D422" s="4">
        <v>1.9999999999999501E-2</v>
      </c>
      <c r="E422" s="4">
        <v>0.15723270440251</v>
      </c>
      <c r="F422" s="4">
        <v>0.15723270440251</v>
      </c>
      <c r="G422" s="4">
        <v>12.74</v>
      </c>
      <c r="H422" s="4">
        <v>-9.9646643109540598</v>
      </c>
      <c r="I422" s="4">
        <v>12.73</v>
      </c>
      <c r="J422" s="4">
        <v>12.86</v>
      </c>
      <c r="K422" s="4">
        <v>12.6</v>
      </c>
      <c r="L422" s="4">
        <v>-9.9646643109540598</v>
      </c>
    </row>
    <row r="423" spans="1:12" ht="15" customHeight="1" x14ac:dyDescent="0.2">
      <c r="A423" s="6">
        <v>45439</v>
      </c>
      <c r="B423" s="7">
        <v>12.72</v>
      </c>
      <c r="C423" s="8">
        <v>6714370</v>
      </c>
      <c r="D423" s="7"/>
      <c r="E423" s="7"/>
      <c r="F423" s="7"/>
      <c r="G423" s="7">
        <v>12.72</v>
      </c>
      <c r="H423" s="7">
        <v>-10.106007067137799</v>
      </c>
      <c r="I423" s="7">
        <v>12.65</v>
      </c>
      <c r="J423" s="7">
        <v>12.74</v>
      </c>
      <c r="K423" s="7">
        <v>12.6</v>
      </c>
      <c r="L423" s="7">
        <v>-10.106007067137799</v>
      </c>
    </row>
    <row r="424" spans="1:12" ht="15" customHeight="1" x14ac:dyDescent="0.2">
      <c r="A424" s="3">
        <v>45436</v>
      </c>
      <c r="B424" s="4">
        <v>12.72</v>
      </c>
      <c r="C424" s="5">
        <v>27303990</v>
      </c>
      <c r="D424" s="4">
        <v>-9.9999999999997799E-3</v>
      </c>
      <c r="E424" s="4">
        <v>-7.8554595443836001E-2</v>
      </c>
      <c r="F424" s="4">
        <v>-7.8554595443836001E-2</v>
      </c>
      <c r="G424" s="4">
        <v>12.72</v>
      </c>
      <c r="H424" s="4">
        <v>-10.106007067137799</v>
      </c>
      <c r="I424" s="4">
        <v>12.71</v>
      </c>
      <c r="J424" s="4">
        <v>12.82</v>
      </c>
      <c r="K424" s="4">
        <v>12.65</v>
      </c>
      <c r="L424" s="4">
        <v>-10.106007067137799</v>
      </c>
    </row>
    <row r="425" spans="1:12" ht="15" customHeight="1" x14ac:dyDescent="0.2">
      <c r="A425" s="6">
        <v>45435</v>
      </c>
      <c r="B425" s="7">
        <v>12.73</v>
      </c>
      <c r="C425" s="8">
        <v>34042460</v>
      </c>
      <c r="D425" s="7">
        <v>7.0000000000000201E-2</v>
      </c>
      <c r="E425" s="7">
        <v>0.55292259083727902</v>
      </c>
      <c r="F425" s="7">
        <v>0.55292259083727902</v>
      </c>
      <c r="G425" s="7">
        <v>12.73</v>
      </c>
      <c r="H425" s="7">
        <v>-10.035335689045899</v>
      </c>
      <c r="I425" s="7">
        <v>12.7</v>
      </c>
      <c r="J425" s="7">
        <v>12.81</v>
      </c>
      <c r="K425" s="7">
        <v>12.6</v>
      </c>
      <c r="L425" s="7">
        <v>-10.035335689045899</v>
      </c>
    </row>
    <row r="426" spans="1:12" ht="15" customHeight="1" x14ac:dyDescent="0.2">
      <c r="A426" s="3">
        <v>45434</v>
      </c>
      <c r="B426" s="4">
        <v>12.66</v>
      </c>
      <c r="C426" s="5">
        <v>34192760</v>
      </c>
      <c r="D426" s="4">
        <v>-0.24</v>
      </c>
      <c r="E426" s="4">
        <v>-1.86046511627907</v>
      </c>
      <c r="F426" s="4">
        <v>-1.86046511627907</v>
      </c>
      <c r="G426" s="4">
        <v>12.66</v>
      </c>
      <c r="H426" s="4">
        <v>-10.530035335689</v>
      </c>
      <c r="I426" s="4">
        <v>12.9</v>
      </c>
      <c r="J426" s="4">
        <v>12.93</v>
      </c>
      <c r="K426" s="4">
        <v>12.6</v>
      </c>
      <c r="L426" s="4">
        <v>-10.530035335689</v>
      </c>
    </row>
    <row r="427" spans="1:12" ht="15" customHeight="1" x14ac:dyDescent="0.2">
      <c r="A427" s="6">
        <v>45433</v>
      </c>
      <c r="B427" s="7">
        <v>12.9</v>
      </c>
      <c r="C427" s="8">
        <v>50407594</v>
      </c>
      <c r="D427" s="7">
        <v>-9.9999999999999603E-2</v>
      </c>
      <c r="E427" s="7">
        <v>-0.76923076923076605</v>
      </c>
      <c r="F427" s="7">
        <v>-0.76923076923076605</v>
      </c>
      <c r="G427" s="7">
        <v>12.9</v>
      </c>
      <c r="H427" s="7">
        <v>-8.8339222614840995</v>
      </c>
      <c r="I427" s="7">
        <v>13</v>
      </c>
      <c r="J427" s="7">
        <v>13</v>
      </c>
      <c r="K427" s="7">
        <v>12.67</v>
      </c>
      <c r="L427" s="7">
        <v>-8.8339222614840995</v>
      </c>
    </row>
    <row r="428" spans="1:12" ht="15" customHeight="1" x14ac:dyDescent="0.2">
      <c r="A428" s="3">
        <v>45432</v>
      </c>
      <c r="B428" s="4">
        <v>13</v>
      </c>
      <c r="C428" s="5">
        <v>29743030</v>
      </c>
      <c r="D428" s="4">
        <v>8.9999999999999802E-2</v>
      </c>
      <c r="E428" s="4">
        <v>0.69713400464754804</v>
      </c>
      <c r="F428" s="4">
        <v>0.69713400464754804</v>
      </c>
      <c r="G428" s="4">
        <v>13</v>
      </c>
      <c r="H428" s="4">
        <v>-8.1272084805653702</v>
      </c>
      <c r="I428" s="4">
        <v>12.95</v>
      </c>
      <c r="J428" s="4">
        <v>13.03</v>
      </c>
      <c r="K428" s="4">
        <v>12.86</v>
      </c>
      <c r="L428" s="4">
        <v>-8.1272084805653702</v>
      </c>
    </row>
    <row r="429" spans="1:12" ht="15" customHeight="1" x14ac:dyDescent="0.2">
      <c r="A429" s="6">
        <v>45429</v>
      </c>
      <c r="B429" s="7">
        <v>12.91</v>
      </c>
      <c r="C429" s="8">
        <v>20978040</v>
      </c>
      <c r="D429" s="7">
        <v>-0.14000000000000001</v>
      </c>
      <c r="E429" s="7">
        <v>-1.0727969348659001</v>
      </c>
      <c r="F429" s="7">
        <v>-1.0727969348659001</v>
      </c>
      <c r="G429" s="7">
        <v>12.91</v>
      </c>
      <c r="H429" s="7">
        <v>-8.7632508833922191</v>
      </c>
      <c r="I429" s="7">
        <v>13.11</v>
      </c>
      <c r="J429" s="7">
        <v>13.13</v>
      </c>
      <c r="K429" s="7">
        <v>12.86</v>
      </c>
      <c r="L429" s="7">
        <v>-8.7632508833922191</v>
      </c>
    </row>
    <row r="430" spans="1:12" ht="15" customHeight="1" x14ac:dyDescent="0.2">
      <c r="A430" s="3">
        <v>45428</v>
      </c>
      <c r="B430" s="4">
        <v>13.05</v>
      </c>
      <c r="C430" s="5">
        <v>51280930</v>
      </c>
      <c r="D430" s="4">
        <v>-0.12999999999999901</v>
      </c>
      <c r="E430" s="4">
        <v>-0.98634294385431198</v>
      </c>
      <c r="F430" s="4">
        <v>-0.98634294385431198</v>
      </c>
      <c r="G430" s="4">
        <v>13.05</v>
      </c>
      <c r="H430" s="4">
        <v>-7.7738515901060001</v>
      </c>
      <c r="I430" s="4">
        <v>13.12</v>
      </c>
      <c r="J430" s="4">
        <v>13.29</v>
      </c>
      <c r="K430" s="4">
        <v>13.02</v>
      </c>
      <c r="L430" s="4">
        <v>-7.7738515901060001</v>
      </c>
    </row>
    <row r="431" spans="1:12" ht="15" customHeight="1" x14ac:dyDescent="0.2">
      <c r="A431" s="6">
        <v>45427</v>
      </c>
      <c r="B431" s="7">
        <v>13.18</v>
      </c>
      <c r="C431" s="8">
        <v>49952550</v>
      </c>
      <c r="D431" s="7">
        <v>-6.0000000000000497E-2</v>
      </c>
      <c r="E431" s="7">
        <v>-0.45317220543806802</v>
      </c>
      <c r="F431" s="7">
        <v>-0.45317220543806802</v>
      </c>
      <c r="G431" s="7">
        <v>13.18</v>
      </c>
      <c r="H431" s="7">
        <v>-6.8551236749116597</v>
      </c>
      <c r="I431" s="7">
        <v>13.28</v>
      </c>
      <c r="J431" s="7">
        <v>13.52</v>
      </c>
      <c r="K431" s="7">
        <v>13.13</v>
      </c>
      <c r="L431" s="7">
        <v>-6.8551236749116597</v>
      </c>
    </row>
    <row r="432" spans="1:12" ht="15" customHeight="1" x14ac:dyDescent="0.2">
      <c r="A432" s="3">
        <v>45426</v>
      </c>
      <c r="B432" s="4">
        <v>13.24</v>
      </c>
      <c r="C432" s="5">
        <v>64030340</v>
      </c>
      <c r="D432" s="4">
        <v>-0.119999999999999</v>
      </c>
      <c r="E432" s="4">
        <v>-0.89820359281436102</v>
      </c>
      <c r="F432" s="4">
        <v>-0.89820359281436102</v>
      </c>
      <c r="G432" s="4">
        <v>13.24</v>
      </c>
      <c r="H432" s="4">
        <v>-6.43109540636042</v>
      </c>
      <c r="I432" s="4">
        <v>13.32</v>
      </c>
      <c r="J432" s="4">
        <v>13.37</v>
      </c>
      <c r="K432" s="4">
        <v>13.13</v>
      </c>
      <c r="L432" s="4">
        <v>-6.43109540636042</v>
      </c>
    </row>
    <row r="433" spans="1:12" ht="15" customHeight="1" x14ac:dyDescent="0.2">
      <c r="A433" s="6">
        <v>45425</v>
      </c>
      <c r="B433" s="7">
        <v>13.36</v>
      </c>
      <c r="C433" s="8">
        <v>26344660</v>
      </c>
      <c r="D433" s="7">
        <v>7.0000000000000201E-2</v>
      </c>
      <c r="E433" s="7">
        <v>0.52671181339352102</v>
      </c>
      <c r="F433" s="7">
        <v>0.52671181339352102</v>
      </c>
      <c r="G433" s="7">
        <v>13.36</v>
      </c>
      <c r="H433" s="7">
        <v>-5.5830388692579502</v>
      </c>
      <c r="I433" s="7">
        <v>13.3</v>
      </c>
      <c r="J433" s="7">
        <v>13.49</v>
      </c>
      <c r="K433" s="7">
        <v>13.3</v>
      </c>
      <c r="L433" s="7">
        <v>-5.5830388692579502</v>
      </c>
    </row>
    <row r="434" spans="1:12" ht="15" customHeight="1" x14ac:dyDescent="0.2">
      <c r="A434" s="3">
        <v>45422</v>
      </c>
      <c r="B434" s="4">
        <v>13.29</v>
      </c>
      <c r="C434" s="5">
        <v>62315420</v>
      </c>
      <c r="D434" s="4">
        <v>5.99999999999987E-2</v>
      </c>
      <c r="E434" s="4">
        <v>0.45351473922900998</v>
      </c>
      <c r="F434" s="4">
        <v>0.45351473922900998</v>
      </c>
      <c r="G434" s="4">
        <v>13.29</v>
      </c>
      <c r="H434" s="4">
        <v>-6.0777385159010597</v>
      </c>
      <c r="I434" s="4">
        <v>13.28</v>
      </c>
      <c r="J434" s="4">
        <v>13.41</v>
      </c>
      <c r="K434" s="4">
        <v>13.26</v>
      </c>
      <c r="L434" s="4">
        <v>-6.0777385159010597</v>
      </c>
    </row>
    <row r="435" spans="1:12" ht="15" customHeight="1" x14ac:dyDescent="0.2">
      <c r="A435" s="6">
        <v>45421</v>
      </c>
      <c r="B435" s="7">
        <v>13.23</v>
      </c>
      <c r="C435" s="8">
        <v>45430870</v>
      </c>
      <c r="D435" s="7">
        <v>0.12000000000000099</v>
      </c>
      <c r="E435" s="7">
        <v>0.91533180778031697</v>
      </c>
      <c r="F435" s="7">
        <v>0.91533180778031697</v>
      </c>
      <c r="G435" s="7">
        <v>13.23</v>
      </c>
      <c r="H435" s="7">
        <v>-6.5017667844522897</v>
      </c>
      <c r="I435" s="7">
        <v>13.12</v>
      </c>
      <c r="J435" s="7">
        <v>13.34</v>
      </c>
      <c r="K435" s="7">
        <v>13.12</v>
      </c>
      <c r="L435" s="7">
        <v>-6.5017667844522897</v>
      </c>
    </row>
    <row r="436" spans="1:12" ht="15" customHeight="1" x14ac:dyDescent="0.2">
      <c r="A436" s="3">
        <v>45420</v>
      </c>
      <c r="B436" s="4">
        <v>13.11</v>
      </c>
      <c r="C436" s="5">
        <v>71839510</v>
      </c>
      <c r="D436" s="4">
        <v>-0.08</v>
      </c>
      <c r="E436" s="4">
        <v>-0.60652009097801296</v>
      </c>
      <c r="F436" s="4">
        <v>-0.60652009097801296</v>
      </c>
      <c r="G436" s="4">
        <v>13.11</v>
      </c>
      <c r="H436" s="4">
        <v>-7.3498233215547701</v>
      </c>
      <c r="I436" s="4">
        <v>13.23</v>
      </c>
      <c r="J436" s="4">
        <v>13.27</v>
      </c>
      <c r="K436" s="4">
        <v>12.98</v>
      </c>
      <c r="L436" s="4">
        <v>-7.3498233215547701</v>
      </c>
    </row>
    <row r="437" spans="1:12" ht="15" customHeight="1" x14ac:dyDescent="0.2">
      <c r="A437" s="6">
        <v>45419</v>
      </c>
      <c r="B437" s="7">
        <v>13.19</v>
      </c>
      <c r="C437" s="8">
        <v>76324830</v>
      </c>
      <c r="D437" s="7">
        <v>-0.21</v>
      </c>
      <c r="E437" s="7">
        <v>-1.5671641791044799</v>
      </c>
      <c r="F437" s="7">
        <v>-1.5671641791044799</v>
      </c>
      <c r="G437" s="7">
        <v>13.19</v>
      </c>
      <c r="H437" s="7">
        <v>-6.78445229681979</v>
      </c>
      <c r="I437" s="7">
        <v>13.49</v>
      </c>
      <c r="J437" s="7">
        <v>13.53</v>
      </c>
      <c r="K437" s="7">
        <v>13.15</v>
      </c>
      <c r="L437" s="7">
        <v>-6.78445229681979</v>
      </c>
    </row>
    <row r="438" spans="1:12" ht="15" customHeight="1" x14ac:dyDescent="0.2">
      <c r="A438" s="3">
        <v>45418</v>
      </c>
      <c r="B438" s="4">
        <v>13.4</v>
      </c>
      <c r="C438" s="5">
        <v>42765550</v>
      </c>
      <c r="D438" s="4">
        <v>-0.23</v>
      </c>
      <c r="E438" s="4">
        <v>-1.68745414526779</v>
      </c>
      <c r="F438" s="4">
        <v>-1.68745414526779</v>
      </c>
      <c r="G438" s="4">
        <v>13.4</v>
      </c>
      <c r="H438" s="4">
        <v>-5.30035335689045</v>
      </c>
      <c r="I438" s="4">
        <v>13.64</v>
      </c>
      <c r="J438" s="4">
        <v>13.74</v>
      </c>
      <c r="K438" s="4">
        <v>13.35</v>
      </c>
      <c r="L438" s="4">
        <v>-5.30035335689045</v>
      </c>
    </row>
    <row r="439" spans="1:12" ht="15" customHeight="1" x14ac:dyDescent="0.2">
      <c r="A439" s="6">
        <v>45415</v>
      </c>
      <c r="B439" s="7">
        <v>13.63</v>
      </c>
      <c r="C439" s="8">
        <v>37544640</v>
      </c>
      <c r="D439" s="7">
        <v>0.32</v>
      </c>
      <c r="E439" s="7">
        <v>2.4042073628850402</v>
      </c>
      <c r="F439" s="7">
        <v>2.4042073628850402</v>
      </c>
      <c r="G439" s="7">
        <v>13.63</v>
      </c>
      <c r="H439" s="7">
        <v>-3.6749116607773802</v>
      </c>
      <c r="I439" s="7">
        <v>13.34</v>
      </c>
      <c r="J439" s="7">
        <v>13.73</v>
      </c>
      <c r="K439" s="7">
        <v>13.34</v>
      </c>
      <c r="L439" s="7">
        <v>-3.6749116607773802</v>
      </c>
    </row>
    <row r="440" spans="1:12" ht="15" customHeight="1" x14ac:dyDescent="0.2">
      <c r="A440" s="3">
        <v>45414</v>
      </c>
      <c r="B440" s="4">
        <v>13.31</v>
      </c>
      <c r="C440" s="5">
        <v>56766350</v>
      </c>
      <c r="D440" s="4">
        <v>-0.25999999999999901</v>
      </c>
      <c r="E440" s="4">
        <v>-1.9159911569638901</v>
      </c>
      <c r="F440" s="4">
        <v>-1.9159911569638901</v>
      </c>
      <c r="G440" s="4">
        <v>13.31</v>
      </c>
      <c r="H440" s="4">
        <v>-5.9363957597173096</v>
      </c>
      <c r="I440" s="4">
        <v>13.5</v>
      </c>
      <c r="J440" s="4">
        <v>13.56</v>
      </c>
      <c r="K440" s="4">
        <v>13.25</v>
      </c>
      <c r="L440" s="4">
        <v>-5.9363957597173096</v>
      </c>
    </row>
    <row r="441" spans="1:12" ht="15" customHeight="1" x14ac:dyDescent="0.2">
      <c r="A441" s="6">
        <v>45412</v>
      </c>
      <c r="B441" s="7">
        <v>13.57</v>
      </c>
      <c r="C441" s="8">
        <v>82297914</v>
      </c>
      <c r="D441" s="7">
        <v>-0.25</v>
      </c>
      <c r="E441" s="7">
        <v>-1.80897250361794</v>
      </c>
      <c r="F441" s="7">
        <v>-1.80897250361794</v>
      </c>
      <c r="G441" s="7">
        <v>13.57</v>
      </c>
      <c r="H441" s="7">
        <v>-4.0989399293286199</v>
      </c>
      <c r="I441" s="7">
        <v>13.79</v>
      </c>
      <c r="J441" s="7">
        <v>13.95</v>
      </c>
      <c r="K441" s="7">
        <v>13.52</v>
      </c>
      <c r="L441" s="7">
        <v>-4.0989399293286199</v>
      </c>
    </row>
    <row r="442" spans="1:12" ht="15" customHeight="1" x14ac:dyDescent="0.2">
      <c r="A442" s="3">
        <v>45411</v>
      </c>
      <c r="B442" s="4">
        <v>13.82</v>
      </c>
      <c r="C442" s="5">
        <v>66358820</v>
      </c>
      <c r="D442" s="4">
        <v>-0.32</v>
      </c>
      <c r="E442" s="4">
        <v>-2.26308345120226</v>
      </c>
      <c r="F442" s="4">
        <v>-2.26308345120226</v>
      </c>
      <c r="G442" s="4">
        <v>13.82</v>
      </c>
      <c r="H442" s="4">
        <v>-2.3321554770318</v>
      </c>
      <c r="I442" s="4">
        <v>14.19</v>
      </c>
      <c r="J442" s="4">
        <v>14.2</v>
      </c>
      <c r="K442" s="4">
        <v>13.79</v>
      </c>
      <c r="L442" s="4">
        <v>-2.3321554770318</v>
      </c>
    </row>
    <row r="443" spans="1:12" ht="15" customHeight="1" x14ac:dyDescent="0.2">
      <c r="A443" s="6">
        <v>45408</v>
      </c>
      <c r="B443" s="7">
        <v>14.14</v>
      </c>
      <c r="C443" s="8">
        <v>45499870</v>
      </c>
      <c r="D443" s="7">
        <v>4.0000000000000903E-2</v>
      </c>
      <c r="E443" s="7">
        <v>0.28368794326241098</v>
      </c>
      <c r="F443" s="7">
        <v>0.28368794326241098</v>
      </c>
      <c r="G443" s="7">
        <v>14.14</v>
      </c>
      <c r="H443" s="7">
        <v>-7.0671378091871198E-2</v>
      </c>
      <c r="I443" s="7">
        <v>14.11</v>
      </c>
      <c r="J443" s="7">
        <v>14.23</v>
      </c>
      <c r="K443" s="7">
        <v>14.07</v>
      </c>
      <c r="L443" s="7">
        <v>-7.0671378091871198E-2</v>
      </c>
    </row>
    <row r="444" spans="1:12" ht="15" customHeight="1" x14ac:dyDescent="0.2">
      <c r="A444" s="3">
        <v>45407</v>
      </c>
      <c r="B444" s="4">
        <v>14.1</v>
      </c>
      <c r="C444" s="5">
        <v>64534280</v>
      </c>
      <c r="D444" s="4">
        <v>0.31</v>
      </c>
      <c r="E444" s="4">
        <v>2.2480058013052999</v>
      </c>
      <c r="F444" s="4">
        <v>2.2480058013052999</v>
      </c>
      <c r="G444" s="4">
        <v>14.1</v>
      </c>
      <c r="H444" s="4">
        <v>-0.35335689045936802</v>
      </c>
      <c r="I444" s="4">
        <v>13.89</v>
      </c>
      <c r="J444" s="4">
        <v>14.21</v>
      </c>
      <c r="K444" s="4">
        <v>13.49</v>
      </c>
      <c r="L444" s="4">
        <v>-0.35335689045936802</v>
      </c>
    </row>
    <row r="445" spans="1:12" ht="15" customHeight="1" x14ac:dyDescent="0.2">
      <c r="A445" s="6">
        <v>45406</v>
      </c>
      <c r="B445" s="7">
        <v>13.79</v>
      </c>
      <c r="C445" s="8">
        <v>60196152</v>
      </c>
      <c r="D445" s="7">
        <v>-0.25</v>
      </c>
      <c r="E445" s="7">
        <v>-1.7806267806267799</v>
      </c>
      <c r="F445" s="7">
        <v>-1.7806267806267799</v>
      </c>
      <c r="G445" s="7">
        <v>13.79</v>
      </c>
      <c r="H445" s="7">
        <v>-2.5441696113074199</v>
      </c>
      <c r="I445" s="7">
        <v>14.05</v>
      </c>
      <c r="J445" s="7">
        <v>14.05</v>
      </c>
      <c r="K445" s="7">
        <v>13.39</v>
      </c>
      <c r="L445" s="7">
        <v>-2.5441696113074199</v>
      </c>
    </row>
    <row r="446" spans="1:12" ht="15" customHeight="1" x14ac:dyDescent="0.2">
      <c r="A446" s="3">
        <v>45405</v>
      </c>
      <c r="B446" s="4">
        <v>14.04</v>
      </c>
      <c r="C446" s="5">
        <v>40545380</v>
      </c>
      <c r="D446" s="4"/>
      <c r="E446" s="4"/>
      <c r="F446" s="4"/>
      <c r="G446" s="4">
        <v>14.04</v>
      </c>
      <c r="H446" s="4">
        <v>-0.77738515901060901</v>
      </c>
      <c r="I446" s="4">
        <v>14.01</v>
      </c>
      <c r="J446" s="4">
        <v>14.18</v>
      </c>
      <c r="K446" s="4">
        <v>13.87</v>
      </c>
      <c r="L446" s="4">
        <v>-0.77738515901060901</v>
      </c>
    </row>
    <row r="447" spans="1:12" ht="15" customHeight="1" x14ac:dyDescent="0.2">
      <c r="A447" s="6">
        <v>45404</v>
      </c>
      <c r="B447" s="7">
        <v>14.04</v>
      </c>
      <c r="C447" s="8">
        <v>48127450</v>
      </c>
      <c r="D447" s="7">
        <v>0.35999999999999899</v>
      </c>
      <c r="E447" s="7">
        <v>2.6315789473683999</v>
      </c>
      <c r="F447" s="7">
        <v>2.6315789473683999</v>
      </c>
      <c r="G447" s="7">
        <v>14.04</v>
      </c>
      <c r="H447" s="7">
        <v>-0.77738515901060901</v>
      </c>
      <c r="I447" s="7">
        <v>13.77</v>
      </c>
      <c r="J447" s="7">
        <v>14.08</v>
      </c>
      <c r="K447" s="7">
        <v>13.69</v>
      </c>
      <c r="L447" s="7">
        <v>-0.77738515901060901</v>
      </c>
    </row>
    <row r="448" spans="1:12" ht="15" customHeight="1" x14ac:dyDescent="0.2">
      <c r="A448" s="3">
        <v>45401</v>
      </c>
      <c r="B448" s="4">
        <v>13.68</v>
      </c>
      <c r="C448" s="5">
        <v>28079700</v>
      </c>
      <c r="D448" s="4">
        <v>-7.0000000000000201E-2</v>
      </c>
      <c r="E448" s="4">
        <v>-0.50909090909091403</v>
      </c>
      <c r="F448" s="4">
        <v>-0.50909090909091403</v>
      </c>
      <c r="G448" s="4">
        <v>13.68</v>
      </c>
      <c r="H448" s="4">
        <v>-3.3215547703180199</v>
      </c>
      <c r="I448" s="4">
        <v>13.85</v>
      </c>
      <c r="J448" s="4">
        <v>13.86</v>
      </c>
      <c r="K448" s="4">
        <v>13.49</v>
      </c>
      <c r="L448" s="4">
        <v>-3.3215547703180199</v>
      </c>
    </row>
    <row r="449" spans="1:12" ht="15" customHeight="1" x14ac:dyDescent="0.2">
      <c r="A449" s="6">
        <v>45400</v>
      </c>
      <c r="B449" s="7">
        <v>13.75</v>
      </c>
      <c r="C449" s="8">
        <v>59883670</v>
      </c>
      <c r="D449" s="7">
        <v>-0.16999999999999901</v>
      </c>
      <c r="E449" s="7">
        <v>-1.2212643678160799</v>
      </c>
      <c r="F449" s="7">
        <v>-1.2212643678160799</v>
      </c>
      <c r="G449" s="7">
        <v>13.75</v>
      </c>
      <c r="H449" s="7">
        <v>-2.82685512367491</v>
      </c>
      <c r="I449" s="7">
        <v>13.84</v>
      </c>
      <c r="J449" s="7">
        <v>14.13</v>
      </c>
      <c r="K449" s="7">
        <v>13.7</v>
      </c>
      <c r="L449" s="7">
        <v>-2.82685512367491</v>
      </c>
    </row>
    <row r="450" spans="1:12" ht="15" customHeight="1" x14ac:dyDescent="0.2">
      <c r="A450" s="3">
        <v>45399</v>
      </c>
      <c r="B450" s="4">
        <v>13.92</v>
      </c>
      <c r="C450" s="5">
        <v>62503030</v>
      </c>
      <c r="D450" s="4">
        <v>-0.41999999999999899</v>
      </c>
      <c r="E450" s="4">
        <v>-2.92887029288703</v>
      </c>
      <c r="F450" s="4">
        <v>-2.92887029288703</v>
      </c>
      <c r="G450" s="4">
        <v>13.92</v>
      </c>
      <c r="H450" s="4">
        <v>-1.62544169611307</v>
      </c>
      <c r="I450" s="4">
        <v>14.34</v>
      </c>
      <c r="J450" s="4">
        <v>14.34</v>
      </c>
      <c r="K450" s="4">
        <v>13.88</v>
      </c>
      <c r="L450" s="4">
        <v>-1.62544169611307</v>
      </c>
    </row>
    <row r="451" spans="1:12" ht="15" customHeight="1" x14ac:dyDescent="0.2">
      <c r="A451" s="6">
        <v>45398</v>
      </c>
      <c r="B451" s="7">
        <v>14.34</v>
      </c>
      <c r="C451" s="8">
        <v>81208530</v>
      </c>
      <c r="D451" s="7">
        <v>0.32</v>
      </c>
      <c r="E451" s="7">
        <v>2.2824536376604798</v>
      </c>
      <c r="F451" s="7">
        <v>2.2824536376604798</v>
      </c>
      <c r="G451" s="7">
        <v>14.34</v>
      </c>
      <c r="H451" s="7">
        <v>1.3427561837455699</v>
      </c>
      <c r="I451" s="7">
        <v>14.11</v>
      </c>
      <c r="J451" s="7">
        <v>14.64</v>
      </c>
      <c r="K451" s="7">
        <v>14.04</v>
      </c>
      <c r="L451" s="7">
        <v>1.3427561837455699</v>
      </c>
    </row>
    <row r="452" spans="1:12" ht="15" customHeight="1" x14ac:dyDescent="0.2">
      <c r="A452" s="3">
        <v>45397</v>
      </c>
      <c r="B452" s="4">
        <v>14.02</v>
      </c>
      <c r="C452" s="5">
        <v>31371630</v>
      </c>
      <c r="D452" s="4">
        <v>-0.20000000000000101</v>
      </c>
      <c r="E452" s="4">
        <v>-1.40646976090015</v>
      </c>
      <c r="F452" s="4">
        <v>-1.40646976090015</v>
      </c>
      <c r="G452" s="4">
        <v>14.02</v>
      </c>
      <c r="H452" s="4">
        <v>-0.91872791519435104</v>
      </c>
      <c r="I452" s="4">
        <v>14.22</v>
      </c>
      <c r="J452" s="4">
        <v>14.4</v>
      </c>
      <c r="K452" s="4">
        <v>14</v>
      </c>
      <c r="L452" s="4">
        <v>-0.91872791519435104</v>
      </c>
    </row>
    <row r="453" spans="1:12" ht="15" customHeight="1" x14ac:dyDescent="0.2">
      <c r="A453" s="6">
        <v>45394</v>
      </c>
      <c r="B453" s="7">
        <v>14.22</v>
      </c>
      <c r="C453" s="8">
        <v>34380280</v>
      </c>
      <c r="D453" s="7">
        <v>-0.12999999999999901</v>
      </c>
      <c r="E453" s="7">
        <v>-0.90592334494772297</v>
      </c>
      <c r="F453" s="7">
        <v>-0.90592334494772297</v>
      </c>
      <c r="G453" s="7">
        <v>14.22</v>
      </c>
      <c r="H453" s="7">
        <v>0.494699646643111</v>
      </c>
      <c r="I453" s="7">
        <v>14.35</v>
      </c>
      <c r="J453" s="7">
        <v>14.51</v>
      </c>
      <c r="K453" s="7">
        <v>14.18</v>
      </c>
      <c r="L453" s="7">
        <v>0.494699646643111</v>
      </c>
    </row>
    <row r="454" spans="1:12" ht="15" customHeight="1" x14ac:dyDescent="0.2">
      <c r="A454" s="3">
        <v>45393</v>
      </c>
      <c r="B454" s="4">
        <v>14.35</v>
      </c>
      <c r="C454" s="5">
        <v>57142280</v>
      </c>
      <c r="D454" s="4">
        <v>0.19999999999999901</v>
      </c>
      <c r="E454" s="4">
        <v>1.4134275618374399</v>
      </c>
      <c r="F454" s="4">
        <v>1.4134275618374399</v>
      </c>
      <c r="G454" s="4">
        <v>14.35</v>
      </c>
      <c r="H454" s="4">
        <v>1.4134275618374501</v>
      </c>
      <c r="I454" s="4">
        <v>14.23</v>
      </c>
      <c r="J454" s="4">
        <v>14.37</v>
      </c>
      <c r="K454" s="4">
        <v>14.07</v>
      </c>
      <c r="L454" s="4">
        <v>1.4134275618374501</v>
      </c>
    </row>
    <row r="455" spans="1:12" ht="15" customHeight="1" x14ac:dyDescent="0.2">
      <c r="A455" s="6">
        <v>45392</v>
      </c>
      <c r="B455" s="7">
        <v>14.15</v>
      </c>
      <c r="C455" s="8">
        <v>62391580</v>
      </c>
      <c r="D455" s="7">
        <v>-0.23</v>
      </c>
      <c r="E455" s="7">
        <v>-1.5994436717663401</v>
      </c>
      <c r="F455" s="7">
        <v>-1.5994436717663401</v>
      </c>
      <c r="G455" s="7">
        <v>14.15</v>
      </c>
      <c r="H455" s="7"/>
      <c r="I455" s="7">
        <v>14.35</v>
      </c>
      <c r="J455" s="7">
        <v>14.35</v>
      </c>
      <c r="K455" s="7">
        <v>14.08</v>
      </c>
      <c r="L455" s="7"/>
    </row>
    <row r="456" spans="1:12" ht="15" customHeight="1" x14ac:dyDescent="0.2">
      <c r="A456" s="3">
        <v>45391</v>
      </c>
      <c r="B456" s="4">
        <v>14.38</v>
      </c>
      <c r="C456" s="5">
        <v>54034520</v>
      </c>
      <c r="D456" s="4">
        <v>-0.159999999999998</v>
      </c>
      <c r="E456" s="4">
        <v>-1.10041265474551</v>
      </c>
      <c r="F456" s="4">
        <v>-1.10041265474551</v>
      </c>
      <c r="G456" s="4">
        <v>14.38</v>
      </c>
      <c r="H456" s="4">
        <v>1.62544169611307</v>
      </c>
      <c r="I456" s="4">
        <v>14.53</v>
      </c>
      <c r="J456" s="4">
        <v>14.71</v>
      </c>
      <c r="K456" s="4">
        <v>14.3</v>
      </c>
      <c r="L456" s="4">
        <v>1.62544169611307</v>
      </c>
    </row>
    <row r="457" spans="1:12" ht="15" customHeight="1" x14ac:dyDescent="0.2">
      <c r="A457" s="6">
        <v>45390</v>
      </c>
      <c r="B457" s="7">
        <v>14.54</v>
      </c>
      <c r="C457" s="8">
        <v>35167970</v>
      </c>
      <c r="D457" s="7">
        <v>-2.0000000000001301E-2</v>
      </c>
      <c r="E457" s="7">
        <v>-0.13736263736264701</v>
      </c>
      <c r="F457" s="7">
        <v>-0.13736263736264701</v>
      </c>
      <c r="G457" s="7">
        <v>14.54</v>
      </c>
      <c r="H457" s="7">
        <v>2.75618374558303</v>
      </c>
      <c r="I457" s="7">
        <v>14.52</v>
      </c>
      <c r="J457" s="7">
        <v>14.6</v>
      </c>
      <c r="K457" s="7">
        <v>14.37</v>
      </c>
      <c r="L457" s="7">
        <v>2.75618374558303</v>
      </c>
    </row>
    <row r="458" spans="1:12" ht="15" customHeight="1" x14ac:dyDescent="0.2">
      <c r="A458" s="3">
        <v>45387</v>
      </c>
      <c r="B458" s="4">
        <v>14.56</v>
      </c>
      <c r="C458" s="5">
        <v>68217080</v>
      </c>
      <c r="D458" s="4">
        <v>-0.19999999999999901</v>
      </c>
      <c r="E458" s="4">
        <v>-1.3550135501354901</v>
      </c>
      <c r="F458" s="4">
        <v>-1.3550135501354901</v>
      </c>
      <c r="G458" s="4">
        <v>14.56</v>
      </c>
      <c r="H458" s="4">
        <v>2.8975265017667802</v>
      </c>
      <c r="I458" s="4">
        <v>14.71</v>
      </c>
      <c r="J458" s="4">
        <v>14.76</v>
      </c>
      <c r="K458" s="4">
        <v>14.48</v>
      </c>
      <c r="L458" s="4">
        <v>2.8975265017667802</v>
      </c>
    </row>
    <row r="459" spans="1:12" ht="15" customHeight="1" x14ac:dyDescent="0.2">
      <c r="A459" s="6">
        <v>45386</v>
      </c>
      <c r="B459" s="7">
        <v>14.76</v>
      </c>
      <c r="C459" s="8">
        <v>47046113</v>
      </c>
      <c r="D459" s="7">
        <v>-0.39</v>
      </c>
      <c r="E459" s="7">
        <v>-2.5742574257425699</v>
      </c>
      <c r="F459" s="7">
        <v>-2.5742574257425699</v>
      </c>
      <c r="G459" s="7">
        <v>14.76</v>
      </c>
      <c r="H459" s="7">
        <v>4.3109540636042301</v>
      </c>
      <c r="I459" s="7">
        <v>15.22</v>
      </c>
      <c r="J459" s="7">
        <v>15.23</v>
      </c>
      <c r="K459" s="7">
        <v>14.69</v>
      </c>
      <c r="L459" s="7">
        <v>4.3109540636042301</v>
      </c>
    </row>
    <row r="460" spans="1:12" ht="15" customHeight="1" x14ac:dyDescent="0.2">
      <c r="A460" s="3">
        <v>45385</v>
      </c>
      <c r="B460" s="4">
        <v>15.15</v>
      </c>
      <c r="C460" s="5">
        <v>52054160</v>
      </c>
      <c r="D460" s="4">
        <v>0.16</v>
      </c>
      <c r="E460" s="4">
        <v>1.0673782521681101</v>
      </c>
      <c r="F460" s="4">
        <v>1.0673782521681101</v>
      </c>
      <c r="G460" s="4">
        <v>15.15</v>
      </c>
      <c r="H460" s="4">
        <v>7.0671378091872699</v>
      </c>
      <c r="I460" s="4">
        <v>14.95</v>
      </c>
      <c r="J460" s="4">
        <v>15.3</v>
      </c>
      <c r="K460" s="4">
        <v>14.87</v>
      </c>
      <c r="L460" s="4">
        <v>7.0671378091872699</v>
      </c>
    </row>
    <row r="461" spans="1:12" ht="15" customHeight="1" x14ac:dyDescent="0.2">
      <c r="A461" s="6">
        <v>45384</v>
      </c>
      <c r="B461" s="7">
        <v>14.99</v>
      </c>
      <c r="C461" s="8">
        <v>51208754</v>
      </c>
      <c r="D461" s="7">
        <v>-4.9999999999998899E-2</v>
      </c>
      <c r="E461" s="7">
        <v>-0.33244680851063302</v>
      </c>
      <c r="F461" s="7">
        <v>-0.33244680851063302</v>
      </c>
      <c r="G461" s="7">
        <v>14.99</v>
      </c>
      <c r="H461" s="7">
        <v>5.9363957597173096</v>
      </c>
      <c r="I461" s="7">
        <v>15.03</v>
      </c>
      <c r="J461" s="7">
        <v>15.09</v>
      </c>
      <c r="K461" s="7">
        <v>14.91</v>
      </c>
      <c r="L461" s="7">
        <v>5.9363957597173096</v>
      </c>
    </row>
    <row r="462" spans="1:12" ht="15" customHeight="1" x14ac:dyDescent="0.2">
      <c r="A462" s="3">
        <v>45383</v>
      </c>
      <c r="B462" s="4">
        <v>15.04</v>
      </c>
      <c r="C462" s="5">
        <v>49932688</v>
      </c>
      <c r="D462" s="4">
        <v>0.369999999999999</v>
      </c>
      <c r="E462" s="4">
        <v>2.5221540558963702</v>
      </c>
      <c r="F462" s="4">
        <v>2.5221540558963702</v>
      </c>
      <c r="G462" s="4">
        <v>15.04</v>
      </c>
      <c r="H462" s="4">
        <v>6.2897526501766698</v>
      </c>
      <c r="I462" s="4">
        <v>14.67</v>
      </c>
      <c r="J462" s="4">
        <v>15.15</v>
      </c>
      <c r="K462" s="4">
        <v>14.67</v>
      </c>
      <c r="L462" s="4">
        <v>6.2897526501766698</v>
      </c>
    </row>
    <row r="463" spans="1:12" ht="15" customHeight="1" x14ac:dyDescent="0.2">
      <c r="A463" s="6">
        <v>45378</v>
      </c>
      <c r="B463" s="7">
        <v>14.67</v>
      </c>
      <c r="C463" s="8">
        <v>19830300</v>
      </c>
      <c r="D463" s="7">
        <v>9.9999999999997799E-3</v>
      </c>
      <c r="E463" s="7">
        <v>6.8212824010904699E-2</v>
      </c>
      <c r="F463" s="7">
        <v>6.8212824010904699E-2</v>
      </c>
      <c r="G463" s="7">
        <v>14.67</v>
      </c>
      <c r="H463" s="7">
        <v>3.6749116607773802</v>
      </c>
      <c r="I463" s="7">
        <v>14.66</v>
      </c>
      <c r="J463" s="7">
        <v>14.79</v>
      </c>
      <c r="K463" s="7">
        <v>14.65</v>
      </c>
      <c r="L463" s="7">
        <v>3.6749116607773802</v>
      </c>
    </row>
    <row r="464" spans="1:12" ht="15" customHeight="1" x14ac:dyDescent="0.2">
      <c r="A464" s="3">
        <v>45377</v>
      </c>
      <c r="B464" s="4">
        <v>14.66</v>
      </c>
      <c r="C464" s="5">
        <v>25349920</v>
      </c>
      <c r="D464" s="4">
        <v>0.21</v>
      </c>
      <c r="E464" s="4">
        <v>1.45328719723183</v>
      </c>
      <c r="F464" s="4">
        <v>1.45328719723183</v>
      </c>
      <c r="G464" s="4">
        <v>14.66</v>
      </c>
      <c r="H464" s="4">
        <v>3.60424028268551</v>
      </c>
      <c r="I464" s="4">
        <v>14.4</v>
      </c>
      <c r="J464" s="4">
        <v>14.7</v>
      </c>
      <c r="K464" s="4">
        <v>14.31</v>
      </c>
      <c r="L464" s="4">
        <v>3.60424028268551</v>
      </c>
    </row>
    <row r="465" spans="1:12" ht="15" customHeight="1" x14ac:dyDescent="0.2">
      <c r="A465" s="6">
        <v>45376</v>
      </c>
      <c r="B465" s="7">
        <v>14.45</v>
      </c>
      <c r="C465" s="8">
        <v>21451720</v>
      </c>
      <c r="D465" s="7">
        <v>4.9999999999998899E-2</v>
      </c>
      <c r="E465" s="7">
        <v>0.347222222222209</v>
      </c>
      <c r="F465" s="7">
        <v>0.347222222222209</v>
      </c>
      <c r="G465" s="7">
        <v>14.45</v>
      </c>
      <c r="H465" s="7">
        <v>2.1201413427561699</v>
      </c>
      <c r="I465" s="7">
        <v>14.38</v>
      </c>
      <c r="J465" s="7">
        <v>14.49</v>
      </c>
      <c r="K465" s="7">
        <v>14.14</v>
      </c>
      <c r="L465" s="7">
        <v>2.1201413427561699</v>
      </c>
    </row>
    <row r="466" spans="1:12" ht="15" customHeight="1" x14ac:dyDescent="0.2">
      <c r="A466" s="3">
        <v>45373</v>
      </c>
      <c r="B466" s="4">
        <v>14.4</v>
      </c>
      <c r="C466" s="5">
        <v>46088246</v>
      </c>
      <c r="D466" s="4">
        <v>0.16999999999999901</v>
      </c>
      <c r="E466" s="4">
        <v>1.1946591707659699</v>
      </c>
      <c r="F466" s="4">
        <v>1.1946591707659699</v>
      </c>
      <c r="G466" s="4">
        <v>14.4</v>
      </c>
      <c r="H466" s="4">
        <v>1.7667844522968099</v>
      </c>
      <c r="I466" s="4">
        <v>14.19</v>
      </c>
      <c r="J466" s="4">
        <v>14.47</v>
      </c>
      <c r="K466" s="4">
        <v>14.07</v>
      </c>
      <c r="L466" s="4">
        <v>1.7667844522968099</v>
      </c>
    </row>
    <row r="467" spans="1:12" ht="15" customHeight="1" x14ac:dyDescent="0.2">
      <c r="A467" s="6">
        <v>45372</v>
      </c>
      <c r="B467" s="7">
        <v>14.23</v>
      </c>
      <c r="C467" s="8">
        <v>64821130</v>
      </c>
      <c r="D467" s="7">
        <v>0.15</v>
      </c>
      <c r="E467" s="7">
        <v>1.0653409090909101</v>
      </c>
      <c r="F467" s="7">
        <v>1.0653409090909101</v>
      </c>
      <c r="G467" s="7">
        <v>14.23</v>
      </c>
      <c r="H467" s="7">
        <v>0.56537102473498202</v>
      </c>
      <c r="I467" s="7">
        <v>14.08</v>
      </c>
      <c r="J467" s="7">
        <v>14.27</v>
      </c>
      <c r="K467" s="7">
        <v>14.08</v>
      </c>
      <c r="L467" s="7">
        <v>0.56537102473498202</v>
      </c>
    </row>
    <row r="468" spans="1:12" ht="15" customHeight="1" x14ac:dyDescent="0.2">
      <c r="A468" s="3">
        <v>45371</v>
      </c>
      <c r="B468" s="4">
        <v>14.08</v>
      </c>
      <c r="C468" s="5">
        <v>45869930</v>
      </c>
      <c r="D468" s="4">
        <v>0.14000000000000001</v>
      </c>
      <c r="E468" s="4">
        <v>1.00430416068866</v>
      </c>
      <c r="F468" s="4">
        <v>1.00430416068866</v>
      </c>
      <c r="G468" s="4">
        <v>14.08</v>
      </c>
      <c r="H468" s="4">
        <v>-0.494699646643111</v>
      </c>
      <c r="I468" s="4">
        <v>13.94</v>
      </c>
      <c r="J468" s="4">
        <v>14.13</v>
      </c>
      <c r="K468" s="4">
        <v>13.82</v>
      </c>
      <c r="L468" s="4">
        <v>-0.494699646643111</v>
      </c>
    </row>
    <row r="469" spans="1:12" ht="15" customHeight="1" x14ac:dyDescent="0.2">
      <c r="A469" s="6">
        <v>45370</v>
      </c>
      <c r="B469" s="7">
        <v>13.94</v>
      </c>
      <c r="C469" s="8">
        <v>38224450</v>
      </c>
      <c r="D469" s="7">
        <v>-0.25</v>
      </c>
      <c r="E469" s="7">
        <v>-1.7618040873854801</v>
      </c>
      <c r="F469" s="7">
        <v>-1.7618040873854801</v>
      </c>
      <c r="G469" s="7">
        <v>13.94</v>
      </c>
      <c r="H469" s="7">
        <v>-1.4840989399293301</v>
      </c>
      <c r="I469" s="7">
        <v>14.11</v>
      </c>
      <c r="J469" s="7">
        <v>14.15</v>
      </c>
      <c r="K469" s="7">
        <v>13.87</v>
      </c>
      <c r="L469" s="7">
        <v>-1.4840989399293301</v>
      </c>
    </row>
    <row r="470" spans="1:12" ht="15" customHeight="1" x14ac:dyDescent="0.2">
      <c r="A470" s="3">
        <v>45366</v>
      </c>
      <c r="B470" s="4">
        <v>14.19</v>
      </c>
      <c r="C470" s="5">
        <v>166535200</v>
      </c>
      <c r="D470" s="4">
        <v>0.15</v>
      </c>
      <c r="E470" s="4">
        <v>1.0683760683760599</v>
      </c>
      <c r="F470" s="4">
        <v>1.0683760683760599</v>
      </c>
      <c r="G470" s="4">
        <v>14.19</v>
      </c>
      <c r="H470" s="4">
        <v>0.28268551236748501</v>
      </c>
      <c r="I470" s="4">
        <v>14.07</v>
      </c>
      <c r="J470" s="4">
        <v>14.26</v>
      </c>
      <c r="K470" s="4">
        <v>13.99</v>
      </c>
      <c r="L470" s="4">
        <v>0.28268551236748501</v>
      </c>
    </row>
    <row r="471" spans="1:12" ht="15" customHeight="1" x14ac:dyDescent="0.2">
      <c r="A471" s="6">
        <v>45365</v>
      </c>
      <c r="B471" s="7">
        <v>14.04</v>
      </c>
      <c r="C471" s="8">
        <v>52079610</v>
      </c>
      <c r="D471" s="7">
        <v>0.48999999999999799</v>
      </c>
      <c r="E471" s="7">
        <v>3.6162361623616102</v>
      </c>
      <c r="F471" s="7">
        <v>3.6162361623616102</v>
      </c>
      <c r="G471" s="7">
        <v>14.04</v>
      </c>
      <c r="H471" s="7">
        <v>-0.77738515901060901</v>
      </c>
      <c r="I471" s="7">
        <v>13.61</v>
      </c>
      <c r="J471" s="7">
        <v>14.11</v>
      </c>
      <c r="K471" s="7">
        <v>13.59</v>
      </c>
      <c r="L471" s="7">
        <v>-0.77738515901060901</v>
      </c>
    </row>
    <row r="472" spans="1:12" ht="15" customHeight="1" x14ac:dyDescent="0.2">
      <c r="A472" s="3">
        <v>45364</v>
      </c>
      <c r="B472" s="4">
        <v>13.55</v>
      </c>
      <c r="C472" s="5">
        <v>43615040</v>
      </c>
      <c r="D472" s="4">
        <v>2.0000000000001301E-2</v>
      </c>
      <c r="E472" s="4">
        <v>0.14781966001480201</v>
      </c>
      <c r="F472" s="4">
        <v>0.14781966001480201</v>
      </c>
      <c r="G472" s="4">
        <v>13.55</v>
      </c>
      <c r="H472" s="4">
        <v>-4.2402826855123603</v>
      </c>
      <c r="I472" s="4">
        <v>13.53</v>
      </c>
      <c r="J472" s="4">
        <v>13.67</v>
      </c>
      <c r="K472" s="4">
        <v>13.47</v>
      </c>
      <c r="L472" s="4">
        <v>-4.2402826855123603</v>
      </c>
    </row>
    <row r="473" spans="1:12" ht="15" customHeight="1" x14ac:dyDescent="0.2">
      <c r="A473" s="6">
        <v>45363</v>
      </c>
      <c r="B473" s="7">
        <v>13.53</v>
      </c>
      <c r="C473" s="8">
        <v>56321760</v>
      </c>
      <c r="D473" s="7">
        <v>-0.100000000000001</v>
      </c>
      <c r="E473" s="7">
        <v>-0.73367571533383602</v>
      </c>
      <c r="F473" s="7">
        <v>-0.73367571533383602</v>
      </c>
      <c r="G473" s="7">
        <v>13.53</v>
      </c>
      <c r="H473" s="7">
        <v>-4.3816254416961202</v>
      </c>
      <c r="I473" s="7">
        <v>13.66</v>
      </c>
      <c r="J473" s="7">
        <v>13.76</v>
      </c>
      <c r="K473" s="7">
        <v>13.48</v>
      </c>
      <c r="L473" s="7">
        <v>-4.3816254416961202</v>
      </c>
    </row>
    <row r="474" spans="1:12" ht="15" customHeight="1" x14ac:dyDescent="0.2">
      <c r="A474" s="3">
        <v>45362</v>
      </c>
      <c r="B474" s="4">
        <v>13.63</v>
      </c>
      <c r="C474" s="5">
        <v>51209152</v>
      </c>
      <c r="D474" s="4">
        <v>0.31</v>
      </c>
      <c r="E474" s="4">
        <v>2.3273273273273198</v>
      </c>
      <c r="F474" s="4">
        <v>2.3273273273273198</v>
      </c>
      <c r="G474" s="4">
        <v>13.63</v>
      </c>
      <c r="H474" s="4">
        <v>-3.6749116607773802</v>
      </c>
      <c r="I474" s="4">
        <v>13.37</v>
      </c>
      <c r="J474" s="4">
        <v>13.66</v>
      </c>
      <c r="K474" s="4">
        <v>13.26</v>
      </c>
      <c r="L474" s="4">
        <v>-3.6749116607773802</v>
      </c>
    </row>
    <row r="475" spans="1:12" ht="15" customHeight="1" x14ac:dyDescent="0.2">
      <c r="A475" s="6">
        <v>45359</v>
      </c>
      <c r="B475" s="7">
        <v>13.32</v>
      </c>
      <c r="C475" s="8">
        <v>29496010</v>
      </c>
      <c r="D475" s="7">
        <v>-6.0000000000000497E-2</v>
      </c>
      <c r="E475" s="7">
        <v>-0.44843049327354301</v>
      </c>
      <c r="F475" s="7">
        <v>-0.44843049327354301</v>
      </c>
      <c r="G475" s="7">
        <v>13.32</v>
      </c>
      <c r="H475" s="7">
        <v>-5.8657243816254399</v>
      </c>
      <c r="I475" s="7">
        <v>13.39</v>
      </c>
      <c r="J475" s="7">
        <v>13.42</v>
      </c>
      <c r="K475" s="7">
        <v>13.25</v>
      </c>
      <c r="L475" s="7">
        <v>-5.8657243816254399</v>
      </c>
    </row>
    <row r="476" spans="1:12" ht="15" customHeight="1" x14ac:dyDescent="0.2">
      <c r="A476" s="3">
        <v>45358</v>
      </c>
      <c r="B476" s="4">
        <v>13.38</v>
      </c>
      <c r="C476" s="5">
        <v>33223160</v>
      </c>
      <c r="D476" s="4">
        <v>0.110000000000001</v>
      </c>
      <c r="E476" s="4">
        <v>0.82893745290128995</v>
      </c>
      <c r="F476" s="4">
        <v>0.82893745290128995</v>
      </c>
      <c r="G476" s="4">
        <v>13.38</v>
      </c>
      <c r="H476" s="4">
        <v>-5.4416961130742001</v>
      </c>
      <c r="I476" s="4">
        <v>13.29</v>
      </c>
      <c r="J476" s="4">
        <v>13.58</v>
      </c>
      <c r="K476" s="4">
        <v>13.28</v>
      </c>
      <c r="L476" s="4">
        <v>-5.4416961130742001</v>
      </c>
    </row>
    <row r="477" spans="1:12" ht="15" customHeight="1" x14ac:dyDescent="0.2">
      <c r="A477" s="6">
        <v>45357</v>
      </c>
      <c r="B477" s="7">
        <v>13.27</v>
      </c>
      <c r="C477" s="8">
        <v>33637700</v>
      </c>
      <c r="D477" s="7">
        <v>0.16999999999999901</v>
      </c>
      <c r="E477" s="7">
        <v>1.2977099236641101</v>
      </c>
      <c r="F477" s="7">
        <v>1.2977099236641101</v>
      </c>
      <c r="G477" s="7">
        <v>13.27</v>
      </c>
      <c r="H477" s="7">
        <v>-6.2190812720848099</v>
      </c>
      <c r="I477" s="7">
        <v>13.1</v>
      </c>
      <c r="J477" s="7">
        <v>13.3</v>
      </c>
      <c r="K477" s="7">
        <v>13.08</v>
      </c>
      <c r="L477" s="7">
        <v>-6.2190812720848099</v>
      </c>
    </row>
    <row r="478" spans="1:12" ht="15" customHeight="1" x14ac:dyDescent="0.2">
      <c r="A478" s="3">
        <v>45356</v>
      </c>
      <c r="B478" s="4">
        <v>13.1</v>
      </c>
      <c r="C478" s="5">
        <v>39590900</v>
      </c>
      <c r="D478" s="4">
        <v>-0.13</v>
      </c>
      <c r="E478" s="4">
        <v>-0.98261526832955604</v>
      </c>
      <c r="F478" s="4">
        <v>-0.98261526832955604</v>
      </c>
      <c r="G478" s="4">
        <v>13.1</v>
      </c>
      <c r="H478" s="4">
        <v>-7.4204946996466399</v>
      </c>
      <c r="I478" s="4">
        <v>13.2</v>
      </c>
      <c r="J478" s="4">
        <v>13.2</v>
      </c>
      <c r="K478" s="4">
        <v>12.83</v>
      </c>
      <c r="L478" s="4">
        <v>-7.4204946996466399</v>
      </c>
    </row>
    <row r="479" spans="1:12" ht="15" customHeight="1" x14ac:dyDescent="0.2">
      <c r="A479" s="6">
        <v>45355</v>
      </c>
      <c r="B479" s="7">
        <v>13.23</v>
      </c>
      <c r="C479" s="8">
        <v>33491720</v>
      </c>
      <c r="D479" s="7">
        <v>-0.16999999999999901</v>
      </c>
      <c r="E479" s="7">
        <v>-1.2686567164179099</v>
      </c>
      <c r="F479" s="7">
        <v>-1.2686567164179099</v>
      </c>
      <c r="G479" s="7">
        <v>13.23</v>
      </c>
      <c r="H479" s="7">
        <v>-6.5017667844522897</v>
      </c>
      <c r="I479" s="7">
        <v>13.4</v>
      </c>
      <c r="J479" s="7">
        <v>13.52</v>
      </c>
      <c r="K479" s="7">
        <v>13.14</v>
      </c>
      <c r="L479" s="7">
        <v>-6.5017667844522897</v>
      </c>
    </row>
    <row r="480" spans="1:12" ht="15" customHeight="1" x14ac:dyDescent="0.2">
      <c r="A480" s="3">
        <v>45352</v>
      </c>
      <c r="B480" s="4">
        <v>13.4</v>
      </c>
      <c r="C480" s="5">
        <v>31221190</v>
      </c>
      <c r="D480" s="4">
        <v>0.37000000000000099</v>
      </c>
      <c r="E480" s="4">
        <v>2.83960092095165</v>
      </c>
      <c r="F480" s="4">
        <v>2.83960092095165</v>
      </c>
      <c r="G480" s="4">
        <v>13.4</v>
      </c>
      <c r="H480" s="4">
        <v>-5.30035335689045</v>
      </c>
      <c r="I480" s="4">
        <v>13.03</v>
      </c>
      <c r="J480" s="4">
        <v>13.43</v>
      </c>
      <c r="K480" s="4">
        <v>13.03</v>
      </c>
      <c r="L480" s="4">
        <v>-5.30035335689045</v>
      </c>
    </row>
    <row r="481" spans="1:12" ht="15" customHeight="1" x14ac:dyDescent="0.2">
      <c r="A481" s="6">
        <v>45351</v>
      </c>
      <c r="B481" s="7">
        <v>13.03</v>
      </c>
      <c r="C481" s="8">
        <v>124352800</v>
      </c>
      <c r="D481" s="7">
        <v>-0.16999999999999901</v>
      </c>
      <c r="E481" s="7">
        <v>-1.2878787878787801</v>
      </c>
      <c r="F481" s="7">
        <v>-1.2878787878787801</v>
      </c>
      <c r="G481" s="7">
        <v>13.03</v>
      </c>
      <c r="H481" s="7">
        <v>-7.9151943462897503</v>
      </c>
      <c r="I481" s="7">
        <v>13.27</v>
      </c>
      <c r="J481" s="7">
        <v>13.51</v>
      </c>
      <c r="K481" s="7">
        <v>13</v>
      </c>
      <c r="L481" s="7">
        <v>-7.9151943462897503</v>
      </c>
    </row>
    <row r="482" spans="1:12" ht="15" customHeight="1" x14ac:dyDescent="0.2">
      <c r="A482" s="3">
        <v>45350</v>
      </c>
      <c r="B482" s="4">
        <v>13.2</v>
      </c>
      <c r="C482" s="5">
        <v>47463580</v>
      </c>
      <c r="D482" s="4">
        <v>-0.46</v>
      </c>
      <c r="E482" s="4">
        <v>-3.3674963396779001</v>
      </c>
      <c r="F482" s="4">
        <v>-3.3674963396779001</v>
      </c>
      <c r="G482" s="4">
        <v>13.2</v>
      </c>
      <c r="H482" s="4">
        <v>-6.7137809187279203</v>
      </c>
      <c r="I482" s="4">
        <v>13.64</v>
      </c>
      <c r="J482" s="4">
        <v>13.64</v>
      </c>
      <c r="K482" s="4">
        <v>13.17</v>
      </c>
      <c r="L482" s="4">
        <v>-6.7137809187279203</v>
      </c>
    </row>
    <row r="483" spans="1:12" ht="15" customHeight="1" x14ac:dyDescent="0.2">
      <c r="A483" s="6">
        <v>45349</v>
      </c>
      <c r="B483" s="7">
        <v>13.66</v>
      </c>
      <c r="C483" s="8">
        <v>49766420</v>
      </c>
      <c r="D483" s="7">
        <v>-0.23</v>
      </c>
      <c r="E483" s="7">
        <v>-1.6558675305975501</v>
      </c>
      <c r="F483" s="7">
        <v>-1.6558675305975501</v>
      </c>
      <c r="G483" s="7">
        <v>13.66</v>
      </c>
      <c r="H483" s="7">
        <v>-3.4628975265017599</v>
      </c>
      <c r="I483" s="7">
        <v>13.95</v>
      </c>
      <c r="J483" s="7">
        <v>13.95</v>
      </c>
      <c r="K483" s="7">
        <v>13.6</v>
      </c>
      <c r="L483" s="7">
        <v>-3.4628975265017599</v>
      </c>
    </row>
    <row r="484" spans="1:12" ht="15" customHeight="1" x14ac:dyDescent="0.2">
      <c r="A484" s="3">
        <v>45348</v>
      </c>
      <c r="B484" s="4">
        <v>13.89</v>
      </c>
      <c r="C484" s="5">
        <v>47546330</v>
      </c>
      <c r="D484" s="4">
        <v>-9.9999999999999603E-2</v>
      </c>
      <c r="E484" s="4">
        <v>-0.71479628305932597</v>
      </c>
      <c r="F484" s="4">
        <v>-0.71479628305932597</v>
      </c>
      <c r="G484" s="4">
        <v>13.89</v>
      </c>
      <c r="H484" s="4">
        <v>-1.8374558303886901</v>
      </c>
      <c r="I484" s="4">
        <v>13.96</v>
      </c>
      <c r="J484" s="4">
        <v>14.07</v>
      </c>
      <c r="K484" s="4">
        <v>13.85</v>
      </c>
      <c r="L484" s="4">
        <v>-1.8374558303886901</v>
      </c>
    </row>
    <row r="485" spans="1:12" ht="15" customHeight="1" x14ac:dyDescent="0.2">
      <c r="A485" s="6">
        <v>45345</v>
      </c>
      <c r="B485" s="7">
        <v>13.99</v>
      </c>
      <c r="C485" s="8">
        <v>55520760</v>
      </c>
      <c r="D485" s="7">
        <v>0.28999999999999998</v>
      </c>
      <c r="E485" s="7">
        <v>2.11678832116788</v>
      </c>
      <c r="F485" s="7">
        <v>2.11678832116788</v>
      </c>
      <c r="G485" s="7">
        <v>13.99</v>
      </c>
      <c r="H485" s="7">
        <v>-1.13074204946996</v>
      </c>
      <c r="I485" s="7">
        <v>13.65</v>
      </c>
      <c r="J485" s="7">
        <v>14.04</v>
      </c>
      <c r="K485" s="7">
        <v>13.65</v>
      </c>
      <c r="L485" s="7">
        <v>-1.13074204946996</v>
      </c>
    </row>
    <row r="486" spans="1:12" ht="15" customHeight="1" x14ac:dyDescent="0.2">
      <c r="A486" s="3">
        <v>45344</v>
      </c>
      <c r="B486" s="4">
        <v>13.7</v>
      </c>
      <c r="C486" s="5">
        <v>34644670</v>
      </c>
      <c r="D486" s="4">
        <v>0.16999999999999901</v>
      </c>
      <c r="E486" s="4">
        <v>1.2564671101256299</v>
      </c>
      <c r="F486" s="4">
        <v>1.2564671101256299</v>
      </c>
      <c r="G486" s="4">
        <v>13.7</v>
      </c>
      <c r="H486" s="4">
        <v>-3.18021201413428</v>
      </c>
      <c r="I486" s="4">
        <v>13.42</v>
      </c>
      <c r="J486" s="4">
        <v>13.76</v>
      </c>
      <c r="K486" s="4">
        <v>13.42</v>
      </c>
      <c r="L486" s="4">
        <v>-3.18021201413428</v>
      </c>
    </row>
    <row r="487" spans="1:12" ht="15" customHeight="1" x14ac:dyDescent="0.2">
      <c r="A487" s="6">
        <v>45343</v>
      </c>
      <c r="B487" s="7">
        <v>13.53</v>
      </c>
      <c r="C487" s="8">
        <v>51847780</v>
      </c>
      <c r="D487" s="7">
        <v>8.9999999999999802E-2</v>
      </c>
      <c r="E487" s="7">
        <v>0.66964285714285998</v>
      </c>
      <c r="F487" s="7">
        <v>0.66964285714285998</v>
      </c>
      <c r="G487" s="7">
        <v>13.53</v>
      </c>
      <c r="H487" s="7">
        <v>-4.3816254416961202</v>
      </c>
      <c r="I487" s="7">
        <v>13.45</v>
      </c>
      <c r="J487" s="7">
        <v>13.57</v>
      </c>
      <c r="K487" s="7">
        <v>13.3</v>
      </c>
      <c r="L487" s="7">
        <v>-4.3816254416961202</v>
      </c>
    </row>
    <row r="488" spans="1:12" ht="15" customHeight="1" x14ac:dyDescent="0.2">
      <c r="A488" s="3">
        <v>45342</v>
      </c>
      <c r="B488" s="4">
        <v>13.44</v>
      </c>
      <c r="C488" s="5">
        <v>48847290</v>
      </c>
      <c r="D488" s="4">
        <v>-5.0000000000000697E-2</v>
      </c>
      <c r="E488" s="4">
        <v>-0.37064492216457501</v>
      </c>
      <c r="F488" s="4">
        <v>-0.37064492216457501</v>
      </c>
      <c r="G488" s="4">
        <v>13.44</v>
      </c>
      <c r="H488" s="4">
        <v>-5.0176678445229701</v>
      </c>
      <c r="I488" s="4">
        <v>13.36</v>
      </c>
      <c r="J488" s="4">
        <v>13.63</v>
      </c>
      <c r="K488" s="4">
        <v>13.31</v>
      </c>
      <c r="L488" s="4">
        <v>-5.0176678445229701</v>
      </c>
    </row>
    <row r="489" spans="1:12" ht="15" customHeight="1" x14ac:dyDescent="0.2">
      <c r="A489" s="6">
        <v>45341</v>
      </c>
      <c r="B489" s="7">
        <v>13.49</v>
      </c>
      <c r="C489" s="8">
        <v>6037161</v>
      </c>
      <c r="D489" s="7">
        <v>7.0000000000000201E-2</v>
      </c>
      <c r="E489" s="7">
        <v>0.52160953800297605</v>
      </c>
      <c r="F489" s="7">
        <v>0.52160953800297605</v>
      </c>
      <c r="G489" s="7">
        <v>13.49</v>
      </c>
      <c r="H489" s="7">
        <v>-4.6643109540636001</v>
      </c>
      <c r="I489" s="7">
        <v>13.42</v>
      </c>
      <c r="J489" s="7">
        <v>13.51</v>
      </c>
      <c r="K489" s="7">
        <v>13.22</v>
      </c>
      <c r="L489" s="7">
        <v>-4.6643109540636001</v>
      </c>
    </row>
    <row r="490" spans="1:12" ht="15" customHeight="1" x14ac:dyDescent="0.2">
      <c r="A490" s="3">
        <v>45338</v>
      </c>
      <c r="B490" s="4">
        <v>13.42</v>
      </c>
      <c r="C490" s="5">
        <v>34918540</v>
      </c>
      <c r="D490" s="4">
        <v>0.23</v>
      </c>
      <c r="E490" s="4">
        <v>1.7437452615618001</v>
      </c>
      <c r="F490" s="4">
        <v>1.7437452615618001</v>
      </c>
      <c r="G490" s="4">
        <v>13.42</v>
      </c>
      <c r="H490" s="4">
        <v>-5.1590106007067096</v>
      </c>
      <c r="I490" s="4">
        <v>13.13</v>
      </c>
      <c r="J490" s="4">
        <v>13.46</v>
      </c>
      <c r="K490" s="4">
        <v>13.13</v>
      </c>
      <c r="L490" s="4">
        <v>-5.1590106007067096</v>
      </c>
    </row>
    <row r="491" spans="1:12" ht="15" customHeight="1" x14ac:dyDescent="0.2">
      <c r="A491" s="6">
        <v>45337</v>
      </c>
      <c r="B491" s="7">
        <v>13.19</v>
      </c>
      <c r="C491" s="8">
        <v>53183727</v>
      </c>
      <c r="D491" s="7">
        <v>0.16999999999999901</v>
      </c>
      <c r="E491" s="7">
        <v>1.3056835637480699</v>
      </c>
      <c r="F491" s="7">
        <v>1.3056835637480699</v>
      </c>
      <c r="G491" s="7">
        <v>13.19</v>
      </c>
      <c r="H491" s="7">
        <v>-6.78445229681979</v>
      </c>
      <c r="I491" s="7">
        <v>12.96</v>
      </c>
      <c r="J491" s="7">
        <v>13.29</v>
      </c>
      <c r="K491" s="7">
        <v>12.96</v>
      </c>
      <c r="L491" s="7">
        <v>-6.78445229681979</v>
      </c>
    </row>
    <row r="492" spans="1:12" ht="15" customHeight="1" x14ac:dyDescent="0.2">
      <c r="A492" s="3">
        <v>45336</v>
      </c>
      <c r="B492" s="4">
        <v>13.02</v>
      </c>
      <c r="C492" s="5">
        <v>56772140</v>
      </c>
      <c r="D492" s="4">
        <v>-0.110000000000001</v>
      </c>
      <c r="E492" s="4">
        <v>-0.83777608530084502</v>
      </c>
      <c r="F492" s="4">
        <v>-0.83777608530084502</v>
      </c>
      <c r="G492" s="4">
        <v>13.02</v>
      </c>
      <c r="H492" s="4">
        <v>-7.9858657243816298</v>
      </c>
      <c r="I492" s="4">
        <v>13.1</v>
      </c>
      <c r="J492" s="4">
        <v>13.22</v>
      </c>
      <c r="K492" s="4">
        <v>12.94</v>
      </c>
      <c r="L492" s="4">
        <v>-7.9858657243816298</v>
      </c>
    </row>
    <row r="493" spans="1:12" ht="15" customHeight="1" x14ac:dyDescent="0.2">
      <c r="A493" s="6">
        <v>45335</v>
      </c>
      <c r="B493" s="7">
        <v>13.13</v>
      </c>
      <c r="C493" s="8">
        <v>35189273</v>
      </c>
      <c r="D493" s="7">
        <v>-0.17999999999999899</v>
      </c>
      <c r="E493" s="7">
        <v>-1.3523666416228299</v>
      </c>
      <c r="F493" s="7">
        <v>-1.3523666416228299</v>
      </c>
      <c r="G493" s="7">
        <v>13.13</v>
      </c>
      <c r="H493" s="7">
        <v>-7.20848056537102</v>
      </c>
      <c r="I493" s="7">
        <v>13.25</v>
      </c>
      <c r="J493" s="7">
        <v>13.3</v>
      </c>
      <c r="K493" s="7">
        <v>12.97</v>
      </c>
      <c r="L493" s="7">
        <v>-7.20848056537102</v>
      </c>
    </row>
    <row r="494" spans="1:12" ht="15" customHeight="1" x14ac:dyDescent="0.2">
      <c r="A494" s="3">
        <v>45334</v>
      </c>
      <c r="B494" s="4">
        <v>13.31</v>
      </c>
      <c r="C494" s="5">
        <v>55966152</v>
      </c>
      <c r="D494" s="4">
        <v>0.17999999999999899</v>
      </c>
      <c r="E494" s="4">
        <v>1.3709063214013699</v>
      </c>
      <c r="F494" s="4">
        <v>1.3709063214013699</v>
      </c>
      <c r="G494" s="4">
        <v>13.31</v>
      </c>
      <c r="H494" s="4">
        <v>-5.9363957597173096</v>
      </c>
      <c r="I494" s="4">
        <v>13.1</v>
      </c>
      <c r="J494" s="4">
        <v>13.38</v>
      </c>
      <c r="K494" s="4">
        <v>13.04</v>
      </c>
      <c r="L494" s="4">
        <v>-5.9363957597173096</v>
      </c>
    </row>
    <row r="495" spans="1:12" ht="15" customHeight="1" x14ac:dyDescent="0.2">
      <c r="A495" s="6">
        <v>45331</v>
      </c>
      <c r="B495" s="7">
        <v>13.13</v>
      </c>
      <c r="C495" s="8">
        <v>30042720</v>
      </c>
      <c r="D495" s="7">
        <v>-0.5</v>
      </c>
      <c r="E495" s="7">
        <v>-3.6683785766691002</v>
      </c>
      <c r="F495" s="7">
        <v>-3.6683785766691002</v>
      </c>
      <c r="G495" s="7">
        <v>13.13</v>
      </c>
      <c r="H495" s="7">
        <v>-7.20848056537102</v>
      </c>
      <c r="I495" s="7">
        <v>13.69</v>
      </c>
      <c r="J495" s="7">
        <v>13.69</v>
      </c>
      <c r="K495" s="7">
        <v>12.96</v>
      </c>
      <c r="L495" s="7">
        <v>-7.20848056537102</v>
      </c>
    </row>
    <row r="496" spans="1:12" ht="15" customHeight="1" x14ac:dyDescent="0.2">
      <c r="A496" s="3">
        <v>45330</v>
      </c>
      <c r="B496" s="4">
        <v>13.63</v>
      </c>
      <c r="C496" s="5">
        <v>83719850</v>
      </c>
      <c r="D496" s="4">
        <v>-1.22999999999999</v>
      </c>
      <c r="E496" s="4">
        <v>-8.2772543741587992</v>
      </c>
      <c r="F496" s="4">
        <v>-8.2772543741587992</v>
      </c>
      <c r="G496" s="4">
        <v>13.63</v>
      </c>
      <c r="H496" s="4">
        <v>-3.6749116607773802</v>
      </c>
      <c r="I496" s="4">
        <v>14.81</v>
      </c>
      <c r="J496" s="4">
        <v>14.86</v>
      </c>
      <c r="K496" s="4">
        <v>13.41</v>
      </c>
      <c r="L496" s="4">
        <v>-3.6749116607773802</v>
      </c>
    </row>
    <row r="497" spans="1:12" ht="15" customHeight="1" x14ac:dyDescent="0.2">
      <c r="A497" s="6">
        <v>45329</v>
      </c>
      <c r="B497" s="7">
        <v>14.86</v>
      </c>
      <c r="C497" s="8">
        <v>42732953</v>
      </c>
      <c r="D497" s="7">
        <v>0.08</v>
      </c>
      <c r="E497" s="7">
        <v>0.54127198917455199</v>
      </c>
      <c r="F497" s="7">
        <v>0.54127198917455199</v>
      </c>
      <c r="G497" s="7">
        <v>14.86</v>
      </c>
      <c r="H497" s="7">
        <v>5.0176678445229603</v>
      </c>
      <c r="I497" s="7">
        <v>14.83</v>
      </c>
      <c r="J497" s="7">
        <v>15</v>
      </c>
      <c r="K497" s="7">
        <v>14.77</v>
      </c>
      <c r="L497" s="7">
        <v>5.0176678445229603</v>
      </c>
    </row>
    <row r="498" spans="1:12" ht="15" customHeight="1" x14ac:dyDescent="0.2">
      <c r="A498" s="3">
        <v>45328</v>
      </c>
      <c r="B498" s="4">
        <v>14.78</v>
      </c>
      <c r="C498" s="5">
        <v>54220230</v>
      </c>
      <c r="D498" s="4">
        <v>6.9999999999998494E-2</v>
      </c>
      <c r="E498" s="4">
        <v>0.47586675730795203</v>
      </c>
      <c r="F498" s="4">
        <v>0.47586675730795203</v>
      </c>
      <c r="G498" s="4">
        <v>14.78</v>
      </c>
      <c r="H498" s="4">
        <v>4.4522968197879704</v>
      </c>
      <c r="I498" s="4">
        <v>14.61</v>
      </c>
      <c r="J498" s="4">
        <v>14.83</v>
      </c>
      <c r="K498" s="4">
        <v>14.57</v>
      </c>
      <c r="L498" s="4">
        <v>4.4522968197879704</v>
      </c>
    </row>
    <row r="499" spans="1:12" ht="15" customHeight="1" x14ac:dyDescent="0.2">
      <c r="A499" s="6">
        <v>45324</v>
      </c>
      <c r="B499" s="7">
        <v>14.71</v>
      </c>
      <c r="C499" s="8">
        <v>32597840</v>
      </c>
      <c r="D499" s="7">
        <v>0.28999999999999998</v>
      </c>
      <c r="E499" s="7">
        <v>2.0110957004160799</v>
      </c>
      <c r="F499" s="7">
        <v>2.0110957004160799</v>
      </c>
      <c r="G499" s="7">
        <v>14.71</v>
      </c>
      <c r="H499" s="7">
        <v>3.9575971731448698</v>
      </c>
      <c r="I499" s="7">
        <v>14.5</v>
      </c>
      <c r="J499" s="7">
        <v>14.75</v>
      </c>
      <c r="K499" s="7">
        <v>14.35</v>
      </c>
      <c r="L499" s="7">
        <v>3.9575971731448698</v>
      </c>
    </row>
    <row r="500" spans="1:12" ht="15" customHeight="1" x14ac:dyDescent="0.2">
      <c r="A500" s="3">
        <v>45323</v>
      </c>
      <c r="B500" s="4">
        <v>14.42</v>
      </c>
      <c r="C500" s="5">
        <v>48123113</v>
      </c>
      <c r="D500" s="4">
        <v>0.119999999999999</v>
      </c>
      <c r="E500" s="4">
        <v>0.83916083916082396</v>
      </c>
      <c r="F500" s="4">
        <v>0.83916083916082396</v>
      </c>
      <c r="G500" s="4">
        <v>14.42</v>
      </c>
      <c r="H500" s="4">
        <v>1.9081272084805601</v>
      </c>
      <c r="I500" s="4">
        <v>14.3</v>
      </c>
      <c r="J500" s="4">
        <v>14.5</v>
      </c>
      <c r="K500" s="4">
        <v>14.24</v>
      </c>
      <c r="L500" s="4">
        <v>1.9081272084805601</v>
      </c>
    </row>
    <row r="501" spans="1:12" ht="15" customHeight="1" x14ac:dyDescent="0.2">
      <c r="A501" s="6">
        <v>45322</v>
      </c>
      <c r="B501" s="7">
        <v>14.3</v>
      </c>
      <c r="C501" s="8">
        <v>57370380</v>
      </c>
      <c r="D501" s="7">
        <v>-0.08</v>
      </c>
      <c r="E501" s="7">
        <v>-0.556328233657854</v>
      </c>
      <c r="F501" s="7">
        <v>-0.556328233657854</v>
      </c>
      <c r="G501" s="7">
        <v>14.3</v>
      </c>
      <c r="H501" s="7">
        <v>1.0600706713780901</v>
      </c>
      <c r="I501" s="7">
        <v>14.31</v>
      </c>
      <c r="J501" s="7">
        <v>14.37</v>
      </c>
      <c r="K501" s="7">
        <v>14.17</v>
      </c>
      <c r="L501" s="7">
        <v>1.0600706713780901</v>
      </c>
    </row>
    <row r="502" spans="1:12" ht="15" customHeight="1" x14ac:dyDescent="0.2">
      <c r="A502" s="3">
        <v>45321</v>
      </c>
      <c r="B502" s="4">
        <v>14.38</v>
      </c>
      <c r="C502" s="5">
        <v>72339670</v>
      </c>
      <c r="D502" s="4">
        <v>9.0000000000001606E-2</v>
      </c>
      <c r="E502" s="4">
        <v>0.62981105668300497</v>
      </c>
      <c r="F502" s="4">
        <v>0.62981105668300497</v>
      </c>
      <c r="G502" s="4">
        <v>14.38</v>
      </c>
      <c r="H502" s="4">
        <v>1.62544169611307</v>
      </c>
      <c r="I502" s="4">
        <v>14.23</v>
      </c>
      <c r="J502" s="4">
        <v>14.44</v>
      </c>
      <c r="K502" s="4">
        <v>14.16</v>
      </c>
      <c r="L502" s="4">
        <v>1.62544169611307</v>
      </c>
    </row>
    <row r="503" spans="1:12" ht="15" customHeight="1" x14ac:dyDescent="0.2">
      <c r="A503" s="6">
        <v>45320</v>
      </c>
      <c r="B503" s="7">
        <v>14.29</v>
      </c>
      <c r="C503" s="8">
        <v>52885070</v>
      </c>
      <c r="D503" s="7">
        <v>0.13999999999999799</v>
      </c>
      <c r="E503" s="7">
        <v>0.98939929328620801</v>
      </c>
      <c r="F503" s="7">
        <v>0.98939929328620801</v>
      </c>
      <c r="G503" s="7">
        <v>14.29</v>
      </c>
      <c r="H503" s="7">
        <v>0.98939929328621001</v>
      </c>
      <c r="I503" s="7">
        <v>14.1</v>
      </c>
      <c r="J503" s="7">
        <v>14.33</v>
      </c>
      <c r="K503" s="7">
        <v>14.1</v>
      </c>
      <c r="L503" s="7">
        <v>0.98939929328621001</v>
      </c>
    </row>
    <row r="504" spans="1:12" ht="15" customHeight="1" x14ac:dyDescent="0.2">
      <c r="A504" s="3">
        <v>45317</v>
      </c>
      <c r="B504" s="4">
        <v>14.15</v>
      </c>
      <c r="C504" s="5">
        <v>50850754</v>
      </c>
      <c r="D504" s="4"/>
      <c r="E504" s="4"/>
      <c r="F504" s="4"/>
      <c r="G504" s="4">
        <v>14.15</v>
      </c>
      <c r="H504" s="4"/>
      <c r="I504" s="4">
        <v>13.92</v>
      </c>
      <c r="J504" s="4">
        <v>14.3</v>
      </c>
      <c r="K504" s="4">
        <v>13.92</v>
      </c>
      <c r="L504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F638-9806-435A-9ABE-1526F91B2C30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11" width="6.85546875" customWidth="1"/>
    <col min="12" max="12" width="21.140625" customWidth="1"/>
  </cols>
  <sheetData>
    <row r="1" spans="1:12" ht="15" customHeight="1" x14ac:dyDescent="0.2">
      <c r="A1" s="1" t="s">
        <v>14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486.29</v>
      </c>
      <c r="C4" s="5">
        <v>192883</v>
      </c>
      <c r="D4" s="4">
        <v>4.5300000000000296</v>
      </c>
      <c r="E4" s="4">
        <v>0.94030222517436601</v>
      </c>
      <c r="F4" s="4">
        <v>0.940300359078727</v>
      </c>
      <c r="G4" s="4">
        <v>526.43304000000001</v>
      </c>
      <c r="H4" s="4">
        <v>93.292836423719393</v>
      </c>
      <c r="I4" s="4">
        <v>481.76</v>
      </c>
      <c r="J4" s="4">
        <v>486.45</v>
      </c>
      <c r="K4" s="4">
        <v>486.29</v>
      </c>
      <c r="L4" s="4">
        <v>78.553332109417994</v>
      </c>
    </row>
    <row r="5" spans="1:12" ht="15" customHeight="1" x14ac:dyDescent="0.2">
      <c r="A5" s="6">
        <v>46045</v>
      </c>
      <c r="B5" s="7">
        <v>481.76</v>
      </c>
      <c r="C5" s="8">
        <v>1459444</v>
      </c>
      <c r="D5" s="7">
        <v>-11.1299999999999</v>
      </c>
      <c r="E5" s="7">
        <v>-2.25811032887662</v>
      </c>
      <c r="F5" s="7">
        <v>-2.2581145133634699</v>
      </c>
      <c r="G5" s="7">
        <v>521.52909999999997</v>
      </c>
      <c r="H5" s="7">
        <v>91.492234257389299</v>
      </c>
      <c r="I5" s="7">
        <v>493</v>
      </c>
      <c r="J5" s="7">
        <v>494.4</v>
      </c>
      <c r="K5" s="7">
        <v>477.51</v>
      </c>
      <c r="L5" s="7">
        <v>76.890031209840203</v>
      </c>
    </row>
    <row r="6" spans="1:12" ht="15" customHeight="1" x14ac:dyDescent="0.2">
      <c r="A6" s="3">
        <v>46044</v>
      </c>
      <c r="B6" s="4">
        <v>492.89</v>
      </c>
      <c r="C6" s="5">
        <v>850509</v>
      </c>
      <c r="D6" s="4">
        <v>8.6899999999999906</v>
      </c>
      <c r="E6" s="4">
        <v>1.7947129285419099</v>
      </c>
      <c r="F6" s="4">
        <v>1.79471554801069</v>
      </c>
      <c r="G6" s="4">
        <v>533.5779</v>
      </c>
      <c r="H6" s="4">
        <v>95.916247475674595</v>
      </c>
      <c r="I6" s="4">
        <v>486.48</v>
      </c>
      <c r="J6" s="4">
        <v>499.22</v>
      </c>
      <c r="K6" s="4">
        <v>484.98</v>
      </c>
      <c r="L6" s="4">
        <v>80.976684413438505</v>
      </c>
    </row>
    <row r="7" spans="1:12" ht="15" customHeight="1" x14ac:dyDescent="0.2">
      <c r="A7" s="6">
        <v>46043</v>
      </c>
      <c r="B7" s="7">
        <v>484.2</v>
      </c>
      <c r="C7" s="8">
        <v>764133</v>
      </c>
      <c r="D7" s="7">
        <v>10.909999999999901</v>
      </c>
      <c r="E7" s="7">
        <v>2.3051406114644202</v>
      </c>
      <c r="F7" s="7">
        <v>2.3051433182026799</v>
      </c>
      <c r="G7" s="7">
        <v>524.17052999999999</v>
      </c>
      <c r="H7" s="7">
        <v>92.462100238663396</v>
      </c>
      <c r="I7" s="7">
        <v>473.24</v>
      </c>
      <c r="J7" s="7">
        <v>489.48</v>
      </c>
      <c r="K7" s="7">
        <v>473.24</v>
      </c>
      <c r="L7" s="7">
        <v>77.785937213144805</v>
      </c>
    </row>
    <row r="8" spans="1:12" ht="15" customHeight="1" x14ac:dyDescent="0.2">
      <c r="A8" s="3">
        <v>46042</v>
      </c>
      <c r="B8" s="4">
        <v>473.29</v>
      </c>
      <c r="C8" s="5">
        <v>1387736</v>
      </c>
      <c r="D8" s="4">
        <v>16.02</v>
      </c>
      <c r="E8" s="4">
        <v>3.5034006167034799</v>
      </c>
      <c r="F8" s="4">
        <v>3.5034059305750098</v>
      </c>
      <c r="G8" s="4">
        <v>512.35990000000004</v>
      </c>
      <c r="H8" s="4">
        <v>88.125536992840097</v>
      </c>
      <c r="I8" s="4">
        <v>454.9</v>
      </c>
      <c r="J8" s="4">
        <v>479.09</v>
      </c>
      <c r="K8" s="4">
        <v>454.03</v>
      </c>
      <c r="L8" s="4">
        <v>73.780062419680505</v>
      </c>
    </row>
    <row r="9" spans="1:12" ht="15" customHeight="1" x14ac:dyDescent="0.2">
      <c r="A9" s="6">
        <v>46041</v>
      </c>
      <c r="B9" s="7">
        <v>457.27</v>
      </c>
      <c r="C9" s="8">
        <v>114331</v>
      </c>
      <c r="D9" s="7">
        <v>-6.9600000000000302</v>
      </c>
      <c r="E9" s="7">
        <v>-1.499256833897</v>
      </c>
      <c r="F9" s="7">
        <v>-1.4992617679364499</v>
      </c>
      <c r="G9" s="7">
        <v>495.01742999999999</v>
      </c>
      <c r="H9" s="7">
        <v>81.757822654672196</v>
      </c>
      <c r="I9" s="7">
        <v>461.9</v>
      </c>
      <c r="J9" s="7">
        <v>463.03</v>
      </c>
      <c r="K9" s="7">
        <v>455.11</v>
      </c>
      <c r="L9" s="7">
        <v>67.897925463557897</v>
      </c>
    </row>
    <row r="10" spans="1:12" ht="15" customHeight="1" x14ac:dyDescent="0.2">
      <c r="A10" s="3">
        <v>46038</v>
      </c>
      <c r="B10" s="4">
        <v>464.23</v>
      </c>
      <c r="C10" s="5">
        <v>1346003</v>
      </c>
      <c r="D10" s="4">
        <v>9.7100000000000293</v>
      </c>
      <c r="E10" s="4">
        <v>2.1363196338994999</v>
      </c>
      <c r="F10" s="4">
        <v>2.1363286429325798</v>
      </c>
      <c r="G10" s="4">
        <v>502.55200000000002</v>
      </c>
      <c r="H10" s="4">
        <v>84.524325316688007</v>
      </c>
      <c r="I10" s="4">
        <v>456.79</v>
      </c>
      <c r="J10" s="4">
        <v>466.03</v>
      </c>
      <c r="K10" s="4">
        <v>450.07</v>
      </c>
      <c r="L10" s="4">
        <v>70.453460620524993</v>
      </c>
    </row>
    <row r="11" spans="1:12" ht="15" customHeight="1" x14ac:dyDescent="0.2">
      <c r="A11" s="6">
        <v>46037</v>
      </c>
      <c r="B11" s="7">
        <v>454.52</v>
      </c>
      <c r="C11" s="8">
        <v>743156</v>
      </c>
      <c r="D11" s="7">
        <v>-12.4399999999999</v>
      </c>
      <c r="E11" s="7">
        <v>-2.66403974644509</v>
      </c>
      <c r="F11" s="7">
        <v>-2.66404055237023</v>
      </c>
      <c r="G11" s="7">
        <v>492.04039999999998</v>
      </c>
      <c r="H11" s="7">
        <v>80.664732880484607</v>
      </c>
      <c r="I11" s="7">
        <v>467</v>
      </c>
      <c r="J11" s="7">
        <v>468.18</v>
      </c>
      <c r="K11" s="7">
        <v>452.12</v>
      </c>
      <c r="L11" s="7">
        <v>66.888195336882603</v>
      </c>
    </row>
    <row r="12" spans="1:12" ht="15" customHeight="1" x14ac:dyDescent="0.2">
      <c r="A12" s="3">
        <v>46036</v>
      </c>
      <c r="B12" s="4">
        <v>466.96</v>
      </c>
      <c r="C12" s="5">
        <v>987840</v>
      </c>
      <c r="D12" s="4">
        <v>-6.2300000000000102</v>
      </c>
      <c r="E12" s="4">
        <v>-1.3165958705805201</v>
      </c>
      <c r="F12" s="4">
        <v>-1.31660483670478</v>
      </c>
      <c r="G12" s="4">
        <v>505.50731999999999</v>
      </c>
      <c r="H12" s="4">
        <v>85.609443730493794</v>
      </c>
      <c r="I12" s="4">
        <v>472.87</v>
      </c>
      <c r="J12" s="4">
        <v>473.9</v>
      </c>
      <c r="K12" s="4">
        <v>461.58</v>
      </c>
      <c r="L12" s="4">
        <v>71.455847255369903</v>
      </c>
    </row>
    <row r="13" spans="1:12" ht="15" customHeight="1" x14ac:dyDescent="0.2">
      <c r="A13" s="6">
        <v>46035</v>
      </c>
      <c r="B13" s="7">
        <v>473.19</v>
      </c>
      <c r="C13" s="8">
        <v>542893</v>
      </c>
      <c r="D13" s="7">
        <v>-7.1999999999999797</v>
      </c>
      <c r="E13" s="7">
        <v>-1.49878223943046</v>
      </c>
      <c r="F13" s="7">
        <v>-1.4987808770762501</v>
      </c>
      <c r="G13" s="7">
        <v>512.25165000000004</v>
      </c>
      <c r="H13" s="7">
        <v>88.085790343308204</v>
      </c>
      <c r="I13" s="7">
        <v>482.79</v>
      </c>
      <c r="J13" s="7">
        <v>486.69</v>
      </c>
      <c r="K13" s="7">
        <v>471.2</v>
      </c>
      <c r="L13" s="7">
        <v>73.743344960528702</v>
      </c>
    </row>
    <row r="14" spans="1:12" ht="15" customHeight="1" x14ac:dyDescent="0.2">
      <c r="A14" s="3">
        <v>46034</v>
      </c>
      <c r="B14" s="4">
        <v>480.39</v>
      </c>
      <c r="C14" s="5">
        <v>1214172</v>
      </c>
      <c r="D14" s="4">
        <v>1.1499999999999699</v>
      </c>
      <c r="E14" s="4">
        <v>0.23996327518569499</v>
      </c>
      <c r="F14" s="4">
        <v>0.23997640713877499</v>
      </c>
      <c r="G14" s="4">
        <v>520.04600000000005</v>
      </c>
      <c r="H14" s="4">
        <v>90.947677620708603</v>
      </c>
      <c r="I14" s="4">
        <v>479.24</v>
      </c>
      <c r="J14" s="4">
        <v>489</v>
      </c>
      <c r="K14" s="4">
        <v>476.08</v>
      </c>
      <c r="L14" s="4">
        <v>76.387002019460198</v>
      </c>
    </row>
    <row r="15" spans="1:12" ht="15" customHeight="1" x14ac:dyDescent="0.2">
      <c r="A15" s="6">
        <v>46031</v>
      </c>
      <c r="B15" s="7">
        <v>479.24</v>
      </c>
      <c r="C15" s="8">
        <v>681516</v>
      </c>
      <c r="D15" s="7">
        <v>-7.1899999999999897</v>
      </c>
      <c r="E15" s="7">
        <v>-1.47811607014369</v>
      </c>
      <c r="F15" s="7">
        <v>-1.4781290603637001</v>
      </c>
      <c r="G15" s="7">
        <v>518.80100000000004</v>
      </c>
      <c r="H15" s="7">
        <v>90.490545254268397</v>
      </c>
      <c r="I15" s="7">
        <v>486</v>
      </c>
      <c r="J15" s="7">
        <v>488.98</v>
      </c>
      <c r="K15" s="7">
        <v>470.96</v>
      </c>
      <c r="L15" s="7">
        <v>75.964751239214195</v>
      </c>
    </row>
    <row r="16" spans="1:12" ht="15" customHeight="1" x14ac:dyDescent="0.2">
      <c r="A16" s="3">
        <v>46030</v>
      </c>
      <c r="B16" s="4">
        <v>486.43</v>
      </c>
      <c r="C16" s="5">
        <v>651570</v>
      </c>
      <c r="D16" s="4">
        <v>6.3000000000000096</v>
      </c>
      <c r="E16" s="4">
        <v>1.3121446274967099</v>
      </c>
      <c r="F16" s="4">
        <v>1.3121519457369699</v>
      </c>
      <c r="G16" s="4">
        <v>526.58460000000002</v>
      </c>
      <c r="H16" s="4">
        <v>93.348485404809907</v>
      </c>
      <c r="I16" s="4">
        <v>482.53</v>
      </c>
      <c r="J16" s="4">
        <v>489</v>
      </c>
      <c r="K16" s="4">
        <v>473.32</v>
      </c>
      <c r="L16" s="4">
        <v>78.604736552230506</v>
      </c>
    </row>
    <row r="17" spans="1:12" ht="15" customHeight="1" x14ac:dyDescent="0.2">
      <c r="A17" s="6">
        <v>46029</v>
      </c>
      <c r="B17" s="7">
        <v>480.13</v>
      </c>
      <c r="C17" s="8">
        <v>792108</v>
      </c>
      <c r="D17" s="7">
        <v>1.8600000000000101</v>
      </c>
      <c r="E17" s="7">
        <v>0.38890166642273599</v>
      </c>
      <c r="F17" s="7">
        <v>0.38889350286141999</v>
      </c>
      <c r="G17" s="7">
        <v>519.7645</v>
      </c>
      <c r="H17" s="7">
        <v>90.844317973196198</v>
      </c>
      <c r="I17" s="7">
        <v>475.86</v>
      </c>
      <c r="J17" s="7">
        <v>485.17</v>
      </c>
      <c r="K17" s="7">
        <v>461.02</v>
      </c>
      <c r="L17" s="7">
        <v>76.291536625665401</v>
      </c>
    </row>
    <row r="18" spans="1:12" ht="15" customHeight="1" x14ac:dyDescent="0.2">
      <c r="A18" s="3">
        <v>46028</v>
      </c>
      <c r="B18" s="4">
        <v>478.27</v>
      </c>
      <c r="C18" s="5">
        <v>561036</v>
      </c>
      <c r="D18" s="4">
        <v>7.2299999999999596</v>
      </c>
      <c r="E18" s="4">
        <v>1.53490149456521</v>
      </c>
      <c r="F18" s="4">
        <v>1.534902758873</v>
      </c>
      <c r="G18" s="4">
        <v>517.75099999999998</v>
      </c>
      <c r="H18" s="4">
        <v>90.105011933174197</v>
      </c>
      <c r="I18" s="4">
        <v>470</v>
      </c>
      <c r="J18" s="4">
        <v>479.78</v>
      </c>
      <c r="K18" s="4">
        <v>469.42</v>
      </c>
      <c r="L18" s="4">
        <v>75.608591885441498</v>
      </c>
    </row>
    <row r="19" spans="1:12" ht="15" customHeight="1" x14ac:dyDescent="0.2">
      <c r="A19" s="6">
        <v>46027</v>
      </c>
      <c r="B19" s="7">
        <v>471.04</v>
      </c>
      <c r="C19" s="8">
        <v>484912</v>
      </c>
      <c r="D19" s="7">
        <v>4.2700000000000298</v>
      </c>
      <c r="E19" s="7">
        <v>0.91479743771023503</v>
      </c>
      <c r="F19" s="7">
        <v>0.91480407623454296</v>
      </c>
      <c r="G19" s="7">
        <v>509.92415999999997</v>
      </c>
      <c r="H19" s="7">
        <v>87.231195153295303</v>
      </c>
      <c r="I19" s="7">
        <v>468.36</v>
      </c>
      <c r="J19" s="7">
        <v>479.87</v>
      </c>
      <c r="K19" s="7">
        <v>465.18</v>
      </c>
      <c r="L19" s="7">
        <v>72.953919588764407</v>
      </c>
    </row>
    <row r="20" spans="1:12" ht="15" customHeight="1" x14ac:dyDescent="0.2">
      <c r="A20" s="3">
        <v>46024</v>
      </c>
      <c r="B20" s="4">
        <v>466.77</v>
      </c>
      <c r="C20" s="5">
        <v>244323</v>
      </c>
      <c r="D20" s="4">
        <v>-6.2900000000000196</v>
      </c>
      <c r="E20" s="4">
        <v>-1.3296410603306199</v>
      </c>
      <c r="F20" s="4">
        <v>-1.3296455904375299</v>
      </c>
      <c r="G20" s="4">
        <v>505.30164000000002</v>
      </c>
      <c r="H20" s="4">
        <v>85.533923260510306</v>
      </c>
      <c r="I20" s="4">
        <v>470.69</v>
      </c>
      <c r="J20" s="4">
        <v>478.85</v>
      </c>
      <c r="K20" s="4">
        <v>464.52</v>
      </c>
      <c r="L20" s="4">
        <v>71.386084082981398</v>
      </c>
    </row>
    <row r="21" spans="1:12" ht="15" customHeight="1" x14ac:dyDescent="0.2">
      <c r="A21" s="6">
        <v>46022</v>
      </c>
      <c r="B21" s="7">
        <v>473.06</v>
      </c>
      <c r="C21" s="8">
        <v>326897</v>
      </c>
      <c r="D21" s="7">
        <v>-0.94999999999998797</v>
      </c>
      <c r="E21" s="7">
        <v>-0.20041771270647901</v>
      </c>
      <c r="F21" s="7">
        <v>-0.20042119553724799</v>
      </c>
      <c r="G21" s="7">
        <v>512.11090000000002</v>
      </c>
      <c r="H21" s="7">
        <v>88.034110519552002</v>
      </c>
      <c r="I21" s="7">
        <v>474.41</v>
      </c>
      <c r="J21" s="7">
        <v>476.3</v>
      </c>
      <c r="K21" s="7">
        <v>468.2</v>
      </c>
      <c r="L21" s="7">
        <v>73.695612263631304</v>
      </c>
    </row>
    <row r="22" spans="1:12" ht="15" customHeight="1" x14ac:dyDescent="0.2">
      <c r="A22" s="3">
        <v>46021</v>
      </c>
      <c r="B22" s="4">
        <v>474.01</v>
      </c>
      <c r="C22" s="5">
        <v>663710</v>
      </c>
      <c r="D22" s="4">
        <v>-8.8600000000000101</v>
      </c>
      <c r="E22" s="4">
        <v>-1.8348623853210999</v>
      </c>
      <c r="F22" s="4">
        <v>-1.8348568392864599</v>
      </c>
      <c r="G22" s="4">
        <v>513.13933999999995</v>
      </c>
      <c r="H22" s="4">
        <v>88.411727556453002</v>
      </c>
      <c r="I22" s="4">
        <v>482.87</v>
      </c>
      <c r="J22" s="4">
        <v>484.94</v>
      </c>
      <c r="K22" s="4">
        <v>471.13</v>
      </c>
      <c r="L22" s="4">
        <v>74.044428125573603</v>
      </c>
    </row>
    <row r="23" spans="1:12" ht="15" customHeight="1" x14ac:dyDescent="0.2">
      <c r="A23" s="6">
        <v>46020</v>
      </c>
      <c r="B23" s="7">
        <v>482.87</v>
      </c>
      <c r="C23" s="8">
        <v>388301</v>
      </c>
      <c r="D23" s="7">
        <v>-3.8500000000000201</v>
      </c>
      <c r="E23" s="7">
        <v>-0.79100920447074896</v>
      </c>
      <c r="F23" s="7">
        <v>-0.79100623744422505</v>
      </c>
      <c r="G23" s="7">
        <v>522.73069999999996</v>
      </c>
      <c r="H23" s="7">
        <v>91.933431246557703</v>
      </c>
      <c r="I23" s="7">
        <v>490.5</v>
      </c>
      <c r="J23" s="7">
        <v>490.5</v>
      </c>
      <c r="K23" s="7">
        <v>481.84</v>
      </c>
      <c r="L23" s="7">
        <v>77.297595006425496</v>
      </c>
    </row>
    <row r="24" spans="1:12" ht="15" customHeight="1" x14ac:dyDescent="0.2">
      <c r="A24" s="3">
        <v>46017</v>
      </c>
      <c r="B24" s="4">
        <v>486.72</v>
      </c>
      <c r="C24" s="5">
        <v>64991</v>
      </c>
      <c r="D24" s="4">
        <v>1.18</v>
      </c>
      <c r="E24" s="4">
        <v>0.24302838077192501</v>
      </c>
      <c r="F24" s="4">
        <v>0.24301723779571699</v>
      </c>
      <c r="G24" s="4">
        <v>526.89850000000001</v>
      </c>
      <c r="H24" s="4">
        <v>93.463741509087498</v>
      </c>
      <c r="I24" s="4">
        <v>487.96</v>
      </c>
      <c r="J24" s="4">
        <v>490.6</v>
      </c>
      <c r="K24" s="4">
        <v>484.13</v>
      </c>
      <c r="L24" s="4">
        <v>78.711217183770799</v>
      </c>
    </row>
    <row r="25" spans="1:12" ht="15" customHeight="1" x14ac:dyDescent="0.2">
      <c r="A25" s="6">
        <v>46015</v>
      </c>
      <c r="B25" s="7">
        <v>485.54</v>
      </c>
      <c r="C25" s="8">
        <v>67369</v>
      </c>
      <c r="D25" s="7">
        <v>-0.68000000000000604</v>
      </c>
      <c r="E25" s="7">
        <v>-0.13985438690304799</v>
      </c>
      <c r="F25" s="7">
        <v>-0.13984608628164699</v>
      </c>
      <c r="G25" s="7">
        <v>525.62114999999994</v>
      </c>
      <c r="H25" s="7">
        <v>92.994731044611598</v>
      </c>
      <c r="I25" s="7">
        <v>488.65</v>
      </c>
      <c r="J25" s="7">
        <v>489</v>
      </c>
      <c r="K25" s="7">
        <v>483.4</v>
      </c>
      <c r="L25" s="7">
        <v>78.277951165779299</v>
      </c>
    </row>
    <row r="26" spans="1:12" ht="15" customHeight="1" x14ac:dyDescent="0.2">
      <c r="A26" s="3">
        <v>46014</v>
      </c>
      <c r="B26" s="4">
        <v>486.22</v>
      </c>
      <c r="C26" s="5">
        <v>717939</v>
      </c>
      <c r="D26" s="4">
        <v>4.4400000000000501</v>
      </c>
      <c r="E26" s="4">
        <v>0.92158246502553798</v>
      </c>
      <c r="F26" s="4">
        <v>0.92158633858607697</v>
      </c>
      <c r="G26" s="4">
        <v>526.35724000000005</v>
      </c>
      <c r="H26" s="4">
        <v>93.265004589682306</v>
      </c>
      <c r="I26" s="4">
        <v>484.18</v>
      </c>
      <c r="J26" s="4">
        <v>488.09</v>
      </c>
      <c r="K26" s="4">
        <v>475.89</v>
      </c>
      <c r="L26" s="4">
        <v>78.527629888011703</v>
      </c>
    </row>
    <row r="27" spans="1:12" ht="15" customHeight="1" x14ac:dyDescent="0.2">
      <c r="A27" s="6">
        <v>46013</v>
      </c>
      <c r="B27" s="7">
        <v>481.78</v>
      </c>
      <c r="C27" s="8">
        <v>515558.99999999901</v>
      </c>
      <c r="D27" s="7">
        <v>-2.0300000000000198</v>
      </c>
      <c r="E27" s="7">
        <v>-0.41958620119468798</v>
      </c>
      <c r="F27" s="7">
        <v>-0.41959086072450502</v>
      </c>
      <c r="G27" s="7">
        <v>521.55070000000001</v>
      </c>
      <c r="H27" s="7">
        <v>91.500165228566104</v>
      </c>
      <c r="I27" s="7">
        <v>484.5</v>
      </c>
      <c r="J27" s="7">
        <v>485</v>
      </c>
      <c r="K27" s="7">
        <v>470.24</v>
      </c>
      <c r="L27" s="7">
        <v>76.8973747016706</v>
      </c>
    </row>
    <row r="28" spans="1:12" ht="15" customHeight="1" x14ac:dyDescent="0.2">
      <c r="A28" s="3">
        <v>46010</v>
      </c>
      <c r="B28" s="4">
        <v>483.81</v>
      </c>
      <c r="C28" s="5">
        <v>5764950</v>
      </c>
      <c r="D28" s="4">
        <v>6.9200000000000097</v>
      </c>
      <c r="E28" s="4">
        <v>1.4510683805489799</v>
      </c>
      <c r="F28" s="4">
        <v>1.4510599466815901</v>
      </c>
      <c r="G28" s="4">
        <v>523.74829999999997</v>
      </c>
      <c r="H28" s="4">
        <v>92.307068110886703</v>
      </c>
      <c r="I28" s="4">
        <v>475.49</v>
      </c>
      <c r="J28" s="4">
        <v>485.1</v>
      </c>
      <c r="K28" s="4">
        <v>460.02</v>
      </c>
      <c r="L28" s="4">
        <v>77.642739122452696</v>
      </c>
    </row>
    <row r="29" spans="1:12" ht="15" customHeight="1" x14ac:dyDescent="0.2">
      <c r="A29" s="6">
        <v>46009</v>
      </c>
      <c r="B29" s="7">
        <v>476.89</v>
      </c>
      <c r="C29" s="8">
        <v>716443</v>
      </c>
      <c r="D29" s="7">
        <v>8.9399999999999906</v>
      </c>
      <c r="E29" s="7">
        <v>1.91046051928625</v>
      </c>
      <c r="F29" s="7">
        <v>1.9104677972581801</v>
      </c>
      <c r="G29" s="7">
        <v>516.25710000000004</v>
      </c>
      <c r="H29" s="7">
        <v>89.556489810905006</v>
      </c>
      <c r="I29" s="7">
        <v>472.48</v>
      </c>
      <c r="J29" s="7">
        <v>480.5</v>
      </c>
      <c r="K29" s="7">
        <v>465.55</v>
      </c>
      <c r="L29" s="7">
        <v>75.101890949146295</v>
      </c>
    </row>
    <row r="30" spans="1:12" ht="15" customHeight="1" x14ac:dyDescent="0.2">
      <c r="A30" s="3">
        <v>46008</v>
      </c>
      <c r="B30" s="4">
        <v>467.95</v>
      </c>
      <c r="C30" s="5">
        <v>641983</v>
      </c>
      <c r="D30" s="4">
        <v>14.43</v>
      </c>
      <c r="E30" s="4">
        <v>3.1817780913741398</v>
      </c>
      <c r="F30" s="4">
        <v>3.18178224094427</v>
      </c>
      <c r="G30" s="4">
        <v>506.57907</v>
      </c>
      <c r="H30" s="4">
        <v>86.002963098953501</v>
      </c>
      <c r="I30" s="4">
        <v>460</v>
      </c>
      <c r="J30" s="4">
        <v>473</v>
      </c>
      <c r="K30" s="4">
        <v>455.68</v>
      </c>
      <c r="L30" s="4">
        <v>71.819350100972997</v>
      </c>
    </row>
    <row r="31" spans="1:12" ht="15" customHeight="1" x14ac:dyDescent="0.2">
      <c r="A31" s="6">
        <v>46007</v>
      </c>
      <c r="B31" s="7">
        <v>453.52</v>
      </c>
      <c r="C31" s="8">
        <v>627577</v>
      </c>
      <c r="D31" s="7">
        <v>-3.9500000000000401</v>
      </c>
      <c r="E31" s="7">
        <v>-0.86344459745994995</v>
      </c>
      <c r="F31" s="7">
        <v>-0.8634484772298</v>
      </c>
      <c r="G31" s="7">
        <v>490.95785999999998</v>
      </c>
      <c r="H31" s="7">
        <v>80.267251698182406</v>
      </c>
      <c r="I31" s="7">
        <v>456.81</v>
      </c>
      <c r="J31" s="7">
        <v>456.81</v>
      </c>
      <c r="K31" s="7">
        <v>440.5</v>
      </c>
      <c r="L31" s="7">
        <v>66.521020745364396</v>
      </c>
    </row>
    <row r="32" spans="1:12" ht="15" customHeight="1" x14ac:dyDescent="0.2">
      <c r="A32" s="3">
        <v>46006</v>
      </c>
      <c r="B32" s="4">
        <v>457.47</v>
      </c>
      <c r="C32" s="5">
        <v>789504</v>
      </c>
      <c r="D32" s="4">
        <v>-10.0999999999999</v>
      </c>
      <c r="E32" s="4">
        <v>-2.1601043693992201</v>
      </c>
      <c r="F32" s="4">
        <v>-2.1601081159422701</v>
      </c>
      <c r="G32" s="4">
        <v>495.23394999999999</v>
      </c>
      <c r="H32" s="4">
        <v>81.837323297227798</v>
      </c>
      <c r="I32" s="4">
        <v>468</v>
      </c>
      <c r="J32" s="4">
        <v>471.99</v>
      </c>
      <c r="K32" s="4">
        <v>456</v>
      </c>
      <c r="L32" s="4">
        <v>67.971360381861501</v>
      </c>
    </row>
    <row r="33" spans="1:12" ht="15" customHeight="1" x14ac:dyDescent="0.2">
      <c r="A33" s="6">
        <v>46002</v>
      </c>
      <c r="B33" s="7">
        <v>467.57</v>
      </c>
      <c r="C33" s="8">
        <v>626616</v>
      </c>
      <c r="D33" s="7">
        <v>26.86</v>
      </c>
      <c r="E33" s="7">
        <v>6.0947108075605199</v>
      </c>
      <c r="F33" s="7">
        <v>6.0947147083775004</v>
      </c>
      <c r="G33" s="7">
        <v>506.16771999999997</v>
      </c>
      <c r="H33" s="7">
        <v>85.851925830732398</v>
      </c>
      <c r="I33" s="7">
        <v>438.73</v>
      </c>
      <c r="J33" s="7">
        <v>472</v>
      </c>
      <c r="K33" s="7">
        <v>438.64</v>
      </c>
      <c r="L33" s="7">
        <v>71.679823756196001</v>
      </c>
    </row>
    <row r="34" spans="1:12" ht="15" customHeight="1" x14ac:dyDescent="0.2">
      <c r="A34" s="3">
        <v>46001</v>
      </c>
      <c r="B34" s="4">
        <v>440.71</v>
      </c>
      <c r="C34" s="5">
        <v>815544</v>
      </c>
      <c r="D34" s="4">
        <v>3.6399999999999801</v>
      </c>
      <c r="E34" s="4">
        <v>0.83281854165235802</v>
      </c>
      <c r="F34" s="4">
        <v>0.83282058183966601</v>
      </c>
      <c r="G34" s="4">
        <v>477.09041999999999</v>
      </c>
      <c r="H34" s="4">
        <v>75.175480080778399</v>
      </c>
      <c r="I34" s="4">
        <v>438.71</v>
      </c>
      <c r="J34" s="4">
        <v>449.98</v>
      </c>
      <c r="K34" s="4">
        <v>433.51</v>
      </c>
      <c r="L34" s="4">
        <v>61.817514228015398</v>
      </c>
    </row>
    <row r="35" spans="1:12" ht="15" customHeight="1" x14ac:dyDescent="0.2">
      <c r="A35" s="6">
        <v>46000</v>
      </c>
      <c r="B35" s="7">
        <v>437.07</v>
      </c>
      <c r="C35" s="8">
        <v>1654815</v>
      </c>
      <c r="D35" s="7">
        <v>5.0699999999999896</v>
      </c>
      <c r="E35" s="7">
        <v>1.1736111111111101</v>
      </c>
      <c r="F35" s="7">
        <v>1.1736119337623301</v>
      </c>
      <c r="G35" s="7">
        <v>473.14992999999998</v>
      </c>
      <c r="H35" s="7">
        <v>73.7286322746465</v>
      </c>
      <c r="I35" s="7">
        <v>431.7</v>
      </c>
      <c r="J35" s="7">
        <v>448.98</v>
      </c>
      <c r="K35" s="7">
        <v>428.19</v>
      </c>
      <c r="L35" s="7">
        <v>60.480998714888898</v>
      </c>
    </row>
    <row r="36" spans="1:12" ht="15" customHeight="1" x14ac:dyDescent="0.2">
      <c r="A36" s="3">
        <v>45999</v>
      </c>
      <c r="B36" s="4">
        <v>432</v>
      </c>
      <c r="C36" s="5">
        <v>911159</v>
      </c>
      <c r="D36" s="4">
        <v>18.12</v>
      </c>
      <c r="E36" s="4">
        <v>4.3780806030733599</v>
      </c>
      <c r="F36" s="4">
        <v>4.3780765003349398</v>
      </c>
      <c r="G36" s="4">
        <v>467.66140000000001</v>
      </c>
      <c r="H36" s="4">
        <v>71.713383513860805</v>
      </c>
      <c r="I36" s="4">
        <v>414.5</v>
      </c>
      <c r="J36" s="4">
        <v>433.88</v>
      </c>
      <c r="K36" s="4">
        <v>414.45</v>
      </c>
      <c r="L36" s="4">
        <v>58.619423535891301</v>
      </c>
    </row>
    <row r="37" spans="1:12" ht="15" customHeight="1" x14ac:dyDescent="0.2">
      <c r="A37" s="6">
        <v>45996</v>
      </c>
      <c r="B37" s="7">
        <v>413.88</v>
      </c>
      <c r="C37" s="8">
        <v>701405</v>
      </c>
      <c r="D37" s="7">
        <v>-3.9200000000000101</v>
      </c>
      <c r="E37" s="7">
        <v>-0.938247965533756</v>
      </c>
      <c r="F37" s="7">
        <v>-0.93824044165725595</v>
      </c>
      <c r="G37" s="7">
        <v>448.04561999999999</v>
      </c>
      <c r="H37" s="7">
        <v>64.510967505048598</v>
      </c>
      <c r="I37" s="7">
        <v>417.99</v>
      </c>
      <c r="J37" s="7">
        <v>418.81</v>
      </c>
      <c r="K37" s="7">
        <v>411.92</v>
      </c>
      <c r="L37" s="7">
        <v>51.966219937580298</v>
      </c>
    </row>
    <row r="38" spans="1:12" ht="15" customHeight="1" x14ac:dyDescent="0.2">
      <c r="A38" s="3">
        <v>45995</v>
      </c>
      <c r="B38" s="4">
        <v>417.8</v>
      </c>
      <c r="C38" s="5">
        <v>626115</v>
      </c>
      <c r="D38" s="4">
        <v>-5.7199999999999704</v>
      </c>
      <c r="E38" s="4">
        <v>-1.35058556856818</v>
      </c>
      <c r="F38" s="4">
        <v>-1.3505891995003101</v>
      </c>
      <c r="G38" s="4">
        <v>452.28917999999999</v>
      </c>
      <c r="H38" s="4">
        <v>66.069094914631805</v>
      </c>
      <c r="I38" s="4">
        <v>421.63</v>
      </c>
      <c r="J38" s="4">
        <v>422.81</v>
      </c>
      <c r="K38" s="4">
        <v>415.43</v>
      </c>
      <c r="L38" s="4">
        <v>53.4055443363319</v>
      </c>
    </row>
    <row r="39" spans="1:12" ht="15" customHeight="1" x14ac:dyDescent="0.2">
      <c r="A39" s="6">
        <v>45994</v>
      </c>
      <c r="B39" s="7">
        <v>423.52</v>
      </c>
      <c r="C39" s="8">
        <v>489817</v>
      </c>
      <c r="D39" s="7">
        <v>-2.62</v>
      </c>
      <c r="E39" s="7">
        <v>-0.61482142019054697</v>
      </c>
      <c r="F39" s="7">
        <v>-0.61483008347609203</v>
      </c>
      <c r="G39" s="7">
        <v>458.48138</v>
      </c>
      <c r="H39" s="7">
        <v>68.342713420231306</v>
      </c>
      <c r="I39" s="7">
        <v>425.84</v>
      </c>
      <c r="J39" s="7">
        <v>429.43</v>
      </c>
      <c r="K39" s="7">
        <v>420.08</v>
      </c>
      <c r="L39" s="7">
        <v>55.505782999816397</v>
      </c>
    </row>
    <row r="40" spans="1:12" ht="15" customHeight="1" x14ac:dyDescent="0.2">
      <c r="A40" s="3">
        <v>45993</v>
      </c>
      <c r="B40" s="4">
        <v>426.14</v>
      </c>
      <c r="C40" s="5">
        <v>873710</v>
      </c>
      <c r="D40" s="4">
        <v>-8.7300000000000093</v>
      </c>
      <c r="E40" s="4">
        <v>-2.00749649320487</v>
      </c>
      <c r="F40" s="4">
        <v>-2.0074843612027302</v>
      </c>
      <c r="G40" s="4">
        <v>461.3177</v>
      </c>
      <c r="H40" s="4">
        <v>69.384138057646396</v>
      </c>
      <c r="I40" s="4">
        <v>434.57</v>
      </c>
      <c r="J40" s="4">
        <v>441.04</v>
      </c>
      <c r="K40" s="4">
        <v>422.98</v>
      </c>
      <c r="L40" s="4">
        <v>56.4677804295942</v>
      </c>
    </row>
    <row r="41" spans="1:12" ht="15" customHeight="1" x14ac:dyDescent="0.2">
      <c r="A41" s="6">
        <v>45992</v>
      </c>
      <c r="B41" s="7">
        <v>434.87</v>
      </c>
      <c r="C41" s="8">
        <v>865191</v>
      </c>
      <c r="D41" s="7">
        <v>-11.399999999999901</v>
      </c>
      <c r="E41" s="7">
        <v>-2.5545073610146201</v>
      </c>
      <c r="F41" s="7">
        <v>-2.5545105334117002</v>
      </c>
      <c r="G41" s="7">
        <v>470.76830000000001</v>
      </c>
      <c r="H41" s="7">
        <v>72.854158252248894</v>
      </c>
      <c r="I41" s="7">
        <v>448</v>
      </c>
      <c r="J41" s="7">
        <v>448</v>
      </c>
      <c r="K41" s="7">
        <v>430.02</v>
      </c>
      <c r="L41" s="7">
        <v>59.673214613548701</v>
      </c>
    </row>
    <row r="42" spans="1:12" ht="15" customHeight="1" x14ac:dyDescent="0.2">
      <c r="A42" s="3">
        <v>45989</v>
      </c>
      <c r="B42" s="4">
        <v>446.27</v>
      </c>
      <c r="C42" s="5">
        <v>884706</v>
      </c>
      <c r="D42" s="4">
        <v>8.01999999999998</v>
      </c>
      <c r="E42" s="4">
        <v>1.8300057045065501</v>
      </c>
      <c r="F42" s="4">
        <v>1.8300041477373501</v>
      </c>
      <c r="G42" s="4">
        <v>483.10937999999999</v>
      </c>
      <c r="H42" s="4">
        <v>77.385489260143103</v>
      </c>
      <c r="I42" s="4">
        <v>438.03</v>
      </c>
      <c r="J42" s="4">
        <v>450.69</v>
      </c>
      <c r="K42" s="4">
        <v>430.11</v>
      </c>
      <c r="L42" s="4">
        <v>63.8590049568569</v>
      </c>
    </row>
    <row r="43" spans="1:12" ht="15" customHeight="1" x14ac:dyDescent="0.2">
      <c r="A43" s="6">
        <v>45988</v>
      </c>
      <c r="B43" s="7">
        <v>438.25</v>
      </c>
      <c r="C43" s="8">
        <v>147654</v>
      </c>
      <c r="D43" s="7">
        <v>3.4599999999999702</v>
      </c>
      <c r="E43" s="7">
        <v>0.79578647162996596</v>
      </c>
      <c r="F43" s="7">
        <v>0.79578402161477602</v>
      </c>
      <c r="G43" s="7">
        <v>474.42734000000002</v>
      </c>
      <c r="H43" s="7">
        <v>74.197664769597907</v>
      </c>
      <c r="I43" s="7">
        <v>432.66</v>
      </c>
      <c r="J43" s="7">
        <v>439.76</v>
      </c>
      <c r="K43" s="7">
        <v>431.73</v>
      </c>
      <c r="L43" s="7">
        <v>60.914264732880397</v>
      </c>
    </row>
    <row r="44" spans="1:12" ht="15" customHeight="1" x14ac:dyDescent="0.2">
      <c r="A44" s="3">
        <v>45987</v>
      </c>
      <c r="B44" s="4">
        <v>434.79</v>
      </c>
      <c r="C44" s="5">
        <v>616359</v>
      </c>
      <c r="D44" s="4">
        <v>-0.409999999999968</v>
      </c>
      <c r="E44" s="4">
        <v>-9.4209558823521403E-2</v>
      </c>
      <c r="F44" s="4">
        <v>-9.4210549976925198E-2</v>
      </c>
      <c r="G44" s="4">
        <v>470.68173000000002</v>
      </c>
      <c r="H44" s="4">
        <v>72.8223719478612</v>
      </c>
      <c r="I44" s="4">
        <v>436.99</v>
      </c>
      <c r="J44" s="4">
        <v>440.1</v>
      </c>
      <c r="K44" s="4">
        <v>427.74</v>
      </c>
      <c r="L44" s="4">
        <v>59.643840646227197</v>
      </c>
    </row>
    <row r="45" spans="1:12" ht="15" customHeight="1" x14ac:dyDescent="0.2">
      <c r="A45" s="6">
        <v>45986</v>
      </c>
      <c r="B45" s="7">
        <v>435.2</v>
      </c>
      <c r="C45" s="8">
        <v>832902</v>
      </c>
      <c r="D45" s="7">
        <v>7.9499999999999797</v>
      </c>
      <c r="E45" s="7">
        <v>1.86073727325921</v>
      </c>
      <c r="F45" s="7">
        <v>1.8607352445298899</v>
      </c>
      <c r="G45" s="7">
        <v>471.12558000000001</v>
      </c>
      <c r="H45" s="7">
        <v>72.985342390306499</v>
      </c>
      <c r="I45" s="7">
        <v>425.29</v>
      </c>
      <c r="J45" s="7">
        <v>436.58</v>
      </c>
      <c r="K45" s="7">
        <v>416.09</v>
      </c>
      <c r="L45" s="7">
        <v>59.794382228749697</v>
      </c>
    </row>
    <row r="46" spans="1:12" ht="15" customHeight="1" x14ac:dyDescent="0.2">
      <c r="A46" s="3">
        <v>45985</v>
      </c>
      <c r="B46" s="4">
        <v>427.25</v>
      </c>
      <c r="C46" s="5">
        <v>2843410</v>
      </c>
      <c r="D46" s="4">
        <v>11.11</v>
      </c>
      <c r="E46" s="4">
        <v>2.6697745950881901</v>
      </c>
      <c r="F46" s="4">
        <v>2.6697731947412202</v>
      </c>
      <c r="G46" s="4">
        <v>462.51931999999999</v>
      </c>
      <c r="H46" s="4">
        <v>69.825342390306503</v>
      </c>
      <c r="I46" s="4">
        <v>413.73</v>
      </c>
      <c r="J46" s="4">
        <v>429.55</v>
      </c>
      <c r="K46" s="4">
        <v>413.26</v>
      </c>
      <c r="L46" s="4">
        <v>56.8753442261795</v>
      </c>
    </row>
    <row r="47" spans="1:12" ht="15" customHeight="1" x14ac:dyDescent="0.2">
      <c r="A47" s="6">
        <v>45982</v>
      </c>
      <c r="B47" s="7">
        <v>416.14</v>
      </c>
      <c r="C47" s="8">
        <v>883045</v>
      </c>
      <c r="D47" s="7">
        <v>9.1299999999999901</v>
      </c>
      <c r="E47" s="7">
        <v>2.2431881280558099</v>
      </c>
      <c r="F47" s="7">
        <v>2.24318857928575</v>
      </c>
      <c r="G47" s="7">
        <v>450.49220000000003</v>
      </c>
      <c r="H47" s="7">
        <v>65.409289517165405</v>
      </c>
      <c r="I47" s="7">
        <v>408.1</v>
      </c>
      <c r="J47" s="7">
        <v>421.38</v>
      </c>
      <c r="K47" s="7">
        <v>408.05</v>
      </c>
      <c r="L47" s="7">
        <v>52.796034514411502</v>
      </c>
    </row>
    <row r="48" spans="1:12" ht="15" customHeight="1" x14ac:dyDescent="0.2">
      <c r="A48" s="3">
        <v>45981</v>
      </c>
      <c r="B48" s="4">
        <v>407.01</v>
      </c>
      <c r="C48" s="5">
        <v>434344</v>
      </c>
      <c r="D48" s="4">
        <v>1.99</v>
      </c>
      <c r="E48" s="4">
        <v>0.49133376129573098</v>
      </c>
      <c r="F48" s="4">
        <v>0.49133978001170098</v>
      </c>
      <c r="G48" s="4">
        <v>440.60852</v>
      </c>
      <c r="H48" s="4">
        <v>61.780253350468101</v>
      </c>
      <c r="I48" s="4">
        <v>405.02</v>
      </c>
      <c r="J48" s="4">
        <v>415</v>
      </c>
      <c r="K48" s="4">
        <v>404.5</v>
      </c>
      <c r="L48" s="4">
        <v>49.443730493849799</v>
      </c>
    </row>
    <row r="49" spans="1:12" ht="15" customHeight="1" x14ac:dyDescent="0.2">
      <c r="A49" s="6">
        <v>45980</v>
      </c>
      <c r="B49" s="7">
        <v>405.02</v>
      </c>
      <c r="C49" s="8">
        <v>497577</v>
      </c>
      <c r="D49" s="7">
        <v>1.2899999999999601</v>
      </c>
      <c r="E49" s="7">
        <v>0.31952047160230801</v>
      </c>
      <c r="F49" s="7">
        <v>0.31951842335522501</v>
      </c>
      <c r="G49" s="7">
        <v>438.45422000000002</v>
      </c>
      <c r="H49" s="7">
        <v>60.989249127960299</v>
      </c>
      <c r="I49" s="7">
        <v>401.71</v>
      </c>
      <c r="J49" s="7">
        <v>406.69</v>
      </c>
      <c r="K49" s="7">
        <v>398.02</v>
      </c>
      <c r="L49" s="7">
        <v>48.713053056728398</v>
      </c>
    </row>
    <row r="50" spans="1:12" ht="15" customHeight="1" x14ac:dyDescent="0.2">
      <c r="A50" s="3">
        <v>45979</v>
      </c>
      <c r="B50" s="4">
        <v>403.73</v>
      </c>
      <c r="C50" s="5">
        <v>1625546</v>
      </c>
      <c r="D50" s="4">
        <v>-1.97999999999996</v>
      </c>
      <c r="E50" s="4">
        <v>-0.48803332429566598</v>
      </c>
      <c r="F50" s="4">
        <v>-0.488029209940399</v>
      </c>
      <c r="G50" s="4">
        <v>437.05774000000002</v>
      </c>
      <c r="H50" s="4">
        <v>60.476497154396903</v>
      </c>
      <c r="I50" s="4">
        <v>406.01</v>
      </c>
      <c r="J50" s="4">
        <v>412.64</v>
      </c>
      <c r="K50" s="4">
        <v>401.6</v>
      </c>
      <c r="L50" s="4">
        <v>48.239397833669898</v>
      </c>
    </row>
    <row r="51" spans="1:12" ht="15" customHeight="1" x14ac:dyDescent="0.2">
      <c r="A51" s="6">
        <v>45975</v>
      </c>
      <c r="B51" s="7">
        <v>405.71</v>
      </c>
      <c r="C51" s="8">
        <v>627643</v>
      </c>
      <c r="D51" s="7">
        <v>9.3499999999999606</v>
      </c>
      <c r="E51" s="7">
        <v>2.35896659602381</v>
      </c>
      <c r="F51" s="7">
        <v>2.3589622758587598</v>
      </c>
      <c r="G51" s="7">
        <v>439.20116999999999</v>
      </c>
      <c r="H51" s="7">
        <v>61.263510189094902</v>
      </c>
      <c r="I51" s="7">
        <v>398.19</v>
      </c>
      <c r="J51" s="7">
        <v>408.69</v>
      </c>
      <c r="K51" s="7">
        <v>396.07</v>
      </c>
      <c r="L51" s="7">
        <v>48.966403524876</v>
      </c>
    </row>
    <row r="52" spans="1:12" ht="15" customHeight="1" x14ac:dyDescent="0.2">
      <c r="A52" s="3">
        <v>45974</v>
      </c>
      <c r="B52" s="4">
        <v>396.36</v>
      </c>
      <c r="C52" s="5">
        <v>391372</v>
      </c>
      <c r="D52" s="4">
        <v>-0.56000000000000205</v>
      </c>
      <c r="E52" s="4">
        <v>-0.141086365010578</v>
      </c>
      <c r="F52" s="4">
        <v>-0.141086884972974</v>
      </c>
      <c r="G52" s="4">
        <v>429.07934999999998</v>
      </c>
      <c r="H52" s="4">
        <v>57.547035065173397</v>
      </c>
      <c r="I52" s="4">
        <v>397.9</v>
      </c>
      <c r="J52" s="4">
        <v>405.77</v>
      </c>
      <c r="K52" s="4">
        <v>394.21</v>
      </c>
      <c r="L52" s="4">
        <v>45.533321094180202</v>
      </c>
    </row>
    <row r="53" spans="1:12" ht="15" customHeight="1" x14ac:dyDescent="0.2">
      <c r="A53" s="6">
        <v>45973</v>
      </c>
      <c r="B53" s="7">
        <v>396.92</v>
      </c>
      <c r="C53" s="8">
        <v>594833</v>
      </c>
      <c r="D53" s="7">
        <v>-0.81999999999999296</v>
      </c>
      <c r="E53" s="7">
        <v>-0.206164831296828</v>
      </c>
      <c r="F53" s="7">
        <v>-0.20615772591905299</v>
      </c>
      <c r="G53" s="7">
        <v>429.68558000000002</v>
      </c>
      <c r="H53" s="7">
        <v>57.769627317789599</v>
      </c>
      <c r="I53" s="7">
        <v>399.67</v>
      </c>
      <c r="J53" s="7">
        <v>405.84</v>
      </c>
      <c r="K53" s="7">
        <v>393.49</v>
      </c>
      <c r="L53" s="7">
        <v>45.738938865430498</v>
      </c>
    </row>
    <row r="54" spans="1:12" ht="15" customHeight="1" x14ac:dyDescent="0.2">
      <c r="A54" s="3">
        <v>45972</v>
      </c>
      <c r="B54" s="4">
        <v>397.74</v>
      </c>
      <c r="C54" s="5">
        <v>582011</v>
      </c>
      <c r="D54" s="4">
        <v>4</v>
      </c>
      <c r="E54" s="4">
        <v>1.0158988164778699</v>
      </c>
      <c r="F54" s="4">
        <v>1.01589928600358</v>
      </c>
      <c r="G54" s="4">
        <v>430.57324</v>
      </c>
      <c r="H54" s="4">
        <v>58.0955535156967</v>
      </c>
      <c r="I54" s="4">
        <v>395.46</v>
      </c>
      <c r="J54" s="4">
        <v>401.96</v>
      </c>
      <c r="K54" s="4">
        <v>392.75</v>
      </c>
      <c r="L54" s="4">
        <v>46.040022030475399</v>
      </c>
    </row>
    <row r="55" spans="1:12" ht="15" customHeight="1" x14ac:dyDescent="0.2">
      <c r="A55" s="6">
        <v>45971</v>
      </c>
      <c r="B55" s="7">
        <v>393.74</v>
      </c>
      <c r="C55" s="8">
        <v>474670</v>
      </c>
      <c r="D55" s="7">
        <v>-4.6599999999999602</v>
      </c>
      <c r="E55" s="7">
        <v>-1.1696787148594301</v>
      </c>
      <c r="F55" s="7">
        <v>-1.16968543623138</v>
      </c>
      <c r="G55" s="7">
        <v>426.24304000000001</v>
      </c>
      <c r="H55" s="7">
        <v>56.505614099504299</v>
      </c>
      <c r="I55" s="7">
        <v>397.15</v>
      </c>
      <c r="J55" s="7">
        <v>398.53</v>
      </c>
      <c r="K55" s="7">
        <v>392.53</v>
      </c>
      <c r="L55" s="7">
        <v>44.571323664402399</v>
      </c>
    </row>
    <row r="56" spans="1:12" ht="15" customHeight="1" x14ac:dyDescent="0.2">
      <c r="A56" s="3">
        <v>45968</v>
      </c>
      <c r="B56" s="4">
        <v>398.4</v>
      </c>
      <c r="C56" s="5">
        <v>439165</v>
      </c>
      <c r="D56" s="4">
        <v>-4.9600000000000302</v>
      </c>
      <c r="E56" s="4">
        <v>-1.2296707655692201</v>
      </c>
      <c r="F56" s="4">
        <v>-1.22966491080405</v>
      </c>
      <c r="G56" s="4">
        <v>431.28775000000002</v>
      </c>
      <c r="H56" s="4">
        <v>58.357903433082399</v>
      </c>
      <c r="I56" s="4">
        <v>403</v>
      </c>
      <c r="J56" s="4">
        <v>408.93</v>
      </c>
      <c r="K56" s="4">
        <v>396.5</v>
      </c>
      <c r="L56" s="4">
        <v>46.282357260877497</v>
      </c>
    </row>
    <row r="57" spans="1:12" ht="15" customHeight="1" x14ac:dyDescent="0.2">
      <c r="A57" s="6">
        <v>45967</v>
      </c>
      <c r="B57" s="7">
        <v>403.36</v>
      </c>
      <c r="C57" s="8">
        <v>589835</v>
      </c>
      <c r="D57" s="7">
        <v>-1.0899999999999701</v>
      </c>
      <c r="E57" s="7">
        <v>-0.269501792557791</v>
      </c>
      <c r="F57" s="7">
        <v>-0.269513417315836</v>
      </c>
      <c r="G57" s="7">
        <v>436.65717000000001</v>
      </c>
      <c r="H57" s="7">
        <v>60.3294180282724</v>
      </c>
      <c r="I57" s="7">
        <v>405</v>
      </c>
      <c r="J57" s="7">
        <v>410.37</v>
      </c>
      <c r="K57" s="7">
        <v>402.22</v>
      </c>
      <c r="L57" s="7">
        <v>48.1035432348081</v>
      </c>
    </row>
    <row r="58" spans="1:12" ht="15" customHeight="1" x14ac:dyDescent="0.2">
      <c r="A58" s="3">
        <v>45966</v>
      </c>
      <c r="B58" s="4">
        <v>404.45</v>
      </c>
      <c r="C58" s="5">
        <v>2007497</v>
      </c>
      <c r="D58" s="4">
        <v>7.5699999999999896</v>
      </c>
      <c r="E58" s="4">
        <v>1.90737754484981</v>
      </c>
      <c r="F58" s="4">
        <v>1.9073844852369899</v>
      </c>
      <c r="G58" s="4">
        <v>437.8372</v>
      </c>
      <c r="H58" s="4">
        <v>60.762695061501702</v>
      </c>
      <c r="I58" s="4">
        <v>392.5</v>
      </c>
      <c r="J58" s="4">
        <v>414.66</v>
      </c>
      <c r="K58" s="4">
        <v>392.5</v>
      </c>
      <c r="L58" s="4">
        <v>48.503763539563003</v>
      </c>
    </row>
    <row r="59" spans="1:12" ht="15" customHeight="1" x14ac:dyDescent="0.2">
      <c r="A59" s="6">
        <v>45965</v>
      </c>
      <c r="B59" s="7">
        <v>396.88</v>
      </c>
      <c r="C59" s="8">
        <v>869957</v>
      </c>
      <c r="D59" s="7">
        <v>3.5699999999999901</v>
      </c>
      <c r="E59" s="7">
        <v>0.90768096412499</v>
      </c>
      <c r="F59" s="7">
        <v>0.90768287553717397</v>
      </c>
      <c r="G59" s="7">
        <v>429.64227</v>
      </c>
      <c r="H59" s="7">
        <v>57.7537249862309</v>
      </c>
      <c r="I59" s="7">
        <v>392.99</v>
      </c>
      <c r="J59" s="7">
        <v>404.48</v>
      </c>
      <c r="K59" s="7">
        <v>386.01</v>
      </c>
      <c r="L59" s="7">
        <v>45.724251881769703</v>
      </c>
    </row>
    <row r="60" spans="1:12" ht="15" customHeight="1" x14ac:dyDescent="0.2">
      <c r="A60" s="3">
        <v>45964</v>
      </c>
      <c r="B60" s="4">
        <v>393.31</v>
      </c>
      <c r="C60" s="5">
        <v>2090708</v>
      </c>
      <c r="D60" s="4">
        <v>6.0400000000000196</v>
      </c>
      <c r="E60" s="4">
        <v>1.55963539649339</v>
      </c>
      <c r="F60" s="4">
        <v>1.55963800596294</v>
      </c>
      <c r="G60" s="4">
        <v>425.77755999999999</v>
      </c>
      <c r="H60" s="4">
        <v>56.3347016706443</v>
      </c>
      <c r="I60" s="4">
        <v>394</v>
      </c>
      <c r="J60" s="4">
        <v>394.79</v>
      </c>
      <c r="K60" s="4">
        <v>382.5</v>
      </c>
      <c r="L60" s="4">
        <v>44.413438590049502</v>
      </c>
    </row>
    <row r="61" spans="1:12" ht="15" customHeight="1" x14ac:dyDescent="0.2">
      <c r="A61" s="6">
        <v>45961</v>
      </c>
      <c r="B61" s="7">
        <v>387.27</v>
      </c>
      <c r="C61" s="8">
        <v>799703</v>
      </c>
      <c r="D61" s="7">
        <v>1.16999999999995</v>
      </c>
      <c r="E61" s="7">
        <v>0.30303030303029299</v>
      </c>
      <c r="F61" s="7">
        <v>0.30302720002694999</v>
      </c>
      <c r="G61" s="7">
        <v>419.23894999999999</v>
      </c>
      <c r="H61" s="7">
        <v>53.933890214797103</v>
      </c>
      <c r="I61" s="7">
        <v>385.01</v>
      </c>
      <c r="J61" s="7">
        <v>392.27</v>
      </c>
      <c r="K61" s="7">
        <v>383.15</v>
      </c>
      <c r="L61" s="7">
        <v>42.195704057279201</v>
      </c>
    </row>
    <row r="62" spans="1:12" ht="15" customHeight="1" x14ac:dyDescent="0.2">
      <c r="A62" s="3">
        <v>45960</v>
      </c>
      <c r="B62" s="4">
        <v>386.1</v>
      </c>
      <c r="C62" s="5">
        <v>1364400</v>
      </c>
      <c r="D62" s="4">
        <v>-12.6299999999999</v>
      </c>
      <c r="E62" s="4">
        <v>-3.1675569934542098</v>
      </c>
      <c r="F62" s="4">
        <v>-3.1675613061659398</v>
      </c>
      <c r="G62" s="4">
        <v>417.97237999999999</v>
      </c>
      <c r="H62" s="4">
        <v>53.468837892417802</v>
      </c>
      <c r="I62" s="4">
        <v>401.98</v>
      </c>
      <c r="J62" s="4">
        <v>401.98</v>
      </c>
      <c r="K62" s="4">
        <v>384.91</v>
      </c>
      <c r="L62" s="4">
        <v>41.766109785202801</v>
      </c>
    </row>
    <row r="63" spans="1:12" ht="15" customHeight="1" x14ac:dyDescent="0.2">
      <c r="A63" s="6">
        <v>45959</v>
      </c>
      <c r="B63" s="7">
        <v>398.73</v>
      </c>
      <c r="C63" s="8">
        <v>230741</v>
      </c>
      <c r="D63" s="7">
        <v>2.4600000000000302</v>
      </c>
      <c r="E63" s="7">
        <v>0.62078885608298695</v>
      </c>
      <c r="F63" s="7">
        <v>0.62079542283719402</v>
      </c>
      <c r="G63" s="7">
        <v>431.64499999999998</v>
      </c>
      <c r="H63" s="7">
        <v>58.489076555902301</v>
      </c>
      <c r="I63" s="7">
        <v>397.15</v>
      </c>
      <c r="J63" s="7">
        <v>400.98</v>
      </c>
      <c r="K63" s="7">
        <v>394.47</v>
      </c>
      <c r="L63" s="7">
        <v>46.4035248760785</v>
      </c>
    </row>
    <row r="64" spans="1:12" ht="15" customHeight="1" x14ac:dyDescent="0.2">
      <c r="A64" s="3">
        <v>45958</v>
      </c>
      <c r="B64" s="4">
        <v>396.27</v>
      </c>
      <c r="C64" s="5">
        <v>433444</v>
      </c>
      <c r="D64" s="4">
        <v>-2.25</v>
      </c>
      <c r="E64" s="4">
        <v>-0.56458897922312401</v>
      </c>
      <c r="F64" s="4">
        <v>-0.56458749727032997</v>
      </c>
      <c r="G64" s="4">
        <v>428.9819</v>
      </c>
      <c r="H64" s="4">
        <v>57.511253901229999</v>
      </c>
      <c r="I64" s="4">
        <v>404.99</v>
      </c>
      <c r="J64" s="4">
        <v>404.99</v>
      </c>
      <c r="K64" s="4">
        <v>394.95</v>
      </c>
      <c r="L64" s="4">
        <v>45.500275380943599</v>
      </c>
    </row>
    <row r="65" spans="1:12" ht="15" customHeight="1" x14ac:dyDescent="0.2">
      <c r="A65" s="6">
        <v>45957</v>
      </c>
      <c r="B65" s="7">
        <v>398.52</v>
      </c>
      <c r="C65" s="8">
        <v>1129668</v>
      </c>
      <c r="D65" s="7">
        <v>-1.74</v>
      </c>
      <c r="E65" s="7">
        <v>-0.43471743366811899</v>
      </c>
      <c r="F65" s="7">
        <v>-0.43472521314845602</v>
      </c>
      <c r="G65" s="7">
        <v>431.41762999999997</v>
      </c>
      <c r="H65" s="7">
        <v>58.405592069028799</v>
      </c>
      <c r="I65" s="7">
        <v>400.26</v>
      </c>
      <c r="J65" s="7">
        <v>401.46</v>
      </c>
      <c r="K65" s="7">
        <v>395.5</v>
      </c>
      <c r="L65" s="7">
        <v>46.326418211859703</v>
      </c>
    </row>
    <row r="66" spans="1:12" ht="15" customHeight="1" x14ac:dyDescent="0.2">
      <c r="A66" s="3">
        <v>45954</v>
      </c>
      <c r="B66" s="4">
        <v>400.26</v>
      </c>
      <c r="C66" s="5">
        <v>761029</v>
      </c>
      <c r="D66" s="4">
        <v>2.3299999999999801</v>
      </c>
      <c r="E66" s="4">
        <v>0.58553011836253099</v>
      </c>
      <c r="F66" s="4">
        <v>0.58553699457863895</v>
      </c>
      <c r="G66" s="4">
        <v>433.30130000000003</v>
      </c>
      <c r="H66" s="4">
        <v>59.097227831833997</v>
      </c>
      <c r="I66" s="4">
        <v>398.32</v>
      </c>
      <c r="J66" s="4">
        <v>401.96</v>
      </c>
      <c r="K66" s="4">
        <v>396.01</v>
      </c>
      <c r="L66" s="4">
        <v>46.965302001101499</v>
      </c>
    </row>
    <row r="67" spans="1:12" ht="15" customHeight="1" x14ac:dyDescent="0.2">
      <c r="A67" s="6">
        <v>45953</v>
      </c>
      <c r="B67" s="7">
        <v>397.93</v>
      </c>
      <c r="C67" s="8">
        <v>762040</v>
      </c>
      <c r="D67" s="7">
        <v>-0.50999999999999002</v>
      </c>
      <c r="E67" s="7">
        <v>-0.127999196867778</v>
      </c>
      <c r="F67" s="7">
        <v>-0.12800376879893399</v>
      </c>
      <c r="G67" s="7">
        <v>430.77893</v>
      </c>
      <c r="H67" s="7">
        <v>58.171077657425997</v>
      </c>
      <c r="I67" s="7">
        <v>398.07</v>
      </c>
      <c r="J67" s="7">
        <v>402.71</v>
      </c>
      <c r="K67" s="7">
        <v>393.4</v>
      </c>
      <c r="L67" s="7">
        <v>46.109785202863897</v>
      </c>
    </row>
    <row r="68" spans="1:12" ht="15" customHeight="1" x14ac:dyDescent="0.2">
      <c r="A68" s="3">
        <v>45952</v>
      </c>
      <c r="B68" s="4">
        <v>398.44</v>
      </c>
      <c r="C68" s="5">
        <v>1270356</v>
      </c>
      <c r="D68" s="4">
        <v>10.4499999999999</v>
      </c>
      <c r="E68" s="4">
        <v>2.6933683857831299</v>
      </c>
      <c r="F68" s="4">
        <v>2.6933700999765602</v>
      </c>
      <c r="G68" s="4">
        <v>431.33105</v>
      </c>
      <c r="H68" s="4">
        <v>58.373802092895097</v>
      </c>
      <c r="I68" s="4">
        <v>387.82</v>
      </c>
      <c r="J68" s="4">
        <v>400.49</v>
      </c>
      <c r="K68" s="4">
        <v>387</v>
      </c>
      <c r="L68" s="4">
        <v>46.297044244538199</v>
      </c>
    </row>
    <row r="69" spans="1:12" ht="15" customHeight="1" x14ac:dyDescent="0.2">
      <c r="A69" s="6">
        <v>45951</v>
      </c>
      <c r="B69" s="7">
        <v>387.99</v>
      </c>
      <c r="C69" s="8">
        <v>627398</v>
      </c>
      <c r="D69" s="7">
        <v>-16.2699999999999</v>
      </c>
      <c r="E69" s="7">
        <v>-4.0246376094592504</v>
      </c>
      <c r="F69" s="7">
        <v>-4.0246417362552798</v>
      </c>
      <c r="G69" s="7">
        <v>420.01839999999999</v>
      </c>
      <c r="H69" s="7">
        <v>54.220084450156001</v>
      </c>
      <c r="I69" s="7">
        <v>403.62</v>
      </c>
      <c r="J69" s="7">
        <v>403.62</v>
      </c>
      <c r="K69" s="7">
        <v>387.02</v>
      </c>
      <c r="L69" s="7">
        <v>42.460069763172299</v>
      </c>
    </row>
    <row r="70" spans="1:12" ht="15" customHeight="1" x14ac:dyDescent="0.2">
      <c r="A70" s="3">
        <v>45950</v>
      </c>
      <c r="B70" s="4">
        <v>404.26</v>
      </c>
      <c r="C70" s="5">
        <v>435126</v>
      </c>
      <c r="D70" s="4">
        <v>-4.6399999999999801</v>
      </c>
      <c r="E70" s="4">
        <v>-1.1347517730496399</v>
      </c>
      <c r="F70" s="4">
        <v>-1.13474504382085</v>
      </c>
      <c r="G70" s="4">
        <v>437.63150000000002</v>
      </c>
      <c r="H70" s="4">
        <v>60.687167248026398</v>
      </c>
      <c r="I70" s="4">
        <v>410.89</v>
      </c>
      <c r="J70" s="4">
        <v>413.44</v>
      </c>
      <c r="K70" s="4">
        <v>402.5</v>
      </c>
      <c r="L70" s="4">
        <v>48.434000367174498</v>
      </c>
    </row>
    <row r="71" spans="1:12" ht="15" customHeight="1" x14ac:dyDescent="0.2">
      <c r="A71" s="6">
        <v>45947</v>
      </c>
      <c r="B71" s="7">
        <v>408.9</v>
      </c>
      <c r="C71" s="8">
        <v>1373917</v>
      </c>
      <c r="D71" s="7">
        <v>-1.25</v>
      </c>
      <c r="E71" s="7">
        <v>-0.30476654882359799</v>
      </c>
      <c r="F71" s="7">
        <v>-0.304769489357958</v>
      </c>
      <c r="G71" s="7">
        <v>442.65449999999998</v>
      </c>
      <c r="H71" s="7">
        <v>62.531485221222603</v>
      </c>
      <c r="I71" s="7">
        <v>408.09</v>
      </c>
      <c r="J71" s="7">
        <v>413.25</v>
      </c>
      <c r="K71" s="7">
        <v>402.48</v>
      </c>
      <c r="L71" s="7">
        <v>50.137690471819297</v>
      </c>
    </row>
    <row r="72" spans="1:12" ht="15" customHeight="1" x14ac:dyDescent="0.2">
      <c r="A72" s="3">
        <v>45946</v>
      </c>
      <c r="B72" s="4">
        <v>410.15</v>
      </c>
      <c r="C72" s="5">
        <v>749781</v>
      </c>
      <c r="D72" s="4">
        <v>-7.6500000000000297</v>
      </c>
      <c r="E72" s="4">
        <v>-1.83101962661561</v>
      </c>
      <c r="F72" s="4">
        <v>-1.8310143965858201</v>
      </c>
      <c r="G72" s="4">
        <v>444.0077</v>
      </c>
      <c r="H72" s="4">
        <v>63.028345878465103</v>
      </c>
      <c r="I72" s="4">
        <v>419.88</v>
      </c>
      <c r="J72" s="4">
        <v>420.98</v>
      </c>
      <c r="K72" s="4">
        <v>408.43</v>
      </c>
      <c r="L72" s="4">
        <v>50.596658711217103</v>
      </c>
    </row>
    <row r="73" spans="1:12" ht="15" customHeight="1" x14ac:dyDescent="0.2">
      <c r="A73" s="6">
        <v>45945</v>
      </c>
      <c r="B73" s="7">
        <v>417.8</v>
      </c>
      <c r="C73" s="8">
        <v>848990</v>
      </c>
      <c r="D73" s="7">
        <v>4.9700000000000202</v>
      </c>
      <c r="E73" s="7">
        <v>1.2038853765472499</v>
      </c>
      <c r="F73" s="7">
        <v>1.20387835606958</v>
      </c>
      <c r="G73" s="7">
        <v>452.28917999999999</v>
      </c>
      <c r="H73" s="7">
        <v>66.069094914631805</v>
      </c>
      <c r="I73" s="7">
        <v>416.4</v>
      </c>
      <c r="J73" s="7">
        <v>419.77</v>
      </c>
      <c r="K73" s="7">
        <v>411.33</v>
      </c>
      <c r="L73" s="7">
        <v>53.4055443363319</v>
      </c>
    </row>
    <row r="74" spans="1:12" ht="15" customHeight="1" x14ac:dyDescent="0.2">
      <c r="A74" s="3">
        <v>45944</v>
      </c>
      <c r="B74" s="4">
        <v>412.83</v>
      </c>
      <c r="C74" s="5">
        <v>1017249</v>
      </c>
      <c r="D74" s="4">
        <v>2.1099999999999501</v>
      </c>
      <c r="E74" s="4">
        <v>0.51373198285935495</v>
      </c>
      <c r="F74" s="4">
        <v>0.51373207376035301</v>
      </c>
      <c r="G74" s="4">
        <v>446.90893999999997</v>
      </c>
      <c r="H74" s="4">
        <v>64.093607490361606</v>
      </c>
      <c r="I74" s="4">
        <v>412.59</v>
      </c>
      <c r="J74" s="4">
        <v>415.5</v>
      </c>
      <c r="K74" s="4">
        <v>408.48</v>
      </c>
      <c r="L74" s="4">
        <v>51.580686616486098</v>
      </c>
    </row>
    <row r="75" spans="1:12" ht="15" customHeight="1" x14ac:dyDescent="0.2">
      <c r="A75" s="6">
        <v>45943</v>
      </c>
      <c r="B75" s="7">
        <v>410.72</v>
      </c>
      <c r="C75" s="8">
        <v>1404926</v>
      </c>
      <c r="D75" s="7">
        <v>-8.17999999999995</v>
      </c>
      <c r="E75" s="7">
        <v>-1.9527333492480099</v>
      </c>
      <c r="F75" s="7">
        <v>-1.9527299991179401</v>
      </c>
      <c r="G75" s="7">
        <v>444.62475999999998</v>
      </c>
      <c r="H75" s="7">
        <v>63.254914631907397</v>
      </c>
      <c r="I75" s="7">
        <v>420.99</v>
      </c>
      <c r="J75" s="7">
        <v>421.18</v>
      </c>
      <c r="K75" s="7">
        <v>410.01</v>
      </c>
      <c r="L75" s="7">
        <v>50.805948228382498</v>
      </c>
    </row>
    <row r="76" spans="1:12" ht="15" customHeight="1" x14ac:dyDescent="0.2">
      <c r="A76" s="3">
        <v>45940</v>
      </c>
      <c r="B76" s="4">
        <v>418.9</v>
      </c>
      <c r="C76" s="5">
        <v>1955515</v>
      </c>
      <c r="D76" s="4">
        <v>2.23999999999995</v>
      </c>
      <c r="E76" s="4">
        <v>0.53760860173761504</v>
      </c>
      <c r="F76" s="4">
        <v>0.53760615942488599</v>
      </c>
      <c r="G76" s="4">
        <v>453.48</v>
      </c>
      <c r="H76" s="4">
        <v>66.506333761703601</v>
      </c>
      <c r="I76" s="4">
        <v>418.69</v>
      </c>
      <c r="J76" s="4">
        <v>423.69</v>
      </c>
      <c r="K76" s="4">
        <v>414.83</v>
      </c>
      <c r="L76" s="4">
        <v>53.809436387002002</v>
      </c>
    </row>
    <row r="77" spans="1:12" ht="15" customHeight="1" x14ac:dyDescent="0.2">
      <c r="A77" s="6">
        <v>45939</v>
      </c>
      <c r="B77" s="7">
        <v>416.66</v>
      </c>
      <c r="C77" s="8">
        <v>664712</v>
      </c>
      <c r="D77" s="7">
        <v>-6.1199999999999397</v>
      </c>
      <c r="E77" s="7">
        <v>-1.44756137944083</v>
      </c>
      <c r="F77" s="7">
        <v>-1.4475606662554601</v>
      </c>
      <c r="G77" s="7">
        <v>451.05509999999998</v>
      </c>
      <c r="H77" s="7">
        <v>65.615972094731006</v>
      </c>
      <c r="I77" s="7">
        <v>420.66</v>
      </c>
      <c r="J77" s="7">
        <v>424.47</v>
      </c>
      <c r="K77" s="7">
        <v>414.3</v>
      </c>
      <c r="L77" s="7">
        <v>52.986965302001003</v>
      </c>
    </row>
    <row r="78" spans="1:12" ht="15" customHeight="1" x14ac:dyDescent="0.2">
      <c r="A78" s="3">
        <v>45938</v>
      </c>
      <c r="B78" s="4">
        <v>422.78</v>
      </c>
      <c r="C78" s="5">
        <v>1209595</v>
      </c>
      <c r="D78" s="4">
        <v>-0.35000000000002202</v>
      </c>
      <c r="E78" s="4">
        <v>-8.2716895516754499E-2</v>
      </c>
      <c r="F78" s="4">
        <v>-8.2718565635186897E-2</v>
      </c>
      <c r="G78" s="4">
        <v>457.68029999999999</v>
      </c>
      <c r="H78" s="4">
        <v>68.048577198457807</v>
      </c>
      <c r="I78" s="4">
        <v>425</v>
      </c>
      <c r="J78" s="4">
        <v>428.86</v>
      </c>
      <c r="K78" s="4">
        <v>421</v>
      </c>
      <c r="L78" s="4">
        <v>55.234073802092801</v>
      </c>
    </row>
    <row r="79" spans="1:12" ht="15" customHeight="1" x14ac:dyDescent="0.2">
      <c r="A79" s="6">
        <v>45937</v>
      </c>
      <c r="B79" s="7">
        <v>423.13</v>
      </c>
      <c r="C79" s="8">
        <v>512900.99999999901</v>
      </c>
      <c r="D79" s="7">
        <v>4.99</v>
      </c>
      <c r="E79" s="7">
        <v>1.1933802075859701</v>
      </c>
      <c r="F79" s="7">
        <v>1.1933752090157199</v>
      </c>
      <c r="G79" s="7">
        <v>458.05919999999998</v>
      </c>
      <c r="H79" s="7">
        <v>68.187699651184104</v>
      </c>
      <c r="I79" s="7">
        <v>418</v>
      </c>
      <c r="J79" s="7">
        <v>430</v>
      </c>
      <c r="K79" s="7">
        <v>418</v>
      </c>
      <c r="L79" s="7">
        <v>55.362584909124202</v>
      </c>
    </row>
    <row r="80" spans="1:12" ht="15" customHeight="1" x14ac:dyDescent="0.2">
      <c r="A80" s="3">
        <v>45936</v>
      </c>
      <c r="B80" s="4">
        <v>418.14</v>
      </c>
      <c r="C80" s="5">
        <v>454595</v>
      </c>
      <c r="D80" s="4">
        <v>-4.4000000000000297</v>
      </c>
      <c r="E80" s="4">
        <v>-1.0413215316893201</v>
      </c>
      <c r="F80" s="4">
        <v>-1.0413175622867801</v>
      </c>
      <c r="G80" s="4">
        <v>452.65730000000002</v>
      </c>
      <c r="H80" s="4">
        <v>66.204259225261595</v>
      </c>
      <c r="I80" s="4">
        <v>424.66</v>
      </c>
      <c r="J80" s="4">
        <v>428.5</v>
      </c>
      <c r="K80" s="4">
        <v>412.27</v>
      </c>
      <c r="L80" s="4">
        <v>53.530383697448102</v>
      </c>
    </row>
    <row r="81" spans="1:12" ht="15" customHeight="1" x14ac:dyDescent="0.2">
      <c r="A81" s="6">
        <v>45933</v>
      </c>
      <c r="B81" s="7">
        <v>422.54</v>
      </c>
      <c r="C81" s="8">
        <v>366742</v>
      </c>
      <c r="D81" s="7">
        <v>-6.5499999999999501</v>
      </c>
      <c r="E81" s="7">
        <v>-1.5264862849285601</v>
      </c>
      <c r="F81" s="7">
        <v>-1.5264863366050101</v>
      </c>
      <c r="G81" s="7">
        <v>457.4205</v>
      </c>
      <c r="H81" s="7">
        <v>67.953185239581401</v>
      </c>
      <c r="I81" s="7">
        <v>430</v>
      </c>
      <c r="J81" s="7">
        <v>431</v>
      </c>
      <c r="K81" s="7">
        <v>417.98</v>
      </c>
      <c r="L81" s="7">
        <v>55.145951900128502</v>
      </c>
    </row>
    <row r="82" spans="1:12" ht="15" customHeight="1" x14ac:dyDescent="0.2">
      <c r="A82" s="3">
        <v>45932</v>
      </c>
      <c r="B82" s="4">
        <v>429.09</v>
      </c>
      <c r="C82" s="5">
        <v>790229</v>
      </c>
      <c r="D82" s="4">
        <v>0.27999999999997199</v>
      </c>
      <c r="E82" s="4">
        <v>6.5296984678520006E-2</v>
      </c>
      <c r="F82" s="4">
        <v>6.53004589084238E-2</v>
      </c>
      <c r="G82" s="4">
        <v>464.51119999999997</v>
      </c>
      <c r="H82" s="4">
        <v>70.556710115659897</v>
      </c>
      <c r="I82" s="4">
        <v>428.81</v>
      </c>
      <c r="J82" s="4">
        <v>431.6</v>
      </c>
      <c r="K82" s="4">
        <v>423.08</v>
      </c>
      <c r="L82" s="4">
        <v>57.550945474573098</v>
      </c>
    </row>
    <row r="83" spans="1:12" ht="15" customHeight="1" x14ac:dyDescent="0.2">
      <c r="A83" s="6">
        <v>45931</v>
      </c>
      <c r="B83" s="7">
        <v>428.81</v>
      </c>
      <c r="C83" s="8">
        <v>1126869</v>
      </c>
      <c r="D83" s="7">
        <v>-4.0899999999999697</v>
      </c>
      <c r="E83" s="7">
        <v>-0.94479094479093995</v>
      </c>
      <c r="F83" s="7">
        <v>-0.94479144461251297</v>
      </c>
      <c r="G83" s="7">
        <v>464.20807000000002</v>
      </c>
      <c r="H83" s="7">
        <v>70.445408481732997</v>
      </c>
      <c r="I83" s="7">
        <v>431.31</v>
      </c>
      <c r="J83" s="7">
        <v>439.98</v>
      </c>
      <c r="K83" s="7">
        <v>423.29</v>
      </c>
      <c r="L83" s="7">
        <v>57.448136588948003</v>
      </c>
    </row>
    <row r="84" spans="1:12" ht="15" customHeight="1" x14ac:dyDescent="0.2">
      <c r="A84" s="3">
        <v>45930</v>
      </c>
      <c r="B84" s="4">
        <v>432.9</v>
      </c>
      <c r="C84" s="5">
        <v>2269748</v>
      </c>
      <c r="D84" s="4">
        <v>-13.14</v>
      </c>
      <c r="E84" s="4">
        <v>-2.94592413236481</v>
      </c>
      <c r="F84" s="4">
        <v>-2.9459239150694501</v>
      </c>
      <c r="G84" s="4">
        <v>468.63569999999999</v>
      </c>
      <c r="H84" s="4">
        <v>72.071121718377</v>
      </c>
      <c r="I84" s="4">
        <v>448.27</v>
      </c>
      <c r="J84" s="4">
        <v>455.6</v>
      </c>
      <c r="K84" s="4">
        <v>427.11</v>
      </c>
      <c r="L84" s="4">
        <v>58.949880668257698</v>
      </c>
    </row>
    <row r="85" spans="1:12" ht="15" customHeight="1" x14ac:dyDescent="0.2">
      <c r="A85" s="6">
        <v>45929</v>
      </c>
      <c r="B85" s="7">
        <v>446.04</v>
      </c>
      <c r="C85" s="8">
        <v>916422</v>
      </c>
      <c r="D85" s="7">
        <v>-9.9199999999999502</v>
      </c>
      <c r="E85" s="7">
        <v>-2.17562944117903</v>
      </c>
      <c r="F85" s="7">
        <v>-2.1756311242742798</v>
      </c>
      <c r="G85" s="7">
        <v>482.86040000000003</v>
      </c>
      <c r="H85" s="7">
        <v>77.294070130346896</v>
      </c>
      <c r="I85" s="7">
        <v>455.96</v>
      </c>
      <c r="J85" s="7">
        <v>459.38</v>
      </c>
      <c r="K85" s="7">
        <v>444.53</v>
      </c>
      <c r="L85" s="7">
        <v>63.774554800807699</v>
      </c>
    </row>
    <row r="86" spans="1:12" ht="15" customHeight="1" x14ac:dyDescent="0.2">
      <c r="A86" s="3">
        <v>45926</v>
      </c>
      <c r="B86" s="4">
        <v>455.96</v>
      </c>
      <c r="C86" s="5">
        <v>333943</v>
      </c>
      <c r="D86" s="4">
        <v>-2.3500000000000201</v>
      </c>
      <c r="E86" s="4">
        <v>-0.51275337653553499</v>
      </c>
      <c r="F86" s="4">
        <v>-0.51275107464924197</v>
      </c>
      <c r="G86" s="4">
        <v>493.59930000000003</v>
      </c>
      <c r="H86" s="4">
        <v>81.237121351202404</v>
      </c>
      <c r="I86" s="4">
        <v>459.64</v>
      </c>
      <c r="J86" s="4">
        <v>464.27</v>
      </c>
      <c r="K86" s="4">
        <v>449.45</v>
      </c>
      <c r="L86" s="4">
        <v>67.416926748668899</v>
      </c>
    </row>
    <row r="87" spans="1:12" ht="15" customHeight="1" x14ac:dyDescent="0.2">
      <c r="A87" s="6">
        <v>45925</v>
      </c>
      <c r="B87" s="7">
        <v>458.31</v>
      </c>
      <c r="C87" s="8">
        <v>292414</v>
      </c>
      <c r="D87" s="7">
        <v>5.1600000000000197</v>
      </c>
      <c r="E87" s="7">
        <v>1.1386957960940201</v>
      </c>
      <c r="F87" s="7">
        <v>1.1386925736347</v>
      </c>
      <c r="G87" s="7">
        <v>496.14328</v>
      </c>
      <c r="H87" s="7">
        <v>82.171206168533104</v>
      </c>
      <c r="I87" s="7">
        <v>454.02</v>
      </c>
      <c r="J87" s="7">
        <v>462.31</v>
      </c>
      <c r="K87" s="7">
        <v>450.81</v>
      </c>
      <c r="L87" s="7">
        <v>68.279787038736899</v>
      </c>
    </row>
    <row r="88" spans="1:12" ht="15" customHeight="1" x14ac:dyDescent="0.2">
      <c r="A88" s="3">
        <v>45924</v>
      </c>
      <c r="B88" s="4">
        <v>453.15</v>
      </c>
      <c r="C88" s="5">
        <v>828300</v>
      </c>
      <c r="D88" s="4">
        <v>-14.33</v>
      </c>
      <c r="E88" s="4">
        <v>-3.0653717806109402</v>
      </c>
      <c r="F88" s="4">
        <v>-3.0653726593073101</v>
      </c>
      <c r="G88" s="4">
        <v>490.55734000000001</v>
      </c>
      <c r="H88" s="4">
        <v>80.120190930787501</v>
      </c>
      <c r="I88" s="4">
        <v>465.14</v>
      </c>
      <c r="J88" s="4">
        <v>465.31</v>
      </c>
      <c r="K88" s="4">
        <v>445.58</v>
      </c>
      <c r="L88" s="4">
        <v>66.385166146502598</v>
      </c>
    </row>
    <row r="89" spans="1:12" ht="15" customHeight="1" x14ac:dyDescent="0.2">
      <c r="A89" s="6">
        <v>45923</v>
      </c>
      <c r="B89" s="7">
        <v>467.48</v>
      </c>
      <c r="C89" s="8">
        <v>275022</v>
      </c>
      <c r="D89" s="7">
        <v>0.170000000000015</v>
      </c>
      <c r="E89" s="7">
        <v>3.6378421176519397E-2</v>
      </c>
      <c r="F89" s="7">
        <v>3.6381697916554302E-2</v>
      </c>
      <c r="G89" s="7">
        <v>506.07028000000003</v>
      </c>
      <c r="H89" s="7">
        <v>85.816148338534902</v>
      </c>
      <c r="I89" s="7">
        <v>469.59</v>
      </c>
      <c r="J89" s="7">
        <v>469.97</v>
      </c>
      <c r="K89" s="7">
        <v>460.51</v>
      </c>
      <c r="L89" s="7">
        <v>71.646778042959397</v>
      </c>
    </row>
    <row r="90" spans="1:12" ht="15" customHeight="1" x14ac:dyDescent="0.2">
      <c r="A90" s="3">
        <v>45922</v>
      </c>
      <c r="B90" s="4">
        <v>467.31</v>
      </c>
      <c r="C90" s="5">
        <v>384633</v>
      </c>
      <c r="D90" s="4">
        <v>5.74</v>
      </c>
      <c r="E90" s="4">
        <v>1.2435816885846001</v>
      </c>
      <c r="F90" s="4">
        <v>1.2435767417381101</v>
      </c>
      <c r="G90" s="4">
        <v>505.88623000000001</v>
      </c>
      <c r="H90" s="4">
        <v>85.748569854965993</v>
      </c>
      <c r="I90" s="4">
        <v>463.87</v>
      </c>
      <c r="J90" s="4">
        <v>469.99</v>
      </c>
      <c r="K90" s="4">
        <v>458</v>
      </c>
      <c r="L90" s="4">
        <v>71.584358362401304</v>
      </c>
    </row>
    <row r="91" spans="1:12" ht="15" customHeight="1" x14ac:dyDescent="0.2">
      <c r="A91" s="6">
        <v>45919</v>
      </c>
      <c r="B91" s="7">
        <v>461.57</v>
      </c>
      <c r="C91" s="8">
        <v>1400720</v>
      </c>
      <c r="D91" s="7">
        <v>-0.87000000000000399</v>
      </c>
      <c r="E91" s="7">
        <v>-0.18813251448837001</v>
      </c>
      <c r="F91" s="7">
        <v>-0.188130888728443</v>
      </c>
      <c r="G91" s="7">
        <v>499.67241999999999</v>
      </c>
      <c r="H91" s="7">
        <v>83.4670167064439</v>
      </c>
      <c r="I91" s="7">
        <v>460.11</v>
      </c>
      <c r="J91" s="7">
        <v>468.52</v>
      </c>
      <c r="K91" s="7">
        <v>456.39</v>
      </c>
      <c r="L91" s="7">
        <v>69.476776207086402</v>
      </c>
    </row>
    <row r="92" spans="1:12" ht="15" customHeight="1" x14ac:dyDescent="0.2">
      <c r="A92" s="3">
        <v>45918</v>
      </c>
      <c r="B92" s="4">
        <v>462.44</v>
      </c>
      <c r="C92" s="5">
        <v>442058</v>
      </c>
      <c r="D92" s="4">
        <v>4.7799999999999701</v>
      </c>
      <c r="E92" s="4">
        <v>1.0444434733207899</v>
      </c>
      <c r="F92" s="4">
        <v>1.04444408202784</v>
      </c>
      <c r="G92" s="4">
        <v>500.61423000000002</v>
      </c>
      <c r="H92" s="4">
        <v>83.8128254084817</v>
      </c>
      <c r="I92" s="4">
        <v>459.95</v>
      </c>
      <c r="J92" s="4">
        <v>465.22</v>
      </c>
      <c r="K92" s="4">
        <v>450.21</v>
      </c>
      <c r="L92" s="4">
        <v>69.796218101707296</v>
      </c>
    </row>
    <row r="93" spans="1:12" ht="15" customHeight="1" x14ac:dyDescent="0.2">
      <c r="A93" s="6">
        <v>45917</v>
      </c>
      <c r="B93" s="7">
        <v>457.66</v>
      </c>
      <c r="C93" s="8">
        <v>1047428</v>
      </c>
      <c r="D93" s="7">
        <v>-3.1099999999999501</v>
      </c>
      <c r="E93" s="7">
        <v>-0.67495713696636905</v>
      </c>
      <c r="F93" s="7">
        <v>-0.67495729856056297</v>
      </c>
      <c r="G93" s="7">
        <v>495.43964</v>
      </c>
      <c r="H93" s="7">
        <v>81.912847438957201</v>
      </c>
      <c r="I93" s="7">
        <v>460.77</v>
      </c>
      <c r="J93" s="7">
        <v>470</v>
      </c>
      <c r="K93" s="7">
        <v>449.62</v>
      </c>
      <c r="L93" s="7">
        <v>68.041123554250007</v>
      </c>
    </row>
    <row r="94" spans="1:12" ht="15" customHeight="1" x14ac:dyDescent="0.2">
      <c r="A94" s="3">
        <v>45915</v>
      </c>
      <c r="B94" s="4">
        <v>460.77</v>
      </c>
      <c r="C94" s="5">
        <v>572772</v>
      </c>
      <c r="D94" s="4">
        <v>-10.17</v>
      </c>
      <c r="E94" s="4">
        <v>-2.15951076570264</v>
      </c>
      <c r="F94" s="4">
        <v>-2.15951091364549</v>
      </c>
      <c r="G94" s="4">
        <v>498.80637000000002</v>
      </c>
      <c r="H94" s="4">
        <v>83.149025151459497</v>
      </c>
      <c r="I94" s="4">
        <v>473.24</v>
      </c>
      <c r="J94" s="4">
        <v>473.3</v>
      </c>
      <c r="K94" s="4">
        <v>458.87</v>
      </c>
      <c r="L94" s="4">
        <v>69.1830365338718</v>
      </c>
    </row>
    <row r="95" spans="1:12" ht="15" customHeight="1" x14ac:dyDescent="0.2">
      <c r="A95" s="6">
        <v>45912</v>
      </c>
      <c r="B95" s="7">
        <v>470.94</v>
      </c>
      <c r="C95" s="8">
        <v>710278</v>
      </c>
      <c r="D95" s="7">
        <v>-4.0599999999999996</v>
      </c>
      <c r="E95" s="7">
        <v>-0.85473684210526302</v>
      </c>
      <c r="F95" s="7">
        <v>-0.85473851923759603</v>
      </c>
      <c r="G95" s="7">
        <v>509.8159</v>
      </c>
      <c r="H95" s="7">
        <v>87.191444832017595</v>
      </c>
      <c r="I95" s="7">
        <v>473.03</v>
      </c>
      <c r="J95" s="7">
        <v>478.76</v>
      </c>
      <c r="K95" s="7">
        <v>468.96</v>
      </c>
      <c r="L95" s="7">
        <v>72.917202129612605</v>
      </c>
    </row>
    <row r="96" spans="1:12" ht="15" customHeight="1" x14ac:dyDescent="0.2">
      <c r="A96" s="3">
        <v>45911</v>
      </c>
      <c r="B96" s="4">
        <v>475</v>
      </c>
      <c r="C96" s="5">
        <v>659105</v>
      </c>
      <c r="D96" s="4">
        <v>16.16</v>
      </c>
      <c r="E96" s="4">
        <v>3.52192485397959</v>
      </c>
      <c r="F96" s="4">
        <v>3.5219287021037</v>
      </c>
      <c r="G96" s="4">
        <v>514.21105999999997</v>
      </c>
      <c r="H96" s="4">
        <v>88.805235909675005</v>
      </c>
      <c r="I96" s="4">
        <v>462</v>
      </c>
      <c r="J96" s="4">
        <v>478.58</v>
      </c>
      <c r="K96" s="4">
        <v>459.13</v>
      </c>
      <c r="L96" s="4">
        <v>74.407930971176697</v>
      </c>
    </row>
    <row r="97" spans="1:12" ht="15" customHeight="1" x14ac:dyDescent="0.2">
      <c r="A97" s="6">
        <v>45910</v>
      </c>
      <c r="B97" s="7">
        <v>458.84</v>
      </c>
      <c r="C97" s="8">
        <v>402007</v>
      </c>
      <c r="D97" s="7">
        <v>-10.74</v>
      </c>
      <c r="E97" s="7">
        <v>-2.28715021934494</v>
      </c>
      <c r="F97" s="7">
        <v>-2.2871459382984098</v>
      </c>
      <c r="G97" s="7">
        <v>496.71704</v>
      </c>
      <c r="H97" s="7">
        <v>82.381876262162606</v>
      </c>
      <c r="I97" s="7">
        <v>466</v>
      </c>
      <c r="J97" s="7">
        <v>471</v>
      </c>
      <c r="K97" s="7">
        <v>457.05</v>
      </c>
      <c r="L97" s="7">
        <v>68.474389572241506</v>
      </c>
    </row>
    <row r="98" spans="1:12" ht="15" customHeight="1" x14ac:dyDescent="0.2">
      <c r="A98" s="3">
        <v>45909</v>
      </c>
      <c r="B98" s="4">
        <v>469.58</v>
      </c>
      <c r="C98" s="5">
        <v>575765</v>
      </c>
      <c r="D98" s="4">
        <v>0.94999999999998797</v>
      </c>
      <c r="E98" s="4">
        <v>0.20271856261868601</v>
      </c>
      <c r="F98" s="4">
        <v>0.20271025970794901</v>
      </c>
      <c r="G98" s="4">
        <v>508.34359999999998</v>
      </c>
      <c r="H98" s="4">
        <v>86.650853680925195</v>
      </c>
      <c r="I98" s="4">
        <v>466.22</v>
      </c>
      <c r="J98" s="4">
        <v>471.99</v>
      </c>
      <c r="K98" s="4">
        <v>461.27</v>
      </c>
      <c r="L98" s="4">
        <v>72.417844685147699</v>
      </c>
    </row>
    <row r="99" spans="1:12" ht="15" customHeight="1" x14ac:dyDescent="0.2">
      <c r="A99" s="6">
        <v>45908</v>
      </c>
      <c r="B99" s="7">
        <v>468.63</v>
      </c>
      <c r="C99" s="8">
        <v>235490</v>
      </c>
      <c r="D99" s="7">
        <v>2.2400000000000002</v>
      </c>
      <c r="E99" s="7">
        <v>0.48028474023886703</v>
      </c>
      <c r="F99" s="7">
        <v>0.48028252948086803</v>
      </c>
      <c r="G99" s="7">
        <v>507.31522000000001</v>
      </c>
      <c r="H99" s="7">
        <v>86.273258674499701</v>
      </c>
      <c r="I99" s="7">
        <v>466.39</v>
      </c>
      <c r="J99" s="7">
        <v>469.85</v>
      </c>
      <c r="K99" s="7">
        <v>460.04</v>
      </c>
      <c r="L99" s="7">
        <v>72.0690288232054</v>
      </c>
    </row>
    <row r="100" spans="1:12" ht="15" customHeight="1" x14ac:dyDescent="0.2">
      <c r="A100" s="3">
        <v>45905</v>
      </c>
      <c r="B100" s="4">
        <v>466.39</v>
      </c>
      <c r="C100" s="5">
        <v>375824</v>
      </c>
      <c r="D100" s="4">
        <v>4.5</v>
      </c>
      <c r="E100" s="4">
        <v>0.97425794020220502</v>
      </c>
      <c r="F100" s="4">
        <v>0.97426130931907995</v>
      </c>
      <c r="G100" s="4">
        <v>504.89031999999997</v>
      </c>
      <c r="H100" s="4">
        <v>85.382897007527006</v>
      </c>
      <c r="I100" s="4">
        <v>461.89</v>
      </c>
      <c r="J100" s="4">
        <v>468.05</v>
      </c>
      <c r="K100" s="4">
        <v>459.17</v>
      </c>
      <c r="L100" s="4">
        <v>71.246557738204501</v>
      </c>
    </row>
    <row r="101" spans="1:12" ht="15" customHeight="1" x14ac:dyDescent="0.2">
      <c r="A101" s="6">
        <v>45904</v>
      </c>
      <c r="B101" s="7">
        <v>461.89</v>
      </c>
      <c r="C101" s="8">
        <v>417487</v>
      </c>
      <c r="D101" s="7">
        <v>9.2799999999999692</v>
      </c>
      <c r="E101" s="7">
        <v>2.0503303064448302</v>
      </c>
      <c r="F101" s="7">
        <v>2.0503344318637899</v>
      </c>
      <c r="G101" s="7">
        <v>500.01882999999998</v>
      </c>
      <c r="H101" s="7">
        <v>83.594209656691703</v>
      </c>
      <c r="I101" s="7">
        <v>452.35</v>
      </c>
      <c r="J101" s="7">
        <v>463.47</v>
      </c>
      <c r="K101" s="7">
        <v>447.08</v>
      </c>
      <c r="L101" s="7">
        <v>69.594272076372206</v>
      </c>
    </row>
    <row r="102" spans="1:12" ht="15" customHeight="1" x14ac:dyDescent="0.2">
      <c r="A102" s="3">
        <v>45903</v>
      </c>
      <c r="B102" s="4">
        <v>452.61</v>
      </c>
      <c r="C102" s="5">
        <v>941405</v>
      </c>
      <c r="D102" s="4">
        <v>-2.1899999999999902</v>
      </c>
      <c r="E102" s="4">
        <v>-0.48153034300791803</v>
      </c>
      <c r="F102" s="4">
        <v>-0.481531655721534</v>
      </c>
      <c r="G102" s="4">
        <v>489.97275000000002</v>
      </c>
      <c r="H102" s="4">
        <v>79.9055443363319</v>
      </c>
      <c r="I102" s="4">
        <v>455.8</v>
      </c>
      <c r="J102" s="4">
        <v>457.83</v>
      </c>
      <c r="K102" s="4">
        <v>450.01</v>
      </c>
      <c r="L102" s="4">
        <v>66.186891867082707</v>
      </c>
    </row>
    <row r="103" spans="1:12" ht="15" customHeight="1" x14ac:dyDescent="0.2">
      <c r="A103" s="6">
        <v>45902</v>
      </c>
      <c r="B103" s="7">
        <v>454.8</v>
      </c>
      <c r="C103" s="8">
        <v>1176097</v>
      </c>
      <c r="D103" s="7">
        <v>-0.30000000000001098</v>
      </c>
      <c r="E103" s="7">
        <v>-6.5919578114703697E-2</v>
      </c>
      <c r="F103" s="7">
        <v>-6.5918590662306098E-2</v>
      </c>
      <c r="G103" s="7">
        <v>492.34354000000002</v>
      </c>
      <c r="H103" s="7">
        <v>80.776038186157507</v>
      </c>
      <c r="I103" s="7">
        <v>457.97</v>
      </c>
      <c r="J103" s="7">
        <v>457.98</v>
      </c>
      <c r="K103" s="7">
        <v>444.45</v>
      </c>
      <c r="L103" s="7">
        <v>66.991004222507797</v>
      </c>
    </row>
    <row r="104" spans="1:12" ht="15" customHeight="1" x14ac:dyDescent="0.2">
      <c r="A104" s="3">
        <v>45901</v>
      </c>
      <c r="B104" s="4">
        <v>455.1</v>
      </c>
      <c r="C104" s="5">
        <v>177854</v>
      </c>
      <c r="D104" s="4">
        <v>6.24</v>
      </c>
      <c r="E104" s="4">
        <v>1.3901884774762701</v>
      </c>
      <c r="F104" s="4">
        <v>1.3901907332498999</v>
      </c>
      <c r="G104" s="4">
        <v>492.66829999999999</v>
      </c>
      <c r="H104" s="4">
        <v>80.8952818064989</v>
      </c>
      <c r="I104" s="4">
        <v>450.05</v>
      </c>
      <c r="J104" s="4">
        <v>466</v>
      </c>
      <c r="K104" s="4">
        <v>445.01</v>
      </c>
      <c r="L104" s="4">
        <v>67.101156599963204</v>
      </c>
    </row>
    <row r="105" spans="1:12" ht="15" customHeight="1" x14ac:dyDescent="0.2">
      <c r="A105" s="6">
        <v>45898</v>
      </c>
      <c r="B105" s="7">
        <v>448.86</v>
      </c>
      <c r="C105" s="8">
        <v>661841</v>
      </c>
      <c r="D105" s="7">
        <v>-8.4499999999999797</v>
      </c>
      <c r="E105" s="7">
        <v>-1.8477619120508999</v>
      </c>
      <c r="F105" s="7">
        <v>-1.8477632027084701</v>
      </c>
      <c r="G105" s="7">
        <v>485.91318000000001</v>
      </c>
      <c r="H105" s="7">
        <v>78.414973379842095</v>
      </c>
      <c r="I105" s="7">
        <v>465</v>
      </c>
      <c r="J105" s="7">
        <v>465.05</v>
      </c>
      <c r="K105" s="7">
        <v>447.16</v>
      </c>
      <c r="L105" s="7">
        <v>64.809987148889206</v>
      </c>
    </row>
    <row r="106" spans="1:12" ht="15" customHeight="1" x14ac:dyDescent="0.2">
      <c r="A106" s="3">
        <v>45897</v>
      </c>
      <c r="B106" s="4">
        <v>457.31</v>
      </c>
      <c r="C106" s="5">
        <v>792335</v>
      </c>
      <c r="D106" s="4">
        <v>3.79000000000002</v>
      </c>
      <c r="E106" s="4">
        <v>0.835685306050448</v>
      </c>
      <c r="F106" s="4">
        <v>0.83568679397454304</v>
      </c>
      <c r="G106" s="4">
        <v>495.06072999999998</v>
      </c>
      <c r="H106" s="4">
        <v>81.773721314485002</v>
      </c>
      <c r="I106" s="4">
        <v>453.5</v>
      </c>
      <c r="J106" s="4">
        <v>463.92</v>
      </c>
      <c r="K106" s="4">
        <v>452</v>
      </c>
      <c r="L106" s="4">
        <v>67.912612447218606</v>
      </c>
    </row>
    <row r="107" spans="1:12" ht="15" customHeight="1" x14ac:dyDescent="0.2">
      <c r="A107" s="6">
        <v>45896</v>
      </c>
      <c r="B107" s="7">
        <v>453.52</v>
      </c>
      <c r="C107" s="8">
        <v>333651</v>
      </c>
      <c r="D107" s="7">
        <v>4.18</v>
      </c>
      <c r="E107" s="7">
        <v>0.93025326033737699</v>
      </c>
      <c r="F107" s="7">
        <v>0.93024765618718797</v>
      </c>
      <c r="G107" s="7">
        <v>490.95785999999998</v>
      </c>
      <c r="H107" s="7">
        <v>80.267251698182406</v>
      </c>
      <c r="I107" s="7">
        <v>449.51</v>
      </c>
      <c r="J107" s="7">
        <v>465.99</v>
      </c>
      <c r="K107" s="7">
        <v>445.26</v>
      </c>
      <c r="L107" s="7">
        <v>66.521020745364396</v>
      </c>
    </row>
    <row r="108" spans="1:12" ht="15" customHeight="1" x14ac:dyDescent="0.2">
      <c r="A108" s="3">
        <v>45895</v>
      </c>
      <c r="B108" s="4">
        <v>449.34</v>
      </c>
      <c r="C108" s="5">
        <v>1589651</v>
      </c>
      <c r="D108" s="4">
        <v>-6.2900000000000196</v>
      </c>
      <c r="E108" s="4">
        <v>-1.38050611241578</v>
      </c>
      <c r="F108" s="4">
        <v>-1.3805067357697101</v>
      </c>
      <c r="G108" s="4">
        <v>486.43283000000002</v>
      </c>
      <c r="H108" s="4">
        <v>78.605775656324496</v>
      </c>
      <c r="I108" s="4">
        <v>459</v>
      </c>
      <c r="J108" s="4">
        <v>459.07</v>
      </c>
      <c r="K108" s="4">
        <v>445.01</v>
      </c>
      <c r="L108" s="4">
        <v>64.986230952818005</v>
      </c>
    </row>
    <row r="109" spans="1:12" ht="15" customHeight="1" x14ac:dyDescent="0.2">
      <c r="A109" s="6">
        <v>45894</v>
      </c>
      <c r="B109" s="7">
        <v>455.63</v>
      </c>
      <c r="C109" s="8">
        <v>532871</v>
      </c>
      <c r="D109" s="7">
        <v>-3.4200000000000101</v>
      </c>
      <c r="E109" s="7">
        <v>-0.74501688269251698</v>
      </c>
      <c r="F109" s="7">
        <v>-0.74501296795050898</v>
      </c>
      <c r="G109" s="7">
        <v>493.24207000000001</v>
      </c>
      <c r="H109" s="7">
        <v>81.105955571874404</v>
      </c>
      <c r="I109" s="7">
        <v>459</v>
      </c>
      <c r="J109" s="7">
        <v>461.02</v>
      </c>
      <c r="K109" s="7">
        <v>452.71</v>
      </c>
      <c r="L109" s="7">
        <v>67.295759133467897</v>
      </c>
    </row>
    <row r="110" spans="1:12" ht="15" customHeight="1" x14ac:dyDescent="0.2">
      <c r="A110" s="3">
        <v>45891</v>
      </c>
      <c r="B110" s="4">
        <v>459.05</v>
      </c>
      <c r="C110" s="5">
        <v>205820</v>
      </c>
      <c r="D110" s="4">
        <v>-6.0899999999999697</v>
      </c>
      <c r="E110" s="4">
        <v>-1.3092832265554299</v>
      </c>
      <c r="F110" s="4">
        <v>-1.3092838640886699</v>
      </c>
      <c r="G110" s="4">
        <v>496.94436999999999</v>
      </c>
      <c r="H110" s="4">
        <v>82.465346062052404</v>
      </c>
      <c r="I110" s="4">
        <v>467.47</v>
      </c>
      <c r="J110" s="4">
        <v>468.12</v>
      </c>
      <c r="K110" s="4">
        <v>456.68</v>
      </c>
      <c r="L110" s="4">
        <v>68.551496236460395</v>
      </c>
    </row>
    <row r="111" spans="1:12" ht="15" customHeight="1" x14ac:dyDescent="0.2">
      <c r="A111" s="6">
        <v>45890</v>
      </c>
      <c r="B111" s="7">
        <v>465.14</v>
      </c>
      <c r="C111" s="8">
        <v>973249</v>
      </c>
      <c r="D111" s="7">
        <v>-4.7200000000000202</v>
      </c>
      <c r="E111" s="7">
        <v>-1.00455454816328</v>
      </c>
      <c r="F111" s="7">
        <v>-1.00455378922813</v>
      </c>
      <c r="G111" s="7">
        <v>503.53710000000001</v>
      </c>
      <c r="H111" s="7">
        <v>84.886029006792697</v>
      </c>
      <c r="I111" s="7">
        <v>469</v>
      </c>
      <c r="J111" s="7">
        <v>473</v>
      </c>
      <c r="K111" s="7">
        <v>463.02</v>
      </c>
      <c r="L111" s="7">
        <v>70.787589498806597</v>
      </c>
    </row>
    <row r="112" spans="1:12" ht="15" customHeight="1" x14ac:dyDescent="0.2">
      <c r="A112" s="3">
        <v>45889</v>
      </c>
      <c r="B112" s="4">
        <v>469.86</v>
      </c>
      <c r="C112" s="5">
        <v>389333</v>
      </c>
      <c r="D112" s="4">
        <v>-4.0799999999999796</v>
      </c>
      <c r="E112" s="4">
        <v>-0.86086846436257403</v>
      </c>
      <c r="F112" s="4">
        <v>-0.86086998113332702</v>
      </c>
      <c r="G112" s="4">
        <v>508.64672999999999</v>
      </c>
      <c r="H112" s="4">
        <v>86.762155314852194</v>
      </c>
      <c r="I112" s="4">
        <v>473</v>
      </c>
      <c r="J112" s="4">
        <v>476.55</v>
      </c>
      <c r="K112" s="4">
        <v>467.33</v>
      </c>
      <c r="L112" s="4">
        <v>72.520653570772893</v>
      </c>
    </row>
    <row r="113" spans="1:12" ht="15" customHeight="1" x14ac:dyDescent="0.2">
      <c r="A113" s="6">
        <v>45888</v>
      </c>
      <c r="B113" s="7">
        <v>473.94</v>
      </c>
      <c r="C113" s="8">
        <v>558240</v>
      </c>
      <c r="D113" s="7">
        <v>1.73000000000001</v>
      </c>
      <c r="E113" s="7">
        <v>0.366362423498034</v>
      </c>
      <c r="F113" s="7">
        <v>0.36636227734412302</v>
      </c>
      <c r="G113" s="7">
        <v>513.06353999999999</v>
      </c>
      <c r="H113" s="7">
        <v>88.3838957224159</v>
      </c>
      <c r="I113" s="7">
        <v>473.31</v>
      </c>
      <c r="J113" s="7">
        <v>482.11</v>
      </c>
      <c r="K113" s="7">
        <v>471.43</v>
      </c>
      <c r="L113" s="7">
        <v>74.018725904167397</v>
      </c>
    </row>
    <row r="114" spans="1:12" ht="15" customHeight="1" x14ac:dyDescent="0.2">
      <c r="A114" s="3">
        <v>45887</v>
      </c>
      <c r="B114" s="4">
        <v>472.21</v>
      </c>
      <c r="C114" s="5">
        <v>664452</v>
      </c>
      <c r="D114" s="4">
        <v>4.4599999999999698</v>
      </c>
      <c r="E114" s="4">
        <v>0.95350080171030505</v>
      </c>
      <c r="F114" s="4">
        <v>0.95350258426496404</v>
      </c>
      <c r="G114" s="4">
        <v>511.19072999999997</v>
      </c>
      <c r="H114" s="4">
        <v>87.696247475674596</v>
      </c>
      <c r="I114" s="4">
        <v>468</v>
      </c>
      <c r="J114" s="4">
        <v>473.77</v>
      </c>
      <c r="K114" s="4">
        <v>461.53</v>
      </c>
      <c r="L114" s="4">
        <v>73.383513860840793</v>
      </c>
    </row>
    <row r="115" spans="1:12" ht="15" customHeight="1" x14ac:dyDescent="0.2">
      <c r="A115" s="6">
        <v>45884</v>
      </c>
      <c r="B115" s="7">
        <v>467.75</v>
      </c>
      <c r="C115" s="8">
        <v>258697</v>
      </c>
      <c r="D115" s="7">
        <v>6.5699999999999896</v>
      </c>
      <c r="E115" s="7">
        <v>1.4246064443384301</v>
      </c>
      <c r="F115" s="7">
        <v>1.4246063396669599</v>
      </c>
      <c r="G115" s="7">
        <v>506.36255</v>
      </c>
      <c r="H115" s="7">
        <v>85.923462456397999</v>
      </c>
      <c r="I115" s="7">
        <v>463.48</v>
      </c>
      <c r="J115" s="7">
        <v>468.69</v>
      </c>
      <c r="K115" s="7">
        <v>458.02</v>
      </c>
      <c r="L115" s="7">
        <v>71.745915182669293</v>
      </c>
    </row>
    <row r="116" spans="1:12" ht="15" customHeight="1" x14ac:dyDescent="0.2">
      <c r="A116" s="3">
        <v>45883</v>
      </c>
      <c r="B116" s="4">
        <v>461.18</v>
      </c>
      <c r="C116" s="5">
        <v>632315</v>
      </c>
      <c r="D116" s="4">
        <v>4.4800000000000102</v>
      </c>
      <c r="E116" s="4">
        <v>0.98095029559885905</v>
      </c>
      <c r="F116" s="4">
        <v>0.98094580829628497</v>
      </c>
      <c r="G116" s="4">
        <v>499.25020000000001</v>
      </c>
      <c r="H116" s="4">
        <v>83.311988250412995</v>
      </c>
      <c r="I116" s="4">
        <v>458.98</v>
      </c>
      <c r="J116" s="4">
        <v>463.43</v>
      </c>
      <c r="K116" s="4">
        <v>450.01</v>
      </c>
      <c r="L116" s="4">
        <v>69.333578116394307</v>
      </c>
    </row>
    <row r="117" spans="1:12" ht="15" customHeight="1" x14ac:dyDescent="0.2">
      <c r="A117" s="6">
        <v>45882</v>
      </c>
      <c r="B117" s="7">
        <v>456.7</v>
      </c>
      <c r="C117" s="8">
        <v>572961</v>
      </c>
      <c r="D117" s="7">
        <v>-6.9499999999999797</v>
      </c>
      <c r="E117" s="7">
        <v>-1.4989755203278201</v>
      </c>
      <c r="F117" s="7">
        <v>0.31706171888601298</v>
      </c>
      <c r="G117" s="7">
        <v>494.40039999999999</v>
      </c>
      <c r="H117" s="7">
        <v>81.531264916467705</v>
      </c>
      <c r="I117" s="7">
        <v>463.65</v>
      </c>
      <c r="J117" s="7">
        <v>463.65</v>
      </c>
      <c r="K117" s="7">
        <v>450.86</v>
      </c>
      <c r="L117" s="7">
        <v>67.688635946392495</v>
      </c>
    </row>
    <row r="118" spans="1:12" ht="15" customHeight="1" x14ac:dyDescent="0.2">
      <c r="A118" s="3">
        <v>45881</v>
      </c>
      <c r="B118" s="4">
        <v>463.65</v>
      </c>
      <c r="C118" s="5">
        <v>560026</v>
      </c>
      <c r="D118" s="4">
        <v>7.17999999999995</v>
      </c>
      <c r="E118" s="4">
        <v>1.57294017131464</v>
      </c>
      <c r="F118" s="4">
        <v>1.5729408016144899</v>
      </c>
      <c r="G118" s="4">
        <v>492.83780000000002</v>
      </c>
      <c r="H118" s="4">
        <v>80.957517899761299</v>
      </c>
      <c r="I118" s="4">
        <v>456.47</v>
      </c>
      <c r="J118" s="4">
        <v>468.2</v>
      </c>
      <c r="K118" s="4">
        <v>449.01</v>
      </c>
      <c r="L118" s="4">
        <v>70.240499357444406</v>
      </c>
    </row>
    <row r="119" spans="1:12" ht="15" customHeight="1" x14ac:dyDescent="0.2">
      <c r="A119" s="6">
        <v>45880</v>
      </c>
      <c r="B119" s="7">
        <v>456.47</v>
      </c>
      <c r="C119" s="8">
        <v>322405</v>
      </c>
      <c r="D119" s="7">
        <v>8.4200000000000106</v>
      </c>
      <c r="E119" s="7">
        <v>1.87925454748354</v>
      </c>
      <c r="F119" s="7">
        <v>1.87925504057966</v>
      </c>
      <c r="G119" s="7">
        <v>485.20580000000001</v>
      </c>
      <c r="H119" s="7">
        <v>78.155241417293894</v>
      </c>
      <c r="I119" s="7">
        <v>447.43</v>
      </c>
      <c r="J119" s="7">
        <v>458.8</v>
      </c>
      <c r="K119" s="7">
        <v>447.42</v>
      </c>
      <c r="L119" s="7">
        <v>67.604185790343294</v>
      </c>
    </row>
    <row r="120" spans="1:12" ht="15" customHeight="1" x14ac:dyDescent="0.2">
      <c r="A120" s="3">
        <v>45877</v>
      </c>
      <c r="B120" s="4">
        <v>448.05</v>
      </c>
      <c r="C120" s="5">
        <v>337060</v>
      </c>
      <c r="D120" s="4">
        <v>-2.9599999999999702</v>
      </c>
      <c r="E120" s="4">
        <v>-0.65630473825413205</v>
      </c>
      <c r="F120" s="4">
        <v>-0.65630918179123698</v>
      </c>
      <c r="G120" s="4">
        <v>476.25574</v>
      </c>
      <c r="H120" s="4">
        <v>74.869006792729905</v>
      </c>
      <c r="I120" s="4">
        <v>450.76</v>
      </c>
      <c r="J120" s="4">
        <v>454.99</v>
      </c>
      <c r="K120" s="4">
        <v>444.38</v>
      </c>
      <c r="L120" s="4">
        <v>64.512575729759405</v>
      </c>
    </row>
    <row r="121" spans="1:12" ht="15" customHeight="1" x14ac:dyDescent="0.2">
      <c r="A121" s="6">
        <v>45876</v>
      </c>
      <c r="B121" s="7">
        <v>451.01</v>
      </c>
      <c r="C121" s="8">
        <v>322184</v>
      </c>
      <c r="D121" s="7">
        <v>4.9399999999999897</v>
      </c>
      <c r="E121" s="7">
        <v>1.10744950344117</v>
      </c>
      <c r="F121" s="7">
        <v>1.1074486125858001</v>
      </c>
      <c r="G121" s="7">
        <v>479.40210000000002</v>
      </c>
      <c r="H121" s="7">
        <v>76.024270240499305</v>
      </c>
      <c r="I121" s="7">
        <v>444.1</v>
      </c>
      <c r="J121" s="7">
        <v>453.28</v>
      </c>
      <c r="K121" s="7">
        <v>444.1</v>
      </c>
      <c r="L121" s="7">
        <v>65.599412520653502</v>
      </c>
    </row>
    <row r="122" spans="1:12" ht="15" customHeight="1" x14ac:dyDescent="0.2">
      <c r="A122" s="3">
        <v>45875</v>
      </c>
      <c r="B122" s="4">
        <v>446.07</v>
      </c>
      <c r="C122" s="5">
        <v>281966</v>
      </c>
      <c r="D122" s="4">
        <v>10.719999999999899</v>
      </c>
      <c r="E122" s="4">
        <v>2.4623865855059002</v>
      </c>
      <c r="F122" s="4">
        <v>2.4623803068699299</v>
      </c>
      <c r="G122" s="4">
        <v>474.15111999999999</v>
      </c>
      <c r="H122" s="4">
        <v>74.096243803928701</v>
      </c>
      <c r="I122" s="4">
        <v>434.9</v>
      </c>
      <c r="J122" s="4">
        <v>453.03</v>
      </c>
      <c r="K122" s="4">
        <v>431.56</v>
      </c>
      <c r="L122" s="4">
        <v>63.785570038553303</v>
      </c>
    </row>
    <row r="123" spans="1:12" ht="15" customHeight="1" x14ac:dyDescent="0.2">
      <c r="A123" s="6">
        <v>45874</v>
      </c>
      <c r="B123" s="7">
        <v>435.35</v>
      </c>
      <c r="C123" s="8">
        <v>386932</v>
      </c>
      <c r="D123" s="7">
        <v>4.0400000000000196</v>
      </c>
      <c r="E123" s="7">
        <v>0.93668127333008599</v>
      </c>
      <c r="F123" s="7">
        <v>0.93668844135676999</v>
      </c>
      <c r="G123" s="7">
        <v>462.75630000000001</v>
      </c>
      <c r="H123" s="7">
        <v>69.912355425004506</v>
      </c>
      <c r="I123" s="7">
        <v>429</v>
      </c>
      <c r="J123" s="7">
        <v>437.17</v>
      </c>
      <c r="K123" s="7">
        <v>429</v>
      </c>
      <c r="L123" s="7">
        <v>59.8494584174775</v>
      </c>
    </row>
    <row r="124" spans="1:12" ht="15" customHeight="1" x14ac:dyDescent="0.2">
      <c r="A124" s="3">
        <v>45873</v>
      </c>
      <c r="B124" s="4">
        <v>431.31</v>
      </c>
      <c r="C124" s="5">
        <v>409114</v>
      </c>
      <c r="D124" s="4">
        <v>0.51999999999998103</v>
      </c>
      <c r="E124" s="4">
        <v>0.120708465841823</v>
      </c>
      <c r="F124" s="4">
        <v>0.120709520577455</v>
      </c>
      <c r="G124" s="4">
        <v>458.46194000000003</v>
      </c>
      <c r="H124" s="4">
        <v>68.335575546172194</v>
      </c>
      <c r="I124" s="4">
        <v>432.89</v>
      </c>
      <c r="J124" s="4">
        <v>434</v>
      </c>
      <c r="K124" s="4">
        <v>426.77</v>
      </c>
      <c r="L124" s="4">
        <v>58.366073067743699</v>
      </c>
    </row>
    <row r="125" spans="1:12" ht="15" customHeight="1" x14ac:dyDescent="0.2">
      <c r="A125" s="6">
        <v>45870</v>
      </c>
      <c r="B125" s="7">
        <v>430.79</v>
      </c>
      <c r="C125" s="8">
        <v>365823</v>
      </c>
      <c r="D125" s="7">
        <v>-2.5999999999999601</v>
      </c>
      <c r="E125" s="7">
        <v>-0.59992154872053804</v>
      </c>
      <c r="F125" s="7">
        <v>-0.59992675931230799</v>
      </c>
      <c r="G125" s="7">
        <v>457.9092</v>
      </c>
      <c r="H125" s="7">
        <v>68.132623462456294</v>
      </c>
      <c r="I125" s="7">
        <v>431.83</v>
      </c>
      <c r="J125" s="7">
        <v>434</v>
      </c>
      <c r="K125" s="7">
        <v>426.31</v>
      </c>
      <c r="L125" s="7">
        <v>58.175142280154198</v>
      </c>
    </row>
    <row r="126" spans="1:12" ht="15" customHeight="1" x14ac:dyDescent="0.2">
      <c r="A126" s="3">
        <v>45869</v>
      </c>
      <c r="B126" s="4">
        <v>433.39</v>
      </c>
      <c r="C126" s="5">
        <v>661292</v>
      </c>
      <c r="D126" s="4">
        <v>3.5699999999999901</v>
      </c>
      <c r="E126" s="4">
        <v>0.83058024289237498</v>
      </c>
      <c r="F126" s="4">
        <v>0.83058471565307102</v>
      </c>
      <c r="G126" s="4">
        <v>460.67290000000003</v>
      </c>
      <c r="H126" s="4">
        <v>69.147383881035395</v>
      </c>
      <c r="I126" s="4">
        <v>430.84</v>
      </c>
      <c r="J126" s="4">
        <v>438.44</v>
      </c>
      <c r="K126" s="4">
        <v>424.26</v>
      </c>
      <c r="L126" s="4">
        <v>59.129796218101603</v>
      </c>
    </row>
    <row r="127" spans="1:12" ht="15" customHeight="1" x14ac:dyDescent="0.2">
      <c r="A127" s="6">
        <v>45868</v>
      </c>
      <c r="B127" s="7">
        <v>429.82</v>
      </c>
      <c r="C127" s="8">
        <v>379146</v>
      </c>
      <c r="D127" s="7">
        <v>3.6100000000000101</v>
      </c>
      <c r="E127" s="7">
        <v>0.84700030501396695</v>
      </c>
      <c r="F127" s="7">
        <v>0.84700527894989697</v>
      </c>
      <c r="G127" s="7">
        <v>456.87813999999997</v>
      </c>
      <c r="H127" s="7">
        <v>67.754044428125496</v>
      </c>
      <c r="I127" s="7">
        <v>424.17</v>
      </c>
      <c r="J127" s="7">
        <v>434.27</v>
      </c>
      <c r="K127" s="7">
        <v>420.01</v>
      </c>
      <c r="L127" s="7">
        <v>57.818982926381402</v>
      </c>
    </row>
    <row r="128" spans="1:12" ht="15" customHeight="1" x14ac:dyDescent="0.2">
      <c r="A128" s="3">
        <v>45867</v>
      </c>
      <c r="B128" s="4">
        <v>426.21</v>
      </c>
      <c r="C128" s="5">
        <v>486375</v>
      </c>
      <c r="D128" s="4">
        <v>9.7199999999999704</v>
      </c>
      <c r="E128" s="4">
        <v>2.3337895267593298</v>
      </c>
      <c r="F128" s="4">
        <v>2.3337859557310101</v>
      </c>
      <c r="G128" s="4">
        <v>453.04086000000001</v>
      </c>
      <c r="H128" s="4">
        <v>66.3450927115843</v>
      </c>
      <c r="I128" s="4">
        <v>416.32</v>
      </c>
      <c r="J128" s="4">
        <v>428.04</v>
      </c>
      <c r="K128" s="4">
        <v>412.01</v>
      </c>
      <c r="L128" s="4">
        <v>56.493482651000498</v>
      </c>
    </row>
    <row r="129" spans="1:12" ht="15" customHeight="1" x14ac:dyDescent="0.2">
      <c r="A129" s="6">
        <v>45866</v>
      </c>
      <c r="B129" s="7">
        <v>416.49</v>
      </c>
      <c r="C129" s="8">
        <v>1227177</v>
      </c>
      <c r="D129" s="7">
        <v>-0.69999999999998797</v>
      </c>
      <c r="E129" s="7">
        <v>-0.16778925669358399</v>
      </c>
      <c r="F129" s="7">
        <v>-0.16779227997659699</v>
      </c>
      <c r="G129" s="7">
        <v>442.70898</v>
      </c>
      <c r="H129" s="7">
        <v>62.5514888929685</v>
      </c>
      <c r="I129" s="7">
        <v>416.72</v>
      </c>
      <c r="J129" s="7">
        <v>420.03</v>
      </c>
      <c r="K129" s="7">
        <v>411.87</v>
      </c>
      <c r="L129" s="7">
        <v>52.924545621442903</v>
      </c>
    </row>
    <row r="130" spans="1:12" ht="15" customHeight="1" x14ac:dyDescent="0.2">
      <c r="A130" s="3">
        <v>45863</v>
      </c>
      <c r="B130" s="4">
        <v>417.19</v>
      </c>
      <c r="C130" s="5">
        <v>209290</v>
      </c>
      <c r="D130" s="4">
        <v>2.3899999999999801</v>
      </c>
      <c r="E130" s="4">
        <v>0.57618129218899305</v>
      </c>
      <c r="F130" s="4">
        <v>0.57618221842605699</v>
      </c>
      <c r="G130" s="4">
        <v>443.45305999999999</v>
      </c>
      <c r="H130" s="4">
        <v>62.8246961630255</v>
      </c>
      <c r="I130" s="4">
        <v>415.51</v>
      </c>
      <c r="J130" s="4">
        <v>418.64</v>
      </c>
      <c r="K130" s="4">
        <v>412.2</v>
      </c>
      <c r="L130" s="4">
        <v>53.181567835505703</v>
      </c>
    </row>
    <row r="131" spans="1:12" ht="15" customHeight="1" x14ac:dyDescent="0.2">
      <c r="A131" s="6">
        <v>45862</v>
      </c>
      <c r="B131" s="7">
        <v>414.8</v>
      </c>
      <c r="C131" s="8">
        <v>727684</v>
      </c>
      <c r="D131" s="7">
        <v>1.48000000000001</v>
      </c>
      <c r="E131" s="7">
        <v>0.35807606696991401</v>
      </c>
      <c r="F131" s="7">
        <v>0.358071645967594</v>
      </c>
      <c r="G131" s="7">
        <v>440.9126</v>
      </c>
      <c r="H131" s="7">
        <v>61.891903800256998</v>
      </c>
      <c r="I131" s="7">
        <v>414.77</v>
      </c>
      <c r="J131" s="7">
        <v>419.41</v>
      </c>
      <c r="K131" s="7">
        <v>411.69</v>
      </c>
      <c r="L131" s="7">
        <v>52.304020561777101</v>
      </c>
    </row>
    <row r="132" spans="1:12" ht="15" customHeight="1" x14ac:dyDescent="0.2">
      <c r="A132" s="3">
        <v>45861</v>
      </c>
      <c r="B132" s="4">
        <v>413.32</v>
      </c>
      <c r="C132" s="5">
        <v>649762</v>
      </c>
      <c r="D132" s="4">
        <v>3.4499999999999802</v>
      </c>
      <c r="E132" s="4">
        <v>0.84173030473075805</v>
      </c>
      <c r="F132" s="4">
        <v>0.84173598024055396</v>
      </c>
      <c r="G132" s="4">
        <v>439.33945</v>
      </c>
      <c r="H132" s="4">
        <v>61.314283091610001</v>
      </c>
      <c r="I132" s="4">
        <v>411.48</v>
      </c>
      <c r="J132" s="4">
        <v>415.86</v>
      </c>
      <c r="K132" s="4">
        <v>403.39</v>
      </c>
      <c r="L132" s="4">
        <v>51.760602166330003</v>
      </c>
    </row>
    <row r="133" spans="1:12" ht="15" customHeight="1" x14ac:dyDescent="0.2">
      <c r="A133" s="6">
        <v>45860</v>
      </c>
      <c r="B133" s="7">
        <v>409.87</v>
      </c>
      <c r="C133" s="8">
        <v>694837</v>
      </c>
      <c r="D133" s="7">
        <v>-15.3</v>
      </c>
      <c r="E133" s="7">
        <v>-3.5985605757696901</v>
      </c>
      <c r="F133" s="7">
        <v>-3.5985628212101699</v>
      </c>
      <c r="G133" s="7">
        <v>435.67223999999999</v>
      </c>
      <c r="H133" s="7">
        <v>59.967776757848299</v>
      </c>
      <c r="I133" s="7">
        <v>425.17</v>
      </c>
      <c r="J133" s="7">
        <v>425.17</v>
      </c>
      <c r="K133" s="7">
        <v>401.66</v>
      </c>
      <c r="L133" s="7">
        <v>50.493849825592001</v>
      </c>
    </row>
    <row r="134" spans="1:12" ht="15" customHeight="1" x14ac:dyDescent="0.2">
      <c r="A134" s="3">
        <v>45859</v>
      </c>
      <c r="B134" s="4">
        <v>425.17</v>
      </c>
      <c r="C134" s="5">
        <v>292916</v>
      </c>
      <c r="D134" s="4">
        <v>0.52000000000003799</v>
      </c>
      <c r="E134" s="4">
        <v>0.12245378547039901</v>
      </c>
      <c r="F134" s="4">
        <v>0.122459289862852</v>
      </c>
      <c r="G134" s="4">
        <v>451.93542000000002</v>
      </c>
      <c r="H134" s="4">
        <v>65.939203231136403</v>
      </c>
      <c r="I134" s="4">
        <v>422.52</v>
      </c>
      <c r="J134" s="4">
        <v>428.74</v>
      </c>
      <c r="K134" s="4">
        <v>416.94</v>
      </c>
      <c r="L134" s="4">
        <v>56.111621075821503</v>
      </c>
    </row>
    <row r="135" spans="1:12" ht="15" customHeight="1" x14ac:dyDescent="0.2">
      <c r="A135" s="6">
        <v>45856</v>
      </c>
      <c r="B135" s="7">
        <v>424.65</v>
      </c>
      <c r="C135" s="8">
        <v>319921</v>
      </c>
      <c r="D135" s="7">
        <v>-6.3500000000000201</v>
      </c>
      <c r="E135" s="7">
        <v>-1.47331786542923</v>
      </c>
      <c r="F135" s="7">
        <v>-1.4733207486167399</v>
      </c>
      <c r="G135" s="7">
        <v>451.38265999999999</v>
      </c>
      <c r="H135" s="7">
        <v>65.736243803928701</v>
      </c>
      <c r="I135" s="7">
        <v>431</v>
      </c>
      <c r="J135" s="7">
        <v>431.01</v>
      </c>
      <c r="K135" s="7">
        <v>424.01</v>
      </c>
      <c r="L135" s="7">
        <v>55.920690288232002</v>
      </c>
    </row>
    <row r="136" spans="1:12" ht="15" customHeight="1" x14ac:dyDescent="0.2">
      <c r="A136" s="3">
        <v>45855</v>
      </c>
      <c r="B136" s="4">
        <v>431</v>
      </c>
      <c r="C136" s="5">
        <v>870941</v>
      </c>
      <c r="D136" s="4">
        <v>1.62</v>
      </c>
      <c r="E136" s="4">
        <v>0.37728818296147698</v>
      </c>
      <c r="F136" s="4">
        <v>0.37728320249277297</v>
      </c>
      <c r="G136" s="4">
        <v>458.13242000000002</v>
      </c>
      <c r="H136" s="4">
        <v>68.214584174775098</v>
      </c>
      <c r="I136" s="4">
        <v>427.22</v>
      </c>
      <c r="J136" s="4">
        <v>434.26</v>
      </c>
      <c r="K136" s="4">
        <v>427.22</v>
      </c>
      <c r="L136" s="4">
        <v>58.252248944373001</v>
      </c>
    </row>
    <row r="137" spans="1:12" ht="15" customHeight="1" x14ac:dyDescent="0.2">
      <c r="A137" s="6">
        <v>45854</v>
      </c>
      <c r="B137" s="7">
        <v>429.38</v>
      </c>
      <c r="C137" s="8">
        <v>733795</v>
      </c>
      <c r="D137" s="7">
        <v>-1.45999999999997</v>
      </c>
      <c r="E137" s="7">
        <v>-0.33887289945222498</v>
      </c>
      <c r="F137" s="7">
        <v>-0.33886629193133899</v>
      </c>
      <c r="G137" s="7">
        <v>456.41046</v>
      </c>
      <c r="H137" s="7">
        <v>67.582324215164306</v>
      </c>
      <c r="I137" s="7">
        <v>427.81</v>
      </c>
      <c r="J137" s="7">
        <v>432.95</v>
      </c>
      <c r="K137" s="7">
        <v>427.81</v>
      </c>
      <c r="L137" s="7">
        <v>57.657426106113398</v>
      </c>
    </row>
    <row r="138" spans="1:12" ht="15" customHeight="1" x14ac:dyDescent="0.2">
      <c r="A138" s="3">
        <v>45853</v>
      </c>
      <c r="B138" s="4">
        <v>430.84</v>
      </c>
      <c r="C138" s="5">
        <v>442542</v>
      </c>
      <c r="D138" s="4">
        <v>2.6599999999999602</v>
      </c>
      <c r="E138" s="4">
        <v>0.62123406044185503</v>
      </c>
      <c r="F138" s="4">
        <v>0.62123119980470598</v>
      </c>
      <c r="G138" s="4">
        <v>457.96233999999998</v>
      </c>
      <c r="H138" s="4">
        <v>68.152135120249596</v>
      </c>
      <c r="I138" s="4">
        <v>428.18</v>
      </c>
      <c r="J138" s="4">
        <v>433.88</v>
      </c>
      <c r="K138" s="4">
        <v>426.37</v>
      </c>
      <c r="L138" s="4">
        <v>58.193501009730099</v>
      </c>
    </row>
    <row r="139" spans="1:12" ht="15" customHeight="1" x14ac:dyDescent="0.2">
      <c r="A139" s="6">
        <v>45852</v>
      </c>
      <c r="B139" s="7">
        <v>428.18</v>
      </c>
      <c r="C139" s="8">
        <v>607602</v>
      </c>
      <c r="D139" s="7">
        <v>-1.1100000000000101</v>
      </c>
      <c r="E139" s="7">
        <v>-0.25856647021826801</v>
      </c>
      <c r="F139" s="7">
        <v>-0.258571494941639</v>
      </c>
      <c r="G139" s="7">
        <v>455.13490000000002</v>
      </c>
      <c r="H139" s="7">
        <v>67.113970993207204</v>
      </c>
      <c r="I139" s="7">
        <v>430.95</v>
      </c>
      <c r="J139" s="7">
        <v>431.44</v>
      </c>
      <c r="K139" s="7">
        <v>425.07</v>
      </c>
      <c r="L139" s="7">
        <v>57.216816596291501</v>
      </c>
    </row>
    <row r="140" spans="1:12" ht="15" customHeight="1" x14ac:dyDescent="0.2">
      <c r="A140" s="3">
        <v>45849</v>
      </c>
      <c r="B140" s="4">
        <v>429.29</v>
      </c>
      <c r="C140" s="5">
        <v>579723</v>
      </c>
      <c r="D140" s="4">
        <v>-3.6099999999999501</v>
      </c>
      <c r="E140" s="4">
        <v>-0.83391083391082199</v>
      </c>
      <c r="F140" s="4">
        <v>-0.83390698430892896</v>
      </c>
      <c r="G140" s="4">
        <v>456.31479999999999</v>
      </c>
      <c r="H140" s="4">
        <v>67.547200293739607</v>
      </c>
      <c r="I140" s="4">
        <v>433.98</v>
      </c>
      <c r="J140" s="4">
        <v>434.81</v>
      </c>
      <c r="K140" s="4">
        <v>425.06</v>
      </c>
      <c r="L140" s="4">
        <v>57.624380392876802</v>
      </c>
    </row>
    <row r="141" spans="1:12" ht="15" customHeight="1" x14ac:dyDescent="0.2">
      <c r="A141" s="6">
        <v>45848</v>
      </c>
      <c r="B141" s="7">
        <v>432.9</v>
      </c>
      <c r="C141" s="8">
        <v>721876</v>
      </c>
      <c r="D141" s="7">
        <v>6.9799999999999596</v>
      </c>
      <c r="E141" s="7">
        <v>1.6388054094665401</v>
      </c>
      <c r="F141" s="7">
        <v>1.6388038644618199</v>
      </c>
      <c r="G141" s="7">
        <v>460.15204</v>
      </c>
      <c r="H141" s="7">
        <v>68.956137323297199</v>
      </c>
      <c r="I141" s="7">
        <v>425.92</v>
      </c>
      <c r="J141" s="7">
        <v>434.45</v>
      </c>
      <c r="K141" s="7">
        <v>423</v>
      </c>
      <c r="L141" s="7">
        <v>58.949880668257698</v>
      </c>
    </row>
    <row r="142" spans="1:12" ht="15" customHeight="1" x14ac:dyDescent="0.2">
      <c r="A142" s="3">
        <v>45847</v>
      </c>
      <c r="B142" s="4">
        <v>425.92</v>
      </c>
      <c r="C142" s="5">
        <v>3810605</v>
      </c>
      <c r="D142" s="4">
        <v>-0.53999999999996295</v>
      </c>
      <c r="E142" s="4">
        <v>-0.126623833419303</v>
      </c>
      <c r="F142" s="4">
        <v>-0.12661629016652501</v>
      </c>
      <c r="G142" s="4">
        <v>452.73264</v>
      </c>
      <c r="H142" s="4">
        <v>66.231922158986507</v>
      </c>
      <c r="I142" s="4">
        <v>425.95</v>
      </c>
      <c r="J142" s="4">
        <v>427.6</v>
      </c>
      <c r="K142" s="4">
        <v>418.86</v>
      </c>
      <c r="L142" s="4">
        <v>56.387002019460198</v>
      </c>
    </row>
    <row r="143" spans="1:12" ht="15" customHeight="1" x14ac:dyDescent="0.2">
      <c r="A143" s="6">
        <v>45846</v>
      </c>
      <c r="B143" s="7">
        <v>426.46</v>
      </c>
      <c r="C143" s="8">
        <v>280646</v>
      </c>
      <c r="D143" s="7">
        <v>-1.24</v>
      </c>
      <c r="E143" s="7">
        <v>-0.28992284311433097</v>
      </c>
      <c r="F143" s="7">
        <v>-0.28993145335042197</v>
      </c>
      <c r="G143" s="7">
        <v>453.3066</v>
      </c>
      <c r="H143" s="7">
        <v>66.442665687534401</v>
      </c>
      <c r="I143" s="7">
        <v>429.83</v>
      </c>
      <c r="J143" s="7">
        <v>433.83</v>
      </c>
      <c r="K143" s="7">
        <v>424.82</v>
      </c>
      <c r="L143" s="7">
        <v>56.585276298879997</v>
      </c>
    </row>
    <row r="144" spans="1:12" ht="15" customHeight="1" x14ac:dyDescent="0.2">
      <c r="A144" s="3">
        <v>45845</v>
      </c>
      <c r="B144" s="4">
        <v>427.7</v>
      </c>
      <c r="C144" s="5">
        <v>704202</v>
      </c>
      <c r="D144" s="4">
        <v>-7.6999999999999797</v>
      </c>
      <c r="E144" s="4">
        <v>-1.7684887459806999</v>
      </c>
      <c r="F144" s="4">
        <v>-1.7684860433480201</v>
      </c>
      <c r="G144" s="4">
        <v>454.62470000000002</v>
      </c>
      <c r="H144" s="4">
        <v>66.926638516614602</v>
      </c>
      <c r="I144" s="4">
        <v>435.4</v>
      </c>
      <c r="J144" s="4">
        <v>437.1</v>
      </c>
      <c r="K144" s="4">
        <v>426.93</v>
      </c>
      <c r="L144" s="4">
        <v>57.040572792362703</v>
      </c>
    </row>
    <row r="145" spans="1:12" ht="15" customHeight="1" x14ac:dyDescent="0.2">
      <c r="A145" s="6">
        <v>45842</v>
      </c>
      <c r="B145" s="7">
        <v>435.4</v>
      </c>
      <c r="C145" s="8">
        <v>32664</v>
      </c>
      <c r="D145" s="7">
        <v>2.6399999999999801</v>
      </c>
      <c r="E145" s="7">
        <v>0.61003789629354699</v>
      </c>
      <c r="F145" s="7">
        <v>0.61003702082700295</v>
      </c>
      <c r="G145" s="7">
        <v>462.80941999999999</v>
      </c>
      <c r="H145" s="7">
        <v>69.931859739306006</v>
      </c>
      <c r="I145" s="7">
        <v>432.79</v>
      </c>
      <c r="J145" s="7">
        <v>437.01</v>
      </c>
      <c r="K145" s="7">
        <v>431.16</v>
      </c>
      <c r="L145" s="7">
        <v>59.867817147053401</v>
      </c>
    </row>
    <row r="146" spans="1:12" ht="15" customHeight="1" x14ac:dyDescent="0.2">
      <c r="A146" s="3">
        <v>45841</v>
      </c>
      <c r="B146" s="4">
        <v>432.76</v>
      </c>
      <c r="C146" s="5">
        <v>506949</v>
      </c>
      <c r="D146" s="4">
        <v>-8.6700000000000106</v>
      </c>
      <c r="E146" s="4">
        <v>-1.96407131368506</v>
      </c>
      <c r="F146" s="4">
        <v>-1.9640699986969901</v>
      </c>
      <c r="G146" s="4">
        <v>460.00322999999997</v>
      </c>
      <c r="H146" s="4">
        <v>68.901498072333297</v>
      </c>
      <c r="I146" s="4">
        <v>441.43</v>
      </c>
      <c r="J146" s="4">
        <v>445</v>
      </c>
      <c r="K146" s="4">
        <v>431.02</v>
      </c>
      <c r="L146" s="4">
        <v>58.898476225445101</v>
      </c>
    </row>
    <row r="147" spans="1:12" ht="15" customHeight="1" x14ac:dyDescent="0.2">
      <c r="A147" s="6">
        <v>45840</v>
      </c>
      <c r="B147" s="7">
        <v>441.43</v>
      </c>
      <c r="C147" s="8">
        <v>576787</v>
      </c>
      <c r="D147" s="7">
        <v>3.9700000000000202</v>
      </c>
      <c r="E147" s="7">
        <v>0.90751154391259803</v>
      </c>
      <c r="F147" s="7">
        <v>0.90751577400971495</v>
      </c>
      <c r="G147" s="7">
        <v>469.21902</v>
      </c>
      <c r="H147" s="7">
        <v>72.285302001101499</v>
      </c>
      <c r="I147" s="7">
        <v>439.54</v>
      </c>
      <c r="J147" s="7">
        <v>445</v>
      </c>
      <c r="K147" s="7">
        <v>436.62</v>
      </c>
      <c r="L147" s="7">
        <v>62.081879933908503</v>
      </c>
    </row>
    <row r="148" spans="1:12" ht="15" customHeight="1" x14ac:dyDescent="0.2">
      <c r="A148" s="3">
        <v>45839</v>
      </c>
      <c r="B148" s="4">
        <v>437.46</v>
      </c>
      <c r="C148" s="5">
        <v>417532</v>
      </c>
      <c r="D148" s="4">
        <v>6.7299999999999596</v>
      </c>
      <c r="E148" s="4">
        <v>1.56246372437489</v>
      </c>
      <c r="F148" s="4">
        <v>1.5624596274773099</v>
      </c>
      <c r="G148" s="4">
        <v>464.99907999999999</v>
      </c>
      <c r="H148" s="4">
        <v>70.735847255369904</v>
      </c>
      <c r="I148" s="4">
        <v>430.73</v>
      </c>
      <c r="J148" s="4">
        <v>438.67</v>
      </c>
      <c r="K148" s="4">
        <v>425.34</v>
      </c>
      <c r="L148" s="4">
        <v>60.624196805581001</v>
      </c>
    </row>
    <row r="149" spans="1:12" ht="15" customHeight="1" x14ac:dyDescent="0.2">
      <c r="A149" s="6">
        <v>45838</v>
      </c>
      <c r="B149" s="7">
        <v>430.73</v>
      </c>
      <c r="C149" s="8">
        <v>1072776</v>
      </c>
      <c r="D149" s="7">
        <v>3.62</v>
      </c>
      <c r="E149" s="7">
        <v>0.84755683547563798</v>
      </c>
      <c r="F149" s="7">
        <v>0.84755967725200698</v>
      </c>
      <c r="G149" s="7">
        <v>457.84543000000002</v>
      </c>
      <c r="H149" s="7">
        <v>68.1092087387552</v>
      </c>
      <c r="I149" s="7">
        <v>429.24</v>
      </c>
      <c r="J149" s="7">
        <v>435.99</v>
      </c>
      <c r="K149" s="7">
        <v>427.51</v>
      </c>
      <c r="L149" s="7">
        <v>58.153111804663098</v>
      </c>
    </row>
    <row r="150" spans="1:12" ht="15" customHeight="1" x14ac:dyDescent="0.2">
      <c r="A150" s="3">
        <v>45835</v>
      </c>
      <c r="B150" s="4">
        <v>427.11</v>
      </c>
      <c r="C150" s="5">
        <v>782508</v>
      </c>
      <c r="D150" s="4">
        <v>1.3500000000000201</v>
      </c>
      <c r="E150" s="4">
        <v>0.31708004509582999</v>
      </c>
      <c r="F150" s="4">
        <v>0.31707660483446498</v>
      </c>
      <c r="G150" s="4">
        <v>453.99752999999998</v>
      </c>
      <c r="H150" s="4">
        <v>66.696357628052098</v>
      </c>
      <c r="I150" s="4">
        <v>426</v>
      </c>
      <c r="J150" s="4">
        <v>436.29</v>
      </c>
      <c r="K150" s="4">
        <v>424.32</v>
      </c>
      <c r="L150" s="4">
        <v>56.823939783366903</v>
      </c>
    </row>
    <row r="151" spans="1:12" ht="15" customHeight="1" x14ac:dyDescent="0.2">
      <c r="A151" s="6">
        <v>45834</v>
      </c>
      <c r="B151" s="7">
        <v>425.76</v>
      </c>
      <c r="C151" s="8">
        <v>793434</v>
      </c>
      <c r="D151" s="7">
        <v>2.1899999999999902</v>
      </c>
      <c r="E151" s="7">
        <v>0.51703378426233204</v>
      </c>
      <c r="F151" s="7">
        <v>0.51703256101762696</v>
      </c>
      <c r="G151" s="7">
        <v>452.56256000000002</v>
      </c>
      <c r="H151" s="7">
        <v>66.169473104461105</v>
      </c>
      <c r="I151" s="7">
        <v>423.57</v>
      </c>
      <c r="J151" s="7">
        <v>427.56</v>
      </c>
      <c r="K151" s="7">
        <v>414.78</v>
      </c>
      <c r="L151" s="7">
        <v>56.328254084817303</v>
      </c>
    </row>
    <row r="152" spans="1:12" ht="15" customHeight="1" x14ac:dyDescent="0.2">
      <c r="A152" s="3">
        <v>45833</v>
      </c>
      <c r="B152" s="4">
        <v>423.57</v>
      </c>
      <c r="C152" s="5">
        <v>855617</v>
      </c>
      <c r="D152" s="4">
        <v>6.0299999999999701</v>
      </c>
      <c r="E152" s="4">
        <v>1.4441730133639901</v>
      </c>
      <c r="F152" s="4">
        <v>1.4441724904697699</v>
      </c>
      <c r="G152" s="4">
        <v>450.23469999999998</v>
      </c>
      <c r="H152" s="4">
        <v>65.314742059849394</v>
      </c>
      <c r="I152" s="4">
        <v>417.54</v>
      </c>
      <c r="J152" s="4">
        <v>424.97</v>
      </c>
      <c r="K152" s="4">
        <v>414.3</v>
      </c>
      <c r="L152" s="4">
        <v>55.524141729392298</v>
      </c>
    </row>
    <row r="153" spans="1:12" ht="15" customHeight="1" x14ac:dyDescent="0.2">
      <c r="A153" s="6">
        <v>45832</v>
      </c>
      <c r="B153" s="7">
        <v>417.54</v>
      </c>
      <c r="C153" s="8">
        <v>781350</v>
      </c>
      <c r="D153" s="7">
        <v>1.1000000000000201</v>
      </c>
      <c r="E153" s="7">
        <v>0.26414369416962702</v>
      </c>
      <c r="F153" s="7">
        <v>0.26414425563336902</v>
      </c>
      <c r="G153" s="7">
        <v>443.82510000000002</v>
      </c>
      <c r="H153" s="7">
        <v>62.961299798053901</v>
      </c>
      <c r="I153" s="7">
        <v>417</v>
      </c>
      <c r="J153" s="7">
        <v>419.99</v>
      </c>
      <c r="K153" s="7">
        <v>412.12</v>
      </c>
      <c r="L153" s="7">
        <v>53.310078942537103</v>
      </c>
    </row>
    <row r="154" spans="1:12" ht="15" customHeight="1" x14ac:dyDescent="0.2">
      <c r="A154" s="3">
        <v>45831</v>
      </c>
      <c r="B154" s="4">
        <v>416.44</v>
      </c>
      <c r="C154" s="5">
        <v>558714</v>
      </c>
      <c r="D154" s="4">
        <v>2.6299999999999901</v>
      </c>
      <c r="E154" s="4">
        <v>0.63555738140692597</v>
      </c>
      <c r="F154" s="4">
        <v>0.635554061141685</v>
      </c>
      <c r="G154" s="4">
        <v>442.65584999999999</v>
      </c>
      <c r="H154" s="4">
        <v>62.531980906921198</v>
      </c>
      <c r="I154" s="4">
        <v>415.87</v>
      </c>
      <c r="J154" s="4">
        <v>418.12</v>
      </c>
      <c r="K154" s="4">
        <v>407.44</v>
      </c>
      <c r="L154" s="4">
        <v>52.906186891867002</v>
      </c>
    </row>
    <row r="155" spans="1:12" ht="15" customHeight="1" x14ac:dyDescent="0.2">
      <c r="A155" s="6">
        <v>45828</v>
      </c>
      <c r="B155" s="7">
        <v>413.81</v>
      </c>
      <c r="C155" s="8">
        <v>4520483</v>
      </c>
      <c r="D155" s="7">
        <v>6.3999999999999702</v>
      </c>
      <c r="E155" s="7">
        <v>1.57089909427847</v>
      </c>
      <c r="F155" s="7">
        <v>1.57090733728881</v>
      </c>
      <c r="G155" s="7">
        <v>439.8603</v>
      </c>
      <c r="H155" s="7">
        <v>61.505525977602304</v>
      </c>
      <c r="I155" s="7">
        <v>412</v>
      </c>
      <c r="J155" s="7">
        <v>420.05</v>
      </c>
      <c r="K155" s="7">
        <v>410.35</v>
      </c>
      <c r="L155" s="7">
        <v>51.940517716174</v>
      </c>
    </row>
    <row r="156" spans="1:12" ht="15" customHeight="1" x14ac:dyDescent="0.2">
      <c r="A156" s="3">
        <v>45827</v>
      </c>
      <c r="B156" s="4">
        <v>407.41</v>
      </c>
      <c r="C156" s="5">
        <v>208549</v>
      </c>
      <c r="D156" s="4">
        <v>-17.899999999999899</v>
      </c>
      <c r="E156" s="4">
        <v>-4.2086948343561001</v>
      </c>
      <c r="F156" s="4">
        <v>-4.2086980118727002</v>
      </c>
      <c r="G156" s="4">
        <v>433.05736999999999</v>
      </c>
      <c r="H156" s="4">
        <v>59.007662933724902</v>
      </c>
      <c r="I156" s="4">
        <v>427.38</v>
      </c>
      <c r="J156" s="4">
        <v>427.38</v>
      </c>
      <c r="K156" s="4">
        <v>406.63</v>
      </c>
      <c r="L156" s="4">
        <v>49.5906003304571</v>
      </c>
    </row>
    <row r="157" spans="1:12" ht="15" customHeight="1" x14ac:dyDescent="0.2">
      <c r="A157" s="6">
        <v>45826</v>
      </c>
      <c r="B157" s="7">
        <v>425.31</v>
      </c>
      <c r="C157" s="8">
        <v>1046376</v>
      </c>
      <c r="D157" s="7">
        <v>0.75</v>
      </c>
      <c r="E157" s="7">
        <v>0.176653476540411</v>
      </c>
      <c r="F157" s="7">
        <v>0.17665254365171101</v>
      </c>
      <c r="G157" s="7">
        <v>452.08422999999999</v>
      </c>
      <c r="H157" s="7">
        <v>65.993842482100206</v>
      </c>
      <c r="I157" s="7">
        <v>422.02</v>
      </c>
      <c r="J157" s="7">
        <v>428.68</v>
      </c>
      <c r="K157" s="7">
        <v>420.2</v>
      </c>
      <c r="L157" s="7">
        <v>56.1630255186341</v>
      </c>
    </row>
    <row r="158" spans="1:12" ht="15" customHeight="1" x14ac:dyDescent="0.2">
      <c r="A158" s="3">
        <v>45825</v>
      </c>
      <c r="B158" s="4">
        <v>424.56</v>
      </c>
      <c r="C158" s="5">
        <v>671792</v>
      </c>
      <c r="D158" s="4">
        <v>-6.3799999999999901</v>
      </c>
      <c r="E158" s="4">
        <v>-1.48048452220727</v>
      </c>
      <c r="F158" s="4">
        <v>-1.4804854800588201</v>
      </c>
      <c r="G158" s="4">
        <v>451.28701999999998</v>
      </c>
      <c r="H158" s="4">
        <v>65.701127225995904</v>
      </c>
      <c r="I158" s="4">
        <v>430.83</v>
      </c>
      <c r="J158" s="4">
        <v>433.9</v>
      </c>
      <c r="K158" s="4">
        <v>420.51</v>
      </c>
      <c r="L158" s="4">
        <v>55.887644574995399</v>
      </c>
    </row>
    <row r="159" spans="1:12" ht="15" customHeight="1" x14ac:dyDescent="0.2">
      <c r="A159" s="6">
        <v>45824</v>
      </c>
      <c r="B159" s="7">
        <v>430.94</v>
      </c>
      <c r="C159" s="8">
        <v>698511</v>
      </c>
      <c r="D159" s="7">
        <v>-4.3899999999999801</v>
      </c>
      <c r="E159" s="7">
        <v>-1.00843038614384</v>
      </c>
      <c r="F159" s="7">
        <v>-1.00842598895696</v>
      </c>
      <c r="G159" s="7">
        <v>458.06866000000002</v>
      </c>
      <c r="H159" s="7">
        <v>68.191173122819905</v>
      </c>
      <c r="I159" s="7">
        <v>436</v>
      </c>
      <c r="J159" s="7">
        <v>440.35</v>
      </c>
      <c r="K159" s="7">
        <v>428.2</v>
      </c>
      <c r="L159" s="7">
        <v>58.230218468881901</v>
      </c>
    </row>
    <row r="160" spans="1:12" ht="15" customHeight="1" x14ac:dyDescent="0.2">
      <c r="A160" s="3">
        <v>45821</v>
      </c>
      <c r="B160" s="4">
        <v>435.33</v>
      </c>
      <c r="C160" s="5">
        <v>689691</v>
      </c>
      <c r="D160" s="4">
        <v>-5.4600000000000302</v>
      </c>
      <c r="E160" s="4">
        <v>-1.23868508813721</v>
      </c>
      <c r="F160" s="4">
        <v>-1.23868735461847</v>
      </c>
      <c r="G160" s="4">
        <v>462.73500000000001</v>
      </c>
      <c r="H160" s="4">
        <v>69.904534606205203</v>
      </c>
      <c r="I160" s="4">
        <v>440</v>
      </c>
      <c r="J160" s="4">
        <v>440.37</v>
      </c>
      <c r="K160" s="4">
        <v>430.64</v>
      </c>
      <c r="L160" s="4">
        <v>59.842114925647103</v>
      </c>
    </row>
    <row r="161" spans="1:12" ht="15" customHeight="1" x14ac:dyDescent="0.2">
      <c r="A161" s="6">
        <v>45820</v>
      </c>
      <c r="B161" s="7">
        <v>440.79</v>
      </c>
      <c r="C161" s="8">
        <v>475603</v>
      </c>
      <c r="D161" s="7">
        <v>-6.9899999999999496</v>
      </c>
      <c r="E161" s="7">
        <v>-1.5610344365536499</v>
      </c>
      <c r="F161" s="7">
        <v>-1.5610372596286599</v>
      </c>
      <c r="G161" s="7">
        <v>468.53872999999999</v>
      </c>
      <c r="H161" s="7">
        <v>72.035516798237495</v>
      </c>
      <c r="I161" s="7">
        <v>446.1</v>
      </c>
      <c r="J161" s="7">
        <v>446.79</v>
      </c>
      <c r="K161" s="7">
        <v>432.47</v>
      </c>
      <c r="L161" s="7">
        <v>61.846888195336803</v>
      </c>
    </row>
    <row r="162" spans="1:12" ht="15" customHeight="1" x14ac:dyDescent="0.2">
      <c r="A162" s="3">
        <v>45819</v>
      </c>
      <c r="B162" s="4">
        <v>447.78</v>
      </c>
      <c r="C162" s="5">
        <v>618066</v>
      </c>
      <c r="D162" s="4">
        <v>-2.3900000000000401</v>
      </c>
      <c r="E162" s="4">
        <v>-0.53091054490527201</v>
      </c>
      <c r="F162" s="4">
        <v>-0.53091345674091095</v>
      </c>
      <c r="G162" s="4">
        <v>475.96877999999998</v>
      </c>
      <c r="H162" s="4">
        <v>74.763642371947796</v>
      </c>
      <c r="I162" s="4">
        <v>452.43</v>
      </c>
      <c r="J162" s="4">
        <v>457.7</v>
      </c>
      <c r="K162" s="4">
        <v>446.03</v>
      </c>
      <c r="L162" s="4">
        <v>64.413438590049495</v>
      </c>
    </row>
    <row r="163" spans="1:12" ht="15" customHeight="1" x14ac:dyDescent="0.2">
      <c r="A163" s="6">
        <v>45818</v>
      </c>
      <c r="B163" s="7">
        <v>450.17</v>
      </c>
      <c r="C163" s="8">
        <v>404040</v>
      </c>
      <c r="D163" s="7">
        <v>-1.2799999999999701</v>
      </c>
      <c r="E163" s="7">
        <v>-0.28353084505481302</v>
      </c>
      <c r="F163" s="7">
        <v>-0.28352482277483798</v>
      </c>
      <c r="G163" s="7">
        <v>478.50925000000001</v>
      </c>
      <c r="H163" s="7">
        <v>75.696438406462207</v>
      </c>
      <c r="I163" s="7">
        <v>451.99</v>
      </c>
      <c r="J163" s="7">
        <v>452.54</v>
      </c>
      <c r="K163" s="7">
        <v>446.86</v>
      </c>
      <c r="L163" s="7">
        <v>65.290985863778204</v>
      </c>
    </row>
    <row r="164" spans="1:12" ht="15" customHeight="1" x14ac:dyDescent="0.2">
      <c r="A164" s="3">
        <v>45817</v>
      </c>
      <c r="B164" s="4">
        <v>451.45</v>
      </c>
      <c r="C164" s="5">
        <v>426912</v>
      </c>
      <c r="D164" s="4">
        <v>-6.5900000000000301</v>
      </c>
      <c r="E164" s="4">
        <v>-1.4387389747620301</v>
      </c>
      <c r="F164" s="4">
        <v>-1.4387399007374899</v>
      </c>
      <c r="G164" s="4">
        <v>479.8698</v>
      </c>
      <c r="H164" s="4">
        <v>76.195997796952398</v>
      </c>
      <c r="I164" s="4">
        <v>457.4</v>
      </c>
      <c r="J164" s="4">
        <v>457.4</v>
      </c>
      <c r="K164" s="4">
        <v>448.01</v>
      </c>
      <c r="L164" s="4">
        <v>65.760969340921505</v>
      </c>
    </row>
    <row r="165" spans="1:12" ht="15" customHeight="1" x14ac:dyDescent="0.2">
      <c r="A165" s="6">
        <v>45814</v>
      </c>
      <c r="B165" s="7">
        <v>458.04</v>
      </c>
      <c r="C165" s="8">
        <v>652723</v>
      </c>
      <c r="D165" s="7">
        <v>8.2900000000000205</v>
      </c>
      <c r="E165" s="7">
        <v>1.8432462479155101</v>
      </c>
      <c r="F165" s="7">
        <v>1.8432495799662401</v>
      </c>
      <c r="G165" s="7">
        <v>486.87466000000001</v>
      </c>
      <c r="H165" s="7">
        <v>78.768004406095002</v>
      </c>
      <c r="I165" s="7">
        <v>452.7</v>
      </c>
      <c r="J165" s="7">
        <v>459.99</v>
      </c>
      <c r="K165" s="7">
        <v>441.91</v>
      </c>
      <c r="L165" s="7">
        <v>68.180649899026903</v>
      </c>
    </row>
    <row r="166" spans="1:12" ht="15" customHeight="1" x14ac:dyDescent="0.2">
      <c r="A166" s="3">
        <v>45813</v>
      </c>
      <c r="B166" s="4">
        <v>449.75</v>
      </c>
      <c r="C166" s="5">
        <v>584935</v>
      </c>
      <c r="D166" s="4">
        <v>4.6399999999999801</v>
      </c>
      <c r="E166" s="4">
        <v>1.04243894767586</v>
      </c>
      <c r="F166" s="4">
        <v>1.0424371549949001</v>
      </c>
      <c r="G166" s="4">
        <v>478.06277</v>
      </c>
      <c r="H166" s="4">
        <v>75.532502294841095</v>
      </c>
      <c r="I166" s="4">
        <v>448</v>
      </c>
      <c r="J166" s="4">
        <v>453.43</v>
      </c>
      <c r="K166" s="4">
        <v>443</v>
      </c>
      <c r="L166" s="4">
        <v>65.136772535340498</v>
      </c>
    </row>
    <row r="167" spans="1:12" ht="15" customHeight="1" x14ac:dyDescent="0.2">
      <c r="A167" s="6">
        <v>45812</v>
      </c>
      <c r="B167" s="7">
        <v>445.11</v>
      </c>
      <c r="C167" s="8">
        <v>546546</v>
      </c>
      <c r="D167" s="7">
        <v>4.9600000000000302</v>
      </c>
      <c r="E167" s="7">
        <v>1.12688856071794</v>
      </c>
      <c r="F167" s="7">
        <v>1.1268900295330699</v>
      </c>
      <c r="G167" s="7">
        <v>473.13067999999998</v>
      </c>
      <c r="H167" s="7">
        <v>73.721564163759794</v>
      </c>
      <c r="I167" s="7">
        <v>441.38</v>
      </c>
      <c r="J167" s="7">
        <v>447.18</v>
      </c>
      <c r="K167" s="7">
        <v>437.89</v>
      </c>
      <c r="L167" s="7">
        <v>63.433082430695698</v>
      </c>
    </row>
    <row r="168" spans="1:12" ht="15" customHeight="1" x14ac:dyDescent="0.2">
      <c r="A168" s="3">
        <v>45811</v>
      </c>
      <c r="B168" s="4">
        <v>440.15</v>
      </c>
      <c r="C168" s="5">
        <v>445359</v>
      </c>
      <c r="D168" s="4">
        <v>-4.3900000000000396</v>
      </c>
      <c r="E168" s="4">
        <v>-0.98753767939894199</v>
      </c>
      <c r="F168" s="4">
        <v>-0.98753970161989901</v>
      </c>
      <c r="G168" s="4">
        <v>467.85843</v>
      </c>
      <c r="H168" s="4">
        <v>71.785727923627604</v>
      </c>
      <c r="I168" s="4">
        <v>450.37</v>
      </c>
      <c r="J168" s="4">
        <v>452.41</v>
      </c>
      <c r="K168" s="4">
        <v>437.98</v>
      </c>
      <c r="L168" s="4">
        <v>61.611896456765102</v>
      </c>
    </row>
    <row r="169" spans="1:12" ht="15" customHeight="1" x14ac:dyDescent="0.2">
      <c r="A169" s="6">
        <v>45810</v>
      </c>
      <c r="B169" s="7">
        <v>444.54</v>
      </c>
      <c r="C169" s="8">
        <v>359897</v>
      </c>
      <c r="D169" s="7">
        <v>-1.3999999999999699</v>
      </c>
      <c r="E169" s="7">
        <v>-0.31394357985378102</v>
      </c>
      <c r="F169" s="7">
        <v>-0.31394501593141599</v>
      </c>
      <c r="G169" s="7">
        <v>472.52480000000003</v>
      </c>
      <c r="H169" s="7">
        <v>73.499100422250706</v>
      </c>
      <c r="I169" s="7">
        <v>445.01</v>
      </c>
      <c r="J169" s="7">
        <v>457.14</v>
      </c>
      <c r="K169" s="7">
        <v>439.47</v>
      </c>
      <c r="L169" s="7">
        <v>63.223792913530303</v>
      </c>
    </row>
    <row r="170" spans="1:12" ht="15" customHeight="1" x14ac:dyDescent="0.2">
      <c r="A170" s="3">
        <v>45807</v>
      </c>
      <c r="B170" s="4">
        <v>445.94</v>
      </c>
      <c r="C170" s="5">
        <v>1710911</v>
      </c>
      <c r="D170" s="4">
        <v>3.4100000000000201</v>
      </c>
      <c r="E170" s="4">
        <v>0.77056922694507202</v>
      </c>
      <c r="F170" s="4">
        <v>0.770567668054988</v>
      </c>
      <c r="G170" s="4">
        <v>474.01294000000001</v>
      </c>
      <c r="H170" s="4">
        <v>74.045507618872705</v>
      </c>
      <c r="I170" s="4">
        <v>444.74</v>
      </c>
      <c r="J170" s="4">
        <v>450.08</v>
      </c>
      <c r="K170" s="4">
        <v>435.59</v>
      </c>
      <c r="L170" s="4">
        <v>63.737837341655897</v>
      </c>
    </row>
    <row r="171" spans="1:12" ht="15" customHeight="1" x14ac:dyDescent="0.2">
      <c r="A171" s="6">
        <v>45806</v>
      </c>
      <c r="B171" s="7">
        <v>442.53</v>
      </c>
      <c r="C171" s="8">
        <v>726180</v>
      </c>
      <c r="D171" s="7">
        <v>-1.25</v>
      </c>
      <c r="E171" s="7">
        <v>-0.28167109829194598</v>
      </c>
      <c r="F171" s="7">
        <v>-0.28166679191833299</v>
      </c>
      <c r="G171" s="7">
        <v>470.38828000000001</v>
      </c>
      <c r="H171" s="7">
        <v>72.714624563980095</v>
      </c>
      <c r="I171" s="7">
        <v>444</v>
      </c>
      <c r="J171" s="7">
        <v>450.03</v>
      </c>
      <c r="K171" s="7">
        <v>439</v>
      </c>
      <c r="L171" s="7">
        <v>62.485771984578598</v>
      </c>
    </row>
    <row r="172" spans="1:12" ht="15" customHeight="1" x14ac:dyDescent="0.2">
      <c r="A172" s="3">
        <v>45805</v>
      </c>
      <c r="B172" s="4">
        <v>443.78</v>
      </c>
      <c r="C172" s="5">
        <v>912220</v>
      </c>
      <c r="D172" s="4">
        <v>11.6799999999999</v>
      </c>
      <c r="E172" s="4">
        <v>2.7030779912057201</v>
      </c>
      <c r="F172" s="4">
        <v>2.70307077025842</v>
      </c>
      <c r="G172" s="4">
        <v>471.71695</v>
      </c>
      <c r="H172" s="4">
        <v>73.202478428492697</v>
      </c>
      <c r="I172" s="4">
        <v>433.12</v>
      </c>
      <c r="J172" s="4">
        <v>444.76</v>
      </c>
      <c r="K172" s="4">
        <v>432.33</v>
      </c>
      <c r="L172" s="4">
        <v>62.944740223976403</v>
      </c>
    </row>
    <row r="173" spans="1:12" ht="15" customHeight="1" x14ac:dyDescent="0.2">
      <c r="A173" s="6">
        <v>45804</v>
      </c>
      <c r="B173" s="7">
        <v>432.1</v>
      </c>
      <c r="C173" s="8">
        <v>674549</v>
      </c>
      <c r="D173" s="7">
        <v>-27.0199999999999</v>
      </c>
      <c r="E173" s="7">
        <v>-5.8851716326886097</v>
      </c>
      <c r="F173" s="7">
        <v>-4.0512251336812399</v>
      </c>
      <c r="G173" s="7">
        <v>459.30169999999998</v>
      </c>
      <c r="H173" s="7">
        <v>68.643914081145496</v>
      </c>
      <c r="I173" s="7">
        <v>456.32</v>
      </c>
      <c r="J173" s="7">
        <v>456.32</v>
      </c>
      <c r="K173" s="7">
        <v>429.08</v>
      </c>
      <c r="L173" s="7">
        <v>58.656140995043103</v>
      </c>
    </row>
    <row r="174" spans="1:12" ht="15" customHeight="1" x14ac:dyDescent="0.2">
      <c r="A174" s="3">
        <v>45803</v>
      </c>
      <c r="B174" s="4">
        <v>459.12</v>
      </c>
      <c r="C174" s="5">
        <v>92174</v>
      </c>
      <c r="D174" s="4">
        <v>11.92</v>
      </c>
      <c r="E174" s="4">
        <v>2.66547406082289</v>
      </c>
      <c r="F174" s="4">
        <v>2.66547135597345</v>
      </c>
      <c r="G174" s="4">
        <v>478.69470000000001</v>
      </c>
      <c r="H174" s="4">
        <v>75.764530934459302</v>
      </c>
      <c r="I174" s="4">
        <v>447.22</v>
      </c>
      <c r="J174" s="4">
        <v>460</v>
      </c>
      <c r="K174" s="4">
        <v>447.22</v>
      </c>
      <c r="L174" s="4">
        <v>68.5771984578667</v>
      </c>
    </row>
    <row r="175" spans="1:12" ht="15" customHeight="1" x14ac:dyDescent="0.2">
      <c r="A175" s="6">
        <v>45800</v>
      </c>
      <c r="B175" s="7">
        <v>447.2</v>
      </c>
      <c r="C175" s="8">
        <v>352496</v>
      </c>
      <c r="D175" s="7">
        <v>11.079999999999901</v>
      </c>
      <c r="E175" s="7">
        <v>2.5405851600476899</v>
      </c>
      <c r="F175" s="7">
        <v>2.5405899021204701</v>
      </c>
      <c r="G175" s="7">
        <v>466.26650000000001</v>
      </c>
      <c r="H175" s="7">
        <v>71.201211676151999</v>
      </c>
      <c r="I175" s="7">
        <v>437.12</v>
      </c>
      <c r="J175" s="7">
        <v>449.72</v>
      </c>
      <c r="K175" s="7">
        <v>433.05</v>
      </c>
      <c r="L175" s="7">
        <v>64.200477326968894</v>
      </c>
    </row>
    <row r="176" spans="1:12" ht="15" customHeight="1" x14ac:dyDescent="0.2">
      <c r="A176" s="3">
        <v>45799</v>
      </c>
      <c r="B176" s="4">
        <v>436.12</v>
      </c>
      <c r="C176" s="5">
        <v>395177</v>
      </c>
      <c r="D176" s="4">
        <v>-5.6000000000000201</v>
      </c>
      <c r="E176" s="4">
        <v>-1.2677714389205801</v>
      </c>
      <c r="F176" s="4">
        <v>-1.2677762982516201</v>
      </c>
      <c r="G176" s="4">
        <v>454.71408000000002</v>
      </c>
      <c r="H176" s="4">
        <v>66.959456581604499</v>
      </c>
      <c r="I176" s="4">
        <v>439.51</v>
      </c>
      <c r="J176" s="4">
        <v>444.8</v>
      </c>
      <c r="K176" s="4">
        <v>432.88</v>
      </c>
      <c r="L176" s="4">
        <v>60.132182852946499</v>
      </c>
    </row>
    <row r="177" spans="1:12" ht="15" customHeight="1" x14ac:dyDescent="0.2">
      <c r="A177" s="6">
        <v>45798</v>
      </c>
      <c r="B177" s="7">
        <v>441.72</v>
      </c>
      <c r="C177" s="8">
        <v>574784</v>
      </c>
      <c r="D177" s="7">
        <v>3.7800000000000198</v>
      </c>
      <c r="E177" s="7">
        <v>0.86313193588163295</v>
      </c>
      <c r="F177" s="7">
        <v>0.86313162803319798</v>
      </c>
      <c r="G177" s="7">
        <v>460.55286000000001</v>
      </c>
      <c r="H177" s="7">
        <v>69.103308243069506</v>
      </c>
      <c r="I177" s="7">
        <v>434.95</v>
      </c>
      <c r="J177" s="7">
        <v>443.26</v>
      </c>
      <c r="K177" s="7">
        <v>432.33</v>
      </c>
      <c r="L177" s="7">
        <v>62.188360565448797</v>
      </c>
    </row>
    <row r="178" spans="1:12" ht="15" customHeight="1" x14ac:dyDescent="0.2">
      <c r="A178" s="3">
        <v>45797</v>
      </c>
      <c r="B178" s="4">
        <v>437.94</v>
      </c>
      <c r="C178" s="5">
        <v>446764</v>
      </c>
      <c r="D178" s="4">
        <v>-3.3799999999999901</v>
      </c>
      <c r="E178" s="4">
        <v>-0.76588416568476003</v>
      </c>
      <c r="F178" s="4">
        <v>-0.76588259379080004</v>
      </c>
      <c r="G178" s="4">
        <v>456.61169999999998</v>
      </c>
      <c r="H178" s="4">
        <v>67.656214429961395</v>
      </c>
      <c r="I178" s="4">
        <v>431.87</v>
      </c>
      <c r="J178" s="4">
        <v>441.78</v>
      </c>
      <c r="K178" s="4">
        <v>431.87</v>
      </c>
      <c r="L178" s="4">
        <v>60.800440609509799</v>
      </c>
    </row>
    <row r="179" spans="1:12" ht="15" customHeight="1" x14ac:dyDescent="0.2">
      <c r="A179" s="6">
        <v>45796</v>
      </c>
      <c r="B179" s="7">
        <v>441.32</v>
      </c>
      <c r="C179" s="8">
        <v>469252</v>
      </c>
      <c r="D179" s="7">
        <v>9.4800000000000093</v>
      </c>
      <c r="E179" s="7">
        <v>2.1952575027788002</v>
      </c>
      <c r="F179" s="7">
        <v>2.1952569543225602</v>
      </c>
      <c r="G179" s="7">
        <v>460.13580000000002</v>
      </c>
      <c r="H179" s="7">
        <v>68.950174407930902</v>
      </c>
      <c r="I179" s="7">
        <v>431.83</v>
      </c>
      <c r="J179" s="7">
        <v>444.8</v>
      </c>
      <c r="K179" s="7">
        <v>427.04</v>
      </c>
      <c r="L179" s="7">
        <v>62.041490728841502</v>
      </c>
    </row>
    <row r="180" spans="1:12" ht="15" customHeight="1" x14ac:dyDescent="0.2">
      <c r="A180" s="3">
        <v>45793</v>
      </c>
      <c r="B180" s="4">
        <v>431.84</v>
      </c>
      <c r="C180" s="5">
        <v>498710</v>
      </c>
      <c r="D180" s="4">
        <v>-5.9700000000000202</v>
      </c>
      <c r="E180" s="4">
        <v>-1.3636052168749</v>
      </c>
      <c r="F180" s="4">
        <v>-1.36360248752541</v>
      </c>
      <c r="G180" s="4">
        <v>450.25162</v>
      </c>
      <c r="H180" s="4">
        <v>65.320954653937903</v>
      </c>
      <c r="I180" s="4">
        <v>439</v>
      </c>
      <c r="J180" s="4">
        <v>439</v>
      </c>
      <c r="K180" s="4">
        <v>422.83</v>
      </c>
      <c r="L180" s="4">
        <v>58.560675601248299</v>
      </c>
    </row>
    <row r="181" spans="1:12" ht="15" customHeight="1" x14ac:dyDescent="0.2">
      <c r="A181" s="6">
        <v>45792</v>
      </c>
      <c r="B181" s="7">
        <v>437.81</v>
      </c>
      <c r="C181" s="8">
        <v>822385</v>
      </c>
      <c r="D181" s="7">
        <v>13.23</v>
      </c>
      <c r="E181" s="7">
        <v>3.1160205379433701</v>
      </c>
      <c r="F181" s="7">
        <v>3.1160218438483298</v>
      </c>
      <c r="G181" s="7">
        <v>456.47613999999999</v>
      </c>
      <c r="H181" s="7">
        <v>67.606440242335196</v>
      </c>
      <c r="I181" s="7">
        <v>422.45</v>
      </c>
      <c r="J181" s="7">
        <v>440.66</v>
      </c>
      <c r="K181" s="7">
        <v>420.67</v>
      </c>
      <c r="L181" s="7">
        <v>60.752707912612401</v>
      </c>
    </row>
    <row r="182" spans="1:12" ht="15" customHeight="1" x14ac:dyDescent="0.2">
      <c r="A182" s="3">
        <v>45791</v>
      </c>
      <c r="B182" s="4">
        <v>424.58</v>
      </c>
      <c r="C182" s="5">
        <v>758358</v>
      </c>
      <c r="D182" s="4">
        <v>7.7299999999999596</v>
      </c>
      <c r="E182" s="4">
        <v>1.85438407100875</v>
      </c>
      <c r="F182" s="4">
        <v>1.85437694635848</v>
      </c>
      <c r="G182" s="4">
        <v>442.68207000000001</v>
      </c>
      <c r="H182" s="4">
        <v>62.541608224710799</v>
      </c>
      <c r="I182" s="4">
        <v>424.99</v>
      </c>
      <c r="J182" s="4">
        <v>427.53</v>
      </c>
      <c r="K182" s="4">
        <v>414.51</v>
      </c>
      <c r="L182" s="4">
        <v>55.894988066825697</v>
      </c>
    </row>
    <row r="183" spans="1:12" ht="15" customHeight="1" x14ac:dyDescent="0.2">
      <c r="A183" s="6">
        <v>45790</v>
      </c>
      <c r="B183" s="7">
        <v>416.85</v>
      </c>
      <c r="C183" s="8">
        <v>1024269</v>
      </c>
      <c r="D183" s="7">
        <v>-3.4199999999999502</v>
      </c>
      <c r="E183" s="7">
        <v>-0.81376258119779599</v>
      </c>
      <c r="F183" s="7">
        <v>-0.81375742740016299</v>
      </c>
      <c r="G183" s="7">
        <v>434.62252999999998</v>
      </c>
      <c r="H183" s="7">
        <v>59.582349917385699</v>
      </c>
      <c r="I183" s="7">
        <v>424.99</v>
      </c>
      <c r="J183" s="7">
        <v>425</v>
      </c>
      <c r="K183" s="7">
        <v>414.66</v>
      </c>
      <c r="L183" s="7">
        <v>53.056728474389502</v>
      </c>
    </row>
    <row r="184" spans="1:12" ht="15" customHeight="1" x14ac:dyDescent="0.2">
      <c r="A184" s="3">
        <v>45789</v>
      </c>
      <c r="B184" s="4">
        <v>420.27</v>
      </c>
      <c r="C184" s="5">
        <v>580096</v>
      </c>
      <c r="D184" s="4">
        <v>-3.54000000000002</v>
      </c>
      <c r="E184" s="4">
        <v>-0.83527996035960195</v>
      </c>
      <c r="F184" s="4">
        <v>-0.835277982283122</v>
      </c>
      <c r="G184" s="4">
        <v>438.18831999999998</v>
      </c>
      <c r="H184" s="4">
        <v>60.891617404075603</v>
      </c>
      <c r="I184" s="4">
        <v>422.01</v>
      </c>
      <c r="J184" s="4">
        <v>429.79</v>
      </c>
      <c r="K184" s="4">
        <v>415.03</v>
      </c>
      <c r="L184" s="4">
        <v>54.312465577382</v>
      </c>
    </row>
    <row r="185" spans="1:12" ht="15" customHeight="1" x14ac:dyDescent="0.2">
      <c r="A185" s="6">
        <v>45786</v>
      </c>
      <c r="B185" s="7">
        <v>423.81</v>
      </c>
      <c r="C185" s="8">
        <v>599827</v>
      </c>
      <c r="D185" s="7">
        <v>-1.46999999999997</v>
      </c>
      <c r="E185" s="7">
        <v>-0.345654627539493</v>
      </c>
      <c r="F185" s="7">
        <v>-0.34565826859913601</v>
      </c>
      <c r="G185" s="7">
        <v>441.87923999999998</v>
      </c>
      <c r="H185" s="7">
        <v>62.246829447402199</v>
      </c>
      <c r="I185" s="7">
        <v>431.99</v>
      </c>
      <c r="J185" s="7">
        <v>431.99</v>
      </c>
      <c r="K185" s="7">
        <v>420.1</v>
      </c>
      <c r="L185" s="7">
        <v>55.612263631356697</v>
      </c>
    </row>
    <row r="186" spans="1:12" ht="15" customHeight="1" x14ac:dyDescent="0.2">
      <c r="A186" s="3">
        <v>45785</v>
      </c>
      <c r="B186" s="4">
        <v>425.28</v>
      </c>
      <c r="C186" s="5">
        <v>765486</v>
      </c>
      <c r="D186" s="4">
        <v>-9.9700000000000202</v>
      </c>
      <c r="E186" s="4">
        <v>-2.2906375646180299</v>
      </c>
      <c r="F186" s="4">
        <v>-2.2906367684941</v>
      </c>
      <c r="G186" s="4">
        <v>443.41192999999998</v>
      </c>
      <c r="H186" s="4">
        <v>62.809594272076303</v>
      </c>
      <c r="I186" s="4">
        <v>434.02</v>
      </c>
      <c r="J186" s="4">
        <v>439.6</v>
      </c>
      <c r="K186" s="4">
        <v>419.15</v>
      </c>
      <c r="L186" s="4">
        <v>56.152010280888497</v>
      </c>
    </row>
    <row r="187" spans="1:12" ht="15" customHeight="1" x14ac:dyDescent="0.2">
      <c r="A187" s="6">
        <v>45784</v>
      </c>
      <c r="B187" s="7">
        <v>435.25</v>
      </c>
      <c r="C187" s="8">
        <v>870916</v>
      </c>
      <c r="D187" s="7">
        <v>26.279999999999902</v>
      </c>
      <c r="E187" s="7">
        <v>6.4258992102110097</v>
      </c>
      <c r="F187" s="7">
        <v>6.4258955115512304</v>
      </c>
      <c r="G187" s="7">
        <v>453.80700000000002</v>
      </c>
      <c r="H187" s="7">
        <v>66.626399853130096</v>
      </c>
      <c r="I187" s="7">
        <v>406.01</v>
      </c>
      <c r="J187" s="7">
        <v>436.54</v>
      </c>
      <c r="K187" s="7">
        <v>398.01</v>
      </c>
      <c r="L187" s="7">
        <v>59.812740958325598</v>
      </c>
    </row>
    <row r="188" spans="1:12" ht="15" customHeight="1" x14ac:dyDescent="0.2">
      <c r="A188" s="3">
        <v>45783</v>
      </c>
      <c r="B188" s="4">
        <v>408.97</v>
      </c>
      <c r="C188" s="5">
        <v>770499</v>
      </c>
      <c r="D188" s="4">
        <v>4.6500000000000297</v>
      </c>
      <c r="E188" s="4">
        <v>1.1500791452315</v>
      </c>
      <c r="F188" s="4">
        <v>1.15007574752648</v>
      </c>
      <c r="G188" s="4">
        <v>426.40656000000001</v>
      </c>
      <c r="H188" s="4">
        <v>56.565654488709299</v>
      </c>
      <c r="I188" s="4">
        <v>401.76</v>
      </c>
      <c r="J188" s="4">
        <v>410.71</v>
      </c>
      <c r="K188" s="4">
        <v>401.35</v>
      </c>
      <c r="L188" s="4">
        <v>50.163392693225603</v>
      </c>
    </row>
    <row r="189" spans="1:12" ht="15" customHeight="1" x14ac:dyDescent="0.2">
      <c r="A189" s="6">
        <v>45782</v>
      </c>
      <c r="B189" s="7">
        <v>404.32</v>
      </c>
      <c r="C189" s="8">
        <v>528766</v>
      </c>
      <c r="D189" s="7">
        <v>2.6700000000000101</v>
      </c>
      <c r="E189" s="7">
        <v>0.66475787377069295</v>
      </c>
      <c r="F189" s="7">
        <v>0.66476836551914098</v>
      </c>
      <c r="G189" s="7">
        <v>421.55831999999998</v>
      </c>
      <c r="H189" s="7">
        <v>54.785503947126799</v>
      </c>
      <c r="I189" s="7">
        <v>400.99</v>
      </c>
      <c r="J189" s="7">
        <v>405</v>
      </c>
      <c r="K189" s="7">
        <v>396.51</v>
      </c>
      <c r="L189" s="7">
        <v>48.456030842665598</v>
      </c>
    </row>
    <row r="190" spans="1:12" ht="15" customHeight="1" x14ac:dyDescent="0.2">
      <c r="A190" s="3">
        <v>45779</v>
      </c>
      <c r="B190" s="4">
        <v>401.65</v>
      </c>
      <c r="C190" s="5">
        <v>826737</v>
      </c>
      <c r="D190" s="4">
        <v>3.48999999999995</v>
      </c>
      <c r="E190" s="4">
        <v>0.87653204741810997</v>
      </c>
      <c r="F190" s="4">
        <v>0.87652306831349502</v>
      </c>
      <c r="G190" s="4">
        <v>418.77444000000003</v>
      </c>
      <c r="H190" s="4">
        <v>53.763333945290903</v>
      </c>
      <c r="I190" s="4">
        <v>398.16</v>
      </c>
      <c r="J190" s="4">
        <v>406.53</v>
      </c>
      <c r="K190" s="4">
        <v>390.03</v>
      </c>
      <c r="L190" s="4">
        <v>47.475674683311901</v>
      </c>
    </row>
    <row r="191" spans="1:12" ht="15" customHeight="1" x14ac:dyDescent="0.2">
      <c r="A191" s="6">
        <v>45777</v>
      </c>
      <c r="B191" s="7">
        <v>398.16</v>
      </c>
      <c r="C191" s="8">
        <v>1156887</v>
      </c>
      <c r="D191" s="7">
        <v>11.24</v>
      </c>
      <c r="E191" s="7">
        <v>2.9049932802646499</v>
      </c>
      <c r="F191" s="7">
        <v>2.9049981205525301</v>
      </c>
      <c r="G191" s="7">
        <v>415.13567999999998</v>
      </c>
      <c r="H191" s="7">
        <v>52.427273728657902</v>
      </c>
      <c r="I191" s="7">
        <v>386.92</v>
      </c>
      <c r="J191" s="7">
        <v>399.81</v>
      </c>
      <c r="K191" s="7">
        <v>384.02</v>
      </c>
      <c r="L191" s="7">
        <v>46.194235358913097</v>
      </c>
    </row>
    <row r="192" spans="1:12" ht="15" customHeight="1" x14ac:dyDescent="0.2">
      <c r="A192" s="3">
        <v>45776</v>
      </c>
      <c r="B192" s="4">
        <v>386.92</v>
      </c>
      <c r="C192" s="5">
        <v>754921</v>
      </c>
      <c r="D192" s="4">
        <v>-5.6899999999999897</v>
      </c>
      <c r="E192" s="4">
        <v>-1.4492753623188299</v>
      </c>
      <c r="F192" s="4">
        <v>-1.4492742293782901</v>
      </c>
      <c r="G192" s="4">
        <v>403.41644000000002</v>
      </c>
      <c r="H192" s="4">
        <v>48.124266568753399</v>
      </c>
      <c r="I192" s="4">
        <v>399.5</v>
      </c>
      <c r="J192" s="4">
        <v>400.04</v>
      </c>
      <c r="K192" s="4">
        <v>384.83</v>
      </c>
      <c r="L192" s="4">
        <v>42.067192950247801</v>
      </c>
    </row>
    <row r="193" spans="1:12" ht="15" customHeight="1" x14ac:dyDescent="0.2">
      <c r="A193" s="6">
        <v>45775</v>
      </c>
      <c r="B193" s="7">
        <v>392.61</v>
      </c>
      <c r="C193" s="8">
        <v>633057</v>
      </c>
      <c r="D193" s="7">
        <v>-10.74</v>
      </c>
      <c r="E193" s="7">
        <v>-2.6626998884343598</v>
      </c>
      <c r="F193" s="7">
        <v>-2.6627015761902699</v>
      </c>
      <c r="G193" s="7">
        <v>409.34903000000003</v>
      </c>
      <c r="H193" s="7">
        <v>50.3025628786487</v>
      </c>
      <c r="I193" s="7">
        <v>401.56</v>
      </c>
      <c r="J193" s="7">
        <v>403.98</v>
      </c>
      <c r="K193" s="7">
        <v>390.74</v>
      </c>
      <c r="L193" s="7">
        <v>44.156416375986701</v>
      </c>
    </row>
    <row r="194" spans="1:12" ht="15" customHeight="1" x14ac:dyDescent="0.2">
      <c r="A194" s="3">
        <v>45772</v>
      </c>
      <c r="B194" s="4">
        <v>403.35</v>
      </c>
      <c r="C194" s="5">
        <v>820915</v>
      </c>
      <c r="D194" s="4">
        <v>5.9399999999999897</v>
      </c>
      <c r="E194" s="4">
        <v>1.494678040311</v>
      </c>
      <c r="F194" s="4">
        <v>1.4946747187245899</v>
      </c>
      <c r="G194" s="4">
        <v>420.54694000000001</v>
      </c>
      <c r="H194" s="4">
        <v>54.414150908757101</v>
      </c>
      <c r="I194" s="4">
        <v>399.32</v>
      </c>
      <c r="J194" s="4">
        <v>404.7</v>
      </c>
      <c r="K194" s="4">
        <v>392.54</v>
      </c>
      <c r="L194" s="4">
        <v>48.099871488892902</v>
      </c>
    </row>
    <row r="195" spans="1:12" ht="15" customHeight="1" x14ac:dyDescent="0.2">
      <c r="A195" s="6">
        <v>45771</v>
      </c>
      <c r="B195" s="7">
        <v>397.41</v>
      </c>
      <c r="C195" s="8">
        <v>624483</v>
      </c>
      <c r="D195" s="7">
        <v>3.8600000000000101</v>
      </c>
      <c r="E195" s="7">
        <v>0.98081565239487301</v>
      </c>
      <c r="F195" s="7">
        <v>0.98082246664934403</v>
      </c>
      <c r="G195" s="7">
        <v>414.3537</v>
      </c>
      <c r="H195" s="7">
        <v>52.1401505415825</v>
      </c>
      <c r="I195" s="7">
        <v>384.58</v>
      </c>
      <c r="J195" s="7">
        <v>402.14</v>
      </c>
      <c r="K195" s="7">
        <v>384.58</v>
      </c>
      <c r="L195" s="7">
        <v>45.918854415274403</v>
      </c>
    </row>
    <row r="196" spans="1:12" ht="15" customHeight="1" x14ac:dyDescent="0.2">
      <c r="A196" s="3">
        <v>45770</v>
      </c>
      <c r="B196" s="4">
        <v>393.55</v>
      </c>
      <c r="C196" s="5">
        <v>576540</v>
      </c>
      <c r="D196" s="4">
        <v>10.9499999999999</v>
      </c>
      <c r="E196" s="4">
        <v>2.8619968635650701</v>
      </c>
      <c r="F196" s="4">
        <v>2.8619927600119301</v>
      </c>
      <c r="G196" s="4">
        <v>410.32909999999998</v>
      </c>
      <c r="H196" s="4">
        <v>50.662419680558003</v>
      </c>
      <c r="I196" s="4">
        <v>384.55</v>
      </c>
      <c r="J196" s="4">
        <v>398.44</v>
      </c>
      <c r="K196" s="4">
        <v>383.01</v>
      </c>
      <c r="L196" s="4">
        <v>44.501560492013901</v>
      </c>
    </row>
    <row r="197" spans="1:12" ht="15" customHeight="1" x14ac:dyDescent="0.2">
      <c r="A197" s="6">
        <v>45769</v>
      </c>
      <c r="B197" s="7">
        <v>382.6</v>
      </c>
      <c r="C197" s="8">
        <v>408379</v>
      </c>
      <c r="D197" s="7">
        <v>4.7900000000000196</v>
      </c>
      <c r="E197" s="7">
        <v>1.26783303777031</v>
      </c>
      <c r="F197" s="7">
        <v>1.2678348335566101</v>
      </c>
      <c r="G197" s="7">
        <v>398.91226</v>
      </c>
      <c r="H197" s="7">
        <v>46.470446117128603</v>
      </c>
      <c r="I197" s="7">
        <v>377.3</v>
      </c>
      <c r="J197" s="7">
        <v>385</v>
      </c>
      <c r="K197" s="7">
        <v>373.03</v>
      </c>
      <c r="L197" s="7">
        <v>40.480998714888898</v>
      </c>
    </row>
    <row r="198" spans="1:12" ht="15" customHeight="1" x14ac:dyDescent="0.2">
      <c r="A198" s="3">
        <v>45768</v>
      </c>
      <c r="B198" s="4">
        <v>377.81</v>
      </c>
      <c r="C198" s="5">
        <v>879739</v>
      </c>
      <c r="D198" s="4">
        <v>4.8899999999999801</v>
      </c>
      <c r="E198" s="4">
        <v>1.31127319532338</v>
      </c>
      <c r="F198" s="4">
        <v>1.31127151399665</v>
      </c>
      <c r="G198" s="4">
        <v>393.91802999999999</v>
      </c>
      <c r="H198" s="4">
        <v>44.636691756930396</v>
      </c>
      <c r="I198" s="4">
        <v>374.78</v>
      </c>
      <c r="J198" s="4">
        <v>383.47</v>
      </c>
      <c r="K198" s="4">
        <v>374.78</v>
      </c>
      <c r="L198" s="4">
        <v>38.722232421516402</v>
      </c>
    </row>
    <row r="199" spans="1:12" ht="15" customHeight="1" x14ac:dyDescent="0.2">
      <c r="A199" s="6">
        <v>45763</v>
      </c>
      <c r="B199" s="7">
        <v>372.92</v>
      </c>
      <c r="C199" s="8">
        <v>894267</v>
      </c>
      <c r="D199" s="7">
        <v>0.91000000000002501</v>
      </c>
      <c r="E199" s="7">
        <v>0.244617080186015</v>
      </c>
      <c r="F199" s="7">
        <v>0.24461498464074499</v>
      </c>
      <c r="G199" s="7">
        <v>388.81954999999999</v>
      </c>
      <c r="H199" s="7">
        <v>42.764659445566302</v>
      </c>
      <c r="I199" s="7">
        <v>373.88</v>
      </c>
      <c r="J199" s="7">
        <v>379.47</v>
      </c>
      <c r="K199" s="7">
        <v>370.47</v>
      </c>
      <c r="L199" s="7">
        <v>36.926748668992097</v>
      </c>
    </row>
    <row r="200" spans="1:12" ht="15" customHeight="1" x14ac:dyDescent="0.2">
      <c r="A200" s="3">
        <v>45762</v>
      </c>
      <c r="B200" s="4">
        <v>372.01</v>
      </c>
      <c r="C200" s="5">
        <v>710374</v>
      </c>
      <c r="D200" s="4">
        <v>-2.8500000000000201</v>
      </c>
      <c r="E200" s="4">
        <v>-0.76028383930001298</v>
      </c>
      <c r="F200" s="4">
        <v>-0.76027860345189102</v>
      </c>
      <c r="G200" s="4">
        <v>387.87076000000002</v>
      </c>
      <c r="H200" s="4">
        <v>42.416287864879699</v>
      </c>
      <c r="I200" s="4">
        <v>365.49</v>
      </c>
      <c r="J200" s="4">
        <v>379.75</v>
      </c>
      <c r="K200" s="4">
        <v>365.49</v>
      </c>
      <c r="L200" s="4">
        <v>36.592619790710401</v>
      </c>
    </row>
    <row r="201" spans="1:12" ht="15" customHeight="1" x14ac:dyDescent="0.2">
      <c r="A201" s="6">
        <v>45761</v>
      </c>
      <c r="B201" s="7">
        <v>374.86</v>
      </c>
      <c r="C201" s="8">
        <v>1241722</v>
      </c>
      <c r="D201" s="7">
        <v>4.3099999999999996</v>
      </c>
      <c r="E201" s="7">
        <v>1.1631358790986399</v>
      </c>
      <c r="F201" s="7">
        <v>1.1631390396566299</v>
      </c>
      <c r="G201" s="7">
        <v>390.84224999999998</v>
      </c>
      <c r="H201" s="7">
        <v>43.507343491830298</v>
      </c>
      <c r="I201" s="7">
        <v>372.4</v>
      </c>
      <c r="J201" s="7">
        <v>386.64</v>
      </c>
      <c r="K201" s="7">
        <v>371.16</v>
      </c>
      <c r="L201" s="7">
        <v>37.639067376537497</v>
      </c>
    </row>
    <row r="202" spans="1:12" ht="15" customHeight="1" x14ac:dyDescent="0.2">
      <c r="A202" s="3">
        <v>45758</v>
      </c>
      <c r="B202" s="4">
        <v>370.55</v>
      </c>
      <c r="C202" s="5">
        <v>659007</v>
      </c>
      <c r="D202" s="4">
        <v>1.47000000000002</v>
      </c>
      <c r="E202" s="4">
        <v>0.39828763411726698</v>
      </c>
      <c r="F202" s="4">
        <v>0.39828143244522402</v>
      </c>
      <c r="G202" s="4">
        <v>386.34848</v>
      </c>
      <c r="H202" s="4">
        <v>41.8573453277033</v>
      </c>
      <c r="I202" s="4">
        <v>371.78</v>
      </c>
      <c r="J202" s="4">
        <v>375.94</v>
      </c>
      <c r="K202" s="4">
        <v>367.06</v>
      </c>
      <c r="L202" s="4">
        <v>36.0565448870938</v>
      </c>
    </row>
    <row r="203" spans="1:12" ht="15" customHeight="1" x14ac:dyDescent="0.2">
      <c r="A203" s="6">
        <v>45757</v>
      </c>
      <c r="B203" s="7">
        <v>369.08</v>
      </c>
      <c r="C203" s="8">
        <v>698601</v>
      </c>
      <c r="D203" s="7">
        <v>-5.62</v>
      </c>
      <c r="E203" s="7">
        <v>-1.4998665599145899</v>
      </c>
      <c r="F203" s="7">
        <v>-1.49986900891776</v>
      </c>
      <c r="G203" s="7">
        <v>384.81583000000001</v>
      </c>
      <c r="H203" s="7">
        <v>41.294595190012799</v>
      </c>
      <c r="I203" s="7">
        <v>373.45</v>
      </c>
      <c r="J203" s="7">
        <v>380.59</v>
      </c>
      <c r="K203" s="7">
        <v>365.92</v>
      </c>
      <c r="L203" s="7">
        <v>35.5167982375619</v>
      </c>
    </row>
    <row r="204" spans="1:12" ht="15" customHeight="1" x14ac:dyDescent="0.2">
      <c r="A204" s="3">
        <v>45756</v>
      </c>
      <c r="B204" s="4">
        <v>374.7</v>
      </c>
      <c r="C204" s="5">
        <v>1470914</v>
      </c>
      <c r="D204" s="4">
        <v>12.9499999999999</v>
      </c>
      <c r="E204" s="4">
        <v>3.5798203178990899</v>
      </c>
      <c r="F204" s="4">
        <v>3.57982656778728</v>
      </c>
      <c r="G204" s="4">
        <v>390.67545000000001</v>
      </c>
      <c r="H204" s="4">
        <v>43.446098769965097</v>
      </c>
      <c r="I204" s="4">
        <v>363.55</v>
      </c>
      <c r="J204" s="4">
        <v>379.02</v>
      </c>
      <c r="K204" s="4">
        <v>352.75</v>
      </c>
      <c r="L204" s="4">
        <v>37.580319441894602</v>
      </c>
    </row>
    <row r="205" spans="1:12" ht="15" customHeight="1" x14ac:dyDescent="0.2">
      <c r="A205" s="6">
        <v>45755</v>
      </c>
      <c r="B205" s="7">
        <v>361.75</v>
      </c>
      <c r="C205" s="8">
        <v>1387973</v>
      </c>
      <c r="D205" s="7">
        <v>-3.1700000000000101</v>
      </c>
      <c r="E205" s="7">
        <v>-0.86868354707881901</v>
      </c>
      <c r="F205" s="7">
        <v>-0.86869560303670601</v>
      </c>
      <c r="G205" s="7">
        <v>377.17329999999998</v>
      </c>
      <c r="H205" s="7">
        <v>38.488452359096698</v>
      </c>
      <c r="I205" s="7">
        <v>369.52</v>
      </c>
      <c r="J205" s="7">
        <v>375</v>
      </c>
      <c r="K205" s="7">
        <v>359.02</v>
      </c>
      <c r="L205" s="7">
        <v>32.825408481733</v>
      </c>
    </row>
    <row r="206" spans="1:12" ht="15" customHeight="1" x14ac:dyDescent="0.2">
      <c r="A206" s="3">
        <v>45754</v>
      </c>
      <c r="B206" s="4">
        <v>364.92</v>
      </c>
      <c r="C206" s="5">
        <v>855346</v>
      </c>
      <c r="D206" s="4">
        <v>-4.4399999999999897</v>
      </c>
      <c r="E206" s="4">
        <v>-1.2020792722547</v>
      </c>
      <c r="F206" s="4">
        <v>-1.2020687404481201</v>
      </c>
      <c r="G206" s="4">
        <v>380.4785</v>
      </c>
      <c r="H206" s="4">
        <v>39.702037818982902</v>
      </c>
      <c r="I206" s="4">
        <v>367.69</v>
      </c>
      <c r="J206" s="4">
        <v>379.7</v>
      </c>
      <c r="K206" s="4">
        <v>358.5</v>
      </c>
      <c r="L206" s="4">
        <v>33.9893519368459</v>
      </c>
    </row>
    <row r="207" spans="1:12" ht="15" customHeight="1" x14ac:dyDescent="0.2">
      <c r="A207" s="6">
        <v>45751</v>
      </c>
      <c r="B207" s="7">
        <v>369.36</v>
      </c>
      <c r="C207" s="8">
        <v>614516</v>
      </c>
      <c r="D207" s="7">
        <v>-15.8399999999999</v>
      </c>
      <c r="E207" s="7">
        <v>-4.1121495327102702</v>
      </c>
      <c r="F207" s="7">
        <v>-4.11214892768868</v>
      </c>
      <c r="G207" s="7">
        <v>385.10775999999998</v>
      </c>
      <c r="H207" s="7">
        <v>41.401784468514698</v>
      </c>
      <c r="I207" s="7">
        <v>381.96</v>
      </c>
      <c r="J207" s="7">
        <v>381.96</v>
      </c>
      <c r="K207" s="7">
        <v>360.67</v>
      </c>
      <c r="L207" s="7">
        <v>35.619607123187002</v>
      </c>
    </row>
    <row r="208" spans="1:12" ht="15" customHeight="1" x14ac:dyDescent="0.2">
      <c r="A208" s="3">
        <v>45750</v>
      </c>
      <c r="B208" s="4">
        <v>385.2</v>
      </c>
      <c r="C208" s="5">
        <v>668575</v>
      </c>
      <c r="D208" s="4">
        <v>-3.4700000000000202</v>
      </c>
      <c r="E208" s="4">
        <v>-0.89278822651607204</v>
      </c>
      <c r="F208" s="4">
        <v>-0.89279205813941298</v>
      </c>
      <c r="G208" s="4">
        <v>401.62310000000002</v>
      </c>
      <c r="H208" s="4">
        <v>47.465797686800002</v>
      </c>
      <c r="I208" s="4">
        <v>388</v>
      </c>
      <c r="J208" s="4">
        <v>393.88</v>
      </c>
      <c r="K208" s="4">
        <v>374.05</v>
      </c>
      <c r="L208" s="4">
        <v>41.435652652836403</v>
      </c>
    </row>
    <row r="209" spans="1:12" ht="15" customHeight="1" x14ac:dyDescent="0.2">
      <c r="A209" s="6">
        <v>45749</v>
      </c>
      <c r="B209" s="7">
        <v>388.67</v>
      </c>
      <c r="C209" s="8">
        <v>617655</v>
      </c>
      <c r="D209" s="7">
        <v>5.2900000000000196</v>
      </c>
      <c r="E209" s="7">
        <v>1.3798320204496799</v>
      </c>
      <c r="F209" s="7">
        <v>1.37983184060901</v>
      </c>
      <c r="G209" s="7">
        <v>405.24106</v>
      </c>
      <c r="H209" s="7">
        <v>48.794220671929402</v>
      </c>
      <c r="I209" s="7">
        <v>381.46</v>
      </c>
      <c r="J209" s="7">
        <v>390.52</v>
      </c>
      <c r="K209" s="7">
        <v>379.54</v>
      </c>
      <c r="L209" s="7">
        <v>42.709748485404802</v>
      </c>
    </row>
    <row r="210" spans="1:12" ht="15" customHeight="1" x14ac:dyDescent="0.2">
      <c r="A210" s="3">
        <v>45748</v>
      </c>
      <c r="B210" s="4">
        <v>383.38</v>
      </c>
      <c r="C210" s="5">
        <v>459566</v>
      </c>
      <c r="D210" s="4">
        <v>4.9800000000000102</v>
      </c>
      <c r="E210" s="4">
        <v>1.31606765327696</v>
      </c>
      <c r="F210" s="4">
        <v>1.31607438735761</v>
      </c>
      <c r="G210" s="4">
        <v>399.72552000000002</v>
      </c>
      <c r="H210" s="4">
        <v>46.769054525426803</v>
      </c>
      <c r="I210" s="4">
        <v>377.95</v>
      </c>
      <c r="J210" s="4">
        <v>385.12</v>
      </c>
      <c r="K210" s="4">
        <v>375.15</v>
      </c>
      <c r="L210" s="4">
        <v>40.767394896273103</v>
      </c>
    </row>
    <row r="211" spans="1:12" ht="15" customHeight="1" x14ac:dyDescent="0.2">
      <c r="A211" s="6">
        <v>45747</v>
      </c>
      <c r="B211" s="7">
        <v>378.4</v>
      </c>
      <c r="C211" s="8">
        <v>1136702</v>
      </c>
      <c r="D211" s="7">
        <v>-3.0300000000000198</v>
      </c>
      <c r="E211" s="7">
        <v>-0.79437904726948805</v>
      </c>
      <c r="F211" s="7">
        <v>-0.79437786520157805</v>
      </c>
      <c r="G211" s="7">
        <v>394.53316999999998</v>
      </c>
      <c r="H211" s="7">
        <v>44.862555535156901</v>
      </c>
      <c r="I211" s="7">
        <v>378.01</v>
      </c>
      <c r="J211" s="7">
        <v>382.23</v>
      </c>
      <c r="K211" s="7">
        <v>368.61</v>
      </c>
      <c r="L211" s="7">
        <v>38.938865430512102</v>
      </c>
    </row>
    <row r="212" spans="1:12" ht="15" customHeight="1" x14ac:dyDescent="0.2">
      <c r="A212" s="3">
        <v>45744</v>
      </c>
      <c r="B212" s="4">
        <v>381.43</v>
      </c>
      <c r="C212" s="5">
        <v>591657</v>
      </c>
      <c r="D212" s="4">
        <v>-2.4900000000000002</v>
      </c>
      <c r="E212" s="4">
        <v>-0.64857261929568399</v>
      </c>
      <c r="F212" s="4">
        <v>-0.64857964707158899</v>
      </c>
      <c r="G212" s="4">
        <v>397.69234999999998</v>
      </c>
      <c r="H212" s="4">
        <v>46.022526161189603</v>
      </c>
      <c r="I212" s="4">
        <v>383</v>
      </c>
      <c r="J212" s="4">
        <v>387</v>
      </c>
      <c r="K212" s="4">
        <v>377.02</v>
      </c>
      <c r="L212" s="4">
        <v>40.051404442812498</v>
      </c>
    </row>
    <row r="213" spans="1:12" ht="15" customHeight="1" x14ac:dyDescent="0.2">
      <c r="A213" s="6">
        <v>45743</v>
      </c>
      <c r="B213" s="7">
        <v>383.92</v>
      </c>
      <c r="C213" s="8">
        <v>561714</v>
      </c>
      <c r="D213" s="7">
        <v>2.1999999999999802</v>
      </c>
      <c r="E213" s="7">
        <v>0.57633867756470203</v>
      </c>
      <c r="F213" s="7">
        <v>0.57633674816062097</v>
      </c>
      <c r="G213" s="7">
        <v>400.28854000000001</v>
      </c>
      <c r="H213" s="7">
        <v>46.975781163943402</v>
      </c>
      <c r="I213" s="7">
        <v>380.7</v>
      </c>
      <c r="J213" s="7">
        <v>388.85</v>
      </c>
      <c r="K213" s="7">
        <v>378.6</v>
      </c>
      <c r="L213" s="7">
        <v>40.965669175693002</v>
      </c>
    </row>
    <row r="214" spans="1:12" ht="15" customHeight="1" x14ac:dyDescent="0.2">
      <c r="A214" s="3">
        <v>45742</v>
      </c>
      <c r="B214" s="4">
        <v>381.72</v>
      </c>
      <c r="C214" s="5">
        <v>423928</v>
      </c>
      <c r="D214" s="4">
        <v>-8.8899999999999793</v>
      </c>
      <c r="E214" s="4">
        <v>-2.2759273956119799</v>
      </c>
      <c r="F214" s="4">
        <v>-2.2759231020211401</v>
      </c>
      <c r="G214" s="4">
        <v>397.99475000000001</v>
      </c>
      <c r="H214" s="4">
        <v>46.133559757664699</v>
      </c>
      <c r="I214" s="4">
        <v>390</v>
      </c>
      <c r="J214" s="4">
        <v>392.2</v>
      </c>
      <c r="K214" s="4">
        <v>379.63</v>
      </c>
      <c r="L214" s="4">
        <v>40.157885074352798</v>
      </c>
    </row>
    <row r="215" spans="1:12" ht="15" customHeight="1" x14ac:dyDescent="0.2">
      <c r="A215" s="6">
        <v>45741</v>
      </c>
      <c r="B215" s="7">
        <v>390.61</v>
      </c>
      <c r="C215" s="8">
        <v>500629</v>
      </c>
      <c r="D215" s="7">
        <v>10.34</v>
      </c>
      <c r="E215" s="7">
        <v>2.7191206248192201</v>
      </c>
      <c r="F215" s="7">
        <v>2.7191235738035702</v>
      </c>
      <c r="G215" s="7">
        <v>407.26375999999999</v>
      </c>
      <c r="H215" s="7">
        <v>49.536904718193398</v>
      </c>
      <c r="I215" s="7">
        <v>378.24</v>
      </c>
      <c r="J215" s="7">
        <v>393.9</v>
      </c>
      <c r="K215" s="7">
        <v>377.07</v>
      </c>
      <c r="L215" s="7">
        <v>43.422067192950202</v>
      </c>
    </row>
    <row r="216" spans="1:12" ht="15" customHeight="1" x14ac:dyDescent="0.2">
      <c r="A216" s="3">
        <v>45740</v>
      </c>
      <c r="B216" s="4">
        <v>380.27</v>
      </c>
      <c r="C216" s="5">
        <v>983039</v>
      </c>
      <c r="D216" s="4">
        <v>5.49</v>
      </c>
      <c r="E216" s="4">
        <v>1.4648593841720401</v>
      </c>
      <c r="F216" s="4">
        <v>1.4648548586935399</v>
      </c>
      <c r="G216" s="4">
        <v>396.48289999999997</v>
      </c>
      <c r="H216" s="4">
        <v>45.5784468514778</v>
      </c>
      <c r="I216" s="4">
        <v>373.49</v>
      </c>
      <c r="J216" s="4">
        <v>384.45</v>
      </c>
      <c r="K216" s="4">
        <v>373.49</v>
      </c>
      <c r="L216" s="4">
        <v>39.625481916651303</v>
      </c>
    </row>
    <row r="217" spans="1:12" ht="15" customHeight="1" x14ac:dyDescent="0.2">
      <c r="A217" s="6">
        <v>45737</v>
      </c>
      <c r="B217" s="7">
        <v>374.78</v>
      </c>
      <c r="C217" s="8">
        <v>4129395</v>
      </c>
      <c r="D217" s="7">
        <v>-6.12</v>
      </c>
      <c r="E217" s="7">
        <v>-1.6067209241270599</v>
      </c>
      <c r="F217" s="7">
        <v>-1.6067189644592801</v>
      </c>
      <c r="G217" s="7">
        <v>390.75885</v>
      </c>
      <c r="H217" s="7">
        <v>43.476721130897701</v>
      </c>
      <c r="I217" s="7">
        <v>382.75</v>
      </c>
      <c r="J217" s="7">
        <v>384.86</v>
      </c>
      <c r="K217" s="7">
        <v>373.4</v>
      </c>
      <c r="L217" s="7">
        <v>37.609693409216</v>
      </c>
    </row>
    <row r="218" spans="1:12" ht="15" customHeight="1" x14ac:dyDescent="0.2">
      <c r="A218" s="3">
        <v>45736</v>
      </c>
      <c r="B218" s="4">
        <v>380.9</v>
      </c>
      <c r="C218" s="5">
        <v>610087</v>
      </c>
      <c r="D218" s="4">
        <v>-4.7300000000000102</v>
      </c>
      <c r="E218" s="4">
        <v>-1.2265643233151</v>
      </c>
      <c r="F218" s="4">
        <v>-1.22656560734579</v>
      </c>
      <c r="G218" s="4">
        <v>397.13977</v>
      </c>
      <c r="H218" s="4">
        <v>45.819632825408398</v>
      </c>
      <c r="I218" s="4">
        <v>385.5</v>
      </c>
      <c r="J218" s="4">
        <v>388.99</v>
      </c>
      <c r="K218" s="4">
        <v>378.71</v>
      </c>
      <c r="L218" s="4">
        <v>39.856801909307798</v>
      </c>
    </row>
    <row r="219" spans="1:12" ht="15" customHeight="1" x14ac:dyDescent="0.2">
      <c r="A219" s="6">
        <v>45735</v>
      </c>
      <c r="B219" s="7">
        <v>385.63</v>
      </c>
      <c r="C219" s="8">
        <v>520719</v>
      </c>
      <c r="D219" s="7">
        <v>4.62</v>
      </c>
      <c r="E219" s="7">
        <v>1.2125665993018599</v>
      </c>
      <c r="F219" s="7">
        <v>1.21255769286439</v>
      </c>
      <c r="G219" s="7">
        <v>402.07144</v>
      </c>
      <c r="H219" s="7">
        <v>47.630416743161298</v>
      </c>
      <c r="I219" s="7">
        <v>382.91</v>
      </c>
      <c r="J219" s="7">
        <v>390</v>
      </c>
      <c r="K219" s="7">
        <v>380.1</v>
      </c>
      <c r="L219" s="7">
        <v>41.593537727189201</v>
      </c>
    </row>
    <row r="220" spans="1:12" ht="15" customHeight="1" x14ac:dyDescent="0.2">
      <c r="A220" s="3">
        <v>45734</v>
      </c>
      <c r="B220" s="4">
        <v>381.01</v>
      </c>
      <c r="C220" s="5">
        <v>1787988</v>
      </c>
      <c r="D220" s="4">
        <v>-0.21000000000003599</v>
      </c>
      <c r="E220" s="4">
        <v>-5.5086301872941897E-2</v>
      </c>
      <c r="F220" s="4">
        <v>-5.50778967811194E-2</v>
      </c>
      <c r="G220" s="4">
        <v>397.25450000000001</v>
      </c>
      <c r="H220" s="4">
        <v>45.861758766293299</v>
      </c>
      <c r="I220" s="4">
        <v>382.21</v>
      </c>
      <c r="J220" s="4">
        <v>392</v>
      </c>
      <c r="K220" s="4">
        <v>376.02</v>
      </c>
      <c r="L220" s="4">
        <v>39.897191114374799</v>
      </c>
    </row>
    <row r="221" spans="1:12" ht="15" customHeight="1" x14ac:dyDescent="0.2">
      <c r="A221" s="6">
        <v>45730</v>
      </c>
      <c r="B221" s="7">
        <v>381.22</v>
      </c>
      <c r="C221" s="8">
        <v>978382</v>
      </c>
      <c r="D221" s="7">
        <v>11.72</v>
      </c>
      <c r="E221" s="7">
        <v>3.17185385656293</v>
      </c>
      <c r="F221" s="7">
        <v>3.1718577564935502</v>
      </c>
      <c r="G221" s="7">
        <v>397.47341999999998</v>
      </c>
      <c r="H221" s="7">
        <v>45.942140627868497</v>
      </c>
      <c r="I221" s="7">
        <v>371.34</v>
      </c>
      <c r="J221" s="7">
        <v>388.98</v>
      </c>
      <c r="K221" s="7">
        <v>368.59</v>
      </c>
      <c r="L221" s="7">
        <v>39.974297778593701</v>
      </c>
    </row>
    <row r="222" spans="1:12" ht="15" customHeight="1" x14ac:dyDescent="0.2">
      <c r="A222" s="3">
        <v>45729</v>
      </c>
      <c r="B222" s="4">
        <v>369.5</v>
      </c>
      <c r="C222" s="5">
        <v>782771</v>
      </c>
      <c r="D222" s="4">
        <v>-0.38999999999998602</v>
      </c>
      <c r="E222" s="4">
        <v>-0.10543675146664699</v>
      </c>
      <c r="F222" s="4">
        <v>-0.10544251668898</v>
      </c>
      <c r="G222" s="4">
        <v>385.25371999999999</v>
      </c>
      <c r="H222" s="4">
        <v>41.455377271892701</v>
      </c>
      <c r="I222" s="4">
        <v>371.49</v>
      </c>
      <c r="J222" s="4">
        <v>375.15</v>
      </c>
      <c r="K222" s="4">
        <v>366.79</v>
      </c>
      <c r="L222" s="4">
        <v>35.671011565999599</v>
      </c>
    </row>
    <row r="223" spans="1:12" ht="15" customHeight="1" x14ac:dyDescent="0.2">
      <c r="A223" s="6">
        <v>45728</v>
      </c>
      <c r="B223" s="7">
        <v>369.89</v>
      </c>
      <c r="C223" s="8">
        <v>1030233.99999999</v>
      </c>
      <c r="D223" s="7">
        <v>-0.25</v>
      </c>
      <c r="E223" s="7">
        <v>-6.7542011130927698E-2</v>
      </c>
      <c r="F223" s="7">
        <v>-6.7547494494013496E-2</v>
      </c>
      <c r="G223" s="7">
        <v>385.66037</v>
      </c>
      <c r="H223" s="7">
        <v>41.6046888195336</v>
      </c>
      <c r="I223" s="7">
        <v>368.55</v>
      </c>
      <c r="J223" s="7">
        <v>375.48</v>
      </c>
      <c r="K223" s="7">
        <v>361.03</v>
      </c>
      <c r="L223" s="7">
        <v>35.814209656691702</v>
      </c>
    </row>
    <row r="224" spans="1:12" ht="15" customHeight="1" x14ac:dyDescent="0.2">
      <c r="A224" s="3">
        <v>45727</v>
      </c>
      <c r="B224" s="4">
        <v>370.14</v>
      </c>
      <c r="C224" s="5">
        <v>965399</v>
      </c>
      <c r="D224" s="4">
        <v>-5.4499999999999797</v>
      </c>
      <c r="E224" s="4">
        <v>-1.4510503474533401</v>
      </c>
      <c r="F224" s="4">
        <v>-1.4510471563832299</v>
      </c>
      <c r="G224" s="4">
        <v>385.92104999999998</v>
      </c>
      <c r="H224" s="4">
        <v>41.700403892050602</v>
      </c>
      <c r="I224" s="4">
        <v>376.59</v>
      </c>
      <c r="J224" s="4">
        <v>377.02</v>
      </c>
      <c r="K224" s="4">
        <v>361.31</v>
      </c>
      <c r="L224" s="4">
        <v>35.9060033045713</v>
      </c>
    </row>
    <row r="225" spans="1:12" ht="15" customHeight="1" x14ac:dyDescent="0.2">
      <c r="A225" s="6">
        <v>45726</v>
      </c>
      <c r="B225" s="7">
        <v>375.59</v>
      </c>
      <c r="C225" s="8">
        <v>904341</v>
      </c>
      <c r="D225" s="7">
        <v>-9.1600000000000197</v>
      </c>
      <c r="E225" s="7">
        <v>-2.3807667316439298</v>
      </c>
      <c r="F225" s="7">
        <v>-2.38076441130714</v>
      </c>
      <c r="G225" s="7">
        <v>391.60340000000002</v>
      </c>
      <c r="H225" s="7">
        <v>43.786818432164402</v>
      </c>
      <c r="I225" s="7">
        <v>381.95</v>
      </c>
      <c r="J225" s="7">
        <v>382.61</v>
      </c>
      <c r="K225" s="7">
        <v>367.64</v>
      </c>
      <c r="L225" s="7">
        <v>37.907104828345801</v>
      </c>
    </row>
    <row r="226" spans="1:12" ht="15" customHeight="1" x14ac:dyDescent="0.2">
      <c r="A226" s="3">
        <v>45723</v>
      </c>
      <c r="B226" s="4">
        <v>384.75</v>
      </c>
      <c r="C226" s="5">
        <v>1209504</v>
      </c>
      <c r="D226" s="4">
        <v>2</v>
      </c>
      <c r="E226" s="4">
        <v>0.522534291312859</v>
      </c>
      <c r="F226" s="4">
        <v>0.52253414237037799</v>
      </c>
      <c r="G226" s="4">
        <v>401.15393</v>
      </c>
      <c r="H226" s="4">
        <v>47.293530383697401</v>
      </c>
      <c r="I226" s="4">
        <v>384.82</v>
      </c>
      <c r="J226" s="4">
        <v>387.47</v>
      </c>
      <c r="K226" s="4">
        <v>373.99</v>
      </c>
      <c r="L226" s="4">
        <v>41.270424086653101</v>
      </c>
    </row>
    <row r="227" spans="1:12" ht="15" customHeight="1" x14ac:dyDescent="0.2">
      <c r="A227" s="6">
        <v>45722</v>
      </c>
      <c r="B227" s="7">
        <v>382.75</v>
      </c>
      <c r="C227" s="8">
        <v>603471</v>
      </c>
      <c r="D227" s="7">
        <v>-0.18000000000000599</v>
      </c>
      <c r="E227" s="7">
        <v>-4.7005980205261297E-2</v>
      </c>
      <c r="F227" s="7">
        <v>-4.70023868376023E-2</v>
      </c>
      <c r="G227" s="7">
        <v>399.06866000000002</v>
      </c>
      <c r="H227" s="7">
        <v>46.527872223242099</v>
      </c>
      <c r="I227" s="7">
        <v>384.79</v>
      </c>
      <c r="J227" s="7">
        <v>387.47</v>
      </c>
      <c r="K227" s="7">
        <v>375.85</v>
      </c>
      <c r="L227" s="7">
        <v>40.536074903616601</v>
      </c>
    </row>
    <row r="228" spans="1:12" ht="15" customHeight="1" x14ac:dyDescent="0.2">
      <c r="A228" s="3">
        <v>45721</v>
      </c>
      <c r="B228" s="4">
        <v>382.93</v>
      </c>
      <c r="C228" s="5">
        <v>483274</v>
      </c>
      <c r="D228" s="4">
        <v>-4.3999999999999702</v>
      </c>
      <c r="E228" s="4">
        <v>-1.1359822373686399</v>
      </c>
      <c r="F228" s="4">
        <v>-1.1359785303182699</v>
      </c>
      <c r="G228" s="4">
        <v>399.25632000000002</v>
      </c>
      <c r="H228" s="4">
        <v>46.5967762070864</v>
      </c>
      <c r="I228" s="4">
        <v>385.2</v>
      </c>
      <c r="J228" s="4">
        <v>385.75</v>
      </c>
      <c r="K228" s="4">
        <v>376.53</v>
      </c>
      <c r="L228" s="4">
        <v>40.602166330089901</v>
      </c>
    </row>
    <row r="229" spans="1:12" ht="15" customHeight="1" x14ac:dyDescent="0.2">
      <c r="A229" s="6">
        <v>45720</v>
      </c>
      <c r="B229" s="7">
        <v>387.33</v>
      </c>
      <c r="C229" s="8">
        <v>1097207</v>
      </c>
      <c r="D229" s="7">
        <v>1.26999999999998</v>
      </c>
      <c r="E229" s="7">
        <v>0.328964409677245</v>
      </c>
      <c r="F229" s="7">
        <v>0.32895774711989501</v>
      </c>
      <c r="G229" s="7">
        <v>403.84390000000002</v>
      </c>
      <c r="H229" s="7">
        <v>48.2812190196438</v>
      </c>
      <c r="I229" s="7">
        <v>386</v>
      </c>
      <c r="J229" s="7">
        <v>391.48</v>
      </c>
      <c r="K229" s="7">
        <v>373</v>
      </c>
      <c r="L229" s="7">
        <v>42.217734532770301</v>
      </c>
    </row>
    <row r="230" spans="1:12" ht="15" customHeight="1" x14ac:dyDescent="0.2">
      <c r="A230" s="3">
        <v>45719</v>
      </c>
      <c r="B230" s="4">
        <v>386.06</v>
      </c>
      <c r="C230" s="5">
        <v>776977</v>
      </c>
      <c r="D230" s="4">
        <v>-1.3799999999999899</v>
      </c>
      <c r="E230" s="4">
        <v>-0.35618418335742102</v>
      </c>
      <c r="F230" s="4">
        <v>-0.35618499736432802</v>
      </c>
      <c r="G230" s="4">
        <v>402.51978000000003</v>
      </c>
      <c r="H230" s="4">
        <v>47.795035799522601</v>
      </c>
      <c r="I230" s="4">
        <v>380.02</v>
      </c>
      <c r="J230" s="4">
        <v>396.49</v>
      </c>
      <c r="K230" s="4">
        <v>380.02</v>
      </c>
      <c r="L230" s="4">
        <v>41.751422801542098</v>
      </c>
    </row>
    <row r="231" spans="1:12" ht="15" customHeight="1" x14ac:dyDescent="0.2">
      <c r="A231" s="6">
        <v>45716</v>
      </c>
      <c r="B231" s="7">
        <v>387.44</v>
      </c>
      <c r="C231" s="8">
        <v>2548918</v>
      </c>
      <c r="D231" s="7">
        <v>-1.06</v>
      </c>
      <c r="E231" s="7">
        <v>-0.27284427284427398</v>
      </c>
      <c r="F231" s="7">
        <v>-0.272840969743537</v>
      </c>
      <c r="G231" s="7">
        <v>403.95862</v>
      </c>
      <c r="H231" s="7">
        <v>48.3233412887828</v>
      </c>
      <c r="I231" s="7">
        <v>390.39</v>
      </c>
      <c r="J231" s="7">
        <v>396.89</v>
      </c>
      <c r="K231" s="7">
        <v>383.99</v>
      </c>
      <c r="L231" s="7">
        <v>42.258123737837302</v>
      </c>
    </row>
    <row r="232" spans="1:12" ht="15" customHeight="1" x14ac:dyDescent="0.2">
      <c r="A232" s="3">
        <v>45715</v>
      </c>
      <c r="B232" s="4">
        <v>388.5</v>
      </c>
      <c r="C232" s="5">
        <v>1106765</v>
      </c>
      <c r="D232" s="4">
        <v>-6.6999999999999797</v>
      </c>
      <c r="E232" s="4">
        <v>-1.6953441295546501</v>
      </c>
      <c r="F232" s="4">
        <v>-1.69534740573746</v>
      </c>
      <c r="G232" s="4">
        <v>405.06380000000001</v>
      </c>
      <c r="H232" s="4">
        <v>48.729135303836898</v>
      </c>
      <c r="I232" s="4">
        <v>396</v>
      </c>
      <c r="J232" s="4">
        <v>396.27</v>
      </c>
      <c r="K232" s="4">
        <v>380.03</v>
      </c>
      <c r="L232" s="4">
        <v>42.647328804846602</v>
      </c>
    </row>
    <row r="233" spans="1:12" ht="15" customHeight="1" x14ac:dyDescent="0.2">
      <c r="A233" s="6">
        <v>45714</v>
      </c>
      <c r="B233" s="7">
        <v>395.2</v>
      </c>
      <c r="C233" s="8">
        <v>1647903</v>
      </c>
      <c r="D233" s="7">
        <v>6.5399999999999601</v>
      </c>
      <c r="E233" s="7">
        <v>1.6827046776102399</v>
      </c>
      <c r="F233" s="7">
        <v>1.6827084784461801</v>
      </c>
      <c r="G233" s="7">
        <v>412.04946999999999</v>
      </c>
      <c r="H233" s="7">
        <v>51.294095832568303</v>
      </c>
      <c r="I233" s="7">
        <v>390.55</v>
      </c>
      <c r="J233" s="7">
        <v>397.01</v>
      </c>
      <c r="K233" s="7">
        <v>380.01</v>
      </c>
      <c r="L233" s="7">
        <v>45.107398568019001</v>
      </c>
    </row>
    <row r="234" spans="1:12" ht="15" customHeight="1" x14ac:dyDescent="0.2">
      <c r="A234" s="3">
        <v>45713</v>
      </c>
      <c r="B234" s="4">
        <v>388.66</v>
      </c>
      <c r="C234" s="5">
        <v>1565896</v>
      </c>
      <c r="D234" s="4">
        <v>-11.7099999999999</v>
      </c>
      <c r="E234" s="4">
        <v>-2.9247945650273399</v>
      </c>
      <c r="F234" s="4">
        <v>-2.9247948231491399</v>
      </c>
      <c r="G234" s="4">
        <v>405.23061999999999</v>
      </c>
      <c r="H234" s="4">
        <v>48.790387369194001</v>
      </c>
      <c r="I234" s="4">
        <v>400.37</v>
      </c>
      <c r="J234" s="4">
        <v>405</v>
      </c>
      <c r="K234" s="4">
        <v>386.06</v>
      </c>
      <c r="L234" s="4">
        <v>42.706076739489603</v>
      </c>
    </row>
    <row r="235" spans="1:12" ht="15" customHeight="1" x14ac:dyDescent="0.2">
      <c r="A235" s="6">
        <v>45712</v>
      </c>
      <c r="B235" s="7">
        <v>400.37</v>
      </c>
      <c r="C235" s="8">
        <v>1329067</v>
      </c>
      <c r="D235" s="7">
        <v>1.01999999999998</v>
      </c>
      <c r="E235" s="7">
        <v>0.25541504945536497</v>
      </c>
      <c r="F235" s="7">
        <v>0.25541313100358998</v>
      </c>
      <c r="G235" s="7">
        <v>417.43988000000002</v>
      </c>
      <c r="H235" s="7">
        <v>53.273317422434303</v>
      </c>
      <c r="I235" s="7">
        <v>397.35</v>
      </c>
      <c r="J235" s="7">
        <v>405.04</v>
      </c>
      <c r="K235" s="7">
        <v>391.49</v>
      </c>
      <c r="L235" s="7">
        <v>47.0056912061685</v>
      </c>
    </row>
    <row r="236" spans="1:12" ht="15" customHeight="1" x14ac:dyDescent="0.2">
      <c r="A236" s="3">
        <v>45709</v>
      </c>
      <c r="B236" s="4">
        <v>399.35</v>
      </c>
      <c r="C236" s="5">
        <v>577719</v>
      </c>
      <c r="D236" s="4">
        <v>-17.209999999999901</v>
      </c>
      <c r="E236" s="4">
        <v>-4.13145765315919</v>
      </c>
      <c r="F236" s="4">
        <v>-4.1314591521609296</v>
      </c>
      <c r="G236" s="4">
        <v>416.37639999999999</v>
      </c>
      <c r="H236" s="4">
        <v>52.882834587846503</v>
      </c>
      <c r="I236" s="4">
        <v>416.51</v>
      </c>
      <c r="J236" s="4">
        <v>416.51</v>
      </c>
      <c r="K236" s="4">
        <v>389.1</v>
      </c>
      <c r="L236" s="4">
        <v>46.631173122819803</v>
      </c>
    </row>
    <row r="237" spans="1:12" ht="15" customHeight="1" x14ac:dyDescent="0.2">
      <c r="A237" s="6">
        <v>45708</v>
      </c>
      <c r="B237" s="7">
        <v>416.56</v>
      </c>
      <c r="C237" s="8">
        <v>353208</v>
      </c>
      <c r="D237" s="7">
        <v>2.3600000000000101</v>
      </c>
      <c r="E237" s="7">
        <v>0.56977305649445997</v>
      </c>
      <c r="F237" s="7">
        <v>0.56976856087196304</v>
      </c>
      <c r="G237" s="7">
        <v>434.32015999999999</v>
      </c>
      <c r="H237" s="7">
        <v>59.471327336148299</v>
      </c>
      <c r="I237" s="7">
        <v>411.17</v>
      </c>
      <c r="J237" s="7">
        <v>418.25</v>
      </c>
      <c r="K237" s="7">
        <v>402.55</v>
      </c>
      <c r="L237" s="7">
        <v>52.950247842849201</v>
      </c>
    </row>
    <row r="238" spans="1:12" ht="15" customHeight="1" x14ac:dyDescent="0.2">
      <c r="A238" s="3">
        <v>45707</v>
      </c>
      <c r="B238" s="4">
        <v>414.2</v>
      </c>
      <c r="C238" s="5">
        <v>491183</v>
      </c>
      <c r="D238" s="4">
        <v>9.74</v>
      </c>
      <c r="E238" s="4">
        <v>2.4081491371211001</v>
      </c>
      <c r="F238" s="4">
        <v>2.4081592727604502</v>
      </c>
      <c r="G238" s="4">
        <v>431.85955999999999</v>
      </c>
      <c r="H238" s="4">
        <v>58.567857536258401</v>
      </c>
      <c r="I238" s="4">
        <v>402.8</v>
      </c>
      <c r="J238" s="4">
        <v>416.45</v>
      </c>
      <c r="K238" s="4">
        <v>398.05</v>
      </c>
      <c r="L238" s="4">
        <v>52.083715806866103</v>
      </c>
    </row>
    <row r="239" spans="1:12" ht="15" customHeight="1" x14ac:dyDescent="0.2">
      <c r="A239" s="6">
        <v>45706</v>
      </c>
      <c r="B239" s="7">
        <v>404.46</v>
      </c>
      <c r="C239" s="8">
        <v>829705</v>
      </c>
      <c r="D239" s="7">
        <v>6.43</v>
      </c>
      <c r="E239" s="7">
        <v>1.61545612139788</v>
      </c>
      <c r="F239" s="7">
        <v>1.61545254492938</v>
      </c>
      <c r="G239" s="7">
        <v>421.70425</v>
      </c>
      <c r="H239" s="7">
        <v>54.839085735267098</v>
      </c>
      <c r="I239" s="7">
        <v>397.98</v>
      </c>
      <c r="J239" s="7">
        <v>406.22</v>
      </c>
      <c r="K239" s="7">
        <v>396.57</v>
      </c>
      <c r="L239" s="7">
        <v>48.507435285478202</v>
      </c>
    </row>
    <row r="240" spans="1:12" ht="15" customHeight="1" x14ac:dyDescent="0.2">
      <c r="A240" s="3">
        <v>45705</v>
      </c>
      <c r="B240" s="4">
        <v>398.03</v>
      </c>
      <c r="C240" s="5">
        <v>195240</v>
      </c>
      <c r="D240" s="4">
        <v>-1.3500000000000201</v>
      </c>
      <c r="E240" s="4">
        <v>-0.33802393710251599</v>
      </c>
      <c r="F240" s="4">
        <v>-0.33802450521567201</v>
      </c>
      <c r="G240" s="4">
        <v>415.00011999999998</v>
      </c>
      <c r="H240" s="4">
        <v>52.377499541031703</v>
      </c>
      <c r="I240" s="4">
        <v>401.38</v>
      </c>
      <c r="J240" s="4">
        <v>403.43</v>
      </c>
      <c r="K240" s="4">
        <v>383.01</v>
      </c>
      <c r="L240" s="4">
        <v>46.146502662015699</v>
      </c>
    </row>
    <row r="241" spans="1:12" ht="15" customHeight="1" x14ac:dyDescent="0.2">
      <c r="A241" s="6">
        <v>45702</v>
      </c>
      <c r="B241" s="7">
        <v>399.38</v>
      </c>
      <c r="C241" s="8">
        <v>444119</v>
      </c>
      <c r="D241" s="7">
        <v>-7.01999999999998</v>
      </c>
      <c r="E241" s="7">
        <v>-1.7273622047243999</v>
      </c>
      <c r="F241" s="7">
        <v>-1.7273576361532299</v>
      </c>
      <c r="G241" s="7">
        <v>416.40768000000003</v>
      </c>
      <c r="H241" s="7">
        <v>52.894319809069202</v>
      </c>
      <c r="I241" s="7">
        <v>407.4</v>
      </c>
      <c r="J241" s="7">
        <v>414.34</v>
      </c>
      <c r="K241" s="7">
        <v>395.56</v>
      </c>
      <c r="L241" s="7">
        <v>46.642188360565399</v>
      </c>
    </row>
    <row r="242" spans="1:12" ht="15" customHeight="1" x14ac:dyDescent="0.2">
      <c r="A242" s="3">
        <v>45701</v>
      </c>
      <c r="B242" s="4">
        <v>406.4</v>
      </c>
      <c r="C242" s="5">
        <v>784691</v>
      </c>
      <c r="D242" s="4">
        <v>-10.35</v>
      </c>
      <c r="E242" s="4">
        <v>-2.4835032993401298</v>
      </c>
      <c r="F242" s="4">
        <v>-2.48350673418205</v>
      </c>
      <c r="G242" s="4">
        <v>423.72696000000002</v>
      </c>
      <c r="H242" s="4">
        <v>55.581773453277002</v>
      </c>
      <c r="I242" s="4">
        <v>414.66</v>
      </c>
      <c r="J242" s="4">
        <v>419.77</v>
      </c>
      <c r="K242" s="4">
        <v>404.76</v>
      </c>
      <c r="L242" s="4">
        <v>49.219753993023602</v>
      </c>
    </row>
    <row r="243" spans="1:12" ht="15" customHeight="1" x14ac:dyDescent="0.2">
      <c r="A243" s="6">
        <v>45700</v>
      </c>
      <c r="B243" s="7">
        <v>416.75</v>
      </c>
      <c r="C243" s="8">
        <v>474021</v>
      </c>
      <c r="D243" s="7">
        <v>16.66</v>
      </c>
      <c r="E243" s="7">
        <v>4.1640630858056999</v>
      </c>
      <c r="F243" s="7">
        <v>4.1640621750628402</v>
      </c>
      <c r="G243" s="7">
        <v>434.51825000000002</v>
      </c>
      <c r="H243" s="7">
        <v>59.5440609509821</v>
      </c>
      <c r="I243" s="7">
        <v>396.09</v>
      </c>
      <c r="J243" s="7">
        <v>422.47</v>
      </c>
      <c r="K243" s="7">
        <v>394.5</v>
      </c>
      <c r="L243" s="7">
        <v>53.020011015237699</v>
      </c>
    </row>
    <row r="244" spans="1:12" ht="15" customHeight="1" x14ac:dyDescent="0.2">
      <c r="A244" s="3">
        <v>45699</v>
      </c>
      <c r="B244" s="4">
        <v>400.09</v>
      </c>
      <c r="C244" s="5">
        <v>605938</v>
      </c>
      <c r="D244" s="4">
        <v>12.149999999999901</v>
      </c>
      <c r="E244" s="4">
        <v>3.1319276176728201</v>
      </c>
      <c r="F244" s="4">
        <v>3.1319305047330799</v>
      </c>
      <c r="G244" s="4">
        <v>417.14794999999998</v>
      </c>
      <c r="H244" s="4">
        <v>53.166128143932397</v>
      </c>
      <c r="I244" s="4">
        <v>388.98</v>
      </c>
      <c r="J244" s="4">
        <v>403.53</v>
      </c>
      <c r="K244" s="4">
        <v>383.99</v>
      </c>
      <c r="L244" s="4">
        <v>46.902882320543299</v>
      </c>
    </row>
    <row r="245" spans="1:12" ht="15" customHeight="1" x14ac:dyDescent="0.2">
      <c r="A245" s="6">
        <v>45698</v>
      </c>
      <c r="B245" s="7">
        <v>387.94</v>
      </c>
      <c r="C245" s="8">
        <v>523871.99999999901</v>
      </c>
      <c r="D245" s="7">
        <v>1.50999999999999</v>
      </c>
      <c r="E245" s="7">
        <v>0.39075641125170202</v>
      </c>
      <c r="F245" s="7">
        <v>0.39075411098208301</v>
      </c>
      <c r="G245" s="7">
        <v>404.47991999999999</v>
      </c>
      <c r="H245" s="7">
        <v>48.514749403341199</v>
      </c>
      <c r="I245" s="7">
        <v>388.36</v>
      </c>
      <c r="J245" s="7">
        <v>394.27</v>
      </c>
      <c r="K245" s="7">
        <v>385.97</v>
      </c>
      <c r="L245" s="7">
        <v>42.441711033596398</v>
      </c>
    </row>
    <row r="246" spans="1:12" ht="15" customHeight="1" x14ac:dyDescent="0.2">
      <c r="A246" s="3">
        <v>45695</v>
      </c>
      <c r="B246" s="4">
        <v>386.43</v>
      </c>
      <c r="C246" s="5">
        <v>938334</v>
      </c>
      <c r="D246" s="4">
        <v>-3.6399999999999801</v>
      </c>
      <c r="E246" s="4">
        <v>-0.93316584202834896</v>
      </c>
      <c r="F246" s="4">
        <v>-0.93316525561275498</v>
      </c>
      <c r="G246" s="4">
        <v>402.90555000000001</v>
      </c>
      <c r="H246" s="4">
        <v>47.936680741692598</v>
      </c>
      <c r="I246" s="4">
        <v>391.99</v>
      </c>
      <c r="J246" s="4">
        <v>392.99</v>
      </c>
      <c r="K246" s="4">
        <v>378.96</v>
      </c>
      <c r="L246" s="4">
        <v>41.887277400403804</v>
      </c>
    </row>
    <row r="247" spans="1:12" ht="15" customHeight="1" x14ac:dyDescent="0.2">
      <c r="A247" s="6">
        <v>45694</v>
      </c>
      <c r="B247" s="7">
        <v>390.07</v>
      </c>
      <c r="C247" s="8">
        <v>518999</v>
      </c>
      <c r="D247" s="7">
        <v>9.99</v>
      </c>
      <c r="E247" s="7">
        <v>2.62839402231109</v>
      </c>
      <c r="F247" s="7">
        <v>2.6283975565048099</v>
      </c>
      <c r="G247" s="7">
        <v>406.70074</v>
      </c>
      <c r="H247" s="7">
        <v>49.330178079676799</v>
      </c>
      <c r="I247" s="7">
        <v>379.32</v>
      </c>
      <c r="J247" s="7">
        <v>391.12</v>
      </c>
      <c r="K247" s="7">
        <v>374.1</v>
      </c>
      <c r="L247" s="7">
        <v>43.223792913530303</v>
      </c>
    </row>
    <row r="248" spans="1:12" ht="15" customHeight="1" x14ac:dyDescent="0.2">
      <c r="A248" s="3">
        <v>45693</v>
      </c>
      <c r="B248" s="4">
        <v>380.08</v>
      </c>
      <c r="C248" s="5">
        <v>827970</v>
      </c>
      <c r="D248" s="4">
        <v>-2.6500000000000301</v>
      </c>
      <c r="E248" s="4">
        <v>-0.69239411595642897</v>
      </c>
      <c r="F248" s="4">
        <v>-0.69240323127187597</v>
      </c>
      <c r="G248" s="4">
        <v>396.28480000000002</v>
      </c>
      <c r="H248" s="4">
        <v>45.505709564898098</v>
      </c>
      <c r="I248" s="4">
        <v>386.69</v>
      </c>
      <c r="J248" s="4">
        <v>393.84</v>
      </c>
      <c r="K248" s="4">
        <v>373.97</v>
      </c>
      <c r="L248" s="4">
        <v>39.555718744262798</v>
      </c>
    </row>
    <row r="249" spans="1:12" ht="15" customHeight="1" x14ac:dyDescent="0.2">
      <c r="A249" s="6">
        <v>45692</v>
      </c>
      <c r="B249" s="7">
        <v>382.73</v>
      </c>
      <c r="C249" s="8">
        <v>632458</v>
      </c>
      <c r="D249" s="7">
        <v>-0.26999999999998098</v>
      </c>
      <c r="E249" s="7">
        <v>-7.0496083550908306E-2</v>
      </c>
      <c r="F249" s="7">
        <v>-7.0488191074380396E-2</v>
      </c>
      <c r="G249" s="7">
        <v>399.04782</v>
      </c>
      <c r="H249" s="7">
        <v>46.520220304754901</v>
      </c>
      <c r="I249" s="7">
        <v>389.48</v>
      </c>
      <c r="J249" s="7">
        <v>397.75</v>
      </c>
      <c r="K249" s="7">
        <v>371.1</v>
      </c>
      <c r="L249" s="7">
        <v>40.528731411786303</v>
      </c>
    </row>
    <row r="250" spans="1:12" ht="15" customHeight="1" x14ac:dyDescent="0.2">
      <c r="A250" s="3">
        <v>45688</v>
      </c>
      <c r="B250" s="4">
        <v>383</v>
      </c>
      <c r="C250" s="5">
        <v>541809</v>
      </c>
      <c r="D250" s="4">
        <v>-9.7200000000000202</v>
      </c>
      <c r="E250" s="4">
        <v>-2.47504583418212</v>
      </c>
      <c r="F250" s="4">
        <v>-2.4750423541818298</v>
      </c>
      <c r="G250" s="4">
        <v>399.32929999999999</v>
      </c>
      <c r="H250" s="4">
        <v>46.623572608775397</v>
      </c>
      <c r="I250" s="4">
        <v>394.68</v>
      </c>
      <c r="J250" s="4">
        <v>397.74</v>
      </c>
      <c r="K250" s="4">
        <v>380.66</v>
      </c>
      <c r="L250" s="4">
        <v>40.627868551496199</v>
      </c>
    </row>
    <row r="251" spans="1:12" ht="15" customHeight="1" x14ac:dyDescent="0.2">
      <c r="A251" s="6">
        <v>45687</v>
      </c>
      <c r="B251" s="7">
        <v>392.72</v>
      </c>
      <c r="C251" s="8">
        <v>413411</v>
      </c>
      <c r="D251" s="7">
        <v>8.7900000000000205</v>
      </c>
      <c r="E251" s="7">
        <v>2.2894798530982099</v>
      </c>
      <c r="F251" s="7">
        <v>2.2894764025736398</v>
      </c>
      <c r="G251" s="7">
        <v>409.46370000000002</v>
      </c>
      <c r="H251" s="7">
        <v>50.344666789058103</v>
      </c>
      <c r="I251" s="7">
        <v>385.21</v>
      </c>
      <c r="J251" s="7">
        <v>397.75</v>
      </c>
      <c r="K251" s="7">
        <v>380.85</v>
      </c>
      <c r="L251" s="7">
        <v>44.196805581053702</v>
      </c>
    </row>
    <row r="252" spans="1:12" ht="15" customHeight="1" x14ac:dyDescent="0.2">
      <c r="A252" s="3">
        <v>45686</v>
      </c>
      <c r="B252" s="4">
        <v>383.93</v>
      </c>
      <c r="C252" s="5">
        <v>1157867</v>
      </c>
      <c r="D252" s="4">
        <v>1.4200000000000099</v>
      </c>
      <c r="E252" s="4">
        <v>0.37123212465033301</v>
      </c>
      <c r="F252" s="4">
        <v>0.37122909217683903</v>
      </c>
      <c r="G252" s="4">
        <v>400.29894999999999</v>
      </c>
      <c r="H252" s="4">
        <v>46.979603451441101</v>
      </c>
      <c r="I252" s="4">
        <v>381</v>
      </c>
      <c r="J252" s="4">
        <v>385.28</v>
      </c>
      <c r="K252" s="4">
        <v>375.79</v>
      </c>
      <c r="L252" s="4">
        <v>40.9693409216082</v>
      </c>
    </row>
    <row r="253" spans="1:12" ht="15" customHeight="1" x14ac:dyDescent="0.2">
      <c r="A253" s="6">
        <v>45685</v>
      </c>
      <c r="B253" s="7">
        <v>382.51</v>
      </c>
      <c r="C253" s="8">
        <v>739319</v>
      </c>
      <c r="D253" s="7">
        <v>-4.93</v>
      </c>
      <c r="E253" s="7">
        <v>-1.2724550898203499</v>
      </c>
      <c r="F253" s="7">
        <v>-1.27245706503305</v>
      </c>
      <c r="G253" s="7">
        <v>398.81842</v>
      </c>
      <c r="H253" s="7">
        <v>46.435990453460597</v>
      </c>
      <c r="I253" s="7">
        <v>387.44</v>
      </c>
      <c r="J253" s="7">
        <v>388.11</v>
      </c>
      <c r="K253" s="7">
        <v>377.9</v>
      </c>
      <c r="L253" s="7">
        <v>40.447953001652202</v>
      </c>
    </row>
    <row r="254" spans="1:12" ht="15" customHeight="1" x14ac:dyDescent="0.2">
      <c r="A254" s="3">
        <v>45684</v>
      </c>
      <c r="B254" s="4">
        <v>387.44</v>
      </c>
      <c r="C254" s="5">
        <v>331927</v>
      </c>
      <c r="D254" s="4">
        <v>4.49</v>
      </c>
      <c r="E254" s="4">
        <v>1.17247682465073</v>
      </c>
      <c r="F254" s="4">
        <v>1.17247365990345</v>
      </c>
      <c r="G254" s="4">
        <v>403.95862</v>
      </c>
      <c r="H254" s="4">
        <v>48.3233412887828</v>
      </c>
      <c r="I254" s="4">
        <v>383.59</v>
      </c>
      <c r="J254" s="4">
        <v>390.97</v>
      </c>
      <c r="K254" s="4">
        <v>380.3</v>
      </c>
      <c r="L254" s="4">
        <v>42.258123737837302</v>
      </c>
    </row>
    <row r="255" spans="1:12" ht="15" customHeight="1" x14ac:dyDescent="0.2">
      <c r="A255" s="6">
        <v>45681</v>
      </c>
      <c r="B255" s="7">
        <v>382.95</v>
      </c>
      <c r="C255" s="8">
        <v>574799</v>
      </c>
      <c r="D255" s="7">
        <v>-1.55000000000001</v>
      </c>
      <c r="E255" s="7">
        <v>-0.40312093628088702</v>
      </c>
      <c r="F255" s="7">
        <v>-0.403119752967673</v>
      </c>
      <c r="G255" s="7">
        <v>399.27719999999999</v>
      </c>
      <c r="H255" s="7">
        <v>46.604442812557302</v>
      </c>
      <c r="I255" s="7">
        <v>385.11</v>
      </c>
      <c r="J255" s="7">
        <v>387.8</v>
      </c>
      <c r="K255" s="7">
        <v>376.4</v>
      </c>
      <c r="L255" s="7">
        <v>40.609509821920298</v>
      </c>
    </row>
    <row r="256" spans="1:12" ht="15" customHeight="1" x14ac:dyDescent="0.2">
      <c r="A256" s="3">
        <v>45680</v>
      </c>
      <c r="B256" s="4">
        <v>384.5</v>
      </c>
      <c r="C256" s="5">
        <v>864662</v>
      </c>
      <c r="D256" s="4">
        <v>-3.1999999999999802</v>
      </c>
      <c r="E256" s="4">
        <v>-0.82538044880061601</v>
      </c>
      <c r="F256" s="4">
        <v>-0.82537725456589495</v>
      </c>
      <c r="G256" s="4">
        <v>400.89328</v>
      </c>
      <c r="H256" s="4">
        <v>47.197826326418202</v>
      </c>
      <c r="I256" s="4">
        <v>389.63</v>
      </c>
      <c r="J256" s="4">
        <v>390.42</v>
      </c>
      <c r="K256" s="4">
        <v>382.13</v>
      </c>
      <c r="L256" s="4">
        <v>41.178630438773602</v>
      </c>
    </row>
    <row r="257" spans="1:12" ht="15" customHeight="1" x14ac:dyDescent="0.2">
      <c r="A257" s="6">
        <v>45679</v>
      </c>
      <c r="B257" s="7">
        <v>387.7</v>
      </c>
      <c r="C257" s="8">
        <v>1107708</v>
      </c>
      <c r="D257" s="7">
        <v>8.9999999999974906E-2</v>
      </c>
      <c r="E257" s="7">
        <v>2.3219215190528601E-2</v>
      </c>
      <c r="F257" s="7">
        <v>2.32273391844506E-2</v>
      </c>
      <c r="G257" s="7">
        <v>404.22969999999998</v>
      </c>
      <c r="H257" s="7">
        <v>48.422874977051499</v>
      </c>
      <c r="I257" s="7">
        <v>388.99</v>
      </c>
      <c r="J257" s="7">
        <v>394.31</v>
      </c>
      <c r="K257" s="7">
        <v>383.77</v>
      </c>
      <c r="L257" s="7">
        <v>42.353589131631999</v>
      </c>
    </row>
    <row r="258" spans="1:12" ht="15" customHeight="1" x14ac:dyDescent="0.2">
      <c r="A258" s="3">
        <v>45678</v>
      </c>
      <c r="B258" s="4">
        <v>387.61</v>
      </c>
      <c r="C258" s="5">
        <v>890364</v>
      </c>
      <c r="D258" s="4">
        <v>5.1999999999999797</v>
      </c>
      <c r="E258" s="4">
        <v>1.3597970764362699</v>
      </c>
      <c r="F258" s="4">
        <v>1.35978613451335</v>
      </c>
      <c r="G258" s="4">
        <v>404.13583</v>
      </c>
      <c r="H258" s="4">
        <v>48.388408298145698</v>
      </c>
      <c r="I258" s="4">
        <v>384.32</v>
      </c>
      <c r="J258" s="4">
        <v>395.69</v>
      </c>
      <c r="K258" s="4">
        <v>380.18</v>
      </c>
      <c r="L258" s="4">
        <v>42.320543418395403</v>
      </c>
    </row>
    <row r="259" spans="1:12" ht="15" customHeight="1" x14ac:dyDescent="0.2">
      <c r="A259" s="6">
        <v>45677</v>
      </c>
      <c r="B259" s="7">
        <v>382.41</v>
      </c>
      <c r="C259" s="8">
        <v>142895</v>
      </c>
      <c r="D259" s="7">
        <v>-11.3799999999999</v>
      </c>
      <c r="E259" s="7">
        <v>-2.88986515655552</v>
      </c>
      <c r="F259" s="7">
        <v>-2.8898628243237101</v>
      </c>
      <c r="G259" s="7">
        <v>398.71417000000002</v>
      </c>
      <c r="H259" s="7">
        <v>46.397712502294802</v>
      </c>
      <c r="I259" s="7">
        <v>393.18</v>
      </c>
      <c r="J259" s="7">
        <v>393.18</v>
      </c>
      <c r="K259" s="7">
        <v>379.85</v>
      </c>
      <c r="L259" s="7">
        <v>40.4112355425004</v>
      </c>
    </row>
    <row r="260" spans="1:12" ht="15" customHeight="1" x14ac:dyDescent="0.2">
      <c r="A260" s="3">
        <v>45674</v>
      </c>
      <c r="B260" s="4">
        <v>393.79</v>
      </c>
      <c r="C260" s="5">
        <v>453868</v>
      </c>
      <c r="D260" s="4">
        <v>-0.310000000000002</v>
      </c>
      <c r="E260" s="4">
        <v>-7.86602385181467E-2</v>
      </c>
      <c r="F260" s="4">
        <v>-7.8658551068655394E-2</v>
      </c>
      <c r="G260" s="4">
        <v>410.57934999999998</v>
      </c>
      <c r="H260" s="4">
        <v>50.754305122085498</v>
      </c>
      <c r="I260" s="4">
        <v>393.42</v>
      </c>
      <c r="J260" s="4">
        <v>400</v>
      </c>
      <c r="K260" s="4">
        <v>390.71</v>
      </c>
      <c r="L260" s="4">
        <v>44.5896823939783</v>
      </c>
    </row>
    <row r="261" spans="1:12" ht="15" customHeight="1" x14ac:dyDescent="0.2">
      <c r="A261" s="6">
        <v>45673</v>
      </c>
      <c r="B261" s="7">
        <v>394.1</v>
      </c>
      <c r="C261" s="8">
        <v>895713</v>
      </c>
      <c r="D261" s="7">
        <v>-1.22999999999996</v>
      </c>
      <c r="E261" s="7">
        <v>-0.31113247160599</v>
      </c>
      <c r="F261" s="7">
        <v>-0.311132137268466</v>
      </c>
      <c r="G261" s="7">
        <v>410.90255999999999</v>
      </c>
      <c r="H261" s="7">
        <v>50.872979621810103</v>
      </c>
      <c r="I261" s="7">
        <v>398.85</v>
      </c>
      <c r="J261" s="7">
        <v>400</v>
      </c>
      <c r="K261" s="7">
        <v>392.48</v>
      </c>
      <c r="L261" s="7">
        <v>44.703506517348998</v>
      </c>
    </row>
    <row r="262" spans="1:12" ht="15" customHeight="1" x14ac:dyDescent="0.2">
      <c r="A262" s="3">
        <v>45672</v>
      </c>
      <c r="B262" s="4">
        <v>395.33</v>
      </c>
      <c r="C262" s="5">
        <v>337504</v>
      </c>
      <c r="D262" s="4">
        <v>5.3499999999999597</v>
      </c>
      <c r="E262" s="4">
        <v>1.3718652238576099</v>
      </c>
      <c r="F262" s="4">
        <v>1.3718655536834199</v>
      </c>
      <c r="G262" s="4">
        <v>412.185</v>
      </c>
      <c r="H262" s="4">
        <v>51.343859004956798</v>
      </c>
      <c r="I262" s="4">
        <v>389.94</v>
      </c>
      <c r="J262" s="4">
        <v>398.8</v>
      </c>
      <c r="K262" s="4">
        <v>389.94</v>
      </c>
      <c r="L262" s="4">
        <v>45.155131264916399</v>
      </c>
    </row>
    <row r="263" spans="1:12" ht="15" customHeight="1" x14ac:dyDescent="0.2">
      <c r="A263" s="6">
        <v>45671</v>
      </c>
      <c r="B263" s="7">
        <v>389.98</v>
      </c>
      <c r="C263" s="8">
        <v>577129</v>
      </c>
      <c r="D263" s="7">
        <v>2.5</v>
      </c>
      <c r="E263" s="7">
        <v>0.64519459068854701</v>
      </c>
      <c r="F263" s="7">
        <v>0.64518757583222897</v>
      </c>
      <c r="G263" s="7">
        <v>406.6069</v>
      </c>
      <c r="H263" s="7">
        <v>49.295722416008701</v>
      </c>
      <c r="I263" s="7">
        <v>385.59</v>
      </c>
      <c r="J263" s="7">
        <v>394.97</v>
      </c>
      <c r="K263" s="7">
        <v>385.59</v>
      </c>
      <c r="L263" s="7">
        <v>43.1907472002937</v>
      </c>
    </row>
    <row r="264" spans="1:12" ht="15" customHeight="1" x14ac:dyDescent="0.2">
      <c r="A264" s="3">
        <v>45670</v>
      </c>
      <c r="B264" s="4">
        <v>387.48</v>
      </c>
      <c r="C264" s="5">
        <v>451380</v>
      </c>
      <c r="D264" s="4">
        <v>6.4700000000000202</v>
      </c>
      <c r="E264" s="4">
        <v>1.6981181596283701</v>
      </c>
      <c r="F264" s="4">
        <v>1.69811543985027</v>
      </c>
      <c r="G264" s="4">
        <v>404.00033999999999</v>
      </c>
      <c r="H264" s="4">
        <v>48.3386598127409</v>
      </c>
      <c r="I264" s="4">
        <v>379</v>
      </c>
      <c r="J264" s="4">
        <v>388.76</v>
      </c>
      <c r="K264" s="4">
        <v>377.06</v>
      </c>
      <c r="L264" s="4">
        <v>42.272810721497997</v>
      </c>
    </row>
    <row r="265" spans="1:12" ht="15" customHeight="1" x14ac:dyDescent="0.2">
      <c r="A265" s="6">
        <v>45667</v>
      </c>
      <c r="B265" s="7">
        <v>381.01</v>
      </c>
      <c r="C265" s="8">
        <v>522077</v>
      </c>
      <c r="D265" s="7">
        <v>3.0899999999999701</v>
      </c>
      <c r="E265" s="7">
        <v>0.81763336155800104</v>
      </c>
      <c r="F265" s="7">
        <v>0.81763508236307703</v>
      </c>
      <c r="G265" s="7">
        <v>397.25450000000001</v>
      </c>
      <c r="H265" s="7">
        <v>45.861758766293299</v>
      </c>
      <c r="I265" s="7">
        <v>384.62</v>
      </c>
      <c r="J265" s="7">
        <v>384.62</v>
      </c>
      <c r="K265" s="7">
        <v>375.97</v>
      </c>
      <c r="L265" s="7">
        <v>39.897191114374799</v>
      </c>
    </row>
    <row r="266" spans="1:12" ht="15" customHeight="1" x14ac:dyDescent="0.2">
      <c r="A266" s="3">
        <v>45666</v>
      </c>
      <c r="B266" s="4">
        <v>377.92</v>
      </c>
      <c r="C266" s="5">
        <v>220644</v>
      </c>
      <c r="D266" s="4">
        <v>1.94999999999998</v>
      </c>
      <c r="E266" s="4">
        <v>0.51865840359603899</v>
      </c>
      <c r="F266" s="4">
        <v>0.51866893629501898</v>
      </c>
      <c r="G266" s="4">
        <v>394.03275000000002</v>
      </c>
      <c r="H266" s="4">
        <v>44.678814026069297</v>
      </c>
      <c r="I266" s="4">
        <v>378.17</v>
      </c>
      <c r="J266" s="4">
        <v>390</v>
      </c>
      <c r="K266" s="4">
        <v>376.49</v>
      </c>
      <c r="L266" s="4">
        <v>38.762621626583403</v>
      </c>
    </row>
    <row r="267" spans="1:12" ht="15" customHeight="1" x14ac:dyDescent="0.2">
      <c r="A267" s="6">
        <v>45665</v>
      </c>
      <c r="B267" s="7">
        <v>375.97</v>
      </c>
      <c r="C267" s="8">
        <v>700595</v>
      </c>
      <c r="D267" s="7">
        <v>-8.4099999999999593</v>
      </c>
      <c r="E267" s="7">
        <v>-2.1879390186794101</v>
      </c>
      <c r="F267" s="7">
        <v>-2.1879457689453199</v>
      </c>
      <c r="G267" s="7">
        <v>391.99957000000001</v>
      </c>
      <c r="H267" s="7">
        <v>43.932281990086203</v>
      </c>
      <c r="I267" s="7">
        <v>382.45</v>
      </c>
      <c r="J267" s="7">
        <v>386.99</v>
      </c>
      <c r="K267" s="7">
        <v>371.03</v>
      </c>
      <c r="L267" s="7">
        <v>38.046631173122798</v>
      </c>
    </row>
    <row r="268" spans="1:12" ht="15" customHeight="1" x14ac:dyDescent="0.2">
      <c r="A268" s="3">
        <v>45664</v>
      </c>
      <c r="B268" s="4">
        <v>384.38</v>
      </c>
      <c r="C268" s="5">
        <v>428796</v>
      </c>
      <c r="D268" s="4">
        <v>9.06</v>
      </c>
      <c r="E268" s="4">
        <v>2.4139401044442002</v>
      </c>
      <c r="F268" s="4">
        <v>2.4139437951679001</v>
      </c>
      <c r="G268" s="4">
        <v>400.76816000000002</v>
      </c>
      <c r="H268" s="4">
        <v>47.151885441527398</v>
      </c>
      <c r="I268" s="4">
        <v>377.66</v>
      </c>
      <c r="J268" s="4">
        <v>387.51</v>
      </c>
      <c r="K268" s="4">
        <v>376.18</v>
      </c>
      <c r="L268" s="4">
        <v>41.134569487791403</v>
      </c>
    </row>
    <row r="269" spans="1:12" ht="15" customHeight="1" x14ac:dyDescent="0.2">
      <c r="A269" s="6">
        <v>45663</v>
      </c>
      <c r="B269" s="7">
        <v>375.32</v>
      </c>
      <c r="C269" s="8">
        <v>461891</v>
      </c>
      <c r="D269" s="7">
        <v>5.75</v>
      </c>
      <c r="E269" s="7">
        <v>1.5558622182536499</v>
      </c>
      <c r="F269" s="7">
        <v>1.55586147776098</v>
      </c>
      <c r="G269" s="7">
        <v>391.32186999999999</v>
      </c>
      <c r="H269" s="7">
        <v>43.6834477694143</v>
      </c>
      <c r="I269" s="7">
        <v>371.41</v>
      </c>
      <c r="J269" s="7">
        <v>379</v>
      </c>
      <c r="K269" s="7">
        <v>363.39</v>
      </c>
      <c r="L269" s="7">
        <v>37.807967688635898</v>
      </c>
    </row>
    <row r="270" spans="1:12" ht="15" customHeight="1" x14ac:dyDescent="0.2">
      <c r="A270" s="3">
        <v>45660</v>
      </c>
      <c r="B270" s="4">
        <v>369.57</v>
      </c>
      <c r="C270" s="5">
        <v>578572</v>
      </c>
      <c r="D270" s="4">
        <v>-5.0699999999999896</v>
      </c>
      <c r="E270" s="4">
        <v>-1.3532991672004999</v>
      </c>
      <c r="F270" s="4">
        <v>-1.3532989490771501</v>
      </c>
      <c r="G270" s="4">
        <v>385.32672000000002</v>
      </c>
      <c r="H270" s="4">
        <v>41.4821810170736</v>
      </c>
      <c r="I270" s="4">
        <v>372.8</v>
      </c>
      <c r="J270" s="4">
        <v>378.47</v>
      </c>
      <c r="K270" s="4">
        <v>366.02</v>
      </c>
      <c r="L270" s="4">
        <v>35.696713787405898</v>
      </c>
    </row>
    <row r="271" spans="1:12" ht="15" customHeight="1" x14ac:dyDescent="0.2">
      <c r="A271" s="6">
        <v>45659</v>
      </c>
      <c r="B271" s="7">
        <v>374.64</v>
      </c>
      <c r="C271" s="8">
        <v>313376</v>
      </c>
      <c r="D271" s="7">
        <v>8.0999999999999606</v>
      </c>
      <c r="E271" s="7">
        <v>2.2098543133082198</v>
      </c>
      <c r="F271" s="7">
        <v>2.2098527781820598</v>
      </c>
      <c r="G271" s="7">
        <v>390.61288000000002</v>
      </c>
      <c r="H271" s="7">
        <v>43.423124655773798</v>
      </c>
      <c r="I271" s="7">
        <v>376.93</v>
      </c>
      <c r="J271" s="7">
        <v>376.93</v>
      </c>
      <c r="K271" s="7">
        <v>367.41</v>
      </c>
      <c r="L271" s="7">
        <v>37.558288966403502</v>
      </c>
    </row>
    <row r="272" spans="1:12" ht="15" customHeight="1" x14ac:dyDescent="0.2">
      <c r="A272" s="3">
        <v>45657</v>
      </c>
      <c r="B272" s="4">
        <v>366.54</v>
      </c>
      <c r="C272" s="5">
        <v>361244</v>
      </c>
      <c r="D272" s="4">
        <v>6.7100000000000302</v>
      </c>
      <c r="E272" s="4">
        <v>1.8647694744740699</v>
      </c>
      <c r="F272" s="4">
        <v>1.8647714265038</v>
      </c>
      <c r="G272" s="4">
        <v>382.16753999999997</v>
      </c>
      <c r="H272" s="4">
        <v>40.322210391040898</v>
      </c>
      <c r="I272" s="4">
        <v>361.62</v>
      </c>
      <c r="J272" s="4">
        <v>368.93</v>
      </c>
      <c r="K272" s="4">
        <v>359.36</v>
      </c>
      <c r="L272" s="4">
        <v>34.584174775105502</v>
      </c>
    </row>
    <row r="273" spans="1:12" ht="15" customHeight="1" x14ac:dyDescent="0.2">
      <c r="A273" s="6">
        <v>45656</v>
      </c>
      <c r="B273" s="7">
        <v>359.83</v>
      </c>
      <c r="C273" s="8">
        <v>1394222</v>
      </c>
      <c r="D273" s="7">
        <v>-1.49</v>
      </c>
      <c r="E273" s="7">
        <v>-0.41237684047381501</v>
      </c>
      <c r="F273" s="7">
        <v>-0.41237775100553198</v>
      </c>
      <c r="G273" s="7">
        <v>375.17144999999999</v>
      </c>
      <c r="H273" s="7">
        <v>37.753423903065801</v>
      </c>
      <c r="I273" s="7">
        <v>363.12</v>
      </c>
      <c r="J273" s="7">
        <v>364.97</v>
      </c>
      <c r="K273" s="7">
        <v>353.7</v>
      </c>
      <c r="L273" s="7">
        <v>32.120433266017898</v>
      </c>
    </row>
    <row r="274" spans="1:12" ht="15" customHeight="1" x14ac:dyDescent="0.2">
      <c r="A274" s="3">
        <v>45653</v>
      </c>
      <c r="B274" s="4">
        <v>361.32</v>
      </c>
      <c r="C274" s="5">
        <v>244709</v>
      </c>
      <c r="D274" s="4">
        <v>-2.51999999999998</v>
      </c>
      <c r="E274" s="4">
        <v>-0.69261213720316295</v>
      </c>
      <c r="F274" s="4">
        <v>-0.69261189898300801</v>
      </c>
      <c r="G274" s="4">
        <v>376.72498000000002</v>
      </c>
      <c r="H274" s="4">
        <v>38.323840646227197</v>
      </c>
      <c r="I274" s="4">
        <v>365.65</v>
      </c>
      <c r="J274" s="4">
        <v>369.02</v>
      </c>
      <c r="K274" s="4">
        <v>360.06</v>
      </c>
      <c r="L274" s="4">
        <v>32.667523407380102</v>
      </c>
    </row>
    <row r="275" spans="1:12" ht="15" customHeight="1" x14ac:dyDescent="0.2">
      <c r="A275" s="6">
        <v>45652</v>
      </c>
      <c r="B275" s="7">
        <v>363.84</v>
      </c>
      <c r="C275" s="8">
        <v>82304</v>
      </c>
      <c r="D275" s="7">
        <v>-0.310000000000002</v>
      </c>
      <c r="E275" s="7">
        <v>-8.5129754222157406E-2</v>
      </c>
      <c r="F275" s="7">
        <v>-8.5127928805972503E-2</v>
      </c>
      <c r="G275" s="7">
        <v>379.35242</v>
      </c>
      <c r="H275" s="7">
        <v>39.288569854965999</v>
      </c>
      <c r="I275" s="7">
        <v>363.27</v>
      </c>
      <c r="J275" s="7">
        <v>371.37</v>
      </c>
      <c r="K275" s="7">
        <v>361</v>
      </c>
      <c r="L275" s="7">
        <v>33.592803378006202</v>
      </c>
    </row>
    <row r="276" spans="1:12" ht="15" customHeight="1" x14ac:dyDescent="0.2">
      <c r="A276" s="3">
        <v>45650</v>
      </c>
      <c r="B276" s="4">
        <v>364.15</v>
      </c>
      <c r="C276" s="5">
        <v>150470</v>
      </c>
      <c r="D276" s="4">
        <v>-3.05000000000001</v>
      </c>
      <c r="E276" s="4">
        <v>-0.83061002178649301</v>
      </c>
      <c r="F276" s="4">
        <v>-0.83061324831330496</v>
      </c>
      <c r="G276" s="4">
        <v>379.67563000000001</v>
      </c>
      <c r="H276" s="4">
        <v>39.407244354690597</v>
      </c>
      <c r="I276" s="4">
        <v>370</v>
      </c>
      <c r="J276" s="4">
        <v>383.29</v>
      </c>
      <c r="K276" s="4">
        <v>362.92</v>
      </c>
      <c r="L276" s="4">
        <v>33.706627501376801</v>
      </c>
    </row>
    <row r="277" spans="1:12" ht="15" customHeight="1" x14ac:dyDescent="0.2">
      <c r="A277" s="6">
        <v>45649</v>
      </c>
      <c r="B277" s="7">
        <v>367.2</v>
      </c>
      <c r="C277" s="8">
        <v>532409</v>
      </c>
      <c r="D277" s="7">
        <v>3.8299999999999801</v>
      </c>
      <c r="E277" s="7">
        <v>1.05402207116711</v>
      </c>
      <c r="F277" s="7">
        <v>1.05402655850987</v>
      </c>
      <c r="G277" s="7">
        <v>382.85568000000001</v>
      </c>
      <c r="H277" s="7">
        <v>40.574877914448301</v>
      </c>
      <c r="I277" s="7">
        <v>363</v>
      </c>
      <c r="J277" s="7">
        <v>368.4</v>
      </c>
      <c r="K277" s="7">
        <v>356</v>
      </c>
      <c r="L277" s="7">
        <v>34.8265100055076</v>
      </c>
    </row>
    <row r="278" spans="1:12" ht="15" customHeight="1" x14ac:dyDescent="0.2">
      <c r="A278" s="3">
        <v>45646</v>
      </c>
      <c r="B278" s="4">
        <v>363.37</v>
      </c>
      <c r="C278" s="5">
        <v>1869043</v>
      </c>
      <c r="D278" s="4">
        <v>-2.99</v>
      </c>
      <c r="E278" s="4">
        <v>-0.81613713287477196</v>
      </c>
      <c r="F278" s="4">
        <v>-0.81613988758464295</v>
      </c>
      <c r="G278" s="4">
        <v>378.86237</v>
      </c>
      <c r="H278" s="4">
        <v>39.108635946392397</v>
      </c>
      <c r="I278" s="4">
        <v>372.99</v>
      </c>
      <c r="J278" s="4">
        <v>372.99</v>
      </c>
      <c r="K278" s="4">
        <v>362.02</v>
      </c>
      <c r="L278" s="4">
        <v>33.420231319992602</v>
      </c>
    </row>
    <row r="279" spans="1:12" ht="15" customHeight="1" x14ac:dyDescent="0.2">
      <c r="A279" s="6">
        <v>45645</v>
      </c>
      <c r="B279" s="7">
        <v>366.36</v>
      </c>
      <c r="C279" s="8">
        <v>586918</v>
      </c>
      <c r="D279" s="7">
        <v>-7.56</v>
      </c>
      <c r="E279" s="7">
        <v>-2.0218228498074402</v>
      </c>
      <c r="F279" s="7">
        <v>-2.0218271994566201</v>
      </c>
      <c r="G279" s="7">
        <v>381.97985999999997</v>
      </c>
      <c r="H279" s="7">
        <v>40.253299063704702</v>
      </c>
      <c r="I279" s="7">
        <v>369.1</v>
      </c>
      <c r="J279" s="7">
        <v>386.87</v>
      </c>
      <c r="K279" s="7">
        <v>364.6</v>
      </c>
      <c r="L279" s="7">
        <v>34.518083348632203</v>
      </c>
    </row>
    <row r="280" spans="1:12" ht="15" customHeight="1" x14ac:dyDescent="0.2">
      <c r="A280" s="3">
        <v>45644</v>
      </c>
      <c r="B280" s="4">
        <v>373.92</v>
      </c>
      <c r="C280" s="5">
        <v>746573</v>
      </c>
      <c r="D280" s="4">
        <v>-3.8599999999999501</v>
      </c>
      <c r="E280" s="4">
        <v>-1.0217586955370701</v>
      </c>
      <c r="F280" s="4">
        <v>-1.0217530800414201</v>
      </c>
      <c r="G280" s="4">
        <v>389.86219999999997</v>
      </c>
      <c r="H280" s="4">
        <v>43.147494033412798</v>
      </c>
      <c r="I280" s="4">
        <v>386.8</v>
      </c>
      <c r="J280" s="4">
        <v>386.8</v>
      </c>
      <c r="K280" s="4">
        <v>369.09</v>
      </c>
      <c r="L280" s="4">
        <v>37.293923260510297</v>
      </c>
    </row>
    <row r="281" spans="1:12" ht="15" customHeight="1" x14ac:dyDescent="0.2">
      <c r="A281" s="6">
        <v>45643</v>
      </c>
      <c r="B281" s="7">
        <v>377.78</v>
      </c>
      <c r="C281" s="8">
        <v>835158</v>
      </c>
      <c r="D281" s="7">
        <v>-0.73000000000001797</v>
      </c>
      <c r="E281" s="7">
        <v>-0.19286148318407001</v>
      </c>
      <c r="F281" s="7">
        <v>-0.192868123712297</v>
      </c>
      <c r="G281" s="7">
        <v>393.88675000000001</v>
      </c>
      <c r="H281" s="7">
        <v>44.625206535707697</v>
      </c>
      <c r="I281" s="7">
        <v>378.51</v>
      </c>
      <c r="J281" s="7">
        <v>388.78</v>
      </c>
      <c r="K281" s="7">
        <v>376.02</v>
      </c>
      <c r="L281" s="7">
        <v>38.711217183770799</v>
      </c>
    </row>
    <row r="282" spans="1:12" ht="15" customHeight="1" x14ac:dyDescent="0.2">
      <c r="A282" s="3">
        <v>45642</v>
      </c>
      <c r="B282" s="4">
        <v>378.51</v>
      </c>
      <c r="C282" s="5">
        <v>701265</v>
      </c>
      <c r="D282" s="4">
        <v>-0.41000000000002501</v>
      </c>
      <c r="E282" s="4">
        <v>-0.108202259052048</v>
      </c>
      <c r="F282" s="4">
        <v>-0.108202136007562</v>
      </c>
      <c r="G282" s="4">
        <v>394.64789999999999</v>
      </c>
      <c r="H282" s="4">
        <v>44.904681476041802</v>
      </c>
      <c r="I282" s="4">
        <v>378.82</v>
      </c>
      <c r="J282" s="4">
        <v>383.96</v>
      </c>
      <c r="K282" s="4">
        <v>375.03</v>
      </c>
      <c r="L282" s="4">
        <v>38.979254635579203</v>
      </c>
    </row>
    <row r="283" spans="1:12" ht="15" customHeight="1" x14ac:dyDescent="0.2">
      <c r="A283" s="6">
        <v>45639</v>
      </c>
      <c r="B283" s="7">
        <v>378.92</v>
      </c>
      <c r="C283" s="8">
        <v>807488</v>
      </c>
      <c r="D283" s="7">
        <v>-3.93</v>
      </c>
      <c r="E283" s="7">
        <v>-1.02651168865091</v>
      </c>
      <c r="F283" s="7">
        <v>-1.0265025506491099</v>
      </c>
      <c r="G283" s="7">
        <v>395.07538</v>
      </c>
      <c r="H283" s="7">
        <v>45.061641270423998</v>
      </c>
      <c r="I283" s="7">
        <v>386</v>
      </c>
      <c r="J283" s="7">
        <v>388.47</v>
      </c>
      <c r="K283" s="7">
        <v>368.08</v>
      </c>
      <c r="L283" s="7">
        <v>39.129796218101703</v>
      </c>
    </row>
    <row r="284" spans="1:12" ht="15" customHeight="1" x14ac:dyDescent="0.2">
      <c r="A284" s="3">
        <v>45637</v>
      </c>
      <c r="B284" s="4">
        <v>382.85</v>
      </c>
      <c r="C284" s="5">
        <v>799958</v>
      </c>
      <c r="D284" s="4">
        <v>-11.31</v>
      </c>
      <c r="E284" s="4">
        <v>-2.8693931398416899</v>
      </c>
      <c r="F284" s="4">
        <v>-2.86939679941693</v>
      </c>
      <c r="G284" s="4">
        <v>399.17290000000003</v>
      </c>
      <c r="H284" s="4">
        <v>46.566146502662001</v>
      </c>
      <c r="I284" s="4">
        <v>401.95</v>
      </c>
      <c r="J284" s="4">
        <v>401.95</v>
      </c>
      <c r="K284" s="4">
        <v>378.74</v>
      </c>
      <c r="L284" s="4">
        <v>40.572792362768404</v>
      </c>
    </row>
    <row r="285" spans="1:12" ht="15" customHeight="1" x14ac:dyDescent="0.2">
      <c r="A285" s="6">
        <v>45636</v>
      </c>
      <c r="B285" s="7">
        <v>394.16</v>
      </c>
      <c r="C285" s="8">
        <v>824008</v>
      </c>
      <c r="D285" s="7">
        <v>-4.0399999999999601</v>
      </c>
      <c r="E285" s="7">
        <v>-1.0145655449522699</v>
      </c>
      <c r="F285" s="7">
        <v>-1.0145663767752999</v>
      </c>
      <c r="G285" s="7">
        <v>410.96512000000001</v>
      </c>
      <c r="H285" s="7">
        <v>50.895950064255501</v>
      </c>
      <c r="I285" s="7">
        <v>396.2</v>
      </c>
      <c r="J285" s="7">
        <v>403.98</v>
      </c>
      <c r="K285" s="7">
        <v>393</v>
      </c>
      <c r="L285" s="7">
        <v>44.725536992839999</v>
      </c>
    </row>
    <row r="286" spans="1:12" ht="15" customHeight="1" x14ac:dyDescent="0.2">
      <c r="A286" s="3">
        <v>45635</v>
      </c>
      <c r="B286" s="4">
        <v>398.2</v>
      </c>
      <c r="C286" s="5">
        <v>1095734</v>
      </c>
      <c r="D286" s="4">
        <v>10.0299999999999</v>
      </c>
      <c r="E286" s="4">
        <v>2.5839194167503798</v>
      </c>
      <c r="F286" s="4">
        <v>2.58391386672101</v>
      </c>
      <c r="G286" s="4">
        <v>415.17737</v>
      </c>
      <c r="H286" s="4">
        <v>52.442581237378299</v>
      </c>
      <c r="I286" s="4">
        <v>385</v>
      </c>
      <c r="J286" s="4">
        <v>400.15</v>
      </c>
      <c r="K286" s="4">
        <v>384.67</v>
      </c>
      <c r="L286" s="4">
        <v>46.2089223425738</v>
      </c>
    </row>
    <row r="287" spans="1:12" ht="15" customHeight="1" x14ac:dyDescent="0.2">
      <c r="A287" s="6">
        <v>45632</v>
      </c>
      <c r="B287" s="7">
        <v>388.17</v>
      </c>
      <c r="C287" s="8">
        <v>1777767</v>
      </c>
      <c r="D287" s="7">
        <v>-10.68</v>
      </c>
      <c r="E287" s="7">
        <v>-2.6776983828506999</v>
      </c>
      <c r="F287" s="7">
        <v>-2.6776971113255499</v>
      </c>
      <c r="G287" s="7">
        <v>404.71976000000001</v>
      </c>
      <c r="H287" s="7">
        <v>48.602812557371003</v>
      </c>
      <c r="I287" s="7">
        <v>398.8</v>
      </c>
      <c r="J287" s="7">
        <v>409.99</v>
      </c>
      <c r="K287" s="7">
        <v>386.08</v>
      </c>
      <c r="L287" s="7">
        <v>42.526161189645599</v>
      </c>
    </row>
    <row r="288" spans="1:12" ht="15" customHeight="1" x14ac:dyDescent="0.2">
      <c r="A288" s="3">
        <v>45631</v>
      </c>
      <c r="B288" s="4">
        <v>398.85</v>
      </c>
      <c r="C288" s="5">
        <v>690934</v>
      </c>
      <c r="D288" s="4">
        <v>23.95</v>
      </c>
      <c r="E288" s="4">
        <v>6.3883702320618898</v>
      </c>
      <c r="F288" s="4">
        <v>6.3883740231148503</v>
      </c>
      <c r="G288" s="4">
        <v>415.85509999999999</v>
      </c>
      <c r="H288" s="4">
        <v>52.691426473287997</v>
      </c>
      <c r="I288" s="4">
        <v>376.72</v>
      </c>
      <c r="J288" s="4">
        <v>400</v>
      </c>
      <c r="K288" s="4">
        <v>375.94</v>
      </c>
      <c r="L288" s="4">
        <v>46.447585827060699</v>
      </c>
    </row>
    <row r="289" spans="1:12" ht="15" customHeight="1" x14ac:dyDescent="0.2">
      <c r="A289" s="6">
        <v>45630</v>
      </c>
      <c r="B289" s="7">
        <v>374.9</v>
      </c>
      <c r="C289" s="8">
        <v>797016</v>
      </c>
      <c r="D289" s="7">
        <v>2.0799999999999801</v>
      </c>
      <c r="E289" s="7">
        <v>0.55790998336999698</v>
      </c>
      <c r="F289" s="7">
        <v>0.557907033759663</v>
      </c>
      <c r="G289" s="7">
        <v>390.88396999999998</v>
      </c>
      <c r="H289" s="7">
        <v>43.522662015788399</v>
      </c>
      <c r="I289" s="7">
        <v>367.53</v>
      </c>
      <c r="J289" s="7">
        <v>378.41</v>
      </c>
      <c r="K289" s="7">
        <v>367.37</v>
      </c>
      <c r="L289" s="7">
        <v>37.653754360198199</v>
      </c>
    </row>
    <row r="290" spans="1:12" ht="15" customHeight="1" x14ac:dyDescent="0.2">
      <c r="A290" s="3">
        <v>45629</v>
      </c>
      <c r="B290" s="4">
        <v>372.82</v>
      </c>
      <c r="C290" s="5">
        <v>1452799</v>
      </c>
      <c r="D290" s="4">
        <v>1.62</v>
      </c>
      <c r="E290" s="4">
        <v>0.43642241379311297</v>
      </c>
      <c r="F290" s="4">
        <v>0.436430401869425</v>
      </c>
      <c r="G290" s="4">
        <v>388.71530000000001</v>
      </c>
      <c r="H290" s="4">
        <v>42.726381494400499</v>
      </c>
      <c r="I290" s="4">
        <v>372</v>
      </c>
      <c r="J290" s="4">
        <v>375.01</v>
      </c>
      <c r="K290" s="4">
        <v>365.39</v>
      </c>
      <c r="L290" s="4">
        <v>36.890031209840203</v>
      </c>
    </row>
    <row r="291" spans="1:12" ht="15" customHeight="1" x14ac:dyDescent="0.2">
      <c r="A291" s="6">
        <v>45628</v>
      </c>
      <c r="B291" s="7">
        <v>371.2</v>
      </c>
      <c r="C291" s="8">
        <v>1248073</v>
      </c>
      <c r="D291" s="7">
        <v>-4.1100000000000101</v>
      </c>
      <c r="E291" s="7">
        <v>-1.0950947216967299</v>
      </c>
      <c r="F291" s="7">
        <v>-1.0950945133394001</v>
      </c>
      <c r="G291" s="7">
        <v>387.02620000000002</v>
      </c>
      <c r="H291" s="7">
        <v>42.106186891866997</v>
      </c>
      <c r="I291" s="7">
        <v>378.55</v>
      </c>
      <c r="J291" s="7">
        <v>383.44</v>
      </c>
      <c r="K291" s="7">
        <v>366.57</v>
      </c>
      <c r="L291" s="7">
        <v>36.2952083715806</v>
      </c>
    </row>
    <row r="292" spans="1:12" ht="15" customHeight="1" x14ac:dyDescent="0.2">
      <c r="A292" s="3">
        <v>45625</v>
      </c>
      <c r="B292" s="4">
        <v>375.31</v>
      </c>
      <c r="C292" s="5">
        <v>1156022</v>
      </c>
      <c r="D292" s="4">
        <v>-1.79000000000002</v>
      </c>
      <c r="E292" s="4">
        <v>-0.47467515247945302</v>
      </c>
      <c r="F292" s="4">
        <v>-0.47467842535142601</v>
      </c>
      <c r="G292" s="4">
        <v>391.31142999999997</v>
      </c>
      <c r="H292" s="4">
        <v>43.6796144666788</v>
      </c>
      <c r="I292" s="4">
        <v>375</v>
      </c>
      <c r="J292" s="4">
        <v>383.03</v>
      </c>
      <c r="K292" s="4">
        <v>373.55</v>
      </c>
      <c r="L292" s="4">
        <v>37.804295942720699</v>
      </c>
    </row>
    <row r="293" spans="1:12" ht="15" customHeight="1" x14ac:dyDescent="0.2">
      <c r="A293" s="6">
        <v>45624</v>
      </c>
      <c r="B293" s="7">
        <v>377.1</v>
      </c>
      <c r="C293" s="8">
        <v>193853</v>
      </c>
      <c r="D293" s="7">
        <v>-7.5799999999999796</v>
      </c>
      <c r="E293" s="7">
        <v>-1.9704689612145101</v>
      </c>
      <c r="F293" s="7">
        <v>-1.97046765599153</v>
      </c>
      <c r="G293" s="7">
        <v>393.17775999999998</v>
      </c>
      <c r="H293" s="7">
        <v>44.364883422067102</v>
      </c>
      <c r="I293" s="7">
        <v>386.6</v>
      </c>
      <c r="J293" s="7">
        <v>386.6</v>
      </c>
      <c r="K293" s="7">
        <v>375</v>
      </c>
      <c r="L293" s="7">
        <v>38.461538461538403</v>
      </c>
    </row>
    <row r="294" spans="1:12" ht="15" customHeight="1" x14ac:dyDescent="0.2">
      <c r="A294" s="3">
        <v>45623</v>
      </c>
      <c r="B294" s="4">
        <v>384.68</v>
      </c>
      <c r="C294" s="5">
        <v>871956</v>
      </c>
      <c r="D294" s="4">
        <v>8.24</v>
      </c>
      <c r="E294" s="4">
        <v>2.1889278503878402</v>
      </c>
      <c r="F294" s="4">
        <v>2.1889266778571002</v>
      </c>
      <c r="G294" s="4">
        <v>401.08093000000002</v>
      </c>
      <c r="H294" s="4">
        <v>47.266726638516602</v>
      </c>
      <c r="I294" s="4">
        <v>378.27</v>
      </c>
      <c r="J294" s="4">
        <v>385.59</v>
      </c>
      <c r="K294" s="4">
        <v>374.35</v>
      </c>
      <c r="L294" s="4">
        <v>41.244721865246902</v>
      </c>
    </row>
    <row r="295" spans="1:12" ht="15" customHeight="1" x14ac:dyDescent="0.2">
      <c r="A295" s="6">
        <v>45622</v>
      </c>
      <c r="B295" s="7">
        <v>376.44</v>
      </c>
      <c r="C295" s="8">
        <v>1995774</v>
      </c>
      <c r="D295" s="7">
        <v>0.50999999999999002</v>
      </c>
      <c r="E295" s="7">
        <v>0.13566355438512301</v>
      </c>
      <c r="F295" s="7">
        <v>0.13565742647361201</v>
      </c>
      <c r="G295" s="7">
        <v>392.48962</v>
      </c>
      <c r="H295" s="7">
        <v>44.112215898659798</v>
      </c>
      <c r="I295" s="7">
        <v>374.05</v>
      </c>
      <c r="J295" s="7">
        <v>380.11</v>
      </c>
      <c r="K295" s="7">
        <v>373.25</v>
      </c>
      <c r="L295" s="7">
        <v>38.219203231136397</v>
      </c>
    </row>
    <row r="296" spans="1:12" ht="15" customHeight="1" x14ac:dyDescent="0.2">
      <c r="A296" s="3">
        <v>45621</v>
      </c>
      <c r="B296" s="4">
        <v>375.93</v>
      </c>
      <c r="C296" s="5">
        <v>1983090</v>
      </c>
      <c r="D296" s="4">
        <v>-7.93</v>
      </c>
      <c r="E296" s="4">
        <v>-2.0658573438232701</v>
      </c>
      <c r="F296" s="4">
        <v>-0.26050327085262998</v>
      </c>
      <c r="G296" s="4">
        <v>391.9579</v>
      </c>
      <c r="H296" s="4">
        <v>43.9169818248577</v>
      </c>
      <c r="I296" s="4">
        <v>379.99</v>
      </c>
      <c r="J296" s="4">
        <v>380.01</v>
      </c>
      <c r="K296" s="4">
        <v>373.18</v>
      </c>
      <c r="L296" s="4">
        <v>38.031944189462003</v>
      </c>
    </row>
    <row r="297" spans="1:12" ht="15" customHeight="1" x14ac:dyDescent="0.2">
      <c r="A297" s="6">
        <v>45618</v>
      </c>
      <c r="B297" s="7">
        <v>383.86</v>
      </c>
      <c r="C297" s="8">
        <v>1057605</v>
      </c>
      <c r="D297" s="7">
        <v>7.4600000000000302</v>
      </c>
      <c r="E297" s="7">
        <v>1.9819341126461301</v>
      </c>
      <c r="F297" s="7">
        <v>1.9819337695769099</v>
      </c>
      <c r="G297" s="7">
        <v>392.98163</v>
      </c>
      <c r="H297" s="7">
        <v>44.292869469432702</v>
      </c>
      <c r="I297" s="7">
        <v>376.4</v>
      </c>
      <c r="J297" s="7">
        <v>385.48</v>
      </c>
      <c r="K297" s="7">
        <v>375.96</v>
      </c>
      <c r="L297" s="7">
        <v>40.943638700201902</v>
      </c>
    </row>
    <row r="298" spans="1:12" ht="15" customHeight="1" x14ac:dyDescent="0.2">
      <c r="A298" s="3">
        <v>45617</v>
      </c>
      <c r="B298" s="4">
        <v>376.4</v>
      </c>
      <c r="C298" s="5">
        <v>1160397</v>
      </c>
      <c r="D298" s="4">
        <v>1.7899999999999601</v>
      </c>
      <c r="E298" s="4">
        <v>0.47783027682122198</v>
      </c>
      <c r="F298" s="4">
        <v>0.47783666630336602</v>
      </c>
      <c r="G298" s="4">
        <v>385.34435999999999</v>
      </c>
      <c r="H298" s="4">
        <v>41.488657976867898</v>
      </c>
      <c r="I298" s="4">
        <v>376.43</v>
      </c>
      <c r="J298" s="4">
        <v>382.16</v>
      </c>
      <c r="K298" s="4">
        <v>372.13</v>
      </c>
      <c r="L298" s="4">
        <v>38.204516247475603</v>
      </c>
    </row>
    <row r="299" spans="1:12" ht="15" customHeight="1" x14ac:dyDescent="0.2">
      <c r="A299" s="6">
        <v>45616</v>
      </c>
      <c r="B299" s="7">
        <v>374.61</v>
      </c>
      <c r="C299" s="8">
        <v>530673</v>
      </c>
      <c r="D299" s="7">
        <v>-0.62000000000000399</v>
      </c>
      <c r="E299" s="7">
        <v>-0.165231991045489</v>
      </c>
      <c r="F299" s="7">
        <v>-0.16524421485152299</v>
      </c>
      <c r="G299" s="7">
        <v>383.51179999999999</v>
      </c>
      <c r="H299" s="7">
        <v>40.815788507435201</v>
      </c>
      <c r="I299" s="7">
        <v>373.35</v>
      </c>
      <c r="J299" s="7">
        <v>379.24</v>
      </c>
      <c r="K299" s="7">
        <v>370.26</v>
      </c>
      <c r="L299" s="7">
        <v>37.547273728657899</v>
      </c>
    </row>
    <row r="300" spans="1:12" ht="15" customHeight="1" x14ac:dyDescent="0.2">
      <c r="A300" s="3">
        <v>45615</v>
      </c>
      <c r="B300" s="4">
        <v>375.23</v>
      </c>
      <c r="C300" s="5">
        <v>1001104</v>
      </c>
      <c r="D300" s="4">
        <v>4.9000000000000297</v>
      </c>
      <c r="E300" s="4">
        <v>1.3231442227202801</v>
      </c>
      <c r="F300" s="4">
        <v>1.3231472792732</v>
      </c>
      <c r="G300" s="4">
        <v>384.14657999999997</v>
      </c>
      <c r="H300" s="4">
        <v>41.048863594639201</v>
      </c>
      <c r="I300" s="4">
        <v>370.33</v>
      </c>
      <c r="J300" s="4">
        <v>378</v>
      </c>
      <c r="K300" s="4">
        <v>369.07</v>
      </c>
      <c r="L300" s="4">
        <v>37.774921975399302</v>
      </c>
    </row>
    <row r="301" spans="1:12" ht="15" customHeight="1" x14ac:dyDescent="0.2">
      <c r="A301" s="6">
        <v>45611</v>
      </c>
      <c r="B301" s="7">
        <v>370.33</v>
      </c>
      <c r="C301" s="8">
        <v>678675</v>
      </c>
      <c r="D301" s="7">
        <v>-0.85000000000002196</v>
      </c>
      <c r="E301" s="7">
        <v>-0.22899940729566001</v>
      </c>
      <c r="F301" s="7">
        <v>-0.22900242668203399</v>
      </c>
      <c r="G301" s="7">
        <v>379.13013000000001</v>
      </c>
      <c r="H301" s="7">
        <v>39.206950615017398</v>
      </c>
      <c r="I301" s="7">
        <v>369.32</v>
      </c>
      <c r="J301" s="7">
        <v>374.85</v>
      </c>
      <c r="K301" s="7">
        <v>366.71</v>
      </c>
      <c r="L301" s="7">
        <v>35.975766476959699</v>
      </c>
    </row>
    <row r="302" spans="1:12" ht="15" customHeight="1" x14ac:dyDescent="0.2">
      <c r="A302" s="3">
        <v>45610</v>
      </c>
      <c r="B302" s="4">
        <v>371.18</v>
      </c>
      <c r="C302" s="5">
        <v>885337</v>
      </c>
      <c r="D302" s="4">
        <v>8.1399999999999793</v>
      </c>
      <c r="E302" s="4">
        <v>2.24217717055972</v>
      </c>
      <c r="F302" s="4">
        <v>2.2421797582727798</v>
      </c>
      <c r="G302" s="4">
        <v>380.00033999999999</v>
      </c>
      <c r="H302" s="4">
        <v>39.526469616302499</v>
      </c>
      <c r="I302" s="4">
        <v>365.79</v>
      </c>
      <c r="J302" s="4">
        <v>372.48</v>
      </c>
      <c r="K302" s="4">
        <v>362.8</v>
      </c>
      <c r="L302" s="4">
        <v>36.287864879750302</v>
      </c>
    </row>
    <row r="303" spans="1:12" ht="15" customHeight="1" x14ac:dyDescent="0.2">
      <c r="A303" s="6">
        <v>45609</v>
      </c>
      <c r="B303" s="7">
        <v>363.04</v>
      </c>
      <c r="C303" s="8">
        <v>1163012</v>
      </c>
      <c r="D303" s="7">
        <v>0.39000000000004298</v>
      </c>
      <c r="E303" s="7">
        <v>0.107541706879921</v>
      </c>
      <c r="F303" s="7">
        <v>0.107539671381018</v>
      </c>
      <c r="G303" s="7">
        <v>371.6669</v>
      </c>
      <c r="H303" s="7">
        <v>36.466642188360503</v>
      </c>
      <c r="I303" s="7">
        <v>362.5</v>
      </c>
      <c r="J303" s="7">
        <v>364.75</v>
      </c>
      <c r="K303" s="7">
        <v>360.75</v>
      </c>
      <c r="L303" s="7">
        <v>33.2990637047916</v>
      </c>
    </row>
    <row r="304" spans="1:12" ht="15" customHeight="1" x14ac:dyDescent="0.2">
      <c r="A304" s="3">
        <v>45608</v>
      </c>
      <c r="B304" s="4">
        <v>362.65</v>
      </c>
      <c r="C304" s="5">
        <v>1479177</v>
      </c>
      <c r="D304" s="4">
        <v>0.58999999999997499</v>
      </c>
      <c r="E304" s="4">
        <v>0.16295641606363001</v>
      </c>
      <c r="F304" s="4">
        <v>0.162961779899606</v>
      </c>
      <c r="G304" s="4">
        <v>371.26763999999997</v>
      </c>
      <c r="H304" s="4">
        <v>36.320044060950899</v>
      </c>
      <c r="I304" s="4">
        <v>362.01</v>
      </c>
      <c r="J304" s="4">
        <v>364.98</v>
      </c>
      <c r="K304" s="4">
        <v>360</v>
      </c>
      <c r="L304" s="4">
        <v>33.155865614099397</v>
      </c>
    </row>
    <row r="305" spans="1:12" ht="15" customHeight="1" x14ac:dyDescent="0.2">
      <c r="A305" s="6">
        <v>45607</v>
      </c>
      <c r="B305" s="7">
        <v>362.06</v>
      </c>
      <c r="C305" s="8">
        <v>1279574</v>
      </c>
      <c r="D305" s="7">
        <v>0.54000000000002002</v>
      </c>
      <c r="E305" s="7">
        <v>0.14936932949767201</v>
      </c>
      <c r="F305" s="7">
        <v>0.14936608979614299</v>
      </c>
      <c r="G305" s="7">
        <v>370.66359999999997</v>
      </c>
      <c r="H305" s="7">
        <v>36.0982559206902</v>
      </c>
      <c r="I305" s="7">
        <v>361.52</v>
      </c>
      <c r="J305" s="7">
        <v>365.61</v>
      </c>
      <c r="K305" s="7">
        <v>360</v>
      </c>
      <c r="L305" s="7">
        <v>32.939232605103697</v>
      </c>
    </row>
    <row r="306" spans="1:12" ht="15" customHeight="1" x14ac:dyDescent="0.2">
      <c r="A306" s="3">
        <v>45604</v>
      </c>
      <c r="B306" s="4">
        <v>361.52</v>
      </c>
      <c r="C306" s="5">
        <v>719768</v>
      </c>
      <c r="D306" s="4">
        <v>-8.00000000000409E-2</v>
      </c>
      <c r="E306" s="4">
        <v>-2.2123893805325801E-2</v>
      </c>
      <c r="F306" s="4">
        <v>-2.2129015510041702E-2</v>
      </c>
      <c r="G306" s="4">
        <v>370.11077999999998</v>
      </c>
      <c r="H306" s="4">
        <v>35.895274463007098</v>
      </c>
      <c r="I306" s="4">
        <v>358.74</v>
      </c>
      <c r="J306" s="4">
        <v>363.05</v>
      </c>
      <c r="K306" s="4">
        <v>355.51</v>
      </c>
      <c r="L306" s="4">
        <v>32.740958325683799</v>
      </c>
    </row>
    <row r="307" spans="1:12" ht="15" customHeight="1" x14ac:dyDescent="0.2">
      <c r="A307" s="6">
        <v>45603</v>
      </c>
      <c r="B307" s="7">
        <v>361.6</v>
      </c>
      <c r="C307" s="8">
        <v>773633</v>
      </c>
      <c r="D307" s="7">
        <v>8.8799999999999901</v>
      </c>
      <c r="E307" s="7">
        <v>2.5175776820140601</v>
      </c>
      <c r="F307" s="7">
        <v>2.5175874992540099</v>
      </c>
      <c r="G307" s="7">
        <v>370.1927</v>
      </c>
      <c r="H307" s="7">
        <v>35.9253534055443</v>
      </c>
      <c r="I307" s="7">
        <v>354.43</v>
      </c>
      <c r="J307" s="7">
        <v>363.37</v>
      </c>
      <c r="K307" s="7">
        <v>347.02</v>
      </c>
      <c r="L307" s="7">
        <v>32.770332293005303</v>
      </c>
    </row>
    <row r="308" spans="1:12" ht="15" customHeight="1" x14ac:dyDescent="0.2">
      <c r="A308" s="3">
        <v>45602</v>
      </c>
      <c r="B308" s="4">
        <v>352.72</v>
      </c>
      <c r="C308" s="5">
        <v>1032604</v>
      </c>
      <c r="D308" s="4">
        <v>7.3500000000000201</v>
      </c>
      <c r="E308" s="4">
        <v>2.12815241624924</v>
      </c>
      <c r="F308" s="4">
        <v>2.12815030389419</v>
      </c>
      <c r="G308" s="4">
        <v>361.10165000000001</v>
      </c>
      <c r="H308" s="4">
        <v>32.587350835322098</v>
      </c>
      <c r="I308" s="4">
        <v>340</v>
      </c>
      <c r="J308" s="4">
        <v>354.53</v>
      </c>
      <c r="K308" s="4">
        <v>335.1</v>
      </c>
      <c r="L308" s="4">
        <v>29.509821920323098</v>
      </c>
    </row>
    <row r="309" spans="1:12" ht="15" customHeight="1" x14ac:dyDescent="0.2">
      <c r="A309" s="6">
        <v>45601</v>
      </c>
      <c r="B309" s="7">
        <v>345.37</v>
      </c>
      <c r="C309" s="8">
        <v>762834</v>
      </c>
      <c r="D309" s="7">
        <v>5.12</v>
      </c>
      <c r="E309" s="7">
        <v>1.50477590007347</v>
      </c>
      <c r="F309" s="7">
        <v>1.5047770204647399</v>
      </c>
      <c r="G309" s="7">
        <v>353.577</v>
      </c>
      <c r="H309" s="7">
        <v>29.8244905452542</v>
      </c>
      <c r="I309" s="7">
        <v>336.5</v>
      </c>
      <c r="J309" s="7">
        <v>347.27</v>
      </c>
      <c r="K309" s="7">
        <v>335.1</v>
      </c>
      <c r="L309" s="7">
        <v>26.8110886726638</v>
      </c>
    </row>
    <row r="310" spans="1:12" ht="15" customHeight="1" x14ac:dyDescent="0.2">
      <c r="A310" s="3">
        <v>45600</v>
      </c>
      <c r="B310" s="4">
        <v>340.25</v>
      </c>
      <c r="C310" s="5">
        <v>479068</v>
      </c>
      <c r="D310" s="4">
        <v>2.05000000000001</v>
      </c>
      <c r="E310" s="4">
        <v>0.60615020697811695</v>
      </c>
      <c r="F310" s="4">
        <v>0.60614614923903898</v>
      </c>
      <c r="G310" s="4">
        <v>348.33533</v>
      </c>
      <c r="H310" s="4">
        <v>27.899882504130701</v>
      </c>
      <c r="I310" s="4">
        <v>339.84</v>
      </c>
      <c r="J310" s="4">
        <v>343.59</v>
      </c>
      <c r="K310" s="4">
        <v>336.01</v>
      </c>
      <c r="L310" s="4">
        <v>24.931154764090302</v>
      </c>
    </row>
    <row r="311" spans="1:12" ht="15" customHeight="1" x14ac:dyDescent="0.2">
      <c r="A311" s="6">
        <v>45597</v>
      </c>
      <c r="B311" s="7">
        <v>338.2</v>
      </c>
      <c r="C311" s="8">
        <v>533942</v>
      </c>
      <c r="D311" s="7">
        <v>-8.7599999999999891</v>
      </c>
      <c r="E311" s="7">
        <v>-2.5247867189301298</v>
      </c>
      <c r="F311" s="7">
        <v>-2.5247802837782798</v>
      </c>
      <c r="G311" s="7">
        <v>346.23662999999999</v>
      </c>
      <c r="H311" s="7">
        <v>27.129293188911301</v>
      </c>
      <c r="I311" s="7">
        <v>346.95</v>
      </c>
      <c r="J311" s="7">
        <v>346.95</v>
      </c>
      <c r="K311" s="7">
        <v>337.22</v>
      </c>
      <c r="L311" s="7">
        <v>24.178446851477801</v>
      </c>
    </row>
    <row r="312" spans="1:12" ht="15" customHeight="1" x14ac:dyDescent="0.2">
      <c r="A312" s="3">
        <v>45596</v>
      </c>
      <c r="B312" s="4">
        <v>346.96</v>
      </c>
      <c r="C312" s="5">
        <v>1191695</v>
      </c>
      <c r="D312" s="4">
        <v>-3.30000000000001</v>
      </c>
      <c r="E312" s="4">
        <v>-0.94215725461086397</v>
      </c>
      <c r="F312" s="4">
        <v>-0.94216622852568699</v>
      </c>
      <c r="G312" s="4">
        <v>355.20477</v>
      </c>
      <c r="H312" s="4">
        <v>30.422166330089901</v>
      </c>
      <c r="I312" s="4">
        <v>350.24</v>
      </c>
      <c r="J312" s="4">
        <v>353.56</v>
      </c>
      <c r="K312" s="4">
        <v>345.13</v>
      </c>
      <c r="L312" s="4">
        <v>27.3948962731778</v>
      </c>
    </row>
    <row r="313" spans="1:12" ht="15" customHeight="1" x14ac:dyDescent="0.2">
      <c r="A313" s="6">
        <v>45595</v>
      </c>
      <c r="B313" s="7">
        <v>350.26</v>
      </c>
      <c r="C313" s="8">
        <v>611767</v>
      </c>
      <c r="D313" s="7">
        <v>-7.1700000000000097</v>
      </c>
      <c r="E313" s="7">
        <v>-2.0059871863022098</v>
      </c>
      <c r="F313" s="7">
        <v>-2.0059816861214599</v>
      </c>
      <c r="G313" s="7">
        <v>358.58321999999998</v>
      </c>
      <c r="H313" s="7">
        <v>31.662647328804798</v>
      </c>
      <c r="I313" s="7">
        <v>354.37</v>
      </c>
      <c r="J313" s="7">
        <v>357.36</v>
      </c>
      <c r="K313" s="7">
        <v>345.36</v>
      </c>
      <c r="L313" s="7">
        <v>28.606572425188102</v>
      </c>
    </row>
    <row r="314" spans="1:12" ht="15" customHeight="1" x14ac:dyDescent="0.2">
      <c r="A314" s="3">
        <v>45594</v>
      </c>
      <c r="B314" s="4">
        <v>357.43</v>
      </c>
      <c r="C314" s="5">
        <v>828968</v>
      </c>
      <c r="D314" s="4">
        <v>-0.84999999999996501</v>
      </c>
      <c r="E314" s="4">
        <v>-0.23724461315171</v>
      </c>
      <c r="F314" s="4">
        <v>-0.237250466065663</v>
      </c>
      <c r="G314" s="4">
        <v>365.92358000000002</v>
      </c>
      <c r="H314" s="4">
        <v>34.357841013401803</v>
      </c>
      <c r="I314" s="4">
        <v>356.55</v>
      </c>
      <c r="J314" s="4">
        <v>358.9</v>
      </c>
      <c r="K314" s="4">
        <v>349.65</v>
      </c>
      <c r="L314" s="4">
        <v>31.2392142463741</v>
      </c>
    </row>
    <row r="315" spans="1:12" ht="15" customHeight="1" x14ac:dyDescent="0.2">
      <c r="A315" s="6">
        <v>45593</v>
      </c>
      <c r="B315" s="7">
        <v>358.28</v>
      </c>
      <c r="C315" s="8">
        <v>1072876</v>
      </c>
      <c r="D315" s="7">
        <v>14.4499999999999</v>
      </c>
      <c r="E315" s="7">
        <v>4.2026582904342202</v>
      </c>
      <c r="F315" s="7">
        <v>4.20266567878899</v>
      </c>
      <c r="G315" s="7">
        <v>366.79379999999998</v>
      </c>
      <c r="H315" s="7">
        <v>34.677363686432798</v>
      </c>
      <c r="I315" s="7">
        <v>344.39</v>
      </c>
      <c r="J315" s="7">
        <v>360.35</v>
      </c>
      <c r="K315" s="7">
        <v>344.39</v>
      </c>
      <c r="L315" s="7">
        <v>31.551312649164601</v>
      </c>
    </row>
    <row r="316" spans="1:12" ht="15" customHeight="1" x14ac:dyDescent="0.2">
      <c r="A316" s="3">
        <v>45590</v>
      </c>
      <c r="B316" s="4">
        <v>343.83</v>
      </c>
      <c r="C316" s="5">
        <v>656421</v>
      </c>
      <c r="D316" s="4">
        <v>4.1699999999999502</v>
      </c>
      <c r="E316" s="4">
        <v>1.2276982865218</v>
      </c>
      <c r="F316" s="4">
        <v>1.2276949916389499</v>
      </c>
      <c r="G316" s="4">
        <v>352.00040000000001</v>
      </c>
      <c r="H316" s="4">
        <v>29.245603084266499</v>
      </c>
      <c r="I316" s="4">
        <v>337.15</v>
      </c>
      <c r="J316" s="4">
        <v>349.91</v>
      </c>
      <c r="K316" s="4">
        <v>337.15</v>
      </c>
      <c r="L316" s="4">
        <v>26.245639801725702</v>
      </c>
    </row>
    <row r="317" spans="1:12" ht="15" customHeight="1" x14ac:dyDescent="0.2">
      <c r="A317" s="6">
        <v>45589</v>
      </c>
      <c r="B317" s="7">
        <v>339.66</v>
      </c>
      <c r="C317" s="8">
        <v>752728</v>
      </c>
      <c r="D317" s="7">
        <v>-0.62999999999999501</v>
      </c>
      <c r="E317" s="7">
        <v>-0.18513620735255401</v>
      </c>
      <c r="F317" s="7">
        <v>-0.18513888573936599</v>
      </c>
      <c r="G317" s="7">
        <v>347.73131999999998</v>
      </c>
      <c r="H317" s="7">
        <v>27.678105379107699</v>
      </c>
      <c r="I317" s="7">
        <v>338.63</v>
      </c>
      <c r="J317" s="7">
        <v>349.86</v>
      </c>
      <c r="K317" s="7">
        <v>337.06</v>
      </c>
      <c r="L317" s="7">
        <v>24.714521755094498</v>
      </c>
    </row>
    <row r="318" spans="1:12" ht="15" customHeight="1" x14ac:dyDescent="0.2">
      <c r="A318" s="3">
        <v>45588</v>
      </c>
      <c r="B318" s="4">
        <v>340.29</v>
      </c>
      <c r="C318" s="5">
        <v>537056</v>
      </c>
      <c r="D318" s="4">
        <v>-6.2299999999999596</v>
      </c>
      <c r="E318" s="4">
        <v>-1.7978760244718699</v>
      </c>
      <c r="F318" s="4">
        <v>-1.7978723473227101</v>
      </c>
      <c r="G318" s="4">
        <v>348.37630000000001</v>
      </c>
      <c r="H318" s="4">
        <v>27.9149256471452</v>
      </c>
      <c r="I318" s="4">
        <v>338.12</v>
      </c>
      <c r="J318" s="4">
        <v>352.99</v>
      </c>
      <c r="K318" s="4">
        <v>337.03</v>
      </c>
      <c r="L318" s="4">
        <v>24.945841747751</v>
      </c>
    </row>
    <row r="319" spans="1:12" ht="15" customHeight="1" x14ac:dyDescent="0.2">
      <c r="A319" s="6">
        <v>45587</v>
      </c>
      <c r="B319" s="7">
        <v>346.52</v>
      </c>
      <c r="C319" s="8">
        <v>1216838</v>
      </c>
      <c r="D319" s="7">
        <v>0.439999999999997</v>
      </c>
      <c r="E319" s="7">
        <v>0.127138233934354</v>
      </c>
      <c r="F319" s="7">
        <v>0.12714227838217501</v>
      </c>
      <c r="G319" s="7">
        <v>354.75432999999998</v>
      </c>
      <c r="H319" s="7">
        <v>30.2567762070864</v>
      </c>
      <c r="I319" s="7">
        <v>344.33</v>
      </c>
      <c r="J319" s="7">
        <v>348.82</v>
      </c>
      <c r="K319" s="7">
        <v>336.02</v>
      </c>
      <c r="L319" s="7">
        <v>27.233339452909799</v>
      </c>
    </row>
    <row r="320" spans="1:12" ht="15" customHeight="1" x14ac:dyDescent="0.2">
      <c r="A320" s="3">
        <v>45586</v>
      </c>
      <c r="B320" s="4">
        <v>346.08</v>
      </c>
      <c r="C320" s="5">
        <v>784245</v>
      </c>
      <c r="D320" s="4">
        <v>1.68</v>
      </c>
      <c r="E320" s="4">
        <v>0.48780487804877998</v>
      </c>
      <c r="F320" s="4">
        <v>0.487801557614853</v>
      </c>
      <c r="G320" s="4">
        <v>354.30385999999999</v>
      </c>
      <c r="H320" s="4">
        <v>30.091375068845199</v>
      </c>
      <c r="I320" s="4">
        <v>344</v>
      </c>
      <c r="J320" s="4">
        <v>347.79</v>
      </c>
      <c r="K320" s="4">
        <v>340.49</v>
      </c>
      <c r="L320" s="4">
        <v>27.071782632641799</v>
      </c>
    </row>
    <row r="321" spans="1:12" ht="15" customHeight="1" x14ac:dyDescent="0.2">
      <c r="A321" s="6">
        <v>45583</v>
      </c>
      <c r="B321" s="7">
        <v>344.4</v>
      </c>
      <c r="C321" s="8">
        <v>872585</v>
      </c>
      <c r="D321" s="7">
        <v>1.90999999999996</v>
      </c>
      <c r="E321" s="7">
        <v>0.55768051621944903</v>
      </c>
      <c r="F321" s="7">
        <v>0.55767845729170995</v>
      </c>
      <c r="G321" s="7">
        <v>352.58395000000002</v>
      </c>
      <c r="H321" s="7">
        <v>29.459867817147</v>
      </c>
      <c r="I321" s="7">
        <v>344.15</v>
      </c>
      <c r="J321" s="7">
        <v>345.98</v>
      </c>
      <c r="K321" s="7">
        <v>341.21</v>
      </c>
      <c r="L321" s="7">
        <v>26.4549293188911</v>
      </c>
    </row>
    <row r="322" spans="1:12" ht="15" customHeight="1" x14ac:dyDescent="0.2">
      <c r="A322" s="3">
        <v>45582</v>
      </c>
      <c r="B322" s="4">
        <v>342.49</v>
      </c>
      <c r="C322" s="5">
        <v>339229</v>
      </c>
      <c r="D322" s="4">
        <v>-1.8299999999999801</v>
      </c>
      <c r="E322" s="4">
        <v>-0.53148234200742706</v>
      </c>
      <c r="F322" s="4">
        <v>-0.53148906241913196</v>
      </c>
      <c r="G322" s="4">
        <v>350.62857000000002</v>
      </c>
      <c r="H322" s="4">
        <v>28.741901964383999</v>
      </c>
      <c r="I322" s="4">
        <v>345.2</v>
      </c>
      <c r="J322" s="4">
        <v>345.82</v>
      </c>
      <c r="K322" s="4">
        <v>341.15</v>
      </c>
      <c r="L322" s="4">
        <v>25.7536258490912</v>
      </c>
    </row>
    <row r="323" spans="1:12" ht="15" customHeight="1" x14ac:dyDescent="0.2">
      <c r="A323" s="6">
        <v>45581</v>
      </c>
      <c r="B323" s="7">
        <v>344.32</v>
      </c>
      <c r="C323" s="8">
        <v>2473516</v>
      </c>
      <c r="D323" s="7">
        <v>-2.3500000000000201</v>
      </c>
      <c r="E323" s="7">
        <v>-0.67787809732599003</v>
      </c>
      <c r="F323" s="7">
        <v>-0.67787163937461603</v>
      </c>
      <c r="G323" s="7">
        <v>352.50207999999998</v>
      </c>
      <c r="H323" s="7">
        <v>29.4298072333394</v>
      </c>
      <c r="I323" s="7">
        <v>339</v>
      </c>
      <c r="J323" s="7">
        <v>348.43</v>
      </c>
      <c r="K323" s="7">
        <v>338.01</v>
      </c>
      <c r="L323" s="7">
        <v>26.425555351569599</v>
      </c>
    </row>
    <row r="324" spans="1:12" ht="15" customHeight="1" x14ac:dyDescent="0.2">
      <c r="A324" s="3">
        <v>45580</v>
      </c>
      <c r="B324" s="4">
        <v>346.67</v>
      </c>
      <c r="C324" s="5">
        <v>2089371.99999999</v>
      </c>
      <c r="D324" s="4">
        <v>6.75</v>
      </c>
      <c r="E324" s="4">
        <v>1.98576135561308</v>
      </c>
      <c r="F324" s="4">
        <v>1.98576139196402</v>
      </c>
      <c r="G324" s="4">
        <v>354.90789999999998</v>
      </c>
      <c r="H324" s="4">
        <v>30.313163209105898</v>
      </c>
      <c r="I324" s="4">
        <v>341.37</v>
      </c>
      <c r="J324" s="4">
        <v>349.9</v>
      </c>
      <c r="K324" s="4">
        <v>341.16</v>
      </c>
      <c r="L324" s="4">
        <v>27.288415641637499</v>
      </c>
    </row>
    <row r="325" spans="1:12" ht="15" customHeight="1" x14ac:dyDescent="0.2">
      <c r="A325" s="6">
        <v>45579</v>
      </c>
      <c r="B325" s="7">
        <v>339.92</v>
      </c>
      <c r="C325" s="8">
        <v>1690186</v>
      </c>
      <c r="D325" s="7">
        <v>6.2100000000000302</v>
      </c>
      <c r="E325" s="7">
        <v>1.86089718617963</v>
      </c>
      <c r="F325" s="7">
        <v>1.8609007987122801</v>
      </c>
      <c r="G325" s="7">
        <v>347.9975</v>
      </c>
      <c r="H325" s="7">
        <v>27.775839911877998</v>
      </c>
      <c r="I325" s="7">
        <v>337.81</v>
      </c>
      <c r="J325" s="7">
        <v>346.38</v>
      </c>
      <c r="K325" s="7">
        <v>333.03</v>
      </c>
      <c r="L325" s="7">
        <v>24.809987148889199</v>
      </c>
    </row>
    <row r="326" spans="1:12" ht="15" customHeight="1" x14ac:dyDescent="0.2">
      <c r="A326" s="3">
        <v>45576</v>
      </c>
      <c r="B326" s="4">
        <v>333.71</v>
      </c>
      <c r="C326" s="5">
        <v>411844</v>
      </c>
      <c r="D326" s="4">
        <v>-8.9600000000000293</v>
      </c>
      <c r="E326" s="4">
        <v>-2.61476055680393</v>
      </c>
      <c r="F326" s="4">
        <v>-2.6147700909604499</v>
      </c>
      <c r="G326" s="4">
        <v>341.63992000000002</v>
      </c>
      <c r="H326" s="4">
        <v>25.4414980723333</v>
      </c>
      <c r="I326" s="4">
        <v>342.1</v>
      </c>
      <c r="J326" s="4">
        <v>342.99</v>
      </c>
      <c r="K326" s="4">
        <v>328.95</v>
      </c>
      <c r="L326" s="4">
        <v>22.529832935560801</v>
      </c>
    </row>
    <row r="327" spans="1:12" ht="15" customHeight="1" x14ac:dyDescent="0.2">
      <c r="A327" s="6">
        <v>45575</v>
      </c>
      <c r="B327" s="7">
        <v>342.67</v>
      </c>
      <c r="C327" s="8">
        <v>1302110</v>
      </c>
      <c r="D327" s="7">
        <v>5.7200000000000202</v>
      </c>
      <c r="E327" s="7">
        <v>1.69758124350793</v>
      </c>
      <c r="F327" s="7">
        <v>1.6975828925198599</v>
      </c>
      <c r="G327" s="7">
        <v>350.81286999999998</v>
      </c>
      <c r="H327" s="7">
        <v>28.809572241600801</v>
      </c>
      <c r="I327" s="7">
        <v>338.63</v>
      </c>
      <c r="J327" s="7">
        <v>347.7</v>
      </c>
      <c r="K327" s="7">
        <v>335.05</v>
      </c>
      <c r="L327" s="7">
        <v>25.8197172755645</v>
      </c>
    </row>
    <row r="328" spans="1:12" ht="15" customHeight="1" x14ac:dyDescent="0.2">
      <c r="A328" s="3">
        <v>45574</v>
      </c>
      <c r="B328" s="4">
        <v>336.95</v>
      </c>
      <c r="C328" s="5">
        <v>4162644</v>
      </c>
      <c r="D328" s="4">
        <v>3.0699999999999901</v>
      </c>
      <c r="E328" s="4">
        <v>0.91949203306575999</v>
      </c>
      <c r="F328" s="4">
        <v>0.91950018659272503</v>
      </c>
      <c r="G328" s="4">
        <v>344.95693999999997</v>
      </c>
      <c r="H328" s="4">
        <v>26.6594235358912</v>
      </c>
      <c r="I328" s="4">
        <v>332.91</v>
      </c>
      <c r="J328" s="4">
        <v>342.97</v>
      </c>
      <c r="K328" s="4">
        <v>330.09</v>
      </c>
      <c r="L328" s="4">
        <v>23.71947861208</v>
      </c>
    </row>
    <row r="329" spans="1:12" ht="15" customHeight="1" x14ac:dyDescent="0.2">
      <c r="A329" s="6">
        <v>45573</v>
      </c>
      <c r="B329" s="7">
        <v>333.88</v>
      </c>
      <c r="C329" s="8">
        <v>1100458</v>
      </c>
      <c r="D329" s="7">
        <v>1.8399999999999701</v>
      </c>
      <c r="E329" s="7">
        <v>0.554150102397299</v>
      </c>
      <c r="F329" s="7">
        <v>0.55414011820718001</v>
      </c>
      <c r="G329" s="7">
        <v>341.81396000000001</v>
      </c>
      <c r="H329" s="7">
        <v>25.505401138241201</v>
      </c>
      <c r="I329" s="7">
        <v>331.97</v>
      </c>
      <c r="J329" s="7">
        <v>334.49</v>
      </c>
      <c r="K329" s="7">
        <v>329.04</v>
      </c>
      <c r="L329" s="7">
        <v>22.592252616118898</v>
      </c>
    </row>
    <row r="330" spans="1:12" ht="15" customHeight="1" x14ac:dyDescent="0.2">
      <c r="A330" s="3">
        <v>45572</v>
      </c>
      <c r="B330" s="4">
        <v>332.04</v>
      </c>
      <c r="C330" s="5">
        <v>637666</v>
      </c>
      <c r="D330" s="4">
        <v>0.14000000000004301</v>
      </c>
      <c r="E330" s="4">
        <v>4.2181379933725602E-2</v>
      </c>
      <c r="F330" s="4">
        <v>4.2185260039295701E-2</v>
      </c>
      <c r="G330" s="4">
        <v>339.93027000000001</v>
      </c>
      <c r="H330" s="4">
        <v>24.813758031944101</v>
      </c>
      <c r="I330" s="4">
        <v>332</v>
      </c>
      <c r="J330" s="4">
        <v>337.98</v>
      </c>
      <c r="K330" s="4">
        <v>328.24</v>
      </c>
      <c r="L330" s="4">
        <v>21.916651367725301</v>
      </c>
    </row>
    <row r="331" spans="1:12" ht="15" customHeight="1" x14ac:dyDescent="0.2">
      <c r="A331" s="6">
        <v>45569</v>
      </c>
      <c r="B331" s="7">
        <v>331.9</v>
      </c>
      <c r="C331" s="8">
        <v>632957</v>
      </c>
      <c r="D331" s="7">
        <v>6.5</v>
      </c>
      <c r="E331" s="7">
        <v>1.9975414874001201</v>
      </c>
      <c r="F331" s="7">
        <v>1.99754782219503</v>
      </c>
      <c r="G331" s="7">
        <v>339.78692999999998</v>
      </c>
      <c r="H331" s="7">
        <v>24.761127225995899</v>
      </c>
      <c r="I331" s="7">
        <v>327.04000000000002</v>
      </c>
      <c r="J331" s="7">
        <v>333.98</v>
      </c>
      <c r="K331" s="7">
        <v>325.77999999999997</v>
      </c>
      <c r="L331" s="7">
        <v>21.8652469249127</v>
      </c>
    </row>
    <row r="332" spans="1:12" ht="15" customHeight="1" x14ac:dyDescent="0.2">
      <c r="A332" s="3">
        <v>45568</v>
      </c>
      <c r="B332" s="4">
        <v>325.39999999999998</v>
      </c>
      <c r="C332" s="5">
        <v>848234</v>
      </c>
      <c r="D332" s="4">
        <v>-9.5200000000000298</v>
      </c>
      <c r="E332" s="4">
        <v>-2.84246984354473</v>
      </c>
      <c r="F332" s="4">
        <v>-2.8424775292253401</v>
      </c>
      <c r="G332" s="4">
        <v>333.13245000000001</v>
      </c>
      <c r="H332" s="4">
        <v>22.317771250229399</v>
      </c>
      <c r="I332" s="4">
        <v>332.65</v>
      </c>
      <c r="J332" s="4">
        <v>332.7</v>
      </c>
      <c r="K332" s="4">
        <v>322</v>
      </c>
      <c r="L332" s="4">
        <v>19.478612080044002</v>
      </c>
    </row>
    <row r="333" spans="1:12" ht="15" customHeight="1" x14ac:dyDescent="0.2">
      <c r="A333" s="6">
        <v>45567</v>
      </c>
      <c r="B333" s="7">
        <v>334.92</v>
      </c>
      <c r="C333" s="8">
        <v>757568</v>
      </c>
      <c r="D333" s="7">
        <v>-6.9799999999999596</v>
      </c>
      <c r="E333" s="7">
        <v>-2.0415326118747998</v>
      </c>
      <c r="F333" s="7">
        <v>-2.0415254313311899</v>
      </c>
      <c r="G333" s="7">
        <v>342.87869999999998</v>
      </c>
      <c r="H333" s="7">
        <v>25.896346612814298</v>
      </c>
      <c r="I333" s="7">
        <v>343.6</v>
      </c>
      <c r="J333" s="7">
        <v>344.47</v>
      </c>
      <c r="K333" s="7">
        <v>333.5</v>
      </c>
      <c r="L333" s="7">
        <v>22.9741141912979</v>
      </c>
    </row>
    <row r="334" spans="1:12" ht="15" customHeight="1" x14ac:dyDescent="0.2">
      <c r="A334" s="3">
        <v>45565</v>
      </c>
      <c r="B334" s="4">
        <v>341.9</v>
      </c>
      <c r="C334" s="5">
        <v>943612</v>
      </c>
      <c r="D334" s="4">
        <v>-8.1500000000000306</v>
      </c>
      <c r="E334" s="4">
        <v>-2.3282388230252899</v>
      </c>
      <c r="F334" s="4">
        <v>-2.3282367129672799</v>
      </c>
      <c r="G334" s="4">
        <v>350.02454</v>
      </c>
      <c r="H334" s="4">
        <v>28.520117495869201</v>
      </c>
      <c r="I334" s="4">
        <v>356.6</v>
      </c>
      <c r="J334" s="4">
        <v>356.6</v>
      </c>
      <c r="K334" s="4">
        <v>337.81</v>
      </c>
      <c r="L334" s="4">
        <v>25.536992840095401</v>
      </c>
    </row>
    <row r="335" spans="1:12" ht="15" customHeight="1" x14ac:dyDescent="0.2">
      <c r="A335" s="6">
        <v>45562</v>
      </c>
      <c r="B335" s="7">
        <v>350.05</v>
      </c>
      <c r="C335" s="8">
        <v>727364</v>
      </c>
      <c r="D335" s="7">
        <v>-4.1999999999999797</v>
      </c>
      <c r="E335" s="7">
        <v>-1.1856033874382499</v>
      </c>
      <c r="F335" s="7">
        <v>-1.1856104327696</v>
      </c>
      <c r="G335" s="7">
        <v>358.3682</v>
      </c>
      <c r="H335" s="7">
        <v>31.583697448136501</v>
      </c>
      <c r="I335" s="7">
        <v>351.82</v>
      </c>
      <c r="J335" s="7">
        <v>358</v>
      </c>
      <c r="K335" s="7">
        <v>348</v>
      </c>
      <c r="L335" s="7">
        <v>28.529465760969298</v>
      </c>
    </row>
    <row r="336" spans="1:12" ht="15" customHeight="1" x14ac:dyDescent="0.2">
      <c r="A336" s="3">
        <v>45561</v>
      </c>
      <c r="B336" s="4">
        <v>354.25</v>
      </c>
      <c r="C336" s="5">
        <v>1311643</v>
      </c>
      <c r="D336" s="4">
        <v>1.3899999999999799</v>
      </c>
      <c r="E336" s="4">
        <v>0.39392393583856899</v>
      </c>
      <c r="F336" s="4">
        <v>0.39393490777006601</v>
      </c>
      <c r="G336" s="4">
        <v>362.66802999999999</v>
      </c>
      <c r="H336" s="4">
        <v>33.1624857719845</v>
      </c>
      <c r="I336" s="4">
        <v>356.56</v>
      </c>
      <c r="J336" s="4">
        <v>361.67</v>
      </c>
      <c r="K336" s="4">
        <v>352.91</v>
      </c>
      <c r="L336" s="4">
        <v>30.071599045346002</v>
      </c>
    </row>
    <row r="337" spans="1:12" ht="15" customHeight="1" x14ac:dyDescent="0.2">
      <c r="A337" s="6">
        <v>45560</v>
      </c>
      <c r="B337" s="7">
        <v>352.86</v>
      </c>
      <c r="C337" s="8">
        <v>983776</v>
      </c>
      <c r="D337" s="7">
        <v>-3.2799999999999701</v>
      </c>
      <c r="E337" s="7">
        <v>-0.92098612905036004</v>
      </c>
      <c r="F337" s="7">
        <v>-0.92099641324888604</v>
      </c>
      <c r="G337" s="7">
        <v>361.24495999999999</v>
      </c>
      <c r="H337" s="7">
        <v>32.6399706260326</v>
      </c>
      <c r="I337" s="7">
        <v>348.82</v>
      </c>
      <c r="J337" s="7">
        <v>354.89</v>
      </c>
      <c r="K337" s="7">
        <v>346.01</v>
      </c>
      <c r="L337" s="7">
        <v>29.561226363135599</v>
      </c>
    </row>
    <row r="338" spans="1:12" ht="15" customHeight="1" x14ac:dyDescent="0.2">
      <c r="A338" s="3">
        <v>45559</v>
      </c>
      <c r="B338" s="4">
        <v>356.14</v>
      </c>
      <c r="C338" s="5">
        <v>1850332</v>
      </c>
      <c r="D338" s="4">
        <v>2.50999999999999</v>
      </c>
      <c r="E338" s="4">
        <v>0.70978140994824002</v>
      </c>
      <c r="F338" s="4">
        <v>0.70978001194916795</v>
      </c>
      <c r="G338" s="4">
        <v>364.60293999999999</v>
      </c>
      <c r="H338" s="4">
        <v>33.872935560859098</v>
      </c>
      <c r="I338" s="4">
        <v>353.5</v>
      </c>
      <c r="J338" s="4">
        <v>359.9</v>
      </c>
      <c r="K338" s="4">
        <v>347</v>
      </c>
      <c r="L338" s="4">
        <v>30.7655590233155</v>
      </c>
    </row>
    <row r="339" spans="1:12" ht="15" customHeight="1" x14ac:dyDescent="0.2">
      <c r="A339" s="6">
        <v>45558</v>
      </c>
      <c r="B339" s="7">
        <v>353.63</v>
      </c>
      <c r="C339" s="8">
        <v>881967</v>
      </c>
      <c r="D339" s="7">
        <v>-2.9700000000000202</v>
      </c>
      <c r="E339" s="7">
        <v>-0.83286595625351401</v>
      </c>
      <c r="F339" s="7">
        <v>-0.83286703502315396</v>
      </c>
      <c r="G339" s="7">
        <v>362.0333</v>
      </c>
      <c r="H339" s="7">
        <v>32.929429043510098</v>
      </c>
      <c r="I339" s="7">
        <v>354.86</v>
      </c>
      <c r="J339" s="7">
        <v>359.07</v>
      </c>
      <c r="K339" s="7">
        <v>347.37</v>
      </c>
      <c r="L339" s="7">
        <v>29.843950798604698</v>
      </c>
    </row>
    <row r="340" spans="1:12" ht="15" customHeight="1" x14ac:dyDescent="0.2">
      <c r="A340" s="3">
        <v>45555</v>
      </c>
      <c r="B340" s="4">
        <v>356.6</v>
      </c>
      <c r="C340" s="5">
        <v>4274380</v>
      </c>
      <c r="D340" s="4">
        <v>3.2600000000000402</v>
      </c>
      <c r="E340" s="4">
        <v>0.92262410143206797</v>
      </c>
      <c r="F340" s="4">
        <v>0.92262763714128204</v>
      </c>
      <c r="G340" s="4">
        <v>365.07387999999997</v>
      </c>
      <c r="H340" s="4">
        <v>34.045852762988702</v>
      </c>
      <c r="I340" s="4">
        <v>353.34</v>
      </c>
      <c r="J340" s="4">
        <v>358.68</v>
      </c>
      <c r="K340" s="4">
        <v>345.53</v>
      </c>
      <c r="L340" s="4">
        <v>30.934459335413901</v>
      </c>
    </row>
    <row r="341" spans="1:12" ht="15" customHeight="1" x14ac:dyDescent="0.2">
      <c r="A341" s="6">
        <v>45554</v>
      </c>
      <c r="B341" s="7">
        <v>353.34</v>
      </c>
      <c r="C341" s="8">
        <v>715666</v>
      </c>
      <c r="D341" s="7">
        <v>0.37999999999999501</v>
      </c>
      <c r="E341" s="7">
        <v>0.107660924750674</v>
      </c>
      <c r="F341" s="7">
        <v>0.107666487660695</v>
      </c>
      <c r="G341" s="7">
        <v>361.7364</v>
      </c>
      <c r="H341" s="7">
        <v>32.820414907288402</v>
      </c>
      <c r="I341" s="7">
        <v>351.19</v>
      </c>
      <c r="J341" s="7">
        <v>355.67</v>
      </c>
      <c r="K341" s="7">
        <v>350.02</v>
      </c>
      <c r="L341" s="7">
        <v>29.737470167064401</v>
      </c>
    </row>
    <row r="342" spans="1:12" ht="15" customHeight="1" x14ac:dyDescent="0.2">
      <c r="A342" s="3">
        <v>45553</v>
      </c>
      <c r="B342" s="4">
        <v>352.96</v>
      </c>
      <c r="C342" s="5">
        <v>1223574</v>
      </c>
      <c r="D342" s="4">
        <v>6.1499999999999702</v>
      </c>
      <c r="E342" s="4">
        <v>1.7733052680141801</v>
      </c>
      <c r="F342" s="4">
        <v>1.77330762436516</v>
      </c>
      <c r="G342" s="4">
        <v>361.34735000000001</v>
      </c>
      <c r="H342" s="4">
        <v>32.677565632458197</v>
      </c>
      <c r="I342" s="4">
        <v>345.07</v>
      </c>
      <c r="J342" s="4">
        <v>353.68</v>
      </c>
      <c r="K342" s="4">
        <v>343.06</v>
      </c>
      <c r="L342" s="4">
        <v>29.597943822287402</v>
      </c>
    </row>
    <row r="343" spans="1:12" ht="15" customHeight="1" x14ac:dyDescent="0.2">
      <c r="A343" s="6">
        <v>45552</v>
      </c>
      <c r="B343" s="7">
        <v>346.81</v>
      </c>
      <c r="C343" s="8">
        <v>2235058</v>
      </c>
      <c r="D343" s="7">
        <v>11.36</v>
      </c>
      <c r="E343" s="7">
        <v>3.3864957519749601</v>
      </c>
      <c r="F343" s="7">
        <v>3.3864818518828099</v>
      </c>
      <c r="G343" s="7">
        <v>355.05119999999999</v>
      </c>
      <c r="H343" s="7">
        <v>30.365779328070399</v>
      </c>
      <c r="I343" s="7">
        <v>335</v>
      </c>
      <c r="J343" s="7">
        <v>353.95</v>
      </c>
      <c r="K343" s="7">
        <v>335</v>
      </c>
      <c r="L343" s="7">
        <v>27.3398200844501</v>
      </c>
    </row>
    <row r="344" spans="1:12" ht="15" customHeight="1" x14ac:dyDescent="0.2">
      <c r="A344" s="3">
        <v>45548</v>
      </c>
      <c r="B344" s="4">
        <v>335.45</v>
      </c>
      <c r="C344" s="5">
        <v>1512004</v>
      </c>
      <c r="D344" s="4">
        <v>-4.0000000000020401E-2</v>
      </c>
      <c r="E344" s="4">
        <v>-1.1922859101620701E-2</v>
      </c>
      <c r="F344" s="4">
        <v>-1.1913974119204199E-2</v>
      </c>
      <c r="G344" s="4">
        <v>343.42129999999997</v>
      </c>
      <c r="H344" s="4">
        <v>26.0955755461721</v>
      </c>
      <c r="I344" s="4">
        <v>335.48</v>
      </c>
      <c r="J344" s="4">
        <v>350</v>
      </c>
      <c r="K344" s="4">
        <v>333.04</v>
      </c>
      <c r="L344" s="4">
        <v>23.1687167248026</v>
      </c>
    </row>
    <row r="345" spans="1:12" ht="15" customHeight="1" x14ac:dyDescent="0.2">
      <c r="A345" s="6">
        <v>45547</v>
      </c>
      <c r="B345" s="7">
        <v>335.49</v>
      </c>
      <c r="C345" s="8">
        <v>2245875</v>
      </c>
      <c r="D345" s="7">
        <v>7.9999999999984001E-2</v>
      </c>
      <c r="E345" s="7">
        <v>2.3851405742214501E-2</v>
      </c>
      <c r="F345" s="7">
        <v>2.3845278969680798E-2</v>
      </c>
      <c r="G345" s="7">
        <v>343.46222</v>
      </c>
      <c r="H345" s="7">
        <v>26.1106003304571</v>
      </c>
      <c r="I345" s="7">
        <v>330.96</v>
      </c>
      <c r="J345" s="7">
        <v>344.35</v>
      </c>
      <c r="K345" s="7">
        <v>330.62</v>
      </c>
      <c r="L345" s="7">
        <v>23.183403708463299</v>
      </c>
    </row>
    <row r="346" spans="1:12" ht="15" customHeight="1" x14ac:dyDescent="0.2">
      <c r="A346" s="3">
        <v>45546</v>
      </c>
      <c r="B346" s="4">
        <v>335.41</v>
      </c>
      <c r="C346" s="5">
        <v>868935</v>
      </c>
      <c r="D346" s="4">
        <v>-1.20999999999997</v>
      </c>
      <c r="E346" s="4">
        <v>-0.35945576614579899</v>
      </c>
      <c r="F346" s="4">
        <v>-0.35945194909114903</v>
      </c>
      <c r="G346" s="4">
        <v>343.38033999999999</v>
      </c>
      <c r="H346" s="4">
        <v>26.080536074903598</v>
      </c>
      <c r="I346" s="4">
        <v>335</v>
      </c>
      <c r="J346" s="4">
        <v>337.57</v>
      </c>
      <c r="K346" s="4">
        <v>332.99</v>
      </c>
      <c r="L346" s="4">
        <v>23.154029741141901</v>
      </c>
    </row>
    <row r="347" spans="1:12" ht="15" customHeight="1" x14ac:dyDescent="0.2">
      <c r="A347" s="6">
        <v>45545</v>
      </c>
      <c r="B347" s="7">
        <v>336.62</v>
      </c>
      <c r="C347" s="8">
        <v>1926015</v>
      </c>
      <c r="D347" s="7">
        <v>-0.139999999999986</v>
      </c>
      <c r="E347" s="7">
        <v>-4.1572633329367503E-2</v>
      </c>
      <c r="F347" s="7">
        <v>-4.1576457202041603E-2</v>
      </c>
      <c r="G347" s="7">
        <v>344.61908</v>
      </c>
      <c r="H347" s="7">
        <v>26.5353699284009</v>
      </c>
      <c r="I347" s="7">
        <v>336</v>
      </c>
      <c r="J347" s="7">
        <v>341.95</v>
      </c>
      <c r="K347" s="7">
        <v>330.02</v>
      </c>
      <c r="L347" s="7">
        <v>23.598310996879</v>
      </c>
    </row>
    <row r="348" spans="1:12" ht="15" customHeight="1" x14ac:dyDescent="0.2">
      <c r="A348" s="3">
        <v>45544</v>
      </c>
      <c r="B348" s="4">
        <v>336.76</v>
      </c>
      <c r="C348" s="5">
        <v>841418</v>
      </c>
      <c r="D348" s="4">
        <v>2.5699999999999901</v>
      </c>
      <c r="E348" s="4">
        <v>0.76902360932402603</v>
      </c>
      <c r="F348" s="4">
        <v>0.76902335901109997</v>
      </c>
      <c r="G348" s="4">
        <v>344.76242000000002</v>
      </c>
      <c r="H348" s="4">
        <v>26.588000734349102</v>
      </c>
      <c r="I348" s="4">
        <v>334</v>
      </c>
      <c r="J348" s="4">
        <v>338.88</v>
      </c>
      <c r="K348" s="4">
        <v>331.03</v>
      </c>
      <c r="L348" s="4">
        <v>23.649715439691501</v>
      </c>
    </row>
    <row r="349" spans="1:12" ht="15" customHeight="1" x14ac:dyDescent="0.2">
      <c r="A349" s="6">
        <v>45541</v>
      </c>
      <c r="B349" s="7">
        <v>334.19</v>
      </c>
      <c r="C349" s="8">
        <v>508181</v>
      </c>
      <c r="D349" s="7">
        <v>-10.7599999999999</v>
      </c>
      <c r="E349" s="7">
        <v>-3.1192926511088501</v>
      </c>
      <c r="F349" s="7">
        <v>-3.1192900022407</v>
      </c>
      <c r="G349" s="7">
        <v>342.13135</v>
      </c>
      <c r="H349" s="7">
        <v>25.621938681843201</v>
      </c>
      <c r="I349" s="7">
        <v>343.27</v>
      </c>
      <c r="J349" s="7">
        <v>348.6</v>
      </c>
      <c r="K349" s="7">
        <v>329.14</v>
      </c>
      <c r="L349" s="7">
        <v>22.7060767394896</v>
      </c>
    </row>
    <row r="350" spans="1:12" ht="15" customHeight="1" x14ac:dyDescent="0.2">
      <c r="A350" s="3">
        <v>45540</v>
      </c>
      <c r="B350" s="4">
        <v>344.95</v>
      </c>
      <c r="C350" s="5">
        <v>721332</v>
      </c>
      <c r="D350" s="4">
        <v>-5.0200000000000298</v>
      </c>
      <c r="E350" s="4">
        <v>-1.4344086635997499</v>
      </c>
      <c r="F350" s="4">
        <v>-1.4344086595324099</v>
      </c>
      <c r="G350" s="4">
        <v>353.14702999999997</v>
      </c>
      <c r="H350" s="4">
        <v>29.666616486139102</v>
      </c>
      <c r="I350" s="4">
        <v>350</v>
      </c>
      <c r="J350" s="4">
        <v>351.02</v>
      </c>
      <c r="K350" s="4">
        <v>343.72</v>
      </c>
      <c r="L350" s="4">
        <v>26.656875344226101</v>
      </c>
    </row>
    <row r="351" spans="1:12" ht="15" customHeight="1" x14ac:dyDescent="0.2">
      <c r="A351" s="6">
        <v>45539</v>
      </c>
      <c r="B351" s="7">
        <v>349.97</v>
      </c>
      <c r="C351" s="8">
        <v>723960</v>
      </c>
      <c r="D351" s="7">
        <v>6</v>
      </c>
      <c r="E351" s="7">
        <v>1.74433816902637</v>
      </c>
      <c r="F351" s="7">
        <v>1.7443388316373301</v>
      </c>
      <c r="G351" s="7">
        <v>358.28631999999999</v>
      </c>
      <c r="H351" s="7">
        <v>31.553633192583</v>
      </c>
      <c r="I351" s="7">
        <v>347</v>
      </c>
      <c r="J351" s="7">
        <v>353.77</v>
      </c>
      <c r="K351" s="7">
        <v>344.12</v>
      </c>
      <c r="L351" s="7">
        <v>28.500091793647801</v>
      </c>
    </row>
    <row r="352" spans="1:12" ht="15" customHeight="1" x14ac:dyDescent="0.2">
      <c r="A352" s="3">
        <v>45538</v>
      </c>
      <c r="B352" s="4">
        <v>343.97</v>
      </c>
      <c r="C352" s="5">
        <v>414191</v>
      </c>
      <c r="D352" s="4">
        <v>-5.8999999999999702</v>
      </c>
      <c r="E352" s="4">
        <v>-1.6863406408094299</v>
      </c>
      <c r="F352" s="4">
        <v>-1.68633751938563</v>
      </c>
      <c r="G352" s="4">
        <v>352.14373999999998</v>
      </c>
      <c r="H352" s="4">
        <v>29.2982338902147</v>
      </c>
      <c r="I352" s="4">
        <v>350</v>
      </c>
      <c r="J352" s="4">
        <v>351.95</v>
      </c>
      <c r="K352" s="4">
        <v>340.49</v>
      </c>
      <c r="L352" s="4">
        <v>26.297044244538199</v>
      </c>
    </row>
    <row r="353" spans="1:12" ht="15" customHeight="1" x14ac:dyDescent="0.2">
      <c r="A353" s="6">
        <v>45537</v>
      </c>
      <c r="B353" s="7">
        <v>349.87</v>
      </c>
      <c r="C353" s="8">
        <v>191093</v>
      </c>
      <c r="D353" s="7">
        <v>1.1000000000000201</v>
      </c>
      <c r="E353" s="7">
        <v>0.315394099263133</v>
      </c>
      <c r="F353" s="7">
        <v>0.31539151364288198</v>
      </c>
      <c r="G353" s="7">
        <v>358.18392999999998</v>
      </c>
      <c r="H353" s="7">
        <v>31.516038186157399</v>
      </c>
      <c r="I353" s="7">
        <v>350</v>
      </c>
      <c r="J353" s="7">
        <v>354</v>
      </c>
      <c r="K353" s="7">
        <v>342.04</v>
      </c>
      <c r="L353" s="7">
        <v>28.463374334495999</v>
      </c>
    </row>
    <row r="354" spans="1:12" ht="15" customHeight="1" x14ac:dyDescent="0.2">
      <c r="A354" s="3">
        <v>45534</v>
      </c>
      <c r="B354" s="4">
        <v>348.77</v>
      </c>
      <c r="C354" s="5">
        <v>3617984</v>
      </c>
      <c r="D354" s="4">
        <v>-3.99</v>
      </c>
      <c r="E354" s="4">
        <v>-1.1310806213856399</v>
      </c>
      <c r="F354" s="4">
        <v>-1.1310877054008299</v>
      </c>
      <c r="G354" s="4">
        <v>357.05779999999999</v>
      </c>
      <c r="H354" s="4">
        <v>31.102551863411001</v>
      </c>
      <c r="I354" s="4">
        <v>350</v>
      </c>
      <c r="J354" s="4">
        <v>351.12</v>
      </c>
      <c r="K354" s="4">
        <v>341.12</v>
      </c>
      <c r="L354" s="4">
        <v>28.059482283825901</v>
      </c>
    </row>
    <row r="355" spans="1:12" ht="15" customHeight="1" x14ac:dyDescent="0.2">
      <c r="A355" s="6">
        <v>45533</v>
      </c>
      <c r="B355" s="7">
        <v>352.76</v>
      </c>
      <c r="C355" s="8">
        <v>711320</v>
      </c>
      <c r="D355" s="7">
        <v>17.849999999999898</v>
      </c>
      <c r="E355" s="7">
        <v>5.32979009286076</v>
      </c>
      <c r="F355" s="7">
        <v>5.3297993831103101</v>
      </c>
      <c r="G355" s="7">
        <v>361.14263999999997</v>
      </c>
      <c r="H355" s="7">
        <v>32.602401321828502</v>
      </c>
      <c r="I355" s="7">
        <v>334.91</v>
      </c>
      <c r="J355" s="7">
        <v>355</v>
      </c>
      <c r="K355" s="7">
        <v>334.19</v>
      </c>
      <c r="L355" s="7">
        <v>29.524508903983801</v>
      </c>
    </row>
    <row r="356" spans="1:12" ht="15" customHeight="1" x14ac:dyDescent="0.2">
      <c r="A356" s="3">
        <v>45532</v>
      </c>
      <c r="B356" s="4">
        <v>334.91</v>
      </c>
      <c r="C356" s="5">
        <v>1617100</v>
      </c>
      <c r="D356" s="4">
        <v>26.02</v>
      </c>
      <c r="E356" s="4">
        <v>8.4237107060766103</v>
      </c>
      <c r="F356" s="4">
        <v>8.4237000038200005</v>
      </c>
      <c r="G356" s="4">
        <v>342.86844000000002</v>
      </c>
      <c r="H356" s="4">
        <v>25.892579401505401</v>
      </c>
      <c r="I356" s="4">
        <v>317</v>
      </c>
      <c r="J356" s="4">
        <v>340.05</v>
      </c>
      <c r="K356" s="4">
        <v>317</v>
      </c>
      <c r="L356" s="4">
        <v>22.970442445382702</v>
      </c>
    </row>
    <row r="357" spans="1:12" ht="15" customHeight="1" x14ac:dyDescent="0.2">
      <c r="A357" s="6">
        <v>45531</v>
      </c>
      <c r="B357" s="7">
        <v>308.89</v>
      </c>
      <c r="C357" s="8">
        <v>606176</v>
      </c>
      <c r="D357" s="7">
        <v>-6.43</v>
      </c>
      <c r="E357" s="7">
        <v>-2.03919827476849</v>
      </c>
      <c r="F357" s="7">
        <v>-2.0391903137213099</v>
      </c>
      <c r="G357" s="7">
        <v>316.23016000000001</v>
      </c>
      <c r="H357" s="7">
        <v>16.111679823756099</v>
      </c>
      <c r="I357" s="7">
        <v>316.89</v>
      </c>
      <c r="J357" s="7">
        <v>318.33</v>
      </c>
      <c r="K357" s="7">
        <v>308.51</v>
      </c>
      <c r="L357" s="7">
        <v>13.4165595740774</v>
      </c>
    </row>
    <row r="358" spans="1:12" ht="15" customHeight="1" x14ac:dyDescent="0.2">
      <c r="A358" s="3">
        <v>45530</v>
      </c>
      <c r="B358" s="4">
        <v>315.32</v>
      </c>
      <c r="C358" s="5">
        <v>488410</v>
      </c>
      <c r="D358" s="4">
        <v>-1.78000000000002</v>
      </c>
      <c r="E358" s="4">
        <v>-0.56133711762851302</v>
      </c>
      <c r="F358" s="4">
        <v>-0.56133465740408806</v>
      </c>
      <c r="G358" s="4">
        <v>322.81292999999999</v>
      </c>
      <c r="H358" s="4">
        <v>18.5287057095648</v>
      </c>
      <c r="I358" s="4">
        <v>318.04000000000002</v>
      </c>
      <c r="J358" s="4">
        <v>318.25</v>
      </c>
      <c r="K358" s="4">
        <v>314.68</v>
      </c>
      <c r="L358" s="4">
        <v>15.7774921975399</v>
      </c>
    </row>
    <row r="359" spans="1:12" ht="15" customHeight="1" x14ac:dyDescent="0.2">
      <c r="A359" s="6">
        <v>45527</v>
      </c>
      <c r="B359" s="7">
        <v>317.10000000000002</v>
      </c>
      <c r="C359" s="8">
        <v>528610</v>
      </c>
      <c r="D359" s="7">
        <v>8.1199999999999992</v>
      </c>
      <c r="E359" s="7">
        <v>2.6280018124150399</v>
      </c>
      <c r="F359" s="7">
        <v>2.6279905020923202</v>
      </c>
      <c r="G359" s="7">
        <v>324.63522</v>
      </c>
      <c r="H359" s="7">
        <v>19.197804295942699</v>
      </c>
      <c r="I359" s="7">
        <v>307.95</v>
      </c>
      <c r="J359" s="7">
        <v>318</v>
      </c>
      <c r="K359" s="7">
        <v>307.94</v>
      </c>
      <c r="L359" s="7">
        <v>16.431062970442401</v>
      </c>
    </row>
    <row r="360" spans="1:12" ht="15" customHeight="1" x14ac:dyDescent="0.2">
      <c r="A360" s="3">
        <v>45526</v>
      </c>
      <c r="B360" s="4">
        <v>308.98</v>
      </c>
      <c r="C360" s="5">
        <v>694295</v>
      </c>
      <c r="D360" s="4">
        <v>0.36000000000001298</v>
      </c>
      <c r="E360" s="4">
        <v>0.116648305359357</v>
      </c>
      <c r="F360" s="4">
        <v>0.116662662915478</v>
      </c>
      <c r="G360" s="4">
        <v>316.32229999999998</v>
      </c>
      <c r="H360" s="4">
        <v>16.1455112906186</v>
      </c>
      <c r="I360" s="4">
        <v>303.12</v>
      </c>
      <c r="J360" s="4">
        <v>313.98</v>
      </c>
      <c r="K360" s="4">
        <v>303.12</v>
      </c>
      <c r="L360" s="4">
        <v>13.4496052873141</v>
      </c>
    </row>
    <row r="361" spans="1:12" ht="15" customHeight="1" x14ac:dyDescent="0.2">
      <c r="A361" s="6">
        <v>45525</v>
      </c>
      <c r="B361" s="7">
        <v>308.62</v>
      </c>
      <c r="C361" s="8">
        <v>1023314</v>
      </c>
      <c r="D361" s="7">
        <v>-4.3899999999999801</v>
      </c>
      <c r="E361" s="7">
        <v>-1.40251110188172</v>
      </c>
      <c r="F361" s="7">
        <v>-1.40252370384141</v>
      </c>
      <c r="G361" s="7">
        <v>315.95370000000003</v>
      </c>
      <c r="H361" s="7">
        <v>16.010170736185</v>
      </c>
      <c r="I361" s="7">
        <v>311.44</v>
      </c>
      <c r="J361" s="7">
        <v>314.77999999999997</v>
      </c>
      <c r="K361" s="7">
        <v>302.89</v>
      </c>
      <c r="L361" s="7">
        <v>13.317422434367501</v>
      </c>
    </row>
    <row r="362" spans="1:12" ht="15" customHeight="1" x14ac:dyDescent="0.2">
      <c r="A362" s="3">
        <v>45524</v>
      </c>
      <c r="B362" s="4">
        <v>313.01</v>
      </c>
      <c r="C362" s="5">
        <v>265745</v>
      </c>
      <c r="D362" s="4">
        <v>0.55000000000001104</v>
      </c>
      <c r="E362" s="4">
        <v>0.176022530883956</v>
      </c>
      <c r="F362" s="4">
        <v>0.17603516514297299</v>
      </c>
      <c r="G362" s="4">
        <v>320.44806</v>
      </c>
      <c r="H362" s="4">
        <v>17.660385533321001</v>
      </c>
      <c r="I362" s="4">
        <v>313.60000000000002</v>
      </c>
      <c r="J362" s="4">
        <v>315.20999999999998</v>
      </c>
      <c r="K362" s="4">
        <v>310.79000000000002</v>
      </c>
      <c r="L362" s="4">
        <v>14.9293188911327</v>
      </c>
    </row>
    <row r="363" spans="1:12" ht="15" customHeight="1" x14ac:dyDescent="0.2">
      <c r="A363" s="6">
        <v>45523</v>
      </c>
      <c r="B363" s="7">
        <v>312.45999999999998</v>
      </c>
      <c r="C363" s="8">
        <v>630667</v>
      </c>
      <c r="D363" s="7">
        <v>1.0499999999999501</v>
      </c>
      <c r="E363" s="7">
        <v>0.33717607013261602</v>
      </c>
      <c r="F363" s="7">
        <v>0.337166305589575</v>
      </c>
      <c r="G363" s="7">
        <v>319.88495</v>
      </c>
      <c r="H363" s="7">
        <v>17.4536258490912</v>
      </c>
      <c r="I363" s="7">
        <v>309.85000000000002</v>
      </c>
      <c r="J363" s="7">
        <v>315.01</v>
      </c>
      <c r="K363" s="7">
        <v>309.85000000000002</v>
      </c>
      <c r="L363" s="7">
        <v>14.7273728657976</v>
      </c>
    </row>
    <row r="364" spans="1:12" ht="15" customHeight="1" x14ac:dyDescent="0.2">
      <c r="A364" s="3">
        <v>45520</v>
      </c>
      <c r="B364" s="4">
        <v>311.41000000000003</v>
      </c>
      <c r="C364" s="5">
        <v>264590</v>
      </c>
      <c r="D364" s="4">
        <v>6.5400000000000196</v>
      </c>
      <c r="E364" s="4">
        <v>2.1451766326631101</v>
      </c>
      <c r="F364" s="4">
        <v>2.14518321155112</v>
      </c>
      <c r="G364" s="4">
        <v>318.81002999999998</v>
      </c>
      <c r="H364" s="4">
        <v>17.058942537176399</v>
      </c>
      <c r="I364" s="4">
        <v>306</v>
      </c>
      <c r="J364" s="4">
        <v>312</v>
      </c>
      <c r="K364" s="4">
        <v>305.51</v>
      </c>
      <c r="L364" s="4">
        <v>14.3418395447035</v>
      </c>
    </row>
    <row r="365" spans="1:12" ht="15" customHeight="1" x14ac:dyDescent="0.2">
      <c r="A365" s="6">
        <v>45519</v>
      </c>
      <c r="B365" s="7">
        <v>304.87</v>
      </c>
      <c r="C365" s="8">
        <v>232103</v>
      </c>
      <c r="D365" s="7">
        <v>0.97000000000002695</v>
      </c>
      <c r="E365" s="7">
        <v>0.31918394208623102</v>
      </c>
      <c r="F365" s="7">
        <v>0.31918393309624499</v>
      </c>
      <c r="G365" s="7">
        <v>312.1146</v>
      </c>
      <c r="H365" s="7">
        <v>14.600550761887201</v>
      </c>
      <c r="I365" s="7">
        <v>303.91000000000003</v>
      </c>
      <c r="J365" s="7">
        <v>307</v>
      </c>
      <c r="K365" s="7">
        <v>302.13</v>
      </c>
      <c r="L365" s="7">
        <v>11.940517716174</v>
      </c>
    </row>
    <row r="366" spans="1:12" ht="15" customHeight="1" x14ac:dyDescent="0.2">
      <c r="A366" s="3">
        <v>45518</v>
      </c>
      <c r="B366" s="4">
        <v>303.89999999999998</v>
      </c>
      <c r="C366" s="5">
        <v>601301</v>
      </c>
      <c r="D366" s="4">
        <v>0.95999999999997898</v>
      </c>
      <c r="E366" s="4">
        <v>0.31689443454148097</v>
      </c>
      <c r="F366" s="4">
        <v>0.31689689320646403</v>
      </c>
      <c r="G366" s="4">
        <v>311.12155000000001</v>
      </c>
      <c r="H366" s="4">
        <v>14.23592803378</v>
      </c>
      <c r="I366" s="4">
        <v>304</v>
      </c>
      <c r="J366" s="4">
        <v>304.98</v>
      </c>
      <c r="K366" s="4">
        <v>300.52999999999997</v>
      </c>
      <c r="L366" s="4">
        <v>11.5843583624013</v>
      </c>
    </row>
    <row r="367" spans="1:12" ht="15" customHeight="1" x14ac:dyDescent="0.2">
      <c r="A367" s="6">
        <v>45517</v>
      </c>
      <c r="B367" s="7">
        <v>302.94</v>
      </c>
      <c r="C367" s="8">
        <v>1247878</v>
      </c>
      <c r="D367" s="7">
        <v>10.969999999999899</v>
      </c>
      <c r="E367" s="7">
        <v>3.7572353323971499</v>
      </c>
      <c r="F367" s="7">
        <v>3.7572252981585601</v>
      </c>
      <c r="G367" s="7">
        <v>310.13873000000001</v>
      </c>
      <c r="H367" s="7">
        <v>13.875061501744</v>
      </c>
      <c r="I367" s="7">
        <v>294.89</v>
      </c>
      <c r="J367" s="7">
        <v>303.89</v>
      </c>
      <c r="K367" s="7">
        <v>292.52999999999997</v>
      </c>
      <c r="L367" s="7">
        <v>11.231870754543699</v>
      </c>
    </row>
    <row r="368" spans="1:12" ht="15" customHeight="1" x14ac:dyDescent="0.2">
      <c r="A368" s="3">
        <v>45516</v>
      </c>
      <c r="B368" s="4">
        <v>291.97000000000003</v>
      </c>
      <c r="C368" s="5">
        <v>332590</v>
      </c>
      <c r="D368" s="4">
        <v>2.0900000000000301</v>
      </c>
      <c r="E368" s="4">
        <v>0.72098799503244004</v>
      </c>
      <c r="F368" s="4">
        <v>0.72099320547604995</v>
      </c>
      <c r="G368" s="4">
        <v>298.90807999999998</v>
      </c>
      <c r="H368" s="4">
        <v>9.7514521755094403</v>
      </c>
      <c r="I368" s="4">
        <v>289.88</v>
      </c>
      <c r="J368" s="4">
        <v>294.32</v>
      </c>
      <c r="K368" s="4">
        <v>286.01</v>
      </c>
      <c r="L368" s="4">
        <v>7.2039654855883901</v>
      </c>
    </row>
    <row r="369" spans="1:12" ht="15" customHeight="1" x14ac:dyDescent="0.2">
      <c r="A369" s="6">
        <v>45513</v>
      </c>
      <c r="B369" s="7">
        <v>289.88</v>
      </c>
      <c r="C369" s="8">
        <v>337900</v>
      </c>
      <c r="D369" s="7">
        <v>-1.74</v>
      </c>
      <c r="E369" s="7">
        <v>-0.59666689527467698</v>
      </c>
      <c r="F369" s="7">
        <v>-0.59666439501839796</v>
      </c>
      <c r="G369" s="7">
        <v>296.76839999999999</v>
      </c>
      <c r="H369" s="7">
        <v>8.9658160455296301</v>
      </c>
      <c r="I369" s="7">
        <v>290.01</v>
      </c>
      <c r="J369" s="7">
        <v>291.41000000000003</v>
      </c>
      <c r="K369" s="7">
        <v>285.10000000000002</v>
      </c>
      <c r="L369" s="7">
        <v>6.4365705893151999</v>
      </c>
    </row>
    <row r="370" spans="1:12" ht="15" customHeight="1" x14ac:dyDescent="0.2">
      <c r="A370" s="3">
        <v>45512</v>
      </c>
      <c r="B370" s="4">
        <v>291.62</v>
      </c>
      <c r="C370" s="5">
        <v>382445</v>
      </c>
      <c r="D370" s="4">
        <v>2.1899999999999902</v>
      </c>
      <c r="E370" s="4">
        <v>0.75665964136406505</v>
      </c>
      <c r="F370" s="4">
        <v>0.75665937807218797</v>
      </c>
      <c r="G370" s="4">
        <v>298.54973999999999</v>
      </c>
      <c r="H370" s="4">
        <v>9.6198788323847797</v>
      </c>
      <c r="I370" s="4">
        <v>292.8</v>
      </c>
      <c r="J370" s="4">
        <v>293.26</v>
      </c>
      <c r="K370" s="4">
        <v>283.93</v>
      </c>
      <c r="L370" s="4">
        <v>7.0754543785569899</v>
      </c>
    </row>
    <row r="371" spans="1:12" ht="15" customHeight="1" x14ac:dyDescent="0.2">
      <c r="A371" s="6">
        <v>45511</v>
      </c>
      <c r="B371" s="7">
        <v>289.43</v>
      </c>
      <c r="C371" s="8">
        <v>594903</v>
      </c>
      <c r="D371" s="7">
        <v>-3.1999999999999802</v>
      </c>
      <c r="E371" s="7">
        <v>-1.09353108020366</v>
      </c>
      <c r="F371" s="7">
        <v>-1.09353064355227</v>
      </c>
      <c r="G371" s="7">
        <v>296.30770000000001</v>
      </c>
      <c r="H371" s="7">
        <v>8.7966587112171695</v>
      </c>
      <c r="I371" s="7">
        <v>289.8</v>
      </c>
      <c r="J371" s="7">
        <v>293.64999999999998</v>
      </c>
      <c r="K371" s="7">
        <v>287.01</v>
      </c>
      <c r="L371" s="7">
        <v>6.2713420231319903</v>
      </c>
    </row>
    <row r="372" spans="1:12" ht="15" customHeight="1" x14ac:dyDescent="0.2">
      <c r="A372" s="3">
        <v>45510</v>
      </c>
      <c r="B372" s="4">
        <v>292.63</v>
      </c>
      <c r="C372" s="5">
        <v>628279</v>
      </c>
      <c r="D372" s="4">
        <v>-2.26999999999998</v>
      </c>
      <c r="E372" s="4">
        <v>-0.76975245846049301</v>
      </c>
      <c r="F372" s="4">
        <v>-0.76975186586841704</v>
      </c>
      <c r="G372" s="4">
        <v>299.58373999999998</v>
      </c>
      <c r="H372" s="4">
        <v>9.99953736001466</v>
      </c>
      <c r="I372" s="4">
        <v>294.99</v>
      </c>
      <c r="J372" s="4">
        <v>296.95999999999998</v>
      </c>
      <c r="K372" s="4">
        <v>289.87</v>
      </c>
      <c r="L372" s="4">
        <v>7.4463007159904402</v>
      </c>
    </row>
    <row r="373" spans="1:12" ht="15" customHeight="1" x14ac:dyDescent="0.2">
      <c r="A373" s="6">
        <v>45509</v>
      </c>
      <c r="B373" s="7">
        <v>294.89999999999998</v>
      </c>
      <c r="C373" s="8">
        <v>983452</v>
      </c>
      <c r="D373" s="7">
        <v>1.5699999999999901</v>
      </c>
      <c r="E373" s="7">
        <v>0.53523335492449098</v>
      </c>
      <c r="F373" s="7">
        <v>0.53523075794976704</v>
      </c>
      <c r="G373" s="7">
        <v>301.90768000000003</v>
      </c>
      <c r="H373" s="7">
        <v>10.8528290802276</v>
      </c>
      <c r="I373" s="7">
        <v>291.91000000000003</v>
      </c>
      <c r="J373" s="7">
        <v>297.73</v>
      </c>
      <c r="K373" s="7">
        <v>288.14</v>
      </c>
      <c r="L373" s="7">
        <v>8.2797870387369006</v>
      </c>
    </row>
    <row r="374" spans="1:12" ht="15" customHeight="1" x14ac:dyDescent="0.2">
      <c r="A374" s="3">
        <v>45506</v>
      </c>
      <c r="B374" s="4">
        <v>293.33</v>
      </c>
      <c r="C374" s="5">
        <v>563973</v>
      </c>
      <c r="D374" s="4">
        <v>-3.0900000000000301</v>
      </c>
      <c r="E374" s="4">
        <v>-1.04243978139128</v>
      </c>
      <c r="F374" s="4">
        <v>-1.0424503954079001</v>
      </c>
      <c r="G374" s="4">
        <v>300.30038000000002</v>
      </c>
      <c r="H374" s="4">
        <v>10.2626693592803</v>
      </c>
      <c r="I374" s="4">
        <v>298.05</v>
      </c>
      <c r="J374" s="4">
        <v>298.05</v>
      </c>
      <c r="K374" s="4">
        <v>289.55</v>
      </c>
      <c r="L374" s="4">
        <v>7.7033229300532202</v>
      </c>
    </row>
    <row r="375" spans="1:12" ht="15" customHeight="1" x14ac:dyDescent="0.2">
      <c r="A375" s="6">
        <v>45505</v>
      </c>
      <c r="B375" s="7">
        <v>296.42</v>
      </c>
      <c r="C375" s="8">
        <v>792038</v>
      </c>
      <c r="D375" s="7">
        <v>-0.82999999999998397</v>
      </c>
      <c r="E375" s="7">
        <v>-0.279226240538266</v>
      </c>
      <c r="F375" s="7">
        <v>-0.27921859802885102</v>
      </c>
      <c r="G375" s="7">
        <v>303.46384</v>
      </c>
      <c r="H375" s="7">
        <v>11.4242114925647</v>
      </c>
      <c r="I375" s="7">
        <v>298.33</v>
      </c>
      <c r="J375" s="7">
        <v>298.38</v>
      </c>
      <c r="K375" s="7">
        <v>292.01</v>
      </c>
      <c r="L375" s="7">
        <v>8.8378924178446798</v>
      </c>
    </row>
    <row r="376" spans="1:12" ht="15" customHeight="1" x14ac:dyDescent="0.2">
      <c r="A376" s="3">
        <v>45504</v>
      </c>
      <c r="B376" s="4">
        <v>297.25</v>
      </c>
      <c r="C376" s="5">
        <v>1836155</v>
      </c>
      <c r="D376" s="4">
        <v>7.1899999999999897</v>
      </c>
      <c r="E376" s="4">
        <v>2.4787974901744501</v>
      </c>
      <c r="F376" s="4">
        <v>2.47880243003033</v>
      </c>
      <c r="G376" s="4">
        <v>304.31353999999999</v>
      </c>
      <c r="H376" s="4">
        <v>11.7361997429777</v>
      </c>
      <c r="I376" s="4">
        <v>288.60000000000002</v>
      </c>
      <c r="J376" s="4">
        <v>299.42</v>
      </c>
      <c r="K376" s="4">
        <v>288.60000000000002</v>
      </c>
      <c r="L376" s="4">
        <v>9.1426473288048307</v>
      </c>
    </row>
    <row r="377" spans="1:12" ht="15" customHeight="1" x14ac:dyDescent="0.2">
      <c r="A377" s="6">
        <v>45503</v>
      </c>
      <c r="B377" s="7">
        <v>290.06</v>
      </c>
      <c r="C377" s="8">
        <v>1048310.99999999</v>
      </c>
      <c r="D377" s="7">
        <v>2.3299999999999801</v>
      </c>
      <c r="E377" s="7">
        <v>0.80978695304625403</v>
      </c>
      <c r="F377" s="7">
        <v>0.80978093564487696</v>
      </c>
      <c r="G377" s="7">
        <v>296.95267000000001</v>
      </c>
      <c r="H377" s="7">
        <v>9.0334753075087093</v>
      </c>
      <c r="I377" s="7">
        <v>287.14</v>
      </c>
      <c r="J377" s="7">
        <v>292.29000000000002</v>
      </c>
      <c r="K377" s="7">
        <v>284.18</v>
      </c>
      <c r="L377" s="7">
        <v>6.5026620157884896</v>
      </c>
    </row>
    <row r="378" spans="1:12" ht="15" customHeight="1" x14ac:dyDescent="0.2">
      <c r="A378" s="3">
        <v>45502</v>
      </c>
      <c r="B378" s="4">
        <v>287.73</v>
      </c>
      <c r="C378" s="5">
        <v>1095713</v>
      </c>
      <c r="D378" s="4">
        <v>-6.8999999999999702</v>
      </c>
      <c r="E378" s="4">
        <v>-2.3419203747072501</v>
      </c>
      <c r="F378" s="4">
        <v>-2.3419253903689699</v>
      </c>
      <c r="G378" s="4">
        <v>294.56732</v>
      </c>
      <c r="H378" s="4">
        <v>8.15763539563061</v>
      </c>
      <c r="I378" s="4">
        <v>297.04000000000002</v>
      </c>
      <c r="J378" s="4">
        <v>297.36</v>
      </c>
      <c r="K378" s="4">
        <v>285.97000000000003</v>
      </c>
      <c r="L378" s="4">
        <v>5.64714521755094</v>
      </c>
    </row>
    <row r="379" spans="1:12" ht="15" customHeight="1" x14ac:dyDescent="0.2">
      <c r="A379" s="6">
        <v>45499</v>
      </c>
      <c r="B379" s="7">
        <v>294.63</v>
      </c>
      <c r="C379" s="8">
        <v>1032611</v>
      </c>
      <c r="D379" s="7">
        <v>1.50999999999999</v>
      </c>
      <c r="E379" s="7">
        <v>0.51514737991265003</v>
      </c>
      <c r="F379" s="7">
        <v>0.51515335301217602</v>
      </c>
      <c r="G379" s="7">
        <v>301.63130000000001</v>
      </c>
      <c r="H379" s="7">
        <v>10.751349366623799</v>
      </c>
      <c r="I379" s="7">
        <v>293.79000000000002</v>
      </c>
      <c r="J379" s="7">
        <v>298.74</v>
      </c>
      <c r="K379" s="7">
        <v>290.01</v>
      </c>
      <c r="L379" s="7">
        <v>8.1806498990269692</v>
      </c>
    </row>
    <row r="380" spans="1:12" ht="15" customHeight="1" x14ac:dyDescent="0.2">
      <c r="A380" s="3">
        <v>45498</v>
      </c>
      <c r="B380" s="4">
        <v>293.12</v>
      </c>
      <c r="C380" s="5">
        <v>1099712</v>
      </c>
      <c r="D380" s="4">
        <v>-6.4399999999999897</v>
      </c>
      <c r="E380" s="4">
        <v>-2.1498197356122302</v>
      </c>
      <c r="F380" s="4">
        <v>-2.1498218133625602</v>
      </c>
      <c r="G380" s="4">
        <v>300.08539999999999</v>
      </c>
      <c r="H380" s="4">
        <v>10.1837341655957</v>
      </c>
      <c r="I380" s="4">
        <v>292.01</v>
      </c>
      <c r="J380" s="4">
        <v>299.25</v>
      </c>
      <c r="K380" s="4">
        <v>292</v>
      </c>
      <c r="L380" s="4">
        <v>7.6262162658343904</v>
      </c>
    </row>
    <row r="381" spans="1:12" ht="15" customHeight="1" x14ac:dyDescent="0.2">
      <c r="A381" s="6">
        <v>45497</v>
      </c>
      <c r="B381" s="7">
        <v>299.56</v>
      </c>
      <c r="C381" s="8">
        <v>562803</v>
      </c>
      <c r="D381" s="7">
        <v>3.56</v>
      </c>
      <c r="E381" s="7">
        <v>1.2027027027027</v>
      </c>
      <c r="F381" s="7">
        <v>1.20270396203936</v>
      </c>
      <c r="G381" s="7">
        <v>306.67844000000002</v>
      </c>
      <c r="H381" s="7">
        <v>12.6045309344593</v>
      </c>
      <c r="I381" s="7">
        <v>297.48</v>
      </c>
      <c r="J381" s="7">
        <v>304</v>
      </c>
      <c r="K381" s="7">
        <v>294.8</v>
      </c>
      <c r="L381" s="7">
        <v>9.9908206352120299</v>
      </c>
    </row>
    <row r="382" spans="1:12" ht="15" customHeight="1" x14ac:dyDescent="0.2">
      <c r="A382" s="3">
        <v>45496</v>
      </c>
      <c r="B382" s="4">
        <v>296</v>
      </c>
      <c r="C382" s="5">
        <v>2305832</v>
      </c>
      <c r="D382" s="4">
        <v>4.37</v>
      </c>
      <c r="E382" s="4">
        <v>1.4984740938860801</v>
      </c>
      <c r="F382" s="4">
        <v>1.4984726688102901</v>
      </c>
      <c r="G382" s="4">
        <v>303.03384</v>
      </c>
      <c r="H382" s="4">
        <v>11.266326418211801</v>
      </c>
      <c r="I382" s="4">
        <v>291.5</v>
      </c>
      <c r="J382" s="4">
        <v>299.77</v>
      </c>
      <c r="K382" s="4">
        <v>288.11</v>
      </c>
      <c r="L382" s="4">
        <v>8.6836790894070006</v>
      </c>
    </row>
    <row r="383" spans="1:12" ht="15" customHeight="1" x14ac:dyDescent="0.2">
      <c r="A383" s="6">
        <v>45495</v>
      </c>
      <c r="B383" s="7">
        <v>291.63</v>
      </c>
      <c r="C383" s="8">
        <v>765692</v>
      </c>
      <c r="D383" s="7">
        <v>-1.94999999999998</v>
      </c>
      <c r="E383" s="7">
        <v>-0.66421418352748895</v>
      </c>
      <c r="F383" s="7">
        <v>1.6963008379317499</v>
      </c>
      <c r="G383" s="7">
        <v>298.56</v>
      </c>
      <c r="H383" s="7">
        <v>9.6236460436937694</v>
      </c>
      <c r="I383" s="7">
        <v>289.95</v>
      </c>
      <c r="J383" s="7">
        <v>294.91000000000003</v>
      </c>
      <c r="K383" s="7">
        <v>286.5</v>
      </c>
      <c r="L383" s="7">
        <v>7.0791261244721699</v>
      </c>
    </row>
    <row r="384" spans="1:12" ht="15" customHeight="1" x14ac:dyDescent="0.2">
      <c r="A384" s="3">
        <v>45492</v>
      </c>
      <c r="B384" s="4">
        <v>293.58</v>
      </c>
      <c r="C384" s="5">
        <v>473817</v>
      </c>
      <c r="D384" s="4">
        <v>2.46999999999997</v>
      </c>
      <c r="E384" s="4">
        <v>0.84847652090274095</v>
      </c>
      <c r="F384" s="4">
        <v>0.84847652090274095</v>
      </c>
      <c r="G384" s="4">
        <v>293.58</v>
      </c>
      <c r="H384" s="4">
        <v>7.7951165779327898</v>
      </c>
      <c r="I384" s="4">
        <v>292.02999999999997</v>
      </c>
      <c r="J384" s="4">
        <v>296.08</v>
      </c>
      <c r="K384" s="4">
        <v>289.10000000000002</v>
      </c>
      <c r="L384" s="4">
        <v>7.7951165779327898</v>
      </c>
    </row>
    <row r="385" spans="1:12" ht="15" customHeight="1" x14ac:dyDescent="0.2">
      <c r="A385" s="6">
        <v>45491</v>
      </c>
      <c r="B385" s="7">
        <v>291.11</v>
      </c>
      <c r="C385" s="8">
        <v>581354</v>
      </c>
      <c r="D385" s="7">
        <v>-1.3799999999999899</v>
      </c>
      <c r="E385" s="7">
        <v>-0.471811002085542</v>
      </c>
      <c r="F385" s="7">
        <v>-0.471811002085542</v>
      </c>
      <c r="G385" s="7">
        <v>291.11</v>
      </c>
      <c r="H385" s="7">
        <v>6.8881953368826796</v>
      </c>
      <c r="I385" s="7">
        <v>295</v>
      </c>
      <c r="J385" s="7">
        <v>298.99</v>
      </c>
      <c r="K385" s="7">
        <v>290.02</v>
      </c>
      <c r="L385" s="7">
        <v>6.8881953368826796</v>
      </c>
    </row>
    <row r="386" spans="1:12" ht="15" customHeight="1" x14ac:dyDescent="0.2">
      <c r="A386" s="3">
        <v>45490</v>
      </c>
      <c r="B386" s="4">
        <v>292.49</v>
      </c>
      <c r="C386" s="5">
        <v>535617</v>
      </c>
      <c r="D386" s="4">
        <v>-3.7799999999999701</v>
      </c>
      <c r="E386" s="4">
        <v>-1.2758632328619</v>
      </c>
      <c r="F386" s="4">
        <v>-1.2758632328619</v>
      </c>
      <c r="G386" s="4">
        <v>292.49</v>
      </c>
      <c r="H386" s="4">
        <v>7.3948962731778902</v>
      </c>
      <c r="I386" s="4">
        <v>297.76</v>
      </c>
      <c r="J386" s="4">
        <v>299.61</v>
      </c>
      <c r="K386" s="4">
        <v>290.8</v>
      </c>
      <c r="L386" s="4">
        <v>7.3948962731778902</v>
      </c>
    </row>
    <row r="387" spans="1:12" ht="15" customHeight="1" x14ac:dyDescent="0.2">
      <c r="A387" s="6">
        <v>45489</v>
      </c>
      <c r="B387" s="7">
        <v>296.27</v>
      </c>
      <c r="C387" s="8">
        <v>1522243</v>
      </c>
      <c r="D387" s="7">
        <v>3.01999999999998</v>
      </c>
      <c r="E387" s="7">
        <v>1.02983802216538</v>
      </c>
      <c r="F387" s="7">
        <v>1.02983802216538</v>
      </c>
      <c r="G387" s="7">
        <v>296.27</v>
      </c>
      <c r="H387" s="7">
        <v>8.7828162291169196</v>
      </c>
      <c r="I387" s="7">
        <v>295</v>
      </c>
      <c r="J387" s="7">
        <v>297.42</v>
      </c>
      <c r="K387" s="7">
        <v>289.08</v>
      </c>
      <c r="L387" s="7">
        <v>8.7828162291169196</v>
      </c>
    </row>
    <row r="388" spans="1:12" ht="15" customHeight="1" x14ac:dyDescent="0.2">
      <c r="A388" s="3">
        <v>45488</v>
      </c>
      <c r="B388" s="4">
        <v>293.25</v>
      </c>
      <c r="C388" s="5">
        <v>454405</v>
      </c>
      <c r="D388" s="4">
        <v>-1.97000000000002</v>
      </c>
      <c r="E388" s="4">
        <v>-0.66729896348486295</v>
      </c>
      <c r="F388" s="4">
        <v>-0.66729896348486295</v>
      </c>
      <c r="G388" s="4">
        <v>293.25</v>
      </c>
      <c r="H388" s="4">
        <v>7.6739489627317701</v>
      </c>
      <c r="I388" s="4">
        <v>294.44</v>
      </c>
      <c r="J388" s="4">
        <v>297.91000000000003</v>
      </c>
      <c r="K388" s="4">
        <v>291.01</v>
      </c>
      <c r="L388" s="4">
        <v>7.6739489627317701</v>
      </c>
    </row>
    <row r="389" spans="1:12" ht="15" customHeight="1" x14ac:dyDescent="0.2">
      <c r="A389" s="6">
        <v>45485</v>
      </c>
      <c r="B389" s="7">
        <v>295.22000000000003</v>
      </c>
      <c r="C389" s="8">
        <v>319202</v>
      </c>
      <c r="D389" s="7">
        <v>7.7000000000000401</v>
      </c>
      <c r="E389" s="7">
        <v>2.67807456872566</v>
      </c>
      <c r="F389" s="7">
        <v>2.67807456872566</v>
      </c>
      <c r="G389" s="7">
        <v>295.22000000000003</v>
      </c>
      <c r="H389" s="7">
        <v>8.3972829080227598</v>
      </c>
      <c r="I389" s="7">
        <v>286.08</v>
      </c>
      <c r="J389" s="7">
        <v>297.88</v>
      </c>
      <c r="K389" s="7">
        <v>286.02999999999997</v>
      </c>
      <c r="L389" s="7">
        <v>8.3972829080227598</v>
      </c>
    </row>
    <row r="390" spans="1:12" ht="15" customHeight="1" x14ac:dyDescent="0.2">
      <c r="A390" s="3">
        <v>45484</v>
      </c>
      <c r="B390" s="4">
        <v>287.52</v>
      </c>
      <c r="C390" s="5">
        <v>343990</v>
      </c>
      <c r="D390" s="4">
        <v>-2.5</v>
      </c>
      <c r="E390" s="4">
        <v>-0.86200951658505998</v>
      </c>
      <c r="F390" s="4">
        <v>-0.86200951658505998</v>
      </c>
      <c r="G390" s="4">
        <v>287.52</v>
      </c>
      <c r="H390" s="4">
        <v>5.5700385533320897</v>
      </c>
      <c r="I390" s="4">
        <v>288.56</v>
      </c>
      <c r="J390" s="4">
        <v>291.42</v>
      </c>
      <c r="K390" s="4">
        <v>285.63</v>
      </c>
      <c r="L390" s="4">
        <v>5.5700385533320897</v>
      </c>
    </row>
    <row r="391" spans="1:12" ht="15" customHeight="1" x14ac:dyDescent="0.2">
      <c r="A391" s="6">
        <v>45483</v>
      </c>
      <c r="B391" s="7">
        <v>290.02</v>
      </c>
      <c r="C391" s="8">
        <v>1075840</v>
      </c>
      <c r="D391" s="7">
        <v>3.4099999999999602</v>
      </c>
      <c r="E391" s="7">
        <v>1.18977007082794</v>
      </c>
      <c r="F391" s="7">
        <v>1.18977007082794</v>
      </c>
      <c r="G391" s="7">
        <v>290.02</v>
      </c>
      <c r="H391" s="7">
        <v>6.4879750321277596</v>
      </c>
      <c r="I391" s="7">
        <v>285.87</v>
      </c>
      <c r="J391" s="7">
        <v>291.83999999999997</v>
      </c>
      <c r="K391" s="7">
        <v>282.87</v>
      </c>
      <c r="L391" s="7">
        <v>6.4879750321277596</v>
      </c>
    </row>
    <row r="392" spans="1:12" ht="15" customHeight="1" x14ac:dyDescent="0.2">
      <c r="A392" s="3">
        <v>45482</v>
      </c>
      <c r="B392" s="4">
        <v>286.61</v>
      </c>
      <c r="C392" s="5">
        <v>513269</v>
      </c>
      <c r="D392" s="4">
        <v>7.5300000000000296</v>
      </c>
      <c r="E392" s="4">
        <v>2.6981510677941798</v>
      </c>
      <c r="F392" s="4">
        <v>2.6981510677941798</v>
      </c>
      <c r="G392" s="4">
        <v>286.61</v>
      </c>
      <c r="H392" s="4">
        <v>5.2359096750504799</v>
      </c>
      <c r="I392" s="4">
        <v>277.73</v>
      </c>
      <c r="J392" s="4">
        <v>289.29000000000002</v>
      </c>
      <c r="K392" s="4">
        <v>276.98</v>
      </c>
      <c r="L392" s="4">
        <v>5.2359096750504799</v>
      </c>
    </row>
    <row r="393" spans="1:12" ht="15" customHeight="1" x14ac:dyDescent="0.2">
      <c r="A393" s="6">
        <v>45481</v>
      </c>
      <c r="B393" s="7">
        <v>279.08</v>
      </c>
      <c r="C393" s="8">
        <v>1333626</v>
      </c>
      <c r="D393" s="7">
        <v>1.97999999999996</v>
      </c>
      <c r="E393" s="7">
        <v>0.71454348610608898</v>
      </c>
      <c r="F393" s="7">
        <v>0.71454348610608898</v>
      </c>
      <c r="G393" s="7">
        <v>279.08</v>
      </c>
      <c r="H393" s="7">
        <v>2.4710850009179199</v>
      </c>
      <c r="I393" s="7">
        <v>278.51</v>
      </c>
      <c r="J393" s="7">
        <v>279.95999999999998</v>
      </c>
      <c r="K393" s="7">
        <v>270.56</v>
      </c>
      <c r="L393" s="7">
        <v>2.4710850009179199</v>
      </c>
    </row>
    <row r="394" spans="1:12" ht="15" customHeight="1" x14ac:dyDescent="0.2">
      <c r="A394" s="3">
        <v>45478</v>
      </c>
      <c r="B394" s="4">
        <v>277.10000000000002</v>
      </c>
      <c r="C394" s="5">
        <v>402821</v>
      </c>
      <c r="D394" s="4">
        <v>-6.01999999999998</v>
      </c>
      <c r="E394" s="4">
        <v>-2.1263068663464102</v>
      </c>
      <c r="F394" s="4">
        <v>-2.1263068663464102</v>
      </c>
      <c r="G394" s="4">
        <v>277.10000000000002</v>
      </c>
      <c r="H394" s="4">
        <v>1.74407930971176</v>
      </c>
      <c r="I394" s="4">
        <v>288.69</v>
      </c>
      <c r="J394" s="4">
        <v>288.69</v>
      </c>
      <c r="K394" s="4">
        <v>275.58999999999997</v>
      </c>
      <c r="L394" s="4">
        <v>1.74407930971176</v>
      </c>
    </row>
    <row r="395" spans="1:12" ht="15" customHeight="1" x14ac:dyDescent="0.2">
      <c r="A395" s="6">
        <v>45477</v>
      </c>
      <c r="B395" s="7">
        <v>283.12</v>
      </c>
      <c r="C395" s="8">
        <v>75777</v>
      </c>
      <c r="D395" s="7">
        <v>-0.93999999999999695</v>
      </c>
      <c r="E395" s="7">
        <v>-0.330916003661196</v>
      </c>
      <c r="F395" s="7">
        <v>-0.330916003661196</v>
      </c>
      <c r="G395" s="7">
        <v>283.12</v>
      </c>
      <c r="H395" s="7">
        <v>3.9544703506517198</v>
      </c>
      <c r="I395" s="7">
        <v>283.26</v>
      </c>
      <c r="J395" s="7">
        <v>285.89999999999998</v>
      </c>
      <c r="K395" s="7">
        <v>281.98</v>
      </c>
      <c r="L395" s="7">
        <v>3.9544703506517198</v>
      </c>
    </row>
    <row r="396" spans="1:12" ht="15" customHeight="1" x14ac:dyDescent="0.2">
      <c r="A396" s="3">
        <v>45476</v>
      </c>
      <c r="B396" s="4">
        <v>284.06</v>
      </c>
      <c r="C396" s="5">
        <v>808886</v>
      </c>
      <c r="D396" s="4">
        <v>4.9200000000000097</v>
      </c>
      <c r="E396" s="4">
        <v>1.7625564233001401</v>
      </c>
      <c r="F396" s="4">
        <v>1.7625564233001401</v>
      </c>
      <c r="G396" s="4">
        <v>284.06</v>
      </c>
      <c r="H396" s="4">
        <v>4.2996144666788902</v>
      </c>
      <c r="I396" s="4">
        <v>280.22000000000003</v>
      </c>
      <c r="J396" s="4">
        <v>290.44</v>
      </c>
      <c r="K396" s="4">
        <v>280.22000000000003</v>
      </c>
      <c r="L396" s="4">
        <v>4.2996144666788902</v>
      </c>
    </row>
    <row r="397" spans="1:12" ht="15" customHeight="1" x14ac:dyDescent="0.2">
      <c r="A397" s="6">
        <v>45475</v>
      </c>
      <c r="B397" s="7">
        <v>279.14</v>
      </c>
      <c r="C397" s="8">
        <v>773163</v>
      </c>
      <c r="D397" s="7">
        <v>-6.56</v>
      </c>
      <c r="E397" s="7">
        <v>-2.2961148057402898</v>
      </c>
      <c r="F397" s="7">
        <v>-2.2961148057402898</v>
      </c>
      <c r="G397" s="7">
        <v>279.14</v>
      </c>
      <c r="H397" s="7">
        <v>2.49311547640901</v>
      </c>
      <c r="I397" s="7">
        <v>285.7</v>
      </c>
      <c r="J397" s="7">
        <v>289.98</v>
      </c>
      <c r="K397" s="7">
        <v>275.91000000000003</v>
      </c>
      <c r="L397" s="7">
        <v>2.49311547640901</v>
      </c>
    </row>
    <row r="398" spans="1:12" ht="15" customHeight="1" x14ac:dyDescent="0.2">
      <c r="A398" s="3">
        <v>45474</v>
      </c>
      <c r="B398" s="4">
        <v>285.7</v>
      </c>
      <c r="C398" s="5">
        <v>521894</v>
      </c>
      <c r="D398" s="4">
        <v>-0.48000000000001802</v>
      </c>
      <c r="E398" s="4">
        <v>-0.16772660563282299</v>
      </c>
      <c r="F398" s="4">
        <v>-0.16772660563282299</v>
      </c>
      <c r="G398" s="4">
        <v>285.7</v>
      </c>
      <c r="H398" s="4">
        <v>4.9017807967688496</v>
      </c>
      <c r="I398" s="4">
        <v>286.18</v>
      </c>
      <c r="J398" s="4">
        <v>290.85000000000002</v>
      </c>
      <c r="K398" s="4">
        <v>284.02</v>
      </c>
      <c r="L398" s="4">
        <v>4.9017807967688496</v>
      </c>
    </row>
    <row r="399" spans="1:12" ht="15" customHeight="1" x14ac:dyDescent="0.2">
      <c r="A399" s="6">
        <v>45471</v>
      </c>
      <c r="B399" s="7">
        <v>286.18</v>
      </c>
      <c r="C399" s="8">
        <v>988278</v>
      </c>
      <c r="D399" s="7">
        <v>1.04000000000002</v>
      </c>
      <c r="E399" s="7">
        <v>0.36473311355826799</v>
      </c>
      <c r="F399" s="7">
        <v>0.36473311355826799</v>
      </c>
      <c r="G399" s="7">
        <v>286.18</v>
      </c>
      <c r="H399" s="7">
        <v>5.0780246006976197</v>
      </c>
      <c r="I399" s="7">
        <v>288.58</v>
      </c>
      <c r="J399" s="7">
        <v>290.52999999999997</v>
      </c>
      <c r="K399" s="7">
        <v>284.05</v>
      </c>
      <c r="L399" s="7">
        <v>5.0780246006976197</v>
      </c>
    </row>
    <row r="400" spans="1:12" ht="15" customHeight="1" x14ac:dyDescent="0.2">
      <c r="A400" s="3">
        <v>45470</v>
      </c>
      <c r="B400" s="4">
        <v>285.14</v>
      </c>
      <c r="C400" s="5">
        <v>759140</v>
      </c>
      <c r="D400" s="4">
        <v>4.26999999999998</v>
      </c>
      <c r="E400" s="4">
        <v>1.5202762844020301</v>
      </c>
      <c r="F400" s="4">
        <v>1.5202762844020301</v>
      </c>
      <c r="G400" s="4">
        <v>285.14</v>
      </c>
      <c r="H400" s="4">
        <v>4.6961630255186204</v>
      </c>
      <c r="I400" s="4">
        <v>280.86</v>
      </c>
      <c r="J400" s="4">
        <v>287.54000000000002</v>
      </c>
      <c r="K400" s="4">
        <v>280.04000000000002</v>
      </c>
      <c r="L400" s="4">
        <v>4.6961630255186204</v>
      </c>
    </row>
    <row r="401" spans="1:12" ht="15" customHeight="1" x14ac:dyDescent="0.2">
      <c r="A401" s="6">
        <v>45469</v>
      </c>
      <c r="B401" s="7">
        <v>280.87</v>
      </c>
      <c r="C401" s="8">
        <v>1400376</v>
      </c>
      <c r="D401" s="7">
        <v>-7.8000000000000096</v>
      </c>
      <c r="E401" s="7">
        <v>-2.7020473204697399</v>
      </c>
      <c r="F401" s="7">
        <v>-2.7020473204697399</v>
      </c>
      <c r="G401" s="7">
        <v>280.87</v>
      </c>
      <c r="H401" s="7">
        <v>3.12832751973562</v>
      </c>
      <c r="I401" s="7">
        <v>284.57</v>
      </c>
      <c r="J401" s="7">
        <v>292.98</v>
      </c>
      <c r="K401" s="7">
        <v>280.41000000000003</v>
      </c>
      <c r="L401" s="7">
        <v>3.12832751973562</v>
      </c>
    </row>
    <row r="402" spans="1:12" ht="15" customHeight="1" x14ac:dyDescent="0.2">
      <c r="A402" s="3">
        <v>45468</v>
      </c>
      <c r="B402" s="4">
        <v>288.67</v>
      </c>
      <c r="C402" s="5">
        <v>948027</v>
      </c>
      <c r="D402" s="4">
        <v>-5.0899999999999697</v>
      </c>
      <c r="E402" s="4">
        <v>-1.7327069716775501</v>
      </c>
      <c r="F402" s="4">
        <v>-1.7327069716775501</v>
      </c>
      <c r="G402" s="4">
        <v>288.67</v>
      </c>
      <c r="H402" s="4">
        <v>5.9922893335781104</v>
      </c>
      <c r="I402" s="4">
        <v>286.42</v>
      </c>
      <c r="J402" s="4">
        <v>292.99</v>
      </c>
      <c r="K402" s="4">
        <v>282.66000000000003</v>
      </c>
      <c r="L402" s="4">
        <v>5.9922893335781104</v>
      </c>
    </row>
    <row r="403" spans="1:12" ht="15" customHeight="1" x14ac:dyDescent="0.2">
      <c r="A403" s="6">
        <v>45467</v>
      </c>
      <c r="B403" s="7">
        <v>293.76</v>
      </c>
      <c r="C403" s="8">
        <v>806221</v>
      </c>
      <c r="D403" s="7">
        <v>-1.50999999999999</v>
      </c>
      <c r="E403" s="7">
        <v>-0.51139634910420895</v>
      </c>
      <c r="F403" s="7">
        <v>-0.51139634910420895</v>
      </c>
      <c r="G403" s="7">
        <v>293.76</v>
      </c>
      <c r="H403" s="7">
        <v>7.8612080044060804</v>
      </c>
      <c r="I403" s="7">
        <v>293.07</v>
      </c>
      <c r="J403" s="7">
        <v>299.83999999999997</v>
      </c>
      <c r="K403" s="7">
        <v>291.11</v>
      </c>
      <c r="L403" s="7">
        <v>7.8612080044060804</v>
      </c>
    </row>
    <row r="404" spans="1:12" ht="15" customHeight="1" x14ac:dyDescent="0.2">
      <c r="A404" s="3">
        <v>45464</v>
      </c>
      <c r="B404" s="4">
        <v>295.27</v>
      </c>
      <c r="C404" s="5">
        <v>6660975</v>
      </c>
      <c r="D404" s="4">
        <v>-6.1500000000000297</v>
      </c>
      <c r="E404" s="4">
        <v>-2.04034237940416</v>
      </c>
      <c r="F404" s="4">
        <v>-2.04034237940416</v>
      </c>
      <c r="G404" s="4">
        <v>295.27</v>
      </c>
      <c r="H404" s="4">
        <v>8.4156416375986591</v>
      </c>
      <c r="I404" s="4">
        <v>302.79000000000002</v>
      </c>
      <c r="J404" s="4">
        <v>303.11</v>
      </c>
      <c r="K404" s="4">
        <v>293.99</v>
      </c>
      <c r="L404" s="4">
        <v>8.4156416375986591</v>
      </c>
    </row>
    <row r="405" spans="1:12" ht="15" customHeight="1" x14ac:dyDescent="0.2">
      <c r="A405" s="6">
        <v>45463</v>
      </c>
      <c r="B405" s="7">
        <v>301.42</v>
      </c>
      <c r="C405" s="8">
        <v>760902</v>
      </c>
      <c r="D405" s="7">
        <v>0.12000000000000401</v>
      </c>
      <c r="E405" s="7">
        <v>3.9827414537008103E-2</v>
      </c>
      <c r="F405" s="7">
        <v>3.9827414537008103E-2</v>
      </c>
      <c r="G405" s="7">
        <v>301.42</v>
      </c>
      <c r="H405" s="7">
        <v>10.673765375436</v>
      </c>
      <c r="I405" s="7">
        <v>301</v>
      </c>
      <c r="J405" s="7">
        <v>304</v>
      </c>
      <c r="K405" s="7">
        <v>296.56</v>
      </c>
      <c r="L405" s="7">
        <v>10.673765375436</v>
      </c>
    </row>
    <row r="406" spans="1:12" ht="15" customHeight="1" x14ac:dyDescent="0.2">
      <c r="A406" s="3">
        <v>45462</v>
      </c>
      <c r="B406" s="4">
        <v>301.3</v>
      </c>
      <c r="C406" s="5">
        <v>229217</v>
      </c>
      <c r="D406" s="4">
        <v>-4.4699999999999704</v>
      </c>
      <c r="E406" s="4">
        <v>-1.46188311475945</v>
      </c>
      <c r="F406" s="4">
        <v>-1.46188311475945</v>
      </c>
      <c r="G406" s="4">
        <v>301.3</v>
      </c>
      <c r="H406" s="4">
        <v>10.6297044244538</v>
      </c>
      <c r="I406" s="4">
        <v>302</v>
      </c>
      <c r="J406" s="4">
        <v>305.17</v>
      </c>
      <c r="K406" s="4">
        <v>300.83999999999997</v>
      </c>
      <c r="L406" s="4">
        <v>10.6297044244538</v>
      </c>
    </row>
    <row r="407" spans="1:12" ht="15" customHeight="1" x14ac:dyDescent="0.2">
      <c r="A407" s="6">
        <v>45461</v>
      </c>
      <c r="B407" s="7">
        <v>305.77</v>
      </c>
      <c r="C407" s="8">
        <v>404689</v>
      </c>
      <c r="D407" s="7">
        <v>3.5999999999999601</v>
      </c>
      <c r="E407" s="7">
        <v>1.1913823344474801</v>
      </c>
      <c r="F407" s="7">
        <v>1.1913823344474801</v>
      </c>
      <c r="G407" s="7">
        <v>305.77</v>
      </c>
      <c r="H407" s="7">
        <v>12.2709748485404</v>
      </c>
      <c r="I407" s="7">
        <v>300.10000000000002</v>
      </c>
      <c r="J407" s="7">
        <v>309.86</v>
      </c>
      <c r="K407" s="7">
        <v>300.10000000000002</v>
      </c>
      <c r="L407" s="7">
        <v>12.2709748485404</v>
      </c>
    </row>
    <row r="408" spans="1:12" ht="15" customHeight="1" x14ac:dyDescent="0.2">
      <c r="A408" s="3">
        <v>45460</v>
      </c>
      <c r="B408" s="4">
        <v>302.17</v>
      </c>
      <c r="C408" s="5">
        <v>595818</v>
      </c>
      <c r="D408" s="4">
        <v>-6.5</v>
      </c>
      <c r="E408" s="4">
        <v>-2.1058087925616298</v>
      </c>
      <c r="F408" s="4">
        <v>-2.1058087925616298</v>
      </c>
      <c r="G408" s="4">
        <v>302.17</v>
      </c>
      <c r="H408" s="4">
        <v>10.9491463190747</v>
      </c>
      <c r="I408" s="4">
        <v>309.97000000000003</v>
      </c>
      <c r="J408" s="4">
        <v>309.97000000000003</v>
      </c>
      <c r="K408" s="4">
        <v>299.95999999999998</v>
      </c>
      <c r="L408" s="4">
        <v>10.9491463190747</v>
      </c>
    </row>
    <row r="409" spans="1:12" ht="15" customHeight="1" x14ac:dyDescent="0.2">
      <c r="A409" s="6">
        <v>45457</v>
      </c>
      <c r="B409" s="7">
        <v>308.67</v>
      </c>
      <c r="C409" s="8">
        <v>947364</v>
      </c>
      <c r="D409" s="7">
        <v>0.41000000000002501</v>
      </c>
      <c r="E409" s="7">
        <v>0.13300460650100801</v>
      </c>
      <c r="F409" s="7">
        <v>0.13300460650100801</v>
      </c>
      <c r="G409" s="7">
        <v>308.67</v>
      </c>
      <c r="H409" s="7">
        <v>13.3357811639434</v>
      </c>
      <c r="I409" s="7">
        <v>303.01</v>
      </c>
      <c r="J409" s="7">
        <v>310</v>
      </c>
      <c r="K409" s="7">
        <v>302.83999999999997</v>
      </c>
      <c r="L409" s="7">
        <v>13.3357811639434</v>
      </c>
    </row>
    <row r="410" spans="1:12" ht="15" customHeight="1" x14ac:dyDescent="0.2">
      <c r="A410" s="3">
        <v>45456</v>
      </c>
      <c r="B410" s="4">
        <v>308.26</v>
      </c>
      <c r="C410" s="5">
        <v>843761</v>
      </c>
      <c r="D410" s="4">
        <v>5.37</v>
      </c>
      <c r="E410" s="4">
        <v>1.77292086235927</v>
      </c>
      <c r="F410" s="4">
        <v>1.77292086235927</v>
      </c>
      <c r="G410" s="4">
        <v>308.26</v>
      </c>
      <c r="H410" s="4">
        <v>13.1852395814209</v>
      </c>
      <c r="I410" s="4">
        <v>306</v>
      </c>
      <c r="J410" s="4">
        <v>311.92</v>
      </c>
      <c r="K410" s="4">
        <v>300.62</v>
      </c>
      <c r="L410" s="4">
        <v>13.1852395814209</v>
      </c>
    </row>
    <row r="411" spans="1:12" ht="15" customHeight="1" x14ac:dyDescent="0.2">
      <c r="A411" s="6">
        <v>45455</v>
      </c>
      <c r="B411" s="7">
        <v>302.89</v>
      </c>
      <c r="C411" s="8">
        <v>1095131</v>
      </c>
      <c r="D411" s="7">
        <v>0.81999999999999296</v>
      </c>
      <c r="E411" s="7">
        <v>0.27146025755619901</v>
      </c>
      <c r="F411" s="7">
        <v>0.27146025755619901</v>
      </c>
      <c r="G411" s="7">
        <v>302.89</v>
      </c>
      <c r="H411" s="7">
        <v>11.2135120249678</v>
      </c>
      <c r="I411" s="7">
        <v>303</v>
      </c>
      <c r="J411" s="7">
        <v>308</v>
      </c>
      <c r="K411" s="7">
        <v>297.20999999999998</v>
      </c>
      <c r="L411" s="7">
        <v>11.2135120249678</v>
      </c>
    </row>
    <row r="412" spans="1:12" ht="15" customHeight="1" x14ac:dyDescent="0.2">
      <c r="A412" s="3">
        <v>45454</v>
      </c>
      <c r="B412" s="4">
        <v>302.07</v>
      </c>
      <c r="C412" s="5">
        <v>1045115</v>
      </c>
      <c r="D412" s="4">
        <v>0.68000000000000604</v>
      </c>
      <c r="E412" s="4">
        <v>0.22562128803211801</v>
      </c>
      <c r="F412" s="4">
        <v>0.22562128803211801</v>
      </c>
      <c r="G412" s="4">
        <v>302.07</v>
      </c>
      <c r="H412" s="4">
        <v>10.9124288599228</v>
      </c>
      <c r="I412" s="4">
        <v>300</v>
      </c>
      <c r="J412" s="4">
        <v>306.41000000000003</v>
      </c>
      <c r="K412" s="4">
        <v>295.25</v>
      </c>
      <c r="L412" s="4">
        <v>10.9124288599228</v>
      </c>
    </row>
    <row r="413" spans="1:12" ht="15" customHeight="1" x14ac:dyDescent="0.2">
      <c r="A413" s="6">
        <v>45453</v>
      </c>
      <c r="B413" s="7">
        <v>301.39</v>
      </c>
      <c r="C413" s="8">
        <v>503376</v>
      </c>
      <c r="D413" s="7">
        <v>5.7299999999999596</v>
      </c>
      <c r="E413" s="7">
        <v>1.9380369343164201</v>
      </c>
      <c r="F413" s="7">
        <v>1.9380369343164201</v>
      </c>
      <c r="G413" s="7">
        <v>301.39</v>
      </c>
      <c r="H413" s="7">
        <v>10.6627501376904</v>
      </c>
      <c r="I413" s="7">
        <v>294.95</v>
      </c>
      <c r="J413" s="7">
        <v>304</v>
      </c>
      <c r="K413" s="7">
        <v>294.95</v>
      </c>
      <c r="L413" s="7">
        <v>10.6627501376904</v>
      </c>
    </row>
    <row r="414" spans="1:12" ht="15" customHeight="1" x14ac:dyDescent="0.2">
      <c r="A414" s="3">
        <v>45450</v>
      </c>
      <c r="B414" s="4">
        <v>295.66000000000003</v>
      </c>
      <c r="C414" s="5">
        <v>1283432</v>
      </c>
      <c r="D414" s="4">
        <v>-2.1999999999999802</v>
      </c>
      <c r="E414" s="4">
        <v>-0.73860202779828499</v>
      </c>
      <c r="F414" s="4">
        <v>-0.73860202779828499</v>
      </c>
      <c r="G414" s="4">
        <v>295.66000000000003</v>
      </c>
      <c r="H414" s="4">
        <v>8.5588397282908009</v>
      </c>
      <c r="I414" s="4">
        <v>297.54000000000002</v>
      </c>
      <c r="J414" s="4">
        <v>299.85000000000002</v>
      </c>
      <c r="K414" s="4">
        <v>293.01</v>
      </c>
      <c r="L414" s="4">
        <v>8.5588397282908009</v>
      </c>
    </row>
    <row r="415" spans="1:12" ht="15" customHeight="1" x14ac:dyDescent="0.2">
      <c r="A415" s="6">
        <v>45449</v>
      </c>
      <c r="B415" s="7">
        <v>297.86</v>
      </c>
      <c r="C415" s="8">
        <v>1967688</v>
      </c>
      <c r="D415" s="7">
        <v>7.8000000000000096</v>
      </c>
      <c r="E415" s="7">
        <v>2.6890988071433601</v>
      </c>
      <c r="F415" s="7">
        <v>2.6890988071433601</v>
      </c>
      <c r="G415" s="7">
        <v>297.86</v>
      </c>
      <c r="H415" s="7">
        <v>9.3666238296309796</v>
      </c>
      <c r="I415" s="7">
        <v>290.16000000000003</v>
      </c>
      <c r="J415" s="7">
        <v>304.39</v>
      </c>
      <c r="K415" s="7">
        <v>290.16000000000003</v>
      </c>
      <c r="L415" s="7">
        <v>9.3666238296309796</v>
      </c>
    </row>
    <row r="416" spans="1:12" ht="15" customHeight="1" x14ac:dyDescent="0.2">
      <c r="A416" s="3">
        <v>45448</v>
      </c>
      <c r="B416" s="4">
        <v>290.06</v>
      </c>
      <c r="C416" s="5">
        <v>972527</v>
      </c>
      <c r="D416" s="4">
        <v>2.2300000000000102</v>
      </c>
      <c r="E416" s="4">
        <v>0.77476288086717404</v>
      </c>
      <c r="F416" s="4">
        <v>0.77476288086717404</v>
      </c>
      <c r="G416" s="4">
        <v>290.06</v>
      </c>
      <c r="H416" s="4">
        <v>6.5026620157884896</v>
      </c>
      <c r="I416" s="4">
        <v>287.83</v>
      </c>
      <c r="J416" s="4">
        <v>296.99</v>
      </c>
      <c r="K416" s="4">
        <v>287.61</v>
      </c>
      <c r="L416" s="4">
        <v>6.5026620157884896</v>
      </c>
    </row>
    <row r="417" spans="1:12" ht="15" customHeight="1" x14ac:dyDescent="0.2">
      <c r="A417" s="6">
        <v>45447</v>
      </c>
      <c r="B417" s="7">
        <v>287.83</v>
      </c>
      <c r="C417" s="8">
        <v>1197131</v>
      </c>
      <c r="D417" s="7">
        <v>-2.0900000000000301</v>
      </c>
      <c r="E417" s="7">
        <v>-0.72088852097130696</v>
      </c>
      <c r="F417" s="7">
        <v>-0.72088852097130696</v>
      </c>
      <c r="G417" s="7">
        <v>287.83</v>
      </c>
      <c r="H417" s="7">
        <v>5.6838626767027502</v>
      </c>
      <c r="I417" s="7">
        <v>291.5</v>
      </c>
      <c r="J417" s="7">
        <v>305.55</v>
      </c>
      <c r="K417" s="7">
        <v>286.01</v>
      </c>
      <c r="L417" s="7">
        <v>5.6838626767027502</v>
      </c>
    </row>
    <row r="418" spans="1:12" ht="15" customHeight="1" x14ac:dyDescent="0.2">
      <c r="A418" s="3">
        <v>45446</v>
      </c>
      <c r="B418" s="4">
        <v>289.92</v>
      </c>
      <c r="C418" s="5">
        <v>1888579</v>
      </c>
      <c r="D418" s="4">
        <v>-29.31</v>
      </c>
      <c r="E418" s="4">
        <v>-9.1814679071515801</v>
      </c>
      <c r="F418" s="4">
        <v>-9.1814679071515801</v>
      </c>
      <c r="G418" s="4">
        <v>289.92</v>
      </c>
      <c r="H418" s="4">
        <v>6.4512575729759396</v>
      </c>
      <c r="I418" s="4">
        <v>319.23</v>
      </c>
      <c r="J418" s="4">
        <v>319.23</v>
      </c>
      <c r="K418" s="4">
        <v>285.61</v>
      </c>
      <c r="L418" s="4">
        <v>6.4512575729759396</v>
      </c>
    </row>
    <row r="419" spans="1:12" ht="15" customHeight="1" x14ac:dyDescent="0.2">
      <c r="A419" s="6">
        <v>45443</v>
      </c>
      <c r="B419" s="7">
        <v>319.23</v>
      </c>
      <c r="C419" s="8">
        <v>2490837</v>
      </c>
      <c r="D419" s="7">
        <v>2.2400000000000002</v>
      </c>
      <c r="E419" s="7">
        <v>0.70664689737847097</v>
      </c>
      <c r="F419" s="7">
        <v>0.70664689737847097</v>
      </c>
      <c r="G419" s="7">
        <v>319.23</v>
      </c>
      <c r="H419" s="7">
        <v>17.213144850376299</v>
      </c>
      <c r="I419" s="7">
        <v>317.2</v>
      </c>
      <c r="J419" s="7">
        <v>320.98</v>
      </c>
      <c r="K419" s="7">
        <v>308.48</v>
      </c>
      <c r="L419" s="7">
        <v>17.213144850376299</v>
      </c>
    </row>
    <row r="420" spans="1:12" ht="15" customHeight="1" x14ac:dyDescent="0.2">
      <c r="A420" s="3">
        <v>45442</v>
      </c>
      <c r="B420" s="4">
        <v>316.99</v>
      </c>
      <c r="C420" s="5">
        <v>590411</v>
      </c>
      <c r="D420" s="4">
        <v>2.8400000000000301</v>
      </c>
      <c r="E420" s="4">
        <v>0.90402673881904105</v>
      </c>
      <c r="F420" s="4">
        <v>0.90402673881904105</v>
      </c>
      <c r="G420" s="4">
        <v>316.99</v>
      </c>
      <c r="H420" s="4">
        <v>16.3906737653754</v>
      </c>
      <c r="I420" s="4">
        <v>309.60000000000002</v>
      </c>
      <c r="J420" s="4">
        <v>319.98</v>
      </c>
      <c r="K420" s="4">
        <v>307.08999999999997</v>
      </c>
      <c r="L420" s="4">
        <v>16.3906737653754</v>
      </c>
    </row>
    <row r="421" spans="1:12" ht="15" customHeight="1" x14ac:dyDescent="0.2">
      <c r="A421" s="6">
        <v>45441</v>
      </c>
      <c r="B421" s="7">
        <v>314.14999999999998</v>
      </c>
      <c r="C421" s="8">
        <v>723027</v>
      </c>
      <c r="D421" s="7">
        <v>7.4799999999999596</v>
      </c>
      <c r="E421" s="7">
        <v>2.4391039227834299</v>
      </c>
      <c r="F421" s="7">
        <v>2.4391039227834299</v>
      </c>
      <c r="G421" s="7">
        <v>314.14999999999998</v>
      </c>
      <c r="H421" s="7">
        <v>15.347897925463499</v>
      </c>
      <c r="I421" s="7">
        <v>308.04000000000002</v>
      </c>
      <c r="J421" s="7">
        <v>315.79000000000002</v>
      </c>
      <c r="K421" s="7">
        <v>299.29000000000002</v>
      </c>
      <c r="L421" s="7">
        <v>15.347897925463499</v>
      </c>
    </row>
    <row r="422" spans="1:12" ht="15" customHeight="1" x14ac:dyDescent="0.2">
      <c r="A422" s="3">
        <v>45440</v>
      </c>
      <c r="B422" s="4">
        <v>306.67</v>
      </c>
      <c r="C422" s="5">
        <v>644268</v>
      </c>
      <c r="D422" s="4">
        <v>-8.5299999999999692</v>
      </c>
      <c r="E422" s="4">
        <v>-2.70621827411167</v>
      </c>
      <c r="F422" s="4">
        <v>-2.70621827411167</v>
      </c>
      <c r="G422" s="4">
        <v>306.67</v>
      </c>
      <c r="H422" s="4">
        <v>12.6014319809069</v>
      </c>
      <c r="I422" s="4">
        <v>320.95999999999998</v>
      </c>
      <c r="J422" s="4">
        <v>320.95999999999998</v>
      </c>
      <c r="K422" s="4">
        <v>304.73</v>
      </c>
      <c r="L422" s="4">
        <v>12.6014319809069</v>
      </c>
    </row>
    <row r="423" spans="1:12" ht="15" customHeight="1" x14ac:dyDescent="0.2">
      <c r="A423" s="6">
        <v>45439</v>
      </c>
      <c r="B423" s="7">
        <v>315.2</v>
      </c>
      <c r="C423" s="8">
        <v>142597</v>
      </c>
      <c r="D423" s="7">
        <v>-7.1600000000000197</v>
      </c>
      <c r="E423" s="7">
        <v>-2.2211192455639699</v>
      </c>
      <c r="F423" s="7">
        <v>-2.2211192455639699</v>
      </c>
      <c r="G423" s="7">
        <v>315.2</v>
      </c>
      <c r="H423" s="7">
        <v>15.7334312465577</v>
      </c>
      <c r="I423" s="7">
        <v>322.32</v>
      </c>
      <c r="J423" s="7">
        <v>322.32</v>
      </c>
      <c r="K423" s="7">
        <v>311.07</v>
      </c>
      <c r="L423" s="7">
        <v>15.7334312465577</v>
      </c>
    </row>
    <row r="424" spans="1:12" ht="15" customHeight="1" x14ac:dyDescent="0.2">
      <c r="A424" s="3">
        <v>45436</v>
      </c>
      <c r="B424" s="4">
        <v>322.36</v>
      </c>
      <c r="C424" s="5">
        <v>1807032</v>
      </c>
      <c r="D424" s="4">
        <v>-4.0500000000000096</v>
      </c>
      <c r="E424" s="4">
        <v>-1.24077080971783</v>
      </c>
      <c r="F424" s="4">
        <v>-1.24077080971783</v>
      </c>
      <c r="G424" s="4">
        <v>322.36</v>
      </c>
      <c r="H424" s="4">
        <v>18.3624013218285</v>
      </c>
      <c r="I424" s="4">
        <v>326.7</v>
      </c>
      <c r="J424" s="4">
        <v>326.74</v>
      </c>
      <c r="K424" s="4">
        <v>317</v>
      </c>
      <c r="L424" s="4">
        <v>18.3624013218285</v>
      </c>
    </row>
    <row r="425" spans="1:12" ht="15" customHeight="1" x14ac:dyDescent="0.2">
      <c r="A425" s="6">
        <v>45435</v>
      </c>
      <c r="B425" s="7">
        <v>326.41000000000003</v>
      </c>
      <c r="C425" s="8">
        <v>2135431</v>
      </c>
      <c r="D425" s="7">
        <v>0.91000000000002501</v>
      </c>
      <c r="E425" s="7">
        <v>0.27956989247313002</v>
      </c>
      <c r="F425" s="7">
        <v>0.27956989247313002</v>
      </c>
      <c r="G425" s="7">
        <v>326.41000000000003</v>
      </c>
      <c r="H425" s="7">
        <v>19.8494584174775</v>
      </c>
      <c r="I425" s="7">
        <v>325.5</v>
      </c>
      <c r="J425" s="7">
        <v>328.18</v>
      </c>
      <c r="K425" s="7">
        <v>323.32</v>
      </c>
      <c r="L425" s="7">
        <v>19.8494584174775</v>
      </c>
    </row>
    <row r="426" spans="1:12" ht="15" customHeight="1" x14ac:dyDescent="0.2">
      <c r="A426" s="3">
        <v>45434</v>
      </c>
      <c r="B426" s="4">
        <v>325.5</v>
      </c>
      <c r="C426" s="5">
        <v>1022304</v>
      </c>
      <c r="D426" s="4">
        <v>1.25999999999999</v>
      </c>
      <c r="E426" s="4">
        <v>0.38860103626943099</v>
      </c>
      <c r="F426" s="4">
        <v>0.38860103626943099</v>
      </c>
      <c r="G426" s="4">
        <v>325.5</v>
      </c>
      <c r="H426" s="4">
        <v>19.5153295391958</v>
      </c>
      <c r="I426" s="4">
        <v>324</v>
      </c>
      <c r="J426" s="4">
        <v>326.79000000000002</v>
      </c>
      <c r="K426" s="4">
        <v>319.83999999999997</v>
      </c>
      <c r="L426" s="4">
        <v>19.5153295391958</v>
      </c>
    </row>
    <row r="427" spans="1:12" ht="15" customHeight="1" x14ac:dyDescent="0.2">
      <c r="A427" s="6">
        <v>45433</v>
      </c>
      <c r="B427" s="7">
        <v>324.24</v>
      </c>
      <c r="C427" s="8">
        <v>1287055</v>
      </c>
      <c r="D427" s="7">
        <v>-1.74</v>
      </c>
      <c r="E427" s="7">
        <v>-0.53377507822566195</v>
      </c>
      <c r="F427" s="7">
        <v>-0.53377507822566195</v>
      </c>
      <c r="G427" s="7">
        <v>324.24</v>
      </c>
      <c r="H427" s="7">
        <v>19.0526895538828</v>
      </c>
      <c r="I427" s="7">
        <v>323</v>
      </c>
      <c r="J427" s="7">
        <v>326.45999999999998</v>
      </c>
      <c r="K427" s="7">
        <v>322.14999999999998</v>
      </c>
      <c r="L427" s="7">
        <v>19.0526895538828</v>
      </c>
    </row>
    <row r="428" spans="1:12" ht="15" customHeight="1" x14ac:dyDescent="0.2">
      <c r="A428" s="3">
        <v>45432</v>
      </c>
      <c r="B428" s="4">
        <v>325.98</v>
      </c>
      <c r="C428" s="5">
        <v>450779</v>
      </c>
      <c r="D428" s="4">
        <v>4.2000000000000401</v>
      </c>
      <c r="E428" s="4">
        <v>1.3052396046988799</v>
      </c>
      <c r="F428" s="4">
        <v>1.3052396046988799</v>
      </c>
      <c r="G428" s="4">
        <v>325.98</v>
      </c>
      <c r="H428" s="4">
        <v>19.691573343124599</v>
      </c>
      <c r="I428" s="4">
        <v>321.75</v>
      </c>
      <c r="J428" s="4">
        <v>327.94</v>
      </c>
      <c r="K428" s="4">
        <v>321.75</v>
      </c>
      <c r="L428" s="4">
        <v>19.691573343124599</v>
      </c>
    </row>
    <row r="429" spans="1:12" ht="15" customHeight="1" x14ac:dyDescent="0.2">
      <c r="A429" s="6">
        <v>45429</v>
      </c>
      <c r="B429" s="7">
        <v>321.77999999999997</v>
      </c>
      <c r="C429" s="8">
        <v>557654</v>
      </c>
      <c r="D429" s="7">
        <v>-2.3900000000000401</v>
      </c>
      <c r="E429" s="7">
        <v>-0.73726748311072599</v>
      </c>
      <c r="F429" s="7">
        <v>-0.73726748311072599</v>
      </c>
      <c r="G429" s="7">
        <v>321.77999999999997</v>
      </c>
      <c r="H429" s="7">
        <v>18.149440058747899</v>
      </c>
      <c r="I429" s="7">
        <v>324.95999999999998</v>
      </c>
      <c r="J429" s="7">
        <v>325.16000000000003</v>
      </c>
      <c r="K429" s="7">
        <v>320</v>
      </c>
      <c r="L429" s="7">
        <v>18.149440058747899</v>
      </c>
    </row>
    <row r="430" spans="1:12" ht="15" customHeight="1" x14ac:dyDescent="0.2">
      <c r="A430" s="3">
        <v>45428</v>
      </c>
      <c r="B430" s="4">
        <v>324.17</v>
      </c>
      <c r="C430" s="5">
        <v>727279</v>
      </c>
      <c r="D430" s="4">
        <v>5.4800000000000102</v>
      </c>
      <c r="E430" s="4">
        <v>1.7195393642724901</v>
      </c>
      <c r="F430" s="4">
        <v>1.7195393642724901</v>
      </c>
      <c r="G430" s="4">
        <v>324.17</v>
      </c>
      <c r="H430" s="4">
        <v>19.026987332476502</v>
      </c>
      <c r="I430" s="4">
        <v>319.2</v>
      </c>
      <c r="J430" s="4">
        <v>326.23</v>
      </c>
      <c r="K430" s="4">
        <v>319</v>
      </c>
      <c r="L430" s="4">
        <v>19.026987332476502</v>
      </c>
    </row>
    <row r="431" spans="1:12" ht="15" customHeight="1" x14ac:dyDescent="0.2">
      <c r="A431" s="6">
        <v>45427</v>
      </c>
      <c r="B431" s="7">
        <v>318.69</v>
      </c>
      <c r="C431" s="8">
        <v>1193714</v>
      </c>
      <c r="D431" s="7">
        <v>2.68</v>
      </c>
      <c r="E431" s="7">
        <v>0.848074428024436</v>
      </c>
      <c r="F431" s="7">
        <v>0.848074428024436</v>
      </c>
      <c r="G431" s="7">
        <v>318.69</v>
      </c>
      <c r="H431" s="7">
        <v>17.014870570956401</v>
      </c>
      <c r="I431" s="7">
        <v>316.14999999999998</v>
      </c>
      <c r="J431" s="7">
        <v>323.81</v>
      </c>
      <c r="K431" s="7">
        <v>315.93</v>
      </c>
      <c r="L431" s="7">
        <v>17.014870570956401</v>
      </c>
    </row>
    <row r="432" spans="1:12" ht="15" customHeight="1" x14ac:dyDescent="0.2">
      <c r="A432" s="3">
        <v>45426</v>
      </c>
      <c r="B432" s="4">
        <v>316.01</v>
      </c>
      <c r="C432" s="5">
        <v>549290</v>
      </c>
      <c r="D432" s="4">
        <v>-0.150000000000034</v>
      </c>
      <c r="E432" s="4">
        <v>-4.7444331983814703E-2</v>
      </c>
      <c r="F432" s="4">
        <v>-4.7444331983814703E-2</v>
      </c>
      <c r="G432" s="4">
        <v>316.01</v>
      </c>
      <c r="H432" s="4">
        <v>16.030842665687501</v>
      </c>
      <c r="I432" s="4">
        <v>315.35000000000002</v>
      </c>
      <c r="J432" s="4">
        <v>317.58</v>
      </c>
      <c r="K432" s="4">
        <v>313.44</v>
      </c>
      <c r="L432" s="4">
        <v>16.030842665687501</v>
      </c>
    </row>
    <row r="433" spans="1:12" ht="15" customHeight="1" x14ac:dyDescent="0.2">
      <c r="A433" s="6">
        <v>45425</v>
      </c>
      <c r="B433" s="7">
        <v>316.16000000000003</v>
      </c>
      <c r="C433" s="8">
        <v>1122416</v>
      </c>
      <c r="D433" s="7">
        <v>1.6400000000000401</v>
      </c>
      <c r="E433" s="7">
        <v>0.52142947984230503</v>
      </c>
      <c r="F433" s="7">
        <v>0.52142947984230503</v>
      </c>
      <c r="G433" s="7">
        <v>316.16000000000003</v>
      </c>
      <c r="H433" s="7">
        <v>16.085918854415201</v>
      </c>
      <c r="I433" s="7">
        <v>314.57</v>
      </c>
      <c r="J433" s="7">
        <v>319.88</v>
      </c>
      <c r="K433" s="7">
        <v>313.05</v>
      </c>
      <c r="L433" s="7">
        <v>16.085918854415201</v>
      </c>
    </row>
    <row r="434" spans="1:12" ht="15" customHeight="1" x14ac:dyDescent="0.2">
      <c r="A434" s="3">
        <v>45422</v>
      </c>
      <c r="B434" s="4">
        <v>314.52</v>
      </c>
      <c r="C434" s="5">
        <v>932449</v>
      </c>
      <c r="D434" s="4">
        <v>-5.5400000000000196</v>
      </c>
      <c r="E434" s="4">
        <v>-1.73092545147784</v>
      </c>
      <c r="F434" s="4">
        <v>-1.73092545147784</v>
      </c>
      <c r="G434" s="4">
        <v>314.52</v>
      </c>
      <c r="H434" s="4">
        <v>15.4837525243253</v>
      </c>
      <c r="I434" s="4">
        <v>320.91000000000003</v>
      </c>
      <c r="J434" s="4">
        <v>330</v>
      </c>
      <c r="K434" s="4">
        <v>313.37</v>
      </c>
      <c r="L434" s="4">
        <v>15.4837525243253</v>
      </c>
    </row>
    <row r="435" spans="1:12" ht="15" customHeight="1" x14ac:dyDescent="0.2">
      <c r="A435" s="6">
        <v>45421</v>
      </c>
      <c r="B435" s="7">
        <v>320.06</v>
      </c>
      <c r="C435" s="8">
        <v>1165396</v>
      </c>
      <c r="D435" s="7">
        <v>5.9499999999999797</v>
      </c>
      <c r="E435" s="7">
        <v>1.8942408710324199</v>
      </c>
      <c r="F435" s="7">
        <v>1.8942408710324199</v>
      </c>
      <c r="G435" s="7">
        <v>320.06</v>
      </c>
      <c r="H435" s="7">
        <v>17.517899761336501</v>
      </c>
      <c r="I435" s="7">
        <v>315.97000000000003</v>
      </c>
      <c r="J435" s="7">
        <v>321.97000000000003</v>
      </c>
      <c r="K435" s="7">
        <v>312.24</v>
      </c>
      <c r="L435" s="7">
        <v>17.517899761336501</v>
      </c>
    </row>
    <row r="436" spans="1:12" ht="15" customHeight="1" x14ac:dyDescent="0.2">
      <c r="A436" s="3">
        <v>45420</v>
      </c>
      <c r="B436" s="4">
        <v>314.11</v>
      </c>
      <c r="C436" s="5">
        <v>870231</v>
      </c>
      <c r="D436" s="4">
        <v>0.81999999999999296</v>
      </c>
      <c r="E436" s="4">
        <v>0.261738325513105</v>
      </c>
      <c r="F436" s="4">
        <v>0.261738325513105</v>
      </c>
      <c r="G436" s="4">
        <v>314.11</v>
      </c>
      <c r="H436" s="4">
        <v>15.3332109418028</v>
      </c>
      <c r="I436" s="4">
        <v>313</v>
      </c>
      <c r="J436" s="4">
        <v>316.85000000000002</v>
      </c>
      <c r="K436" s="4">
        <v>311.02</v>
      </c>
      <c r="L436" s="4">
        <v>15.3332109418028</v>
      </c>
    </row>
    <row r="437" spans="1:12" ht="15" customHeight="1" x14ac:dyDescent="0.2">
      <c r="A437" s="6">
        <v>45419</v>
      </c>
      <c r="B437" s="7">
        <v>313.29000000000002</v>
      </c>
      <c r="C437" s="8">
        <v>1369081</v>
      </c>
      <c r="D437" s="7">
        <v>1.1100000000000101</v>
      </c>
      <c r="E437" s="7">
        <v>0.35556409763597402</v>
      </c>
      <c r="F437" s="7">
        <v>0.35556409763597402</v>
      </c>
      <c r="G437" s="7">
        <v>313.29000000000002</v>
      </c>
      <c r="H437" s="7">
        <v>15.0321277767578</v>
      </c>
      <c r="I437" s="7">
        <v>314.33</v>
      </c>
      <c r="J437" s="7">
        <v>314.85000000000002</v>
      </c>
      <c r="K437" s="7">
        <v>310.3</v>
      </c>
      <c r="L437" s="7">
        <v>15.0321277767578</v>
      </c>
    </row>
    <row r="438" spans="1:12" ht="15" customHeight="1" x14ac:dyDescent="0.2">
      <c r="A438" s="3">
        <v>45418</v>
      </c>
      <c r="B438" s="4">
        <v>312.18</v>
      </c>
      <c r="C438" s="5">
        <v>503523</v>
      </c>
      <c r="D438" s="4">
        <v>-0.45999999999997898</v>
      </c>
      <c r="E438" s="4">
        <v>-0.14713408393038899</v>
      </c>
      <c r="F438" s="4">
        <v>-0.14713408393038899</v>
      </c>
      <c r="G438" s="4">
        <v>312.18</v>
      </c>
      <c r="H438" s="4">
        <v>14.6245639801725</v>
      </c>
      <c r="I438" s="4">
        <v>312.10000000000002</v>
      </c>
      <c r="J438" s="4">
        <v>315.99</v>
      </c>
      <c r="K438" s="4">
        <v>310.52999999999997</v>
      </c>
      <c r="L438" s="4">
        <v>14.6245639801725</v>
      </c>
    </row>
    <row r="439" spans="1:12" ht="15" customHeight="1" x14ac:dyDescent="0.2">
      <c r="A439" s="6">
        <v>45415</v>
      </c>
      <c r="B439" s="7">
        <v>312.64</v>
      </c>
      <c r="C439" s="8">
        <v>572554</v>
      </c>
      <c r="D439" s="7">
        <v>0.68000000000000604</v>
      </c>
      <c r="E439" s="7">
        <v>0.21797666367482299</v>
      </c>
      <c r="F439" s="7">
        <v>0.21797666367482299</v>
      </c>
      <c r="G439" s="7">
        <v>312.64</v>
      </c>
      <c r="H439" s="7">
        <v>14.793464292270899</v>
      </c>
      <c r="I439" s="7">
        <v>311.55</v>
      </c>
      <c r="J439" s="7">
        <v>316</v>
      </c>
      <c r="K439" s="7">
        <v>310.42</v>
      </c>
      <c r="L439" s="7">
        <v>14.793464292270899</v>
      </c>
    </row>
    <row r="440" spans="1:12" ht="15" customHeight="1" x14ac:dyDescent="0.2">
      <c r="A440" s="3">
        <v>45414</v>
      </c>
      <c r="B440" s="4">
        <v>311.95999999999998</v>
      </c>
      <c r="C440" s="5">
        <v>1701242</v>
      </c>
      <c r="D440" s="4">
        <v>-6.0000000000002197E-2</v>
      </c>
      <c r="E440" s="4">
        <v>-1.9229536568165999E-2</v>
      </c>
      <c r="F440" s="4">
        <v>-1.9229536568165999E-2</v>
      </c>
      <c r="G440" s="4">
        <v>311.95999999999998</v>
      </c>
      <c r="H440" s="4">
        <v>14.5437855700385</v>
      </c>
      <c r="I440" s="4">
        <v>312.10000000000002</v>
      </c>
      <c r="J440" s="4">
        <v>316</v>
      </c>
      <c r="K440" s="4">
        <v>310.39</v>
      </c>
      <c r="L440" s="4">
        <v>14.5437855700385</v>
      </c>
    </row>
    <row r="441" spans="1:12" ht="15" customHeight="1" x14ac:dyDescent="0.2">
      <c r="A441" s="6">
        <v>45412</v>
      </c>
      <c r="B441" s="7">
        <v>312.02</v>
      </c>
      <c r="C441" s="8">
        <v>1325026</v>
      </c>
      <c r="D441" s="7">
        <v>-3.1000000000000201</v>
      </c>
      <c r="E441" s="7">
        <v>-0.98375222137598795</v>
      </c>
      <c r="F441" s="7">
        <v>-0.98375222137598795</v>
      </c>
      <c r="G441" s="7">
        <v>312.02</v>
      </c>
      <c r="H441" s="7">
        <v>14.5658160455296</v>
      </c>
      <c r="I441" s="7">
        <v>313.02999999999997</v>
      </c>
      <c r="J441" s="7">
        <v>315.49</v>
      </c>
      <c r="K441" s="7">
        <v>311.04000000000002</v>
      </c>
      <c r="L441" s="7">
        <v>14.5658160455296</v>
      </c>
    </row>
    <row r="442" spans="1:12" ht="15" customHeight="1" x14ac:dyDescent="0.2">
      <c r="A442" s="3">
        <v>45411</v>
      </c>
      <c r="B442" s="4">
        <v>315.12</v>
      </c>
      <c r="C442" s="5">
        <v>634922</v>
      </c>
      <c r="D442" s="4">
        <v>0.62000000000000399</v>
      </c>
      <c r="E442" s="4">
        <v>0.19713831478538299</v>
      </c>
      <c r="F442" s="4">
        <v>0.19713831478538299</v>
      </c>
      <c r="G442" s="4">
        <v>315.12</v>
      </c>
      <c r="H442" s="4">
        <v>15.704057279236199</v>
      </c>
      <c r="I442" s="4">
        <v>313.26</v>
      </c>
      <c r="J442" s="4">
        <v>315.98</v>
      </c>
      <c r="K442" s="4">
        <v>309.11</v>
      </c>
      <c r="L442" s="4">
        <v>15.704057279236199</v>
      </c>
    </row>
    <row r="443" spans="1:12" ht="15" customHeight="1" x14ac:dyDescent="0.2">
      <c r="A443" s="6">
        <v>45408</v>
      </c>
      <c r="B443" s="7">
        <v>314.5</v>
      </c>
      <c r="C443" s="8">
        <v>843586</v>
      </c>
      <c r="D443" s="7">
        <v>4.49</v>
      </c>
      <c r="E443" s="7">
        <v>1.44834037611689</v>
      </c>
      <c r="F443" s="7">
        <v>1.44834037611689</v>
      </c>
      <c r="G443" s="7">
        <v>314.5</v>
      </c>
      <c r="H443" s="7">
        <v>15.4764090324949</v>
      </c>
      <c r="I443" s="7">
        <v>311.18</v>
      </c>
      <c r="J443" s="7">
        <v>315.18</v>
      </c>
      <c r="K443" s="7">
        <v>307.25</v>
      </c>
      <c r="L443" s="7">
        <v>15.4764090324949</v>
      </c>
    </row>
    <row r="444" spans="1:12" ht="15" customHeight="1" x14ac:dyDescent="0.2">
      <c r="A444" s="3">
        <v>45407</v>
      </c>
      <c r="B444" s="4">
        <v>310.01</v>
      </c>
      <c r="C444" s="5">
        <v>717837</v>
      </c>
      <c r="D444" s="4">
        <v>9.6700000000000106</v>
      </c>
      <c r="E444" s="4">
        <v>3.2196843577279002</v>
      </c>
      <c r="F444" s="4">
        <v>3.2196843577279002</v>
      </c>
      <c r="G444" s="4">
        <v>310.01</v>
      </c>
      <c r="H444" s="4">
        <v>13.827795116577899</v>
      </c>
      <c r="I444" s="4">
        <v>307.18</v>
      </c>
      <c r="J444" s="4">
        <v>311</v>
      </c>
      <c r="K444" s="4">
        <v>297.02</v>
      </c>
      <c r="L444" s="4">
        <v>13.827795116577899</v>
      </c>
    </row>
    <row r="445" spans="1:12" ht="15" customHeight="1" x14ac:dyDescent="0.2">
      <c r="A445" s="6">
        <v>45406</v>
      </c>
      <c r="B445" s="7">
        <v>300.33999999999997</v>
      </c>
      <c r="C445" s="8">
        <v>890204</v>
      </c>
      <c r="D445" s="7">
        <v>-2.83000000000004</v>
      </c>
      <c r="E445" s="7">
        <v>-0.93346967048192298</v>
      </c>
      <c r="F445" s="7">
        <v>-0.93346967048192298</v>
      </c>
      <c r="G445" s="7">
        <v>300.33999999999997</v>
      </c>
      <c r="H445" s="7">
        <v>10.2772168165962</v>
      </c>
      <c r="I445" s="7">
        <v>300</v>
      </c>
      <c r="J445" s="7">
        <v>306.99</v>
      </c>
      <c r="K445" s="7">
        <v>295</v>
      </c>
      <c r="L445" s="7">
        <v>10.2772168165962</v>
      </c>
    </row>
    <row r="446" spans="1:12" ht="15" customHeight="1" x14ac:dyDescent="0.2">
      <c r="A446" s="3">
        <v>45405</v>
      </c>
      <c r="B446" s="4">
        <v>303.17</v>
      </c>
      <c r="C446" s="5">
        <v>1854075</v>
      </c>
      <c r="D446" s="4">
        <v>29.03</v>
      </c>
      <c r="E446" s="4">
        <v>10.589479827825199</v>
      </c>
      <c r="F446" s="4">
        <v>10.589479827825199</v>
      </c>
      <c r="G446" s="4">
        <v>303.17</v>
      </c>
      <c r="H446" s="4">
        <v>11.3163209105929</v>
      </c>
      <c r="I446" s="4">
        <v>273.98</v>
      </c>
      <c r="J446" s="4">
        <v>305.44</v>
      </c>
      <c r="K446" s="4">
        <v>273.5</v>
      </c>
      <c r="L446" s="4">
        <v>11.3163209105929</v>
      </c>
    </row>
    <row r="447" spans="1:12" ht="15" customHeight="1" x14ac:dyDescent="0.2">
      <c r="A447" s="6">
        <v>45404</v>
      </c>
      <c r="B447" s="7">
        <v>274.14</v>
      </c>
      <c r="C447" s="8">
        <v>398987</v>
      </c>
      <c r="D447" s="7">
        <v>7.99</v>
      </c>
      <c r="E447" s="7">
        <v>3.0020665038512102</v>
      </c>
      <c r="F447" s="7">
        <v>3.0020665038512102</v>
      </c>
      <c r="G447" s="7">
        <v>274.14</v>
      </c>
      <c r="H447" s="7">
        <v>0.65724251881768403</v>
      </c>
      <c r="I447" s="7">
        <v>266.14999999999998</v>
      </c>
      <c r="J447" s="7">
        <v>275.02999999999997</v>
      </c>
      <c r="K447" s="7">
        <v>266.14999999999998</v>
      </c>
      <c r="L447" s="7">
        <v>0.65724251881768403</v>
      </c>
    </row>
    <row r="448" spans="1:12" ht="15" customHeight="1" x14ac:dyDescent="0.2">
      <c r="A448" s="3">
        <v>45401</v>
      </c>
      <c r="B448" s="4">
        <v>266.14999999999998</v>
      </c>
      <c r="C448" s="5">
        <v>601332</v>
      </c>
      <c r="D448" s="4">
        <v>-0.18000000000000599</v>
      </c>
      <c r="E448" s="4">
        <v>-6.7585326474672802E-2</v>
      </c>
      <c r="F448" s="4">
        <v>-6.7585326474672802E-2</v>
      </c>
      <c r="G448" s="4">
        <v>266.14999999999998</v>
      </c>
      <c r="H448" s="4">
        <v>-2.27648246741327</v>
      </c>
      <c r="I448" s="4">
        <v>273.87</v>
      </c>
      <c r="J448" s="4">
        <v>273.87</v>
      </c>
      <c r="K448" s="4">
        <v>264.42</v>
      </c>
      <c r="L448" s="4">
        <v>-2.27648246741327</v>
      </c>
    </row>
    <row r="449" spans="1:12" ht="15" customHeight="1" x14ac:dyDescent="0.2">
      <c r="A449" s="6">
        <v>45400</v>
      </c>
      <c r="B449" s="7">
        <v>266.33</v>
      </c>
      <c r="C449" s="8">
        <v>984833</v>
      </c>
      <c r="D449" s="7">
        <v>4.1699999999999502</v>
      </c>
      <c r="E449" s="7">
        <v>1.5906316753127701</v>
      </c>
      <c r="F449" s="7">
        <v>1.5906316753127701</v>
      </c>
      <c r="G449" s="7">
        <v>266.33</v>
      </c>
      <c r="H449" s="7">
        <v>-2.2103910409399798</v>
      </c>
      <c r="I449" s="7">
        <v>267</v>
      </c>
      <c r="J449" s="7">
        <v>270</v>
      </c>
      <c r="K449" s="7">
        <v>260.7</v>
      </c>
      <c r="L449" s="7">
        <v>-2.2103910409399798</v>
      </c>
    </row>
    <row r="450" spans="1:12" ht="15" customHeight="1" x14ac:dyDescent="0.2">
      <c r="A450" s="3">
        <v>45399</v>
      </c>
      <c r="B450" s="4">
        <v>262.16000000000003</v>
      </c>
      <c r="C450" s="5">
        <v>363418</v>
      </c>
      <c r="D450" s="4">
        <v>-7.1599999999999602</v>
      </c>
      <c r="E450" s="4">
        <v>-2.6585474528441799</v>
      </c>
      <c r="F450" s="4">
        <v>-2.6585474528441799</v>
      </c>
      <c r="G450" s="4">
        <v>262.16000000000003</v>
      </c>
      <c r="H450" s="4">
        <v>-3.7415090875711301</v>
      </c>
      <c r="I450" s="4">
        <v>267.02</v>
      </c>
      <c r="J450" s="4">
        <v>270</v>
      </c>
      <c r="K450" s="4">
        <v>260.14</v>
      </c>
      <c r="L450" s="4">
        <v>-3.7415090875711301</v>
      </c>
    </row>
    <row r="451" spans="1:12" ht="15" customHeight="1" x14ac:dyDescent="0.2">
      <c r="A451" s="6">
        <v>45398</v>
      </c>
      <c r="B451" s="7">
        <v>269.32</v>
      </c>
      <c r="C451" s="8">
        <v>445092</v>
      </c>
      <c r="D451" s="7">
        <v>0.88999999999998602</v>
      </c>
      <c r="E451" s="7">
        <v>0.331557575531782</v>
      </c>
      <c r="F451" s="7">
        <v>0.331557575531782</v>
      </c>
      <c r="G451" s="7">
        <v>269.32</v>
      </c>
      <c r="H451" s="7">
        <v>-1.11253901230035</v>
      </c>
      <c r="I451" s="7">
        <v>267.61</v>
      </c>
      <c r="J451" s="7">
        <v>270.06</v>
      </c>
      <c r="K451" s="7">
        <v>265.02999999999997</v>
      </c>
      <c r="L451" s="7">
        <v>-1.11253901230035</v>
      </c>
    </row>
    <row r="452" spans="1:12" ht="15" customHeight="1" x14ac:dyDescent="0.2">
      <c r="A452" s="3">
        <v>45397</v>
      </c>
      <c r="B452" s="4">
        <v>268.43</v>
      </c>
      <c r="C452" s="5">
        <v>322736</v>
      </c>
      <c r="D452" s="4">
        <v>-3.1100000000000101</v>
      </c>
      <c r="E452" s="4">
        <v>-1.1453192899756901</v>
      </c>
      <c r="F452" s="4">
        <v>-1.1453192899756901</v>
      </c>
      <c r="G452" s="4">
        <v>268.43</v>
      </c>
      <c r="H452" s="4">
        <v>-1.43932439875161</v>
      </c>
      <c r="I452" s="4">
        <v>273.94</v>
      </c>
      <c r="J452" s="4">
        <v>273.94</v>
      </c>
      <c r="K452" s="4">
        <v>267</v>
      </c>
      <c r="L452" s="4">
        <v>-1.43932439875161</v>
      </c>
    </row>
    <row r="453" spans="1:12" ht="15" customHeight="1" x14ac:dyDescent="0.2">
      <c r="A453" s="6">
        <v>45394</v>
      </c>
      <c r="B453" s="7">
        <v>271.54000000000002</v>
      </c>
      <c r="C453" s="8">
        <v>744060</v>
      </c>
      <c r="D453" s="7">
        <v>1.51000000000004</v>
      </c>
      <c r="E453" s="7">
        <v>0.55919712624525797</v>
      </c>
      <c r="F453" s="7">
        <v>0.55919712624525797</v>
      </c>
      <c r="G453" s="7">
        <v>271.54000000000002</v>
      </c>
      <c r="H453" s="7">
        <v>-0.29741141912979702</v>
      </c>
      <c r="I453" s="7">
        <v>270.83999999999997</v>
      </c>
      <c r="J453" s="7">
        <v>275.89999999999998</v>
      </c>
      <c r="K453" s="7">
        <v>268.64</v>
      </c>
      <c r="L453" s="7">
        <v>-0.29741141912979702</v>
      </c>
    </row>
    <row r="454" spans="1:12" ht="15" customHeight="1" x14ac:dyDescent="0.2">
      <c r="A454" s="3">
        <v>45393</v>
      </c>
      <c r="B454" s="4">
        <v>270.02999999999997</v>
      </c>
      <c r="C454" s="5">
        <v>507856</v>
      </c>
      <c r="D454" s="4">
        <v>1.0299999999999701</v>
      </c>
      <c r="E454" s="4">
        <v>0.38289962825277502</v>
      </c>
      <c r="F454" s="4">
        <v>0.38289962825277502</v>
      </c>
      <c r="G454" s="4">
        <v>270.02999999999997</v>
      </c>
      <c r="H454" s="4">
        <v>-0.85184505232239704</v>
      </c>
      <c r="I454" s="4">
        <v>268.17</v>
      </c>
      <c r="J454" s="4">
        <v>272.94</v>
      </c>
      <c r="K454" s="4">
        <v>266.11</v>
      </c>
      <c r="L454" s="4">
        <v>-0.85184505232239704</v>
      </c>
    </row>
    <row r="455" spans="1:12" ht="15" customHeight="1" x14ac:dyDescent="0.2">
      <c r="A455" s="6">
        <v>45392</v>
      </c>
      <c r="B455" s="7">
        <v>269</v>
      </c>
      <c r="C455" s="8">
        <v>454324</v>
      </c>
      <c r="D455" s="7">
        <v>-2.99</v>
      </c>
      <c r="E455" s="7">
        <v>-1.0993051215118199</v>
      </c>
      <c r="F455" s="7">
        <v>-1.0993051215118199</v>
      </c>
      <c r="G455" s="7">
        <v>269</v>
      </c>
      <c r="H455" s="7">
        <v>-1.2300348815861999</v>
      </c>
      <c r="I455" s="7">
        <v>272</v>
      </c>
      <c r="J455" s="7">
        <v>275.89999999999998</v>
      </c>
      <c r="K455" s="7">
        <v>265.77</v>
      </c>
      <c r="L455" s="7">
        <v>-1.2300348815861999</v>
      </c>
    </row>
    <row r="456" spans="1:12" ht="15" customHeight="1" x14ac:dyDescent="0.2">
      <c r="A456" s="3">
        <v>45391</v>
      </c>
      <c r="B456" s="4">
        <v>271.99</v>
      </c>
      <c r="C456" s="5">
        <v>590449</v>
      </c>
      <c r="D456" s="4">
        <v>-10.5999999999999</v>
      </c>
      <c r="E456" s="4">
        <v>-3.75101737499556</v>
      </c>
      <c r="F456" s="4">
        <v>-3.75101737499556</v>
      </c>
      <c r="G456" s="4">
        <v>271.99</v>
      </c>
      <c r="H456" s="4">
        <v>-0.132182852946581</v>
      </c>
      <c r="I456" s="4">
        <v>280</v>
      </c>
      <c r="J456" s="4">
        <v>284.79000000000002</v>
      </c>
      <c r="K456" s="4">
        <v>270.01</v>
      </c>
      <c r="L456" s="4">
        <v>-0.132182852946581</v>
      </c>
    </row>
    <row r="457" spans="1:12" ht="15" customHeight="1" x14ac:dyDescent="0.2">
      <c r="A457" s="6">
        <v>45390</v>
      </c>
      <c r="B457" s="7">
        <v>282.58999999999997</v>
      </c>
      <c r="C457" s="8">
        <v>752325</v>
      </c>
      <c r="D457" s="7">
        <v>-0.189999999999997</v>
      </c>
      <c r="E457" s="7">
        <v>-6.7190041728548699E-2</v>
      </c>
      <c r="F457" s="7">
        <v>-6.7190041728548699E-2</v>
      </c>
      <c r="G457" s="7">
        <v>282.58999999999997</v>
      </c>
      <c r="H457" s="7">
        <v>3.7598678171470299</v>
      </c>
      <c r="I457" s="7">
        <v>282.79000000000002</v>
      </c>
      <c r="J457" s="7">
        <v>285</v>
      </c>
      <c r="K457" s="7">
        <v>278.41000000000003</v>
      </c>
      <c r="L457" s="7">
        <v>3.7598678171470299</v>
      </c>
    </row>
    <row r="458" spans="1:12" ht="15" customHeight="1" x14ac:dyDescent="0.2">
      <c r="A458" s="3">
        <v>45387</v>
      </c>
      <c r="B458" s="4">
        <v>282.77999999999997</v>
      </c>
      <c r="C458" s="5">
        <v>593252</v>
      </c>
      <c r="D458" s="4">
        <v>1.68999999999999</v>
      </c>
      <c r="E458" s="4">
        <v>0.60123092248034404</v>
      </c>
      <c r="F458" s="4">
        <v>0.60123092248034404</v>
      </c>
      <c r="G458" s="4">
        <v>282.77999999999997</v>
      </c>
      <c r="H458" s="4">
        <v>3.8296309895355001</v>
      </c>
      <c r="I458" s="4">
        <v>281.10000000000002</v>
      </c>
      <c r="J458" s="4">
        <v>287</v>
      </c>
      <c r="K458" s="4">
        <v>277.7</v>
      </c>
      <c r="L458" s="4">
        <v>3.8296309895355001</v>
      </c>
    </row>
    <row r="459" spans="1:12" ht="15" customHeight="1" x14ac:dyDescent="0.2">
      <c r="A459" s="6">
        <v>45386</v>
      </c>
      <c r="B459" s="7">
        <v>281.08999999999997</v>
      </c>
      <c r="C459" s="8">
        <v>623723</v>
      </c>
      <c r="D459" s="7">
        <v>7.81</v>
      </c>
      <c r="E459" s="7">
        <v>2.85787470725995</v>
      </c>
      <c r="F459" s="7">
        <v>2.85787470725995</v>
      </c>
      <c r="G459" s="7">
        <v>281.08999999999997</v>
      </c>
      <c r="H459" s="7">
        <v>3.2091059298696298</v>
      </c>
      <c r="I459" s="7">
        <v>274.69</v>
      </c>
      <c r="J459" s="7">
        <v>282.69</v>
      </c>
      <c r="K459" s="7">
        <v>271.52</v>
      </c>
      <c r="L459" s="7">
        <v>3.2091059298696298</v>
      </c>
    </row>
    <row r="460" spans="1:12" ht="15" customHeight="1" x14ac:dyDescent="0.2">
      <c r="A460" s="3">
        <v>45385</v>
      </c>
      <c r="B460" s="4">
        <v>273.27999999999997</v>
      </c>
      <c r="C460" s="5">
        <v>664761</v>
      </c>
      <c r="D460" s="4">
        <v>0.96999999999997</v>
      </c>
      <c r="E460" s="4">
        <v>0.35621167052255398</v>
      </c>
      <c r="F460" s="4">
        <v>0.35621167052255398</v>
      </c>
      <c r="G460" s="4">
        <v>273.27999999999997</v>
      </c>
      <c r="H460" s="4">
        <v>0.34147237011196901</v>
      </c>
      <c r="I460" s="4">
        <v>272</v>
      </c>
      <c r="J460" s="4">
        <v>278.49</v>
      </c>
      <c r="K460" s="4">
        <v>267.06</v>
      </c>
      <c r="L460" s="4">
        <v>0.34147237011196901</v>
      </c>
    </row>
    <row r="461" spans="1:12" ht="15" customHeight="1" x14ac:dyDescent="0.2">
      <c r="A461" s="6">
        <v>45384</v>
      </c>
      <c r="B461" s="7">
        <v>272.31</v>
      </c>
      <c r="C461" s="8">
        <v>767443</v>
      </c>
      <c r="D461" s="7">
        <v>3.8799999999999901</v>
      </c>
      <c r="E461" s="7">
        <v>1.4454420146779301</v>
      </c>
      <c r="F461" s="7">
        <v>1.4454420146779301</v>
      </c>
      <c r="G461" s="7">
        <v>272.31</v>
      </c>
      <c r="H461" s="7">
        <v>-1.46869836607381E-2</v>
      </c>
      <c r="I461" s="7">
        <v>268.72000000000003</v>
      </c>
      <c r="J461" s="7">
        <v>273.05</v>
      </c>
      <c r="K461" s="7">
        <v>266.07</v>
      </c>
      <c r="L461" s="7">
        <v>-1.46869836607381E-2</v>
      </c>
    </row>
    <row r="462" spans="1:12" ht="15" customHeight="1" x14ac:dyDescent="0.2">
      <c r="A462" s="3">
        <v>45383</v>
      </c>
      <c r="B462" s="4">
        <v>268.43</v>
      </c>
      <c r="C462" s="5">
        <v>863986</v>
      </c>
      <c r="D462" s="4">
        <v>1.4200000000000099</v>
      </c>
      <c r="E462" s="4">
        <v>0.53181528781693899</v>
      </c>
      <c r="F462" s="4">
        <v>0.53181528781693899</v>
      </c>
      <c r="G462" s="4">
        <v>268.43</v>
      </c>
      <c r="H462" s="4">
        <v>-1.43932439875161</v>
      </c>
      <c r="I462" s="4">
        <v>266.95999999999998</v>
      </c>
      <c r="J462" s="4">
        <v>273.98</v>
      </c>
      <c r="K462" s="4">
        <v>265.77</v>
      </c>
      <c r="L462" s="4">
        <v>-1.43932439875161</v>
      </c>
    </row>
    <row r="463" spans="1:12" ht="15" customHeight="1" x14ac:dyDescent="0.2">
      <c r="A463" s="6">
        <v>45378</v>
      </c>
      <c r="B463" s="7">
        <v>267.01</v>
      </c>
      <c r="C463" s="8">
        <v>815298</v>
      </c>
      <c r="D463" s="7">
        <v>2.12</v>
      </c>
      <c r="E463" s="7">
        <v>0.80033221337159</v>
      </c>
      <c r="F463" s="7">
        <v>0.80033221337159</v>
      </c>
      <c r="G463" s="7">
        <v>267.01</v>
      </c>
      <c r="H463" s="7">
        <v>-1.9607123187075499</v>
      </c>
      <c r="I463" s="7">
        <v>268.56</v>
      </c>
      <c r="J463" s="7">
        <v>269.99</v>
      </c>
      <c r="K463" s="7">
        <v>262.17</v>
      </c>
      <c r="L463" s="7">
        <v>-1.9607123187075499</v>
      </c>
    </row>
    <row r="464" spans="1:12" ht="15" customHeight="1" x14ac:dyDescent="0.2">
      <c r="A464" s="3">
        <v>45377</v>
      </c>
      <c r="B464" s="4">
        <v>264.89</v>
      </c>
      <c r="C464" s="5">
        <v>587693</v>
      </c>
      <c r="D464" s="4">
        <v>6.9099999999999602</v>
      </c>
      <c r="E464" s="4">
        <v>2.6785022094735802</v>
      </c>
      <c r="F464" s="4">
        <v>2.6785022094735802</v>
      </c>
      <c r="G464" s="4">
        <v>264.89</v>
      </c>
      <c r="H464" s="4">
        <v>-2.7391224527262801</v>
      </c>
      <c r="I464" s="4">
        <v>254</v>
      </c>
      <c r="J464" s="4">
        <v>268.39</v>
      </c>
      <c r="K464" s="4">
        <v>251.58</v>
      </c>
      <c r="L464" s="4">
        <v>-2.7391224527262801</v>
      </c>
    </row>
    <row r="465" spans="1:12" ht="15" customHeight="1" x14ac:dyDescent="0.2">
      <c r="A465" s="6">
        <v>45376</v>
      </c>
      <c r="B465" s="7">
        <v>257.98</v>
      </c>
      <c r="C465" s="8">
        <v>537778</v>
      </c>
      <c r="D465" s="7">
        <v>-0.89999999999997704</v>
      </c>
      <c r="E465" s="7">
        <v>-0.34765142150802097</v>
      </c>
      <c r="F465" s="7">
        <v>-0.34765142150802097</v>
      </c>
      <c r="G465" s="7">
        <v>257.98</v>
      </c>
      <c r="H465" s="7">
        <v>-5.2762988801174897</v>
      </c>
      <c r="I465" s="7">
        <v>259</v>
      </c>
      <c r="J465" s="7">
        <v>261.10000000000002</v>
      </c>
      <c r="K465" s="7">
        <v>255</v>
      </c>
      <c r="L465" s="7">
        <v>-5.2762988801174897</v>
      </c>
    </row>
    <row r="466" spans="1:12" ht="15" customHeight="1" x14ac:dyDescent="0.2">
      <c r="A466" s="3">
        <v>45373</v>
      </c>
      <c r="B466" s="4">
        <v>258.88</v>
      </c>
      <c r="C466" s="5">
        <v>1856757</v>
      </c>
      <c r="D466" s="4">
        <v>7.9399999999999897</v>
      </c>
      <c r="E466" s="4">
        <v>3.1641029728221901</v>
      </c>
      <c r="F466" s="4">
        <v>3.1641029728221901</v>
      </c>
      <c r="G466" s="4">
        <v>258.88</v>
      </c>
      <c r="H466" s="4">
        <v>-4.9458417477510599</v>
      </c>
      <c r="I466" s="4">
        <v>250</v>
      </c>
      <c r="J466" s="4">
        <v>259.11</v>
      </c>
      <c r="K466" s="4">
        <v>248.73</v>
      </c>
      <c r="L466" s="4">
        <v>-4.9458417477510599</v>
      </c>
    </row>
    <row r="467" spans="1:12" ht="15" customHeight="1" x14ac:dyDescent="0.2">
      <c r="A467" s="6">
        <v>45372</v>
      </c>
      <c r="B467" s="7">
        <v>250.94</v>
      </c>
      <c r="C467" s="8">
        <v>677929</v>
      </c>
      <c r="D467" s="7">
        <v>0.25999999999999002</v>
      </c>
      <c r="E467" s="7">
        <v>0.103717887346421</v>
      </c>
      <c r="F467" s="7">
        <v>0.103717887346421</v>
      </c>
      <c r="G467" s="7">
        <v>250.94</v>
      </c>
      <c r="H467" s="7">
        <v>-7.8612080044060999</v>
      </c>
      <c r="I467" s="7">
        <v>251.88</v>
      </c>
      <c r="J467" s="7">
        <v>254.74</v>
      </c>
      <c r="K467" s="7">
        <v>248.7</v>
      </c>
      <c r="L467" s="7">
        <v>-7.8612080044060999</v>
      </c>
    </row>
    <row r="468" spans="1:12" ht="15" customHeight="1" x14ac:dyDescent="0.2">
      <c r="A468" s="3">
        <v>45371</v>
      </c>
      <c r="B468" s="4">
        <v>250.68</v>
      </c>
      <c r="C468" s="5">
        <v>732393</v>
      </c>
      <c r="D468" s="4">
        <v>5.2700000000000102</v>
      </c>
      <c r="E468" s="4">
        <v>2.1474267552259398</v>
      </c>
      <c r="F468" s="4">
        <v>2.1474267552259398</v>
      </c>
      <c r="G468" s="4">
        <v>250.68</v>
      </c>
      <c r="H468" s="4">
        <v>-7.9566733982008504</v>
      </c>
      <c r="I468" s="4">
        <v>244.38</v>
      </c>
      <c r="J468" s="4">
        <v>253.17</v>
      </c>
      <c r="K468" s="4">
        <v>243.26</v>
      </c>
      <c r="L468" s="4">
        <v>-7.9566733982008504</v>
      </c>
    </row>
    <row r="469" spans="1:12" ht="15" customHeight="1" x14ac:dyDescent="0.2">
      <c r="A469" s="6">
        <v>45370</v>
      </c>
      <c r="B469" s="7">
        <v>245.41</v>
      </c>
      <c r="C469" s="8">
        <v>1120471</v>
      </c>
      <c r="D469" s="7">
        <v>-5.4399999999999897</v>
      </c>
      <c r="E469" s="7">
        <v>-2.1686266693242899</v>
      </c>
      <c r="F469" s="7">
        <v>-2.1686266693242899</v>
      </c>
      <c r="G469" s="7">
        <v>245.41</v>
      </c>
      <c r="H469" s="7">
        <v>-9.8916834955021198</v>
      </c>
      <c r="I469" s="7">
        <v>249.3</v>
      </c>
      <c r="J469" s="7">
        <v>249.31</v>
      </c>
      <c r="K469" s="7">
        <v>242.06</v>
      </c>
      <c r="L469" s="7">
        <v>-9.8916834955021198</v>
      </c>
    </row>
    <row r="470" spans="1:12" ht="15" customHeight="1" x14ac:dyDescent="0.2">
      <c r="A470" s="3">
        <v>45366</v>
      </c>
      <c r="B470" s="4">
        <v>250.85</v>
      </c>
      <c r="C470" s="5">
        <v>4434272</v>
      </c>
      <c r="D470" s="4">
        <v>2.6299999999999901</v>
      </c>
      <c r="E470" s="4">
        <v>1.05954395294496</v>
      </c>
      <c r="F470" s="4">
        <v>1.05954395294496</v>
      </c>
      <c r="G470" s="4">
        <v>250.85</v>
      </c>
      <c r="H470" s="4">
        <v>-7.8942537176427399</v>
      </c>
      <c r="I470" s="4">
        <v>249.43</v>
      </c>
      <c r="J470" s="4">
        <v>252.35</v>
      </c>
      <c r="K470" s="4">
        <v>245.5</v>
      </c>
      <c r="L470" s="4">
        <v>-7.8942537176427399</v>
      </c>
    </row>
    <row r="471" spans="1:12" ht="15" customHeight="1" x14ac:dyDescent="0.2">
      <c r="A471" s="6">
        <v>45365</v>
      </c>
      <c r="B471" s="7">
        <v>248.22</v>
      </c>
      <c r="C471" s="8">
        <v>749249</v>
      </c>
      <c r="D471" s="7">
        <v>5.59</v>
      </c>
      <c r="E471" s="7">
        <v>2.3039195482833899</v>
      </c>
      <c r="F471" s="7">
        <v>2.3039195482833899</v>
      </c>
      <c r="G471" s="7">
        <v>248.22</v>
      </c>
      <c r="H471" s="7">
        <v>-8.8599228933357796</v>
      </c>
      <c r="I471" s="7">
        <v>243</v>
      </c>
      <c r="J471" s="7">
        <v>250.12</v>
      </c>
      <c r="K471" s="7">
        <v>242.26</v>
      </c>
      <c r="L471" s="7">
        <v>-8.8599228933357796</v>
      </c>
    </row>
    <row r="472" spans="1:12" ht="15" customHeight="1" x14ac:dyDescent="0.2">
      <c r="A472" s="3">
        <v>45364</v>
      </c>
      <c r="B472" s="4">
        <v>242.63</v>
      </c>
      <c r="C472" s="5">
        <v>1389189</v>
      </c>
      <c r="D472" s="4">
        <v>3.62</v>
      </c>
      <c r="E472" s="4">
        <v>1.51458097987531</v>
      </c>
      <c r="F472" s="4">
        <v>1.51458097987531</v>
      </c>
      <c r="G472" s="4">
        <v>242.63</v>
      </c>
      <c r="H472" s="4">
        <v>-10.912428859922899</v>
      </c>
      <c r="I472" s="4">
        <v>239.38</v>
      </c>
      <c r="J472" s="4">
        <v>243</v>
      </c>
      <c r="K472" s="4">
        <v>237.54</v>
      </c>
      <c r="L472" s="4">
        <v>-10.912428859922899</v>
      </c>
    </row>
    <row r="473" spans="1:12" ht="15" customHeight="1" x14ac:dyDescent="0.2">
      <c r="A473" s="6">
        <v>45363</v>
      </c>
      <c r="B473" s="7">
        <v>239.01</v>
      </c>
      <c r="C473" s="8">
        <v>1838289</v>
      </c>
      <c r="D473" s="7">
        <v>0.90999999999999603</v>
      </c>
      <c r="E473" s="7">
        <v>0.38219235615286601</v>
      </c>
      <c r="F473" s="7">
        <v>0.38219235615286601</v>
      </c>
      <c r="G473" s="7">
        <v>239.01</v>
      </c>
      <c r="H473" s="7">
        <v>-12.241600881219</v>
      </c>
      <c r="I473" s="7">
        <v>240.72</v>
      </c>
      <c r="J473" s="7">
        <v>242.37</v>
      </c>
      <c r="K473" s="7">
        <v>237.39</v>
      </c>
      <c r="L473" s="7">
        <v>-12.241600881219</v>
      </c>
    </row>
    <row r="474" spans="1:12" ht="15" customHeight="1" x14ac:dyDescent="0.2">
      <c r="A474" s="3">
        <v>45362</v>
      </c>
      <c r="B474" s="4">
        <v>238.1</v>
      </c>
      <c r="C474" s="5">
        <v>898592</v>
      </c>
      <c r="D474" s="4">
        <v>-0.34000000000000302</v>
      </c>
      <c r="E474" s="4">
        <v>-0.142593524576417</v>
      </c>
      <c r="F474" s="4">
        <v>-0.142593524576417</v>
      </c>
      <c r="G474" s="4">
        <v>238.1</v>
      </c>
      <c r="H474" s="4">
        <v>-12.5757297595006</v>
      </c>
      <c r="I474" s="4">
        <v>239.94</v>
      </c>
      <c r="J474" s="4">
        <v>240.39</v>
      </c>
      <c r="K474" s="4">
        <v>236.01</v>
      </c>
      <c r="L474" s="4">
        <v>-12.5757297595006</v>
      </c>
    </row>
    <row r="475" spans="1:12" ht="15" customHeight="1" x14ac:dyDescent="0.2">
      <c r="A475" s="6">
        <v>45359</v>
      </c>
      <c r="B475" s="7">
        <v>238.44</v>
      </c>
      <c r="C475" s="8">
        <v>1210579</v>
      </c>
      <c r="D475" s="7">
        <v>0.15000000000000499</v>
      </c>
      <c r="E475" s="7">
        <v>6.2948508120363997E-2</v>
      </c>
      <c r="F475" s="7">
        <v>6.2948508120363997E-2</v>
      </c>
      <c r="G475" s="7">
        <v>238.44</v>
      </c>
      <c r="H475" s="7">
        <v>-12.4508903983844</v>
      </c>
      <c r="I475" s="7">
        <v>238.95</v>
      </c>
      <c r="J475" s="7">
        <v>240.77</v>
      </c>
      <c r="K475" s="7">
        <v>237</v>
      </c>
      <c r="L475" s="7">
        <v>-12.4508903983844</v>
      </c>
    </row>
    <row r="476" spans="1:12" ht="15" customHeight="1" x14ac:dyDescent="0.2">
      <c r="A476" s="3">
        <v>45358</v>
      </c>
      <c r="B476" s="4">
        <v>238.29</v>
      </c>
      <c r="C476" s="5">
        <v>1084736</v>
      </c>
      <c r="D476" s="4">
        <v>-1.30000000000001</v>
      </c>
      <c r="E476" s="4">
        <v>-0.54259359739555701</v>
      </c>
      <c r="F476" s="4">
        <v>-0.54259359739555701</v>
      </c>
      <c r="G476" s="4">
        <v>238.29</v>
      </c>
      <c r="H476" s="4">
        <v>-12.5059665871121</v>
      </c>
      <c r="I476" s="4">
        <v>239.59</v>
      </c>
      <c r="J476" s="4">
        <v>241.91</v>
      </c>
      <c r="K476" s="4">
        <v>237.27</v>
      </c>
      <c r="L476" s="4">
        <v>-12.5059665871121</v>
      </c>
    </row>
    <row r="477" spans="1:12" ht="15" customHeight="1" x14ac:dyDescent="0.2">
      <c r="A477" s="6">
        <v>45357</v>
      </c>
      <c r="B477" s="7">
        <v>239.59</v>
      </c>
      <c r="C477" s="8">
        <v>1080309</v>
      </c>
      <c r="D477" s="7">
        <v>1.53</v>
      </c>
      <c r="E477" s="7">
        <v>0.6426951188776</v>
      </c>
      <c r="F477" s="7">
        <v>0.6426951188776</v>
      </c>
      <c r="G477" s="7">
        <v>239.59</v>
      </c>
      <c r="H477" s="7">
        <v>-12.028639618138399</v>
      </c>
      <c r="I477" s="7">
        <v>240</v>
      </c>
      <c r="J477" s="7">
        <v>242.99</v>
      </c>
      <c r="K477" s="7">
        <v>238.01</v>
      </c>
      <c r="L477" s="7">
        <v>-12.028639618138399</v>
      </c>
    </row>
    <row r="478" spans="1:12" ht="15" customHeight="1" x14ac:dyDescent="0.2">
      <c r="A478" s="3">
        <v>45356</v>
      </c>
      <c r="B478" s="4">
        <v>238.06</v>
      </c>
      <c r="C478" s="5">
        <v>3031535</v>
      </c>
      <c r="D478" s="4">
        <v>-4.6099999999999799</v>
      </c>
      <c r="E478" s="4">
        <v>-1.8996991799563101</v>
      </c>
      <c r="F478" s="4">
        <v>-1.8996991799563101</v>
      </c>
      <c r="G478" s="4">
        <v>238.06</v>
      </c>
      <c r="H478" s="4">
        <v>-12.590416743161301</v>
      </c>
      <c r="I478" s="4">
        <v>242.22</v>
      </c>
      <c r="J478" s="4">
        <v>242.77</v>
      </c>
      <c r="K478" s="4">
        <v>236.04</v>
      </c>
      <c r="L478" s="4">
        <v>-12.590416743161301</v>
      </c>
    </row>
    <row r="479" spans="1:12" ht="15" customHeight="1" x14ac:dyDescent="0.2">
      <c r="A479" s="6">
        <v>45355</v>
      </c>
      <c r="B479" s="7">
        <v>242.67</v>
      </c>
      <c r="C479" s="8">
        <v>728228</v>
      </c>
      <c r="D479" s="7">
        <v>-8.49</v>
      </c>
      <c r="E479" s="7">
        <v>-3.38031533683708</v>
      </c>
      <c r="F479" s="7">
        <v>-3.38031533683708</v>
      </c>
      <c r="G479" s="7">
        <v>242.67</v>
      </c>
      <c r="H479" s="7">
        <v>-10.897741876262099</v>
      </c>
      <c r="I479" s="7">
        <v>252.13</v>
      </c>
      <c r="J479" s="7">
        <v>255.99</v>
      </c>
      <c r="K479" s="7">
        <v>241.68</v>
      </c>
      <c r="L479" s="7">
        <v>-10.897741876262099</v>
      </c>
    </row>
    <row r="480" spans="1:12" ht="15" customHeight="1" x14ac:dyDescent="0.2">
      <c r="A480" s="3">
        <v>45352</v>
      </c>
      <c r="B480" s="4">
        <v>251.16</v>
      </c>
      <c r="C480" s="5">
        <v>428421</v>
      </c>
      <c r="D480" s="4">
        <v>-0.50999999999999002</v>
      </c>
      <c r="E480" s="4">
        <v>-0.202646322565258</v>
      </c>
      <c r="F480" s="4">
        <v>-0.202646322565258</v>
      </c>
      <c r="G480" s="4">
        <v>251.16</v>
      </c>
      <c r="H480" s="4">
        <v>-7.7804295942720803</v>
      </c>
      <c r="I480" s="4">
        <v>251.97</v>
      </c>
      <c r="J480" s="4">
        <v>256</v>
      </c>
      <c r="K480" s="4">
        <v>250.93</v>
      </c>
      <c r="L480" s="4">
        <v>-7.7804295942720803</v>
      </c>
    </row>
    <row r="481" spans="1:12" ht="15" customHeight="1" x14ac:dyDescent="0.2">
      <c r="A481" s="6">
        <v>45351</v>
      </c>
      <c r="B481" s="7">
        <v>251.67</v>
      </c>
      <c r="C481" s="8">
        <v>2665620</v>
      </c>
      <c r="D481" s="7">
        <v>2.4899999999999798</v>
      </c>
      <c r="E481" s="7">
        <v>0.99927763062845898</v>
      </c>
      <c r="F481" s="7">
        <v>0.99927763062845898</v>
      </c>
      <c r="G481" s="7">
        <v>251.67</v>
      </c>
      <c r="H481" s="7">
        <v>-7.59317055259777</v>
      </c>
      <c r="I481" s="7">
        <v>250.42</v>
      </c>
      <c r="J481" s="7">
        <v>253.32</v>
      </c>
      <c r="K481" s="7">
        <v>246</v>
      </c>
      <c r="L481" s="7">
        <v>-7.59317055259777</v>
      </c>
    </row>
    <row r="482" spans="1:12" ht="15" customHeight="1" x14ac:dyDescent="0.2">
      <c r="A482" s="3">
        <v>45350</v>
      </c>
      <c r="B482" s="4">
        <v>249.18</v>
      </c>
      <c r="C482" s="5">
        <v>670100</v>
      </c>
      <c r="D482" s="4">
        <v>-7.06</v>
      </c>
      <c r="E482" s="4">
        <v>-2.75522947236965</v>
      </c>
      <c r="F482" s="4">
        <v>-2.75522947236965</v>
      </c>
      <c r="G482" s="4">
        <v>249.18</v>
      </c>
      <c r="H482" s="4">
        <v>-8.50743528547825</v>
      </c>
      <c r="I482" s="4">
        <v>255.99</v>
      </c>
      <c r="J482" s="4">
        <v>255.99</v>
      </c>
      <c r="K482" s="4">
        <v>247.5</v>
      </c>
      <c r="L482" s="4">
        <v>-8.50743528547825</v>
      </c>
    </row>
    <row r="483" spans="1:12" ht="15" customHeight="1" x14ac:dyDescent="0.2">
      <c r="A483" s="6">
        <v>45349</v>
      </c>
      <c r="B483" s="7">
        <v>256.24</v>
      </c>
      <c r="C483" s="8">
        <v>648017</v>
      </c>
      <c r="D483" s="7">
        <v>-2.8399999999999701</v>
      </c>
      <c r="E483" s="7">
        <v>-1.0961865060984901</v>
      </c>
      <c r="F483" s="7">
        <v>-1.0961865060984901</v>
      </c>
      <c r="G483" s="7">
        <v>256.24</v>
      </c>
      <c r="H483" s="7">
        <v>-5.9151826693592797</v>
      </c>
      <c r="I483" s="7">
        <v>259.08</v>
      </c>
      <c r="J483" s="7">
        <v>261.57</v>
      </c>
      <c r="K483" s="7">
        <v>253.52</v>
      </c>
      <c r="L483" s="7">
        <v>-5.9151826693592797</v>
      </c>
    </row>
    <row r="484" spans="1:12" ht="15" customHeight="1" x14ac:dyDescent="0.2">
      <c r="A484" s="3">
        <v>45348</v>
      </c>
      <c r="B484" s="4">
        <v>259.08</v>
      </c>
      <c r="C484" s="5">
        <v>1560674</v>
      </c>
      <c r="D484" s="4">
        <v>-3.4800000000000102</v>
      </c>
      <c r="E484" s="4">
        <v>-1.3254113345520999</v>
      </c>
      <c r="F484" s="4">
        <v>-1.3254113345520999</v>
      </c>
      <c r="G484" s="4">
        <v>259.08</v>
      </c>
      <c r="H484" s="4">
        <v>-4.8724068294474101</v>
      </c>
      <c r="I484" s="4">
        <v>262.10000000000002</v>
      </c>
      <c r="J484" s="4">
        <v>263.08</v>
      </c>
      <c r="K484" s="4">
        <v>258.16000000000003</v>
      </c>
      <c r="L484" s="4">
        <v>-4.8724068294474101</v>
      </c>
    </row>
    <row r="485" spans="1:12" ht="15" customHeight="1" x14ac:dyDescent="0.2">
      <c r="A485" s="6">
        <v>45345</v>
      </c>
      <c r="B485" s="7">
        <v>262.56</v>
      </c>
      <c r="C485" s="8">
        <v>1532927</v>
      </c>
      <c r="D485" s="7">
        <v>-1.55000000000001</v>
      </c>
      <c r="E485" s="7">
        <v>-0.58687668017114403</v>
      </c>
      <c r="F485" s="7">
        <v>-0.58687668017114403</v>
      </c>
      <c r="G485" s="7">
        <v>262.56</v>
      </c>
      <c r="H485" s="7">
        <v>-3.5946392509638398</v>
      </c>
      <c r="I485" s="7">
        <v>263.14999999999998</v>
      </c>
      <c r="J485" s="7">
        <v>265.77999999999997</v>
      </c>
      <c r="K485" s="7">
        <v>257.45999999999998</v>
      </c>
      <c r="L485" s="7">
        <v>-3.5946392509638398</v>
      </c>
    </row>
    <row r="486" spans="1:12" ht="15" customHeight="1" x14ac:dyDescent="0.2">
      <c r="A486" s="3">
        <v>45344</v>
      </c>
      <c r="B486" s="4">
        <v>264.11</v>
      </c>
      <c r="C486" s="5">
        <v>4415629</v>
      </c>
      <c r="D486" s="4">
        <v>4.7700000000000298</v>
      </c>
      <c r="E486" s="4">
        <v>1.8392843371635801</v>
      </c>
      <c r="F486" s="4">
        <v>1.8392843371635801</v>
      </c>
      <c r="G486" s="4">
        <v>264.11</v>
      </c>
      <c r="H486" s="4">
        <v>-3.02551863411052</v>
      </c>
      <c r="I486" s="4">
        <v>260</v>
      </c>
      <c r="J486" s="4">
        <v>265.95999999999998</v>
      </c>
      <c r="K486" s="4">
        <v>259.95999999999998</v>
      </c>
      <c r="L486" s="4">
        <v>-3.02551863411052</v>
      </c>
    </row>
    <row r="487" spans="1:12" ht="15" customHeight="1" x14ac:dyDescent="0.2">
      <c r="A487" s="6">
        <v>45343</v>
      </c>
      <c r="B487" s="7">
        <v>259.33999999999997</v>
      </c>
      <c r="C487" s="8">
        <v>2302598</v>
      </c>
      <c r="D487" s="7">
        <v>-4.0200000000000298</v>
      </c>
      <c r="E487" s="7">
        <v>-1.5264277035237099</v>
      </c>
      <c r="F487" s="7">
        <v>-1.5264277035237099</v>
      </c>
      <c r="G487" s="7">
        <v>259.33999999999997</v>
      </c>
      <c r="H487" s="7">
        <v>-4.7769414356526703</v>
      </c>
      <c r="I487" s="7">
        <v>263.45</v>
      </c>
      <c r="J487" s="7">
        <v>263.97000000000003</v>
      </c>
      <c r="K487" s="7">
        <v>256.95999999999998</v>
      </c>
      <c r="L487" s="7">
        <v>-4.7769414356526703</v>
      </c>
    </row>
    <row r="488" spans="1:12" ht="15" customHeight="1" x14ac:dyDescent="0.2">
      <c r="A488" s="3">
        <v>45342</v>
      </c>
      <c r="B488" s="4">
        <v>263.36</v>
      </c>
      <c r="C488" s="5">
        <v>2886482</v>
      </c>
      <c r="D488" s="4">
        <v>4.8000000000000096</v>
      </c>
      <c r="E488" s="4">
        <v>1.8564356435643601</v>
      </c>
      <c r="F488" s="4">
        <v>1.8564356435643601</v>
      </c>
      <c r="G488" s="4">
        <v>263.36</v>
      </c>
      <c r="H488" s="4">
        <v>-3.3008995777492198</v>
      </c>
      <c r="I488" s="4">
        <v>258.60000000000002</v>
      </c>
      <c r="J488" s="4">
        <v>266.97000000000003</v>
      </c>
      <c r="K488" s="4">
        <v>258.49</v>
      </c>
      <c r="L488" s="4">
        <v>-3.3008995777492198</v>
      </c>
    </row>
    <row r="489" spans="1:12" ht="15" customHeight="1" x14ac:dyDescent="0.2">
      <c r="A489" s="6">
        <v>45341</v>
      </c>
      <c r="B489" s="7">
        <v>258.56</v>
      </c>
      <c r="C489" s="8">
        <v>267337</v>
      </c>
      <c r="D489" s="7">
        <v>-7.7199999999999704</v>
      </c>
      <c r="E489" s="7">
        <v>-2.89920384557607</v>
      </c>
      <c r="F489" s="7">
        <v>-2.89920384557607</v>
      </c>
      <c r="G489" s="7">
        <v>258.56</v>
      </c>
      <c r="H489" s="7">
        <v>-5.0633376170369004</v>
      </c>
      <c r="I489" s="7">
        <v>266.32</v>
      </c>
      <c r="J489" s="7">
        <v>267.99</v>
      </c>
      <c r="K489" s="7">
        <v>254.01</v>
      </c>
      <c r="L489" s="7">
        <v>-5.0633376170369004</v>
      </c>
    </row>
    <row r="490" spans="1:12" ht="15" customHeight="1" x14ac:dyDescent="0.2">
      <c r="A490" s="3">
        <v>45338</v>
      </c>
      <c r="B490" s="4">
        <v>266.27999999999997</v>
      </c>
      <c r="C490" s="5">
        <v>545494</v>
      </c>
      <c r="D490" s="4">
        <v>0.25999999999999002</v>
      </c>
      <c r="E490" s="4">
        <v>9.7737012254706102E-2</v>
      </c>
      <c r="F490" s="4">
        <v>9.7737012254706102E-2</v>
      </c>
      <c r="G490" s="4">
        <v>266.27999999999997</v>
      </c>
      <c r="H490" s="4">
        <v>-2.2287497705158898</v>
      </c>
      <c r="I490" s="4">
        <v>266.02999999999997</v>
      </c>
      <c r="J490" s="4">
        <v>269.45999999999998</v>
      </c>
      <c r="K490" s="4">
        <v>264.02</v>
      </c>
      <c r="L490" s="4">
        <v>-2.2287497705158898</v>
      </c>
    </row>
    <row r="491" spans="1:12" ht="15" customHeight="1" x14ac:dyDescent="0.2">
      <c r="A491" s="6">
        <v>45337</v>
      </c>
      <c r="B491" s="7">
        <v>266.02</v>
      </c>
      <c r="C491" s="8">
        <v>1697427</v>
      </c>
      <c r="D491" s="7">
        <v>-0.54000000000002002</v>
      </c>
      <c r="E491" s="7">
        <v>-0.20258103241297301</v>
      </c>
      <c r="F491" s="7">
        <v>-0.20258103241297301</v>
      </c>
      <c r="G491" s="7">
        <v>266.02</v>
      </c>
      <c r="H491" s="7">
        <v>-2.3242151643106399</v>
      </c>
      <c r="I491" s="7">
        <v>266.67</v>
      </c>
      <c r="J491" s="7">
        <v>269.83999999999997</v>
      </c>
      <c r="K491" s="7">
        <v>264.10000000000002</v>
      </c>
      <c r="L491" s="7">
        <v>-2.3242151643106399</v>
      </c>
    </row>
    <row r="492" spans="1:12" ht="15" customHeight="1" x14ac:dyDescent="0.2">
      <c r="A492" s="3">
        <v>45336</v>
      </c>
      <c r="B492" s="4">
        <v>266.56</v>
      </c>
      <c r="C492" s="5">
        <v>1104976</v>
      </c>
      <c r="D492" s="4">
        <v>-2.8199999999999901</v>
      </c>
      <c r="E492" s="4">
        <v>-1.04684831836068</v>
      </c>
      <c r="F492" s="4">
        <v>-1.04684831836068</v>
      </c>
      <c r="G492" s="4">
        <v>266.56</v>
      </c>
      <c r="H492" s="4">
        <v>-2.1259408848907699</v>
      </c>
      <c r="I492" s="4">
        <v>271.12</v>
      </c>
      <c r="J492" s="4">
        <v>276.02</v>
      </c>
      <c r="K492" s="4">
        <v>265.12</v>
      </c>
      <c r="L492" s="4">
        <v>-2.1259408848907699</v>
      </c>
    </row>
    <row r="493" spans="1:12" ht="15" customHeight="1" x14ac:dyDescent="0.2">
      <c r="A493" s="6">
        <v>45335</v>
      </c>
      <c r="B493" s="7">
        <v>269.38</v>
      </c>
      <c r="C493" s="8">
        <v>544413</v>
      </c>
      <c r="D493" s="7">
        <v>-2.54000000000002</v>
      </c>
      <c r="E493" s="7">
        <v>-0.93409826419535902</v>
      </c>
      <c r="F493" s="7">
        <v>-0.93409826419535902</v>
      </c>
      <c r="G493" s="7">
        <v>269.38</v>
      </c>
      <c r="H493" s="7">
        <v>-1.09050853680926</v>
      </c>
      <c r="I493" s="7">
        <v>271</v>
      </c>
      <c r="J493" s="7">
        <v>274.76</v>
      </c>
      <c r="K493" s="7">
        <v>266.92</v>
      </c>
      <c r="L493" s="7">
        <v>-1.09050853680926</v>
      </c>
    </row>
    <row r="494" spans="1:12" ht="15" customHeight="1" x14ac:dyDescent="0.2">
      <c r="A494" s="3">
        <v>45334</v>
      </c>
      <c r="B494" s="4">
        <v>271.92</v>
      </c>
      <c r="C494" s="5">
        <v>421441</v>
      </c>
      <c r="D494" s="4">
        <v>-7.8999999999999702</v>
      </c>
      <c r="E494" s="4">
        <v>-2.8232435136873599</v>
      </c>
      <c r="F494" s="4">
        <v>-2.8232435136873599</v>
      </c>
      <c r="G494" s="4">
        <v>271.92</v>
      </c>
      <c r="H494" s="4">
        <v>-0.15788507435285701</v>
      </c>
      <c r="I494" s="4">
        <v>282.99</v>
      </c>
      <c r="J494" s="4">
        <v>282.99</v>
      </c>
      <c r="K494" s="4">
        <v>270.68</v>
      </c>
      <c r="L494" s="4">
        <v>-0.15788507435285701</v>
      </c>
    </row>
    <row r="495" spans="1:12" ht="15" customHeight="1" x14ac:dyDescent="0.2">
      <c r="A495" s="6">
        <v>45331</v>
      </c>
      <c r="B495" s="7">
        <v>279.82</v>
      </c>
      <c r="C495" s="8">
        <v>698875</v>
      </c>
      <c r="D495" s="7">
        <v>-2.6600000000000201</v>
      </c>
      <c r="E495" s="7">
        <v>-0.94165958651940496</v>
      </c>
      <c r="F495" s="7">
        <v>-0.94165958651940496</v>
      </c>
      <c r="G495" s="7">
        <v>279.82</v>
      </c>
      <c r="H495" s="7">
        <v>2.7427941986414401</v>
      </c>
      <c r="I495" s="7">
        <v>282.52999999999997</v>
      </c>
      <c r="J495" s="7">
        <v>283</v>
      </c>
      <c r="K495" s="7">
        <v>277.82</v>
      </c>
      <c r="L495" s="7">
        <v>2.7427941986414401</v>
      </c>
    </row>
    <row r="496" spans="1:12" ht="15" customHeight="1" x14ac:dyDescent="0.2">
      <c r="A496" s="3">
        <v>45330</v>
      </c>
      <c r="B496" s="4">
        <v>282.48</v>
      </c>
      <c r="C496" s="5">
        <v>1117128</v>
      </c>
      <c r="D496" s="4">
        <v>-0.16999999999995899</v>
      </c>
      <c r="E496" s="4">
        <v>-6.0145055722615699E-2</v>
      </c>
      <c r="F496" s="4">
        <v>-6.0145055722615699E-2</v>
      </c>
      <c r="G496" s="4">
        <v>282.48</v>
      </c>
      <c r="H496" s="4">
        <v>3.71947861208004</v>
      </c>
      <c r="I496" s="4">
        <v>283</v>
      </c>
      <c r="J496" s="4">
        <v>283</v>
      </c>
      <c r="K496" s="4">
        <v>279.83</v>
      </c>
      <c r="L496" s="4">
        <v>3.71947861208004</v>
      </c>
    </row>
    <row r="497" spans="1:12" ht="15" customHeight="1" x14ac:dyDescent="0.2">
      <c r="A497" s="6">
        <v>45329</v>
      </c>
      <c r="B497" s="7">
        <v>282.64999999999998</v>
      </c>
      <c r="C497" s="8">
        <v>562035</v>
      </c>
      <c r="D497" s="7">
        <v>-4.1299999999999901</v>
      </c>
      <c r="E497" s="7">
        <v>-1.4401283213613201</v>
      </c>
      <c r="F497" s="7">
        <v>-1.4401283213613201</v>
      </c>
      <c r="G497" s="7">
        <v>282.64999999999998</v>
      </c>
      <c r="H497" s="7">
        <v>3.7818982926381302</v>
      </c>
      <c r="I497" s="7">
        <v>287.99</v>
      </c>
      <c r="J497" s="7">
        <v>289.8</v>
      </c>
      <c r="K497" s="7">
        <v>280.26</v>
      </c>
      <c r="L497" s="7">
        <v>3.7818982926381302</v>
      </c>
    </row>
    <row r="498" spans="1:12" ht="15" customHeight="1" x14ac:dyDescent="0.2">
      <c r="A498" s="3">
        <v>45328</v>
      </c>
      <c r="B498" s="4">
        <v>286.77999999999997</v>
      </c>
      <c r="C498" s="5">
        <v>1832684</v>
      </c>
      <c r="D498" s="4">
        <v>7.4399999999999897</v>
      </c>
      <c r="E498" s="4">
        <v>2.6634209207417401</v>
      </c>
      <c r="F498" s="4">
        <v>2.6634209207417401</v>
      </c>
      <c r="G498" s="4">
        <v>286.77999999999997</v>
      </c>
      <c r="H498" s="4">
        <v>5.29832935560857</v>
      </c>
      <c r="I498" s="4">
        <v>279.5</v>
      </c>
      <c r="J498" s="4">
        <v>288.02</v>
      </c>
      <c r="K498" s="4">
        <v>278.3</v>
      </c>
      <c r="L498" s="4">
        <v>5.29832935560857</v>
      </c>
    </row>
    <row r="499" spans="1:12" ht="15" customHeight="1" x14ac:dyDescent="0.2">
      <c r="A499" s="6">
        <v>45324</v>
      </c>
      <c r="B499" s="7">
        <v>279.33999999999997</v>
      </c>
      <c r="C499" s="8">
        <v>1565278</v>
      </c>
      <c r="D499" s="7">
        <v>9.8699999999999406</v>
      </c>
      <c r="E499" s="7">
        <v>3.6627453890970898</v>
      </c>
      <c r="F499" s="7">
        <v>3.6627453890970898</v>
      </c>
      <c r="G499" s="7">
        <v>279.33999999999997</v>
      </c>
      <c r="H499" s="7">
        <v>2.5665503947126602</v>
      </c>
      <c r="I499" s="7">
        <v>269.88</v>
      </c>
      <c r="J499" s="7">
        <v>280.26</v>
      </c>
      <c r="K499" s="7">
        <v>267.54000000000002</v>
      </c>
      <c r="L499" s="7">
        <v>2.5665503947126602</v>
      </c>
    </row>
    <row r="500" spans="1:12" ht="15" customHeight="1" x14ac:dyDescent="0.2">
      <c r="A500" s="3">
        <v>45323</v>
      </c>
      <c r="B500" s="4">
        <v>269.47000000000003</v>
      </c>
      <c r="C500" s="5">
        <v>2561521</v>
      </c>
      <c r="D500" s="4">
        <v>1.52000000000003</v>
      </c>
      <c r="E500" s="4">
        <v>0.56727001306215996</v>
      </c>
      <c r="F500" s="4">
        <v>0.56727001306215996</v>
      </c>
      <c r="G500" s="4">
        <v>269.47000000000003</v>
      </c>
      <c r="H500" s="4">
        <v>-1.0574628235726</v>
      </c>
      <c r="I500" s="4">
        <v>268</v>
      </c>
      <c r="J500" s="4">
        <v>275.89999999999998</v>
      </c>
      <c r="K500" s="4">
        <v>267.49</v>
      </c>
      <c r="L500" s="4">
        <v>-1.0574628235726</v>
      </c>
    </row>
    <row r="501" spans="1:12" ht="15" customHeight="1" x14ac:dyDescent="0.2">
      <c r="A501" s="6">
        <v>45322</v>
      </c>
      <c r="B501" s="7">
        <v>267.95</v>
      </c>
      <c r="C501" s="8">
        <v>1637759</v>
      </c>
      <c r="D501" s="7">
        <v>-3.6500000000000301</v>
      </c>
      <c r="E501" s="7">
        <v>-1.3438880706922101</v>
      </c>
      <c r="F501" s="7">
        <v>-1.3438880706922101</v>
      </c>
      <c r="G501" s="7">
        <v>267.95</v>
      </c>
      <c r="H501" s="7">
        <v>-1.6155682026803799</v>
      </c>
      <c r="I501" s="7">
        <v>271</v>
      </c>
      <c r="J501" s="7">
        <v>275.38</v>
      </c>
      <c r="K501" s="7">
        <v>266.49</v>
      </c>
      <c r="L501" s="7">
        <v>-1.6155682026803799</v>
      </c>
    </row>
    <row r="502" spans="1:12" ht="15" customHeight="1" x14ac:dyDescent="0.2">
      <c r="A502" s="3">
        <v>45321</v>
      </c>
      <c r="B502" s="4">
        <v>271.60000000000002</v>
      </c>
      <c r="C502" s="5">
        <v>1584598</v>
      </c>
      <c r="D502" s="4">
        <v>-4.0399999999999601</v>
      </c>
      <c r="E502" s="4">
        <v>-1.46567987229718</v>
      </c>
      <c r="F502" s="4">
        <v>-1.46567987229718</v>
      </c>
      <c r="G502" s="4">
        <v>271.60000000000002</v>
      </c>
      <c r="H502" s="4">
        <v>-0.27538094363870003</v>
      </c>
      <c r="I502" s="4">
        <v>275.42</v>
      </c>
      <c r="J502" s="4">
        <v>276</v>
      </c>
      <c r="K502" s="4">
        <v>268.38</v>
      </c>
      <c r="L502" s="4">
        <v>-0.27538094363870003</v>
      </c>
    </row>
    <row r="503" spans="1:12" ht="15" customHeight="1" x14ac:dyDescent="0.2">
      <c r="A503" s="6">
        <v>45320</v>
      </c>
      <c r="B503" s="7">
        <v>275.64</v>
      </c>
      <c r="C503" s="8">
        <v>811465</v>
      </c>
      <c r="D503" s="7">
        <v>3.2899999999999601</v>
      </c>
      <c r="E503" s="7">
        <v>1.2080044060950701</v>
      </c>
      <c r="F503" s="7">
        <v>1.2080044060950701</v>
      </c>
      <c r="G503" s="7">
        <v>275.64</v>
      </c>
      <c r="H503" s="7">
        <v>1.2080044060950801</v>
      </c>
      <c r="I503" s="7">
        <v>274.26</v>
      </c>
      <c r="J503" s="7">
        <v>277.95</v>
      </c>
      <c r="K503" s="7">
        <v>271.93</v>
      </c>
      <c r="L503" s="7">
        <v>1.2080044060950801</v>
      </c>
    </row>
    <row r="504" spans="1:12" ht="15" customHeight="1" x14ac:dyDescent="0.2">
      <c r="A504" s="3">
        <v>45317</v>
      </c>
      <c r="B504" s="4">
        <v>272.35000000000002</v>
      </c>
      <c r="C504" s="5">
        <v>1884732</v>
      </c>
      <c r="D504" s="4"/>
      <c r="E504" s="4"/>
      <c r="F504" s="4"/>
      <c r="G504" s="4">
        <v>272.35000000000002</v>
      </c>
      <c r="H504" s="4"/>
      <c r="I504" s="4">
        <v>266.60000000000002</v>
      </c>
      <c r="J504" s="4">
        <v>275.88</v>
      </c>
      <c r="K504" s="4">
        <v>265.49</v>
      </c>
      <c r="L50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7A98-59E0-44DC-9975-9C764FB4B524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10.8554687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15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38.18</v>
      </c>
      <c r="C4" s="5">
        <v>601458</v>
      </c>
      <c r="D4" s="4">
        <v>-2.0000000000003099E-2</v>
      </c>
      <c r="E4" s="4">
        <v>-5.2356020942416502E-2</v>
      </c>
      <c r="F4" s="4">
        <v>-5.2365573100399097E-2</v>
      </c>
      <c r="G4" s="4">
        <v>38.741810000000001</v>
      </c>
      <c r="H4" s="4">
        <v>-3.6195559472289598</v>
      </c>
      <c r="I4" s="4">
        <v>38.450000000000003</v>
      </c>
      <c r="J4" s="4">
        <v>38.18</v>
      </c>
      <c r="K4" s="4">
        <v>38.18</v>
      </c>
      <c r="L4" s="4">
        <v>-5.0172061156977898</v>
      </c>
    </row>
    <row r="5" spans="1:12" ht="15" customHeight="1" x14ac:dyDescent="0.2">
      <c r="A5" s="6">
        <v>46045</v>
      </c>
      <c r="B5" s="7">
        <v>38.200000000000003</v>
      </c>
      <c r="C5" s="8">
        <v>561480</v>
      </c>
      <c r="D5" s="7">
        <v>-0.309999999999995</v>
      </c>
      <c r="E5" s="7">
        <v>-0.80498571799531005</v>
      </c>
      <c r="F5" s="7">
        <v>-0.804971478629812</v>
      </c>
      <c r="G5" s="7">
        <v>38.762107999999998</v>
      </c>
      <c r="H5" s="7">
        <v>-3.5690593325023201</v>
      </c>
      <c r="I5" s="7">
        <v>38.51</v>
      </c>
      <c r="J5" s="7">
        <v>38.51</v>
      </c>
      <c r="K5" s="7">
        <v>37.61</v>
      </c>
      <c r="L5" s="7">
        <v>-4.9674508543649898</v>
      </c>
    </row>
    <row r="6" spans="1:12" ht="15" customHeight="1" x14ac:dyDescent="0.2">
      <c r="A6" s="3">
        <v>46044</v>
      </c>
      <c r="B6" s="4">
        <v>38.51</v>
      </c>
      <c r="C6" s="5">
        <v>798295</v>
      </c>
      <c r="D6" s="4">
        <v>0.28000000000000103</v>
      </c>
      <c r="E6" s="4">
        <v>0.73240910279885796</v>
      </c>
      <c r="F6" s="4">
        <v>0.73240618783843003</v>
      </c>
      <c r="G6" s="4">
        <v>39.076664000000001</v>
      </c>
      <c r="H6" s="4">
        <v>-2.7865185333124098</v>
      </c>
      <c r="I6" s="4">
        <v>38.229999999999997</v>
      </c>
      <c r="J6" s="4">
        <v>38.64</v>
      </c>
      <c r="K6" s="4">
        <v>37.99</v>
      </c>
      <c r="L6" s="4">
        <v>-4.1962443037067096</v>
      </c>
    </row>
    <row r="7" spans="1:12" ht="15" customHeight="1" x14ac:dyDescent="0.2">
      <c r="A7" s="6">
        <v>46043</v>
      </c>
      <c r="B7" s="7">
        <v>38.229999999999997</v>
      </c>
      <c r="C7" s="8">
        <v>713742</v>
      </c>
      <c r="D7" s="7">
        <v>0.109999999999999</v>
      </c>
      <c r="E7" s="7">
        <v>0.28856243441761598</v>
      </c>
      <c r="F7" s="7">
        <v>0.28856081965149499</v>
      </c>
      <c r="G7" s="7">
        <v>38.792544999999997</v>
      </c>
      <c r="H7" s="7">
        <v>-3.4933392880430101</v>
      </c>
      <c r="I7" s="7">
        <v>38.07</v>
      </c>
      <c r="J7" s="7">
        <v>38.5</v>
      </c>
      <c r="K7" s="7">
        <v>37.85</v>
      </c>
      <c r="L7" s="7">
        <v>-4.8928179623658199</v>
      </c>
    </row>
    <row r="8" spans="1:12" ht="15" customHeight="1" x14ac:dyDescent="0.2">
      <c r="A8" s="3">
        <v>46042</v>
      </c>
      <c r="B8" s="4">
        <v>38.119999999999997</v>
      </c>
      <c r="C8" s="5">
        <v>921388</v>
      </c>
      <c r="D8" s="4">
        <v>0.109999999999999</v>
      </c>
      <c r="E8" s="4">
        <v>0.28939752696659399</v>
      </c>
      <c r="F8" s="4">
        <v>0.28939330260249102</v>
      </c>
      <c r="G8" s="4">
        <v>38.680926999999997</v>
      </c>
      <c r="H8" s="4">
        <v>-3.77101842601519</v>
      </c>
      <c r="I8" s="4">
        <v>38.1</v>
      </c>
      <c r="J8" s="4">
        <v>38.35</v>
      </c>
      <c r="K8" s="4">
        <v>37.700000000000003</v>
      </c>
      <c r="L8" s="4">
        <v>-5.1664718996961803</v>
      </c>
    </row>
    <row r="9" spans="1:12" ht="15" customHeight="1" x14ac:dyDescent="0.2">
      <c r="A9" s="6">
        <v>46041</v>
      </c>
      <c r="B9" s="7">
        <v>38.01</v>
      </c>
      <c r="C9" s="8">
        <v>326344</v>
      </c>
      <c r="D9" s="7">
        <v>3.0000000000001099E-2</v>
      </c>
      <c r="E9" s="7">
        <v>7.8988941548185906E-2</v>
      </c>
      <c r="F9" s="7">
        <v>7.89903844606865E-2</v>
      </c>
      <c r="G9" s="7">
        <v>38.569310000000002</v>
      </c>
      <c r="H9" s="7">
        <v>-4.0486950762243001</v>
      </c>
      <c r="I9" s="7">
        <v>38.340000000000003</v>
      </c>
      <c r="J9" s="7">
        <v>38.380000000000003</v>
      </c>
      <c r="K9" s="7">
        <v>37.72</v>
      </c>
      <c r="L9" s="7">
        <v>-5.4401258370265397</v>
      </c>
    </row>
    <row r="10" spans="1:12" ht="15" customHeight="1" x14ac:dyDescent="0.2">
      <c r="A10" s="3">
        <v>46038</v>
      </c>
      <c r="B10" s="4">
        <v>37.979999999999997</v>
      </c>
      <c r="C10" s="5">
        <v>3497601</v>
      </c>
      <c r="D10" s="4"/>
      <c r="E10" s="4"/>
      <c r="F10" s="4"/>
      <c r="G10" s="4">
        <v>38.538868000000001</v>
      </c>
      <c r="H10" s="4">
        <v>-4.1244275594989501</v>
      </c>
      <c r="I10" s="4">
        <v>37.79</v>
      </c>
      <c r="J10" s="4">
        <v>38.22</v>
      </c>
      <c r="K10" s="4">
        <v>37.5</v>
      </c>
      <c r="L10" s="4">
        <v>-5.5147587290257301</v>
      </c>
    </row>
    <row r="11" spans="1:12" ht="15" customHeight="1" x14ac:dyDescent="0.2">
      <c r="A11" s="6">
        <v>46037</v>
      </c>
      <c r="B11" s="7">
        <v>37.979999999999997</v>
      </c>
      <c r="C11" s="8">
        <v>528802</v>
      </c>
      <c r="D11" s="7">
        <v>-0.72000000000000597</v>
      </c>
      <c r="E11" s="7">
        <v>-1.86046511627908</v>
      </c>
      <c r="F11" s="7">
        <v>-1.86046598090735</v>
      </c>
      <c r="G11" s="7">
        <v>38.538868000000001</v>
      </c>
      <c r="H11" s="7">
        <v>-4.1244275594989501</v>
      </c>
      <c r="I11" s="7">
        <v>38.76</v>
      </c>
      <c r="J11" s="7">
        <v>38.76</v>
      </c>
      <c r="K11" s="7">
        <v>37.74</v>
      </c>
      <c r="L11" s="7">
        <v>-5.5147587290257301</v>
      </c>
    </row>
    <row r="12" spans="1:12" ht="15" customHeight="1" x14ac:dyDescent="0.2">
      <c r="A12" s="3">
        <v>46036</v>
      </c>
      <c r="B12" s="4">
        <v>38.700000000000003</v>
      </c>
      <c r="C12" s="5">
        <v>685460</v>
      </c>
      <c r="D12" s="4">
        <v>0.37000000000000399</v>
      </c>
      <c r="E12" s="4">
        <v>0.96530133055050504</v>
      </c>
      <c r="F12" s="4">
        <v>0.96529749303364498</v>
      </c>
      <c r="G12" s="4">
        <v>39.269463000000002</v>
      </c>
      <c r="H12" s="4">
        <v>-2.3068803018273401</v>
      </c>
      <c r="I12" s="4">
        <v>38.26</v>
      </c>
      <c r="J12" s="4">
        <v>38.81</v>
      </c>
      <c r="K12" s="4">
        <v>38.26</v>
      </c>
      <c r="L12" s="4">
        <v>-3.7235693210451601</v>
      </c>
    </row>
    <row r="13" spans="1:12" ht="15" customHeight="1" x14ac:dyDescent="0.2">
      <c r="A13" s="6">
        <v>46035</v>
      </c>
      <c r="B13" s="7">
        <v>38.33</v>
      </c>
      <c r="C13" s="8">
        <v>1035662</v>
      </c>
      <c r="D13" s="7">
        <v>-0.17999999999999899</v>
      </c>
      <c r="E13" s="7">
        <v>-0.46741106206180599</v>
      </c>
      <c r="F13" s="7">
        <v>-0.46739916181177599</v>
      </c>
      <c r="G13" s="7">
        <v>38.894019999999998</v>
      </c>
      <c r="H13" s="7">
        <v>-3.2408935308557498</v>
      </c>
      <c r="I13" s="7">
        <v>38.46</v>
      </c>
      <c r="J13" s="7">
        <v>38.99</v>
      </c>
      <c r="K13" s="7">
        <v>38.049999999999997</v>
      </c>
      <c r="L13" s="7">
        <v>-4.6440416557018498</v>
      </c>
    </row>
    <row r="14" spans="1:12" ht="15" customHeight="1" x14ac:dyDescent="0.2">
      <c r="A14" s="3">
        <v>46034</v>
      </c>
      <c r="B14" s="4">
        <v>38.51</v>
      </c>
      <c r="C14" s="5">
        <v>1079390</v>
      </c>
      <c r="D14" s="4">
        <v>0.17999999999999899</v>
      </c>
      <c r="E14" s="4">
        <v>0.46960605270023298</v>
      </c>
      <c r="F14" s="4">
        <v>0.46959404042061698</v>
      </c>
      <c r="G14" s="4">
        <v>39.076664000000001</v>
      </c>
      <c r="H14" s="4">
        <v>-2.7865185333124098</v>
      </c>
      <c r="I14" s="4">
        <v>38.33</v>
      </c>
      <c r="J14" s="4">
        <v>38.799999999999997</v>
      </c>
      <c r="K14" s="4">
        <v>38.159999999999997</v>
      </c>
      <c r="L14" s="4">
        <v>-4.1962443037067096</v>
      </c>
    </row>
    <row r="15" spans="1:12" ht="15" customHeight="1" x14ac:dyDescent="0.2">
      <c r="A15" s="6">
        <v>46031</v>
      </c>
      <c r="B15" s="7">
        <v>38.33</v>
      </c>
      <c r="C15" s="8">
        <v>4007259</v>
      </c>
      <c r="D15" s="7">
        <v>-0.42000000000000098</v>
      </c>
      <c r="E15" s="7">
        <v>-1.08387096774194</v>
      </c>
      <c r="F15" s="7">
        <v>-1.08386534574419</v>
      </c>
      <c r="G15" s="7">
        <v>38.894019999999998</v>
      </c>
      <c r="H15" s="7">
        <v>-3.2408935308557498</v>
      </c>
      <c r="I15" s="7">
        <v>38.96</v>
      </c>
      <c r="J15" s="7">
        <v>39</v>
      </c>
      <c r="K15" s="7">
        <v>37.9</v>
      </c>
      <c r="L15" s="7">
        <v>-4.6440416557018498</v>
      </c>
    </row>
    <row r="16" spans="1:12" ht="15" customHeight="1" x14ac:dyDescent="0.2">
      <c r="A16" s="3">
        <v>46030</v>
      </c>
      <c r="B16" s="4">
        <v>38.75</v>
      </c>
      <c r="C16" s="5">
        <v>8170074</v>
      </c>
      <c r="D16" s="4">
        <v>0.57999999999999796</v>
      </c>
      <c r="E16" s="4">
        <v>1.5195179460309101</v>
      </c>
      <c r="F16" s="4">
        <v>1.5195190560240099</v>
      </c>
      <c r="G16" s="4">
        <v>39.320197999999998</v>
      </c>
      <c r="H16" s="4">
        <v>-2.1806636426413899</v>
      </c>
      <c r="I16" s="4">
        <v>38.229999999999997</v>
      </c>
      <c r="J16" s="4">
        <v>39</v>
      </c>
      <c r="K16" s="4">
        <v>38.15</v>
      </c>
      <c r="L16" s="4">
        <v>-3.5991811677131902</v>
      </c>
    </row>
    <row r="17" spans="1:12" ht="15" customHeight="1" x14ac:dyDescent="0.2">
      <c r="A17" s="6">
        <v>46029</v>
      </c>
      <c r="B17" s="7">
        <v>38.17</v>
      </c>
      <c r="C17" s="8">
        <v>1042289</v>
      </c>
      <c r="D17" s="7">
        <v>0.260000000000005</v>
      </c>
      <c r="E17" s="7">
        <v>0.68583487206543803</v>
      </c>
      <c r="F17" s="7">
        <v>0.68582743403320301</v>
      </c>
      <c r="G17" s="7">
        <v>38.731662999999998</v>
      </c>
      <c r="H17" s="7">
        <v>-3.6447992790661599</v>
      </c>
      <c r="I17" s="7">
        <v>37.92</v>
      </c>
      <c r="J17" s="7">
        <v>38.49</v>
      </c>
      <c r="K17" s="7">
        <v>37.61</v>
      </c>
      <c r="L17" s="7">
        <v>-5.0420837463641801</v>
      </c>
    </row>
    <row r="18" spans="1:12" ht="15" customHeight="1" x14ac:dyDescent="0.2">
      <c r="A18" s="3">
        <v>46028</v>
      </c>
      <c r="B18" s="4">
        <v>37.909999999999997</v>
      </c>
      <c r="C18" s="5">
        <v>1121607</v>
      </c>
      <c r="D18" s="4">
        <v>-0.40000000000000502</v>
      </c>
      <c r="E18" s="4">
        <v>-1.04411380840513</v>
      </c>
      <c r="F18" s="4">
        <v>-1.0441139601590901</v>
      </c>
      <c r="G18" s="4">
        <v>38.467840000000002</v>
      </c>
      <c r="H18" s="4">
        <v>-4.3011283945962298</v>
      </c>
      <c r="I18" s="4">
        <v>38.520000000000003</v>
      </c>
      <c r="J18" s="4">
        <v>38.61</v>
      </c>
      <c r="K18" s="4">
        <v>37.56</v>
      </c>
      <c r="L18" s="4">
        <v>-5.6889021436905098</v>
      </c>
    </row>
    <row r="19" spans="1:12" ht="15" customHeight="1" x14ac:dyDescent="0.2">
      <c r="A19" s="6">
        <v>46027</v>
      </c>
      <c r="B19" s="7">
        <v>38.31</v>
      </c>
      <c r="C19" s="8">
        <v>1081296</v>
      </c>
      <c r="D19" s="7">
        <v>0.39</v>
      </c>
      <c r="E19" s="7">
        <v>1.02848101265822</v>
      </c>
      <c r="F19" s="7">
        <v>1.02849993684699</v>
      </c>
      <c r="G19" s="7">
        <v>38.873725999999998</v>
      </c>
      <c r="H19" s="7">
        <v>-3.29138019453013</v>
      </c>
      <c r="I19" s="7">
        <v>38.26</v>
      </c>
      <c r="J19" s="7">
        <v>39</v>
      </c>
      <c r="K19" s="7">
        <v>37.97</v>
      </c>
      <c r="L19" s="7">
        <v>-4.6937969170346303</v>
      </c>
    </row>
    <row r="20" spans="1:12" ht="15" customHeight="1" x14ac:dyDescent="0.2">
      <c r="A20" s="3">
        <v>46024</v>
      </c>
      <c r="B20" s="4">
        <v>37.92</v>
      </c>
      <c r="C20" s="5">
        <v>324389</v>
      </c>
      <c r="D20" s="4">
        <v>-0.89</v>
      </c>
      <c r="E20" s="4">
        <v>-2.2932233960319501</v>
      </c>
      <c r="F20" s="4">
        <v>-2.2932431214945699</v>
      </c>
      <c r="G20" s="4">
        <v>38.477980000000002</v>
      </c>
      <c r="H20" s="4">
        <v>-4.2759024771004999</v>
      </c>
      <c r="I20" s="4">
        <v>38.86</v>
      </c>
      <c r="J20" s="4">
        <v>38.86</v>
      </c>
      <c r="K20" s="4">
        <v>37.65</v>
      </c>
      <c r="L20" s="4">
        <v>-5.6640245130241</v>
      </c>
    </row>
    <row r="21" spans="1:12" ht="15" customHeight="1" x14ac:dyDescent="0.2">
      <c r="A21" s="6">
        <v>46022</v>
      </c>
      <c r="B21" s="7">
        <v>38.81</v>
      </c>
      <c r="C21" s="8">
        <v>404890</v>
      </c>
      <c r="D21" s="7">
        <v>0.58000000000000496</v>
      </c>
      <c r="E21" s="7">
        <v>1.51713314151191</v>
      </c>
      <c r="F21" s="7">
        <v>1.5171445956948699</v>
      </c>
      <c r="G21" s="7">
        <v>39.381084000000001</v>
      </c>
      <c r="H21" s="7">
        <v>-2.0291937005659602</v>
      </c>
      <c r="I21" s="7">
        <v>38.409999999999997</v>
      </c>
      <c r="J21" s="7">
        <v>39.39</v>
      </c>
      <c r="K21" s="7">
        <v>37.9</v>
      </c>
      <c r="L21" s="7">
        <v>-3.4499153837148002</v>
      </c>
    </row>
    <row r="22" spans="1:12" ht="15" customHeight="1" x14ac:dyDescent="0.2">
      <c r="A22" s="3">
        <v>46021</v>
      </c>
      <c r="B22" s="4">
        <v>38.229999999999997</v>
      </c>
      <c r="C22" s="5">
        <v>508262</v>
      </c>
      <c r="D22" s="4">
        <v>-0.87000000000000399</v>
      </c>
      <c r="E22" s="4">
        <v>-2.2250639386189301</v>
      </c>
      <c r="F22" s="4">
        <v>-2.22506188099783</v>
      </c>
      <c r="G22" s="4">
        <v>38.792544999999997</v>
      </c>
      <c r="H22" s="4">
        <v>-3.4933392880430101</v>
      </c>
      <c r="I22" s="4">
        <v>39.15</v>
      </c>
      <c r="J22" s="4">
        <v>39.22</v>
      </c>
      <c r="K22" s="4">
        <v>38.15</v>
      </c>
      <c r="L22" s="4">
        <v>-4.8928179623658199</v>
      </c>
    </row>
    <row r="23" spans="1:12" ht="15" customHeight="1" x14ac:dyDescent="0.2">
      <c r="A23" s="6">
        <v>46020</v>
      </c>
      <c r="B23" s="7">
        <v>39.1</v>
      </c>
      <c r="C23" s="8">
        <v>469808</v>
      </c>
      <c r="D23" s="7">
        <v>-0.46999999999999797</v>
      </c>
      <c r="E23" s="7">
        <v>-1.1877685114986101</v>
      </c>
      <c r="F23" s="7">
        <v>-1.18777362093456</v>
      </c>
      <c r="G23" s="7">
        <v>39.675345999999998</v>
      </c>
      <c r="H23" s="7">
        <v>-1.29713956505045</v>
      </c>
      <c r="I23" s="7">
        <v>39.56</v>
      </c>
      <c r="J23" s="7">
        <v>39.72</v>
      </c>
      <c r="K23" s="7">
        <v>38.799999999999997</v>
      </c>
      <c r="L23" s="7">
        <v>-2.7284640943893002</v>
      </c>
    </row>
    <row r="24" spans="1:12" ht="15" customHeight="1" x14ac:dyDescent="0.2">
      <c r="A24" s="3">
        <v>46017</v>
      </c>
      <c r="B24" s="4">
        <v>39.57</v>
      </c>
      <c r="C24" s="5">
        <v>355643</v>
      </c>
      <c r="D24" s="4">
        <v>0.42000000000000098</v>
      </c>
      <c r="E24" s="4">
        <v>1.0727969348659001</v>
      </c>
      <c r="F24" s="4">
        <v>1.07279131399957</v>
      </c>
      <c r="G24" s="4">
        <v>40.152264000000002</v>
      </c>
      <c r="H24" s="4">
        <v>-0.110680578834788</v>
      </c>
      <c r="I24" s="4">
        <v>39.119999999999997</v>
      </c>
      <c r="J24" s="4">
        <v>39.770000000000003</v>
      </c>
      <c r="K24" s="4">
        <v>38.799999999999997</v>
      </c>
      <c r="L24" s="4">
        <v>-1.5592154530686599</v>
      </c>
    </row>
    <row r="25" spans="1:12" ht="15" customHeight="1" x14ac:dyDescent="0.2">
      <c r="A25" s="6">
        <v>46015</v>
      </c>
      <c r="B25" s="7">
        <v>39.15</v>
      </c>
      <c r="C25" s="8">
        <v>784307</v>
      </c>
      <c r="D25" s="7">
        <v>0.22999999999999601</v>
      </c>
      <c r="E25" s="7">
        <v>0.59095580678314397</v>
      </c>
      <c r="F25" s="7">
        <v>0.59095984827577297</v>
      </c>
      <c r="G25" s="7">
        <v>39.726086000000002</v>
      </c>
      <c r="H25" s="7">
        <v>-1.1709104670491399</v>
      </c>
      <c r="I25" s="7">
        <v>39</v>
      </c>
      <c r="J25" s="7">
        <v>39.65</v>
      </c>
      <c r="K25" s="7">
        <v>38.68</v>
      </c>
      <c r="L25" s="7">
        <v>-2.6040759410573302</v>
      </c>
    </row>
    <row r="26" spans="1:12" ht="15" customHeight="1" x14ac:dyDescent="0.2">
      <c r="A26" s="3">
        <v>46014</v>
      </c>
      <c r="B26" s="4">
        <v>38.92</v>
      </c>
      <c r="C26" s="5">
        <v>1183914</v>
      </c>
      <c r="D26" s="4">
        <v>0.630000000000002</v>
      </c>
      <c r="E26" s="4">
        <v>1.6453382084095001</v>
      </c>
      <c r="F26" s="4">
        <v>1.6453373614633</v>
      </c>
      <c r="G26" s="4">
        <v>39.492699999999999</v>
      </c>
      <c r="H26" s="4">
        <v>-1.75151953811991</v>
      </c>
      <c r="I26" s="4">
        <v>38.49</v>
      </c>
      <c r="J26" s="4">
        <v>39.31</v>
      </c>
      <c r="K26" s="4">
        <v>38.159999999999997</v>
      </c>
      <c r="L26" s="4">
        <v>-3.1762614463844399</v>
      </c>
    </row>
    <row r="27" spans="1:12" ht="15" customHeight="1" x14ac:dyDescent="0.2">
      <c r="A27" s="6">
        <v>46013</v>
      </c>
      <c r="B27" s="7">
        <v>38.29</v>
      </c>
      <c r="C27" s="8">
        <v>1539059</v>
      </c>
      <c r="D27" s="7">
        <v>-0.27000000000000302</v>
      </c>
      <c r="E27" s="7">
        <v>-0.700207468879676</v>
      </c>
      <c r="F27" s="7">
        <v>-0.70020747351925405</v>
      </c>
      <c r="G27" s="7">
        <v>38.853430000000003</v>
      </c>
      <c r="H27" s="7">
        <v>-3.3418718337306399</v>
      </c>
      <c r="I27" s="7">
        <v>38.61</v>
      </c>
      <c r="J27" s="7">
        <v>38.97</v>
      </c>
      <c r="K27" s="7">
        <v>38.159999999999997</v>
      </c>
      <c r="L27" s="7">
        <v>-4.7435521783674304</v>
      </c>
    </row>
    <row r="28" spans="1:12" ht="15" customHeight="1" x14ac:dyDescent="0.2">
      <c r="A28" s="3">
        <v>46010</v>
      </c>
      <c r="B28" s="4">
        <v>38.56</v>
      </c>
      <c r="C28" s="5">
        <v>4184755</v>
      </c>
      <c r="D28" s="4">
        <v>-0.75</v>
      </c>
      <c r="E28" s="4">
        <v>-1.9079114729076501</v>
      </c>
      <c r="F28" s="4">
        <v>-1.9079136712290601</v>
      </c>
      <c r="G28" s="4">
        <v>39.127403000000001</v>
      </c>
      <c r="H28" s="4">
        <v>-2.6602919230741802</v>
      </c>
      <c r="I28" s="4">
        <v>39.450000000000003</v>
      </c>
      <c r="J28" s="4">
        <v>39.520000000000003</v>
      </c>
      <c r="K28" s="4">
        <v>38.14</v>
      </c>
      <c r="L28" s="4">
        <v>-4.0718561503747202</v>
      </c>
    </row>
    <row r="29" spans="1:12" ht="15" customHeight="1" x14ac:dyDescent="0.2">
      <c r="A29" s="6">
        <v>46009</v>
      </c>
      <c r="B29" s="7">
        <v>39.31</v>
      </c>
      <c r="C29" s="8">
        <v>825867</v>
      </c>
      <c r="D29" s="7">
        <v>0.32</v>
      </c>
      <c r="E29" s="7">
        <v>0.82072326237496696</v>
      </c>
      <c r="F29" s="7">
        <v>0.820721361675391</v>
      </c>
      <c r="G29" s="7">
        <v>39.888440000000003</v>
      </c>
      <c r="H29" s="7">
        <v>-0.76701218212792899</v>
      </c>
      <c r="I29" s="7">
        <v>39.19</v>
      </c>
      <c r="J29" s="7">
        <v>39.5</v>
      </c>
      <c r="K29" s="7">
        <v>38.83</v>
      </c>
      <c r="L29" s="7">
        <v>-2.2060338503949701</v>
      </c>
    </row>
    <row r="30" spans="1:12" ht="15" customHeight="1" x14ac:dyDescent="0.2">
      <c r="A30" s="3">
        <v>46008</v>
      </c>
      <c r="B30" s="4">
        <v>38.99</v>
      </c>
      <c r="C30" s="5">
        <v>1199285</v>
      </c>
      <c r="D30" s="4">
        <v>-1.53999999999999</v>
      </c>
      <c r="E30" s="4">
        <v>-3.7996545768566401</v>
      </c>
      <c r="F30" s="4">
        <v>-3.79964786600525</v>
      </c>
      <c r="G30" s="4">
        <v>39.563732000000002</v>
      </c>
      <c r="H30" s="4">
        <v>-1.57480875197036</v>
      </c>
      <c r="I30" s="4">
        <v>40.53</v>
      </c>
      <c r="J30" s="4">
        <v>40.659999999999997</v>
      </c>
      <c r="K30" s="4">
        <v>38.4</v>
      </c>
      <c r="L30" s="4">
        <v>-3.0021180317196601</v>
      </c>
    </row>
    <row r="31" spans="1:12" ht="15" customHeight="1" x14ac:dyDescent="0.2">
      <c r="A31" s="6">
        <v>46007</v>
      </c>
      <c r="B31" s="7">
        <v>40.53</v>
      </c>
      <c r="C31" s="8">
        <v>913365</v>
      </c>
      <c r="D31" s="7">
        <v>-0.17000000000000101</v>
      </c>
      <c r="E31" s="7">
        <v>-0.41769041769041898</v>
      </c>
      <c r="F31" s="7">
        <v>-0.41769400453420802</v>
      </c>
      <c r="G31" s="7">
        <v>41.126390000000001</v>
      </c>
      <c r="H31" s="7">
        <v>2.3127141062186301</v>
      </c>
      <c r="I31" s="7">
        <v>40.700000000000003</v>
      </c>
      <c r="J31" s="7">
        <v>41.16</v>
      </c>
      <c r="K31" s="7">
        <v>40.020000000000003</v>
      </c>
      <c r="L31" s="7">
        <v>0.829037090905406</v>
      </c>
    </row>
    <row r="32" spans="1:12" ht="15" customHeight="1" x14ac:dyDescent="0.2">
      <c r="A32" s="3">
        <v>46006</v>
      </c>
      <c r="B32" s="4">
        <v>40.700000000000003</v>
      </c>
      <c r="C32" s="5">
        <v>1124086</v>
      </c>
      <c r="D32" s="4">
        <v>-0.25999999999999801</v>
      </c>
      <c r="E32" s="4">
        <v>-0.634765625</v>
      </c>
      <c r="F32" s="4">
        <v>-0.63476119715657398</v>
      </c>
      <c r="G32" s="4">
        <v>41.298893</v>
      </c>
      <c r="H32" s="4">
        <v>2.7418606985031699</v>
      </c>
      <c r="I32" s="4">
        <v>40.96</v>
      </c>
      <c r="J32" s="4">
        <v>41.34</v>
      </c>
      <c r="K32" s="4">
        <v>40.15</v>
      </c>
      <c r="L32" s="4">
        <v>1.25195681223415</v>
      </c>
    </row>
    <row r="33" spans="1:12" ht="15" customHeight="1" x14ac:dyDescent="0.2">
      <c r="A33" s="6">
        <v>46002</v>
      </c>
      <c r="B33" s="7">
        <v>40.96</v>
      </c>
      <c r="C33" s="8">
        <v>520432</v>
      </c>
      <c r="D33" s="7">
        <v>0.73000000000000398</v>
      </c>
      <c r="E33" s="7">
        <v>1.8145662440964601</v>
      </c>
      <c r="F33" s="7">
        <v>1.8145642925271299</v>
      </c>
      <c r="G33" s="7">
        <v>41.562716999999999</v>
      </c>
      <c r="H33" s="7">
        <v>3.39819230179631</v>
      </c>
      <c r="I33" s="7">
        <v>40.020000000000003</v>
      </c>
      <c r="J33" s="7">
        <v>41.51</v>
      </c>
      <c r="K33" s="7">
        <v>40.020000000000003</v>
      </c>
      <c r="L33" s="7">
        <v>1.89877520956045</v>
      </c>
    </row>
    <row r="34" spans="1:12" ht="15" customHeight="1" x14ac:dyDescent="0.2">
      <c r="A34" s="3">
        <v>46001</v>
      </c>
      <c r="B34" s="4">
        <v>40.229999999999997</v>
      </c>
      <c r="C34" s="5">
        <v>933532</v>
      </c>
      <c r="D34" s="4">
        <v>-0.35000000000000098</v>
      </c>
      <c r="E34" s="4">
        <v>-0.86249383932972501</v>
      </c>
      <c r="F34" s="4">
        <v>-0.86249822959970601</v>
      </c>
      <c r="G34" s="4">
        <v>40.821975999999999</v>
      </c>
      <c r="H34" s="4">
        <v>1.5554042000505801</v>
      </c>
      <c r="I34" s="4">
        <v>40.58</v>
      </c>
      <c r="J34" s="4">
        <v>40.79</v>
      </c>
      <c r="K34" s="4">
        <v>39.67</v>
      </c>
      <c r="L34" s="4">
        <v>8.27081709134979E-2</v>
      </c>
    </row>
    <row r="35" spans="1:12" ht="15" customHeight="1" x14ac:dyDescent="0.2">
      <c r="A35" s="6">
        <v>46000</v>
      </c>
      <c r="B35" s="7">
        <v>40.58</v>
      </c>
      <c r="C35" s="8">
        <v>1007421</v>
      </c>
      <c r="D35" s="7"/>
      <c r="E35" s="7"/>
      <c r="F35" s="7"/>
      <c r="G35" s="7">
        <v>41.177128000000003</v>
      </c>
      <c r="H35" s="7">
        <v>2.4389382286938002</v>
      </c>
      <c r="I35" s="7">
        <v>40.74</v>
      </c>
      <c r="J35" s="7">
        <v>40.950000000000003</v>
      </c>
      <c r="K35" s="7">
        <v>40.020000000000003</v>
      </c>
      <c r="L35" s="7">
        <v>0.95342524423738195</v>
      </c>
    </row>
    <row r="36" spans="1:12" ht="15" customHeight="1" x14ac:dyDescent="0.2">
      <c r="A36" s="3">
        <v>45999</v>
      </c>
      <c r="B36" s="4">
        <v>40.58</v>
      </c>
      <c r="C36" s="5">
        <v>786883</v>
      </c>
      <c r="D36" s="4">
        <v>-0.27000000000000302</v>
      </c>
      <c r="E36" s="4">
        <v>-0.66095471236230496</v>
      </c>
      <c r="F36" s="4">
        <v>-0.66095230283392803</v>
      </c>
      <c r="G36" s="4">
        <v>41.177128000000003</v>
      </c>
      <c r="H36" s="4">
        <v>2.4389382286938002</v>
      </c>
      <c r="I36" s="4">
        <v>40.71</v>
      </c>
      <c r="J36" s="4">
        <v>40.99</v>
      </c>
      <c r="K36" s="4">
        <v>40.159999999999997</v>
      </c>
      <c r="L36" s="4">
        <v>0.95342524423738195</v>
      </c>
    </row>
    <row r="37" spans="1:12" ht="15" customHeight="1" x14ac:dyDescent="0.2">
      <c r="A37" s="6">
        <v>45996</v>
      </c>
      <c r="B37" s="7">
        <v>40.85</v>
      </c>
      <c r="C37" s="8">
        <v>779712</v>
      </c>
      <c r="D37" s="7">
        <v>-0.51999999999999602</v>
      </c>
      <c r="E37" s="7">
        <v>-1.2569494802997201</v>
      </c>
      <c r="F37" s="7">
        <v>-1.25694547836703</v>
      </c>
      <c r="G37" s="7">
        <v>41.451099999999997</v>
      </c>
      <c r="H37" s="7">
        <v>3.1205156515871799</v>
      </c>
      <c r="I37" s="7">
        <v>41.37</v>
      </c>
      <c r="J37" s="7">
        <v>41.95</v>
      </c>
      <c r="K37" s="7">
        <v>40.630000000000003</v>
      </c>
      <c r="L37" s="7">
        <v>1.6251212722300901</v>
      </c>
    </row>
    <row r="38" spans="1:12" ht="15" customHeight="1" x14ac:dyDescent="0.2">
      <c r="A38" s="3">
        <v>45995</v>
      </c>
      <c r="B38" s="4">
        <v>41.37</v>
      </c>
      <c r="C38" s="5">
        <v>879319</v>
      </c>
      <c r="D38" s="4">
        <v>-0.40000000000000502</v>
      </c>
      <c r="E38" s="4">
        <v>-0.95762508977736904</v>
      </c>
      <c r="F38" s="4">
        <v>-0.95762530554703795</v>
      </c>
      <c r="G38" s="4">
        <v>41.978749999999998</v>
      </c>
      <c r="H38" s="4">
        <v>4.4331838336995997</v>
      </c>
      <c r="I38" s="4">
        <v>41.97</v>
      </c>
      <c r="J38" s="4">
        <v>41.97</v>
      </c>
      <c r="K38" s="4">
        <v>41.18</v>
      </c>
      <c r="L38" s="4">
        <v>2.91875806688271</v>
      </c>
    </row>
    <row r="39" spans="1:12" ht="15" customHeight="1" x14ac:dyDescent="0.2">
      <c r="A39" s="6">
        <v>45994</v>
      </c>
      <c r="B39" s="7">
        <v>41.77</v>
      </c>
      <c r="C39" s="8">
        <v>1015737</v>
      </c>
      <c r="D39" s="7">
        <v>0.42000000000000098</v>
      </c>
      <c r="E39" s="7">
        <v>1.0157194679564601</v>
      </c>
      <c r="F39" s="7">
        <v>1.01572379192045</v>
      </c>
      <c r="G39" s="7">
        <v>42.384636</v>
      </c>
      <c r="H39" s="7">
        <v>5.4429320337657101</v>
      </c>
      <c r="I39" s="7">
        <v>41.51</v>
      </c>
      <c r="J39" s="7">
        <v>42.02</v>
      </c>
      <c r="K39" s="7">
        <v>40.869999999999997</v>
      </c>
      <c r="L39" s="7">
        <v>3.9138632935385802</v>
      </c>
    </row>
    <row r="40" spans="1:12" ht="15" customHeight="1" x14ac:dyDescent="0.2">
      <c r="A40" s="3">
        <v>45993</v>
      </c>
      <c r="B40" s="4">
        <v>41.35</v>
      </c>
      <c r="C40" s="5">
        <v>832667</v>
      </c>
      <c r="D40" s="4">
        <v>0.30000000000000399</v>
      </c>
      <c r="E40" s="4">
        <v>0.73081607795373305</v>
      </c>
      <c r="F40" s="4">
        <v>0.73081506619765402</v>
      </c>
      <c r="G40" s="4">
        <v>41.958454000000003</v>
      </c>
      <c r="H40" s="4">
        <v>4.3826921944991</v>
      </c>
      <c r="I40" s="4">
        <v>41.2</v>
      </c>
      <c r="J40" s="4">
        <v>41.88</v>
      </c>
      <c r="K40" s="4">
        <v>40.85</v>
      </c>
      <c r="L40" s="4">
        <v>2.8690028055499202</v>
      </c>
    </row>
    <row r="41" spans="1:12" ht="15" customHeight="1" x14ac:dyDescent="0.2">
      <c r="A41" s="6">
        <v>45992</v>
      </c>
      <c r="B41" s="7">
        <v>41.05</v>
      </c>
      <c r="C41" s="8">
        <v>703417</v>
      </c>
      <c r="D41" s="7">
        <v>0.22999999999999601</v>
      </c>
      <c r="E41" s="7">
        <v>0.56344928956393303</v>
      </c>
      <c r="F41" s="7">
        <v>0.56343863183252396</v>
      </c>
      <c r="G41" s="7">
        <v>41.654040000000002</v>
      </c>
      <c r="H41" s="7">
        <v>3.6253822883310498</v>
      </c>
      <c r="I41" s="7">
        <v>40.9</v>
      </c>
      <c r="J41" s="7">
        <v>41.99</v>
      </c>
      <c r="K41" s="7">
        <v>40.18</v>
      </c>
      <c r="L41" s="7">
        <v>2.1226738855580098</v>
      </c>
    </row>
    <row r="42" spans="1:12" ht="15" customHeight="1" x14ac:dyDescent="0.2">
      <c r="A42" s="3">
        <v>45989</v>
      </c>
      <c r="B42" s="4">
        <v>40.82</v>
      </c>
      <c r="C42" s="5">
        <v>846005</v>
      </c>
      <c r="D42" s="4">
        <v>0.35999999999999899</v>
      </c>
      <c r="E42" s="4">
        <v>0.88976767177459903</v>
      </c>
      <c r="F42" s="4">
        <v>0.88977419757127996</v>
      </c>
      <c r="G42" s="4">
        <v>41.420659999999998</v>
      </c>
      <c r="H42" s="4">
        <v>3.0447881438386699</v>
      </c>
      <c r="I42" s="4">
        <v>40.93</v>
      </c>
      <c r="J42" s="4">
        <v>41.17</v>
      </c>
      <c r="K42" s="4">
        <v>40.200000000000003</v>
      </c>
      <c r="L42" s="4">
        <v>1.5504883802309</v>
      </c>
    </row>
    <row r="43" spans="1:12" ht="15" customHeight="1" x14ac:dyDescent="0.2">
      <c r="A43" s="6">
        <v>45988</v>
      </c>
      <c r="B43" s="7">
        <v>40.46</v>
      </c>
      <c r="C43" s="8">
        <v>527554</v>
      </c>
      <c r="D43" s="7">
        <v>-0.28999999999999898</v>
      </c>
      <c r="E43" s="7">
        <v>-0.71165644171778897</v>
      </c>
      <c r="F43" s="7">
        <v>-0.71166295804823099</v>
      </c>
      <c r="G43" s="7">
        <v>41.05536</v>
      </c>
      <c r="H43" s="7">
        <v>2.13600829559521</v>
      </c>
      <c r="I43" s="7">
        <v>41.14</v>
      </c>
      <c r="J43" s="7">
        <v>41.14</v>
      </c>
      <c r="K43" s="7">
        <v>40.35</v>
      </c>
      <c r="L43" s="7">
        <v>0.654893676240629</v>
      </c>
    </row>
    <row r="44" spans="1:12" ht="15" customHeight="1" x14ac:dyDescent="0.2">
      <c r="A44" s="3">
        <v>45987</v>
      </c>
      <c r="B44" s="4">
        <v>40.75</v>
      </c>
      <c r="C44" s="5">
        <v>506953</v>
      </c>
      <c r="D44" s="4">
        <v>0.27000000000000302</v>
      </c>
      <c r="E44" s="4">
        <v>0.66699604743083396</v>
      </c>
      <c r="F44" s="4">
        <v>0.66700582946299602</v>
      </c>
      <c r="G44" s="4">
        <v>41.349629999999998</v>
      </c>
      <c r="H44" s="4">
        <v>2.8680823332152601</v>
      </c>
      <c r="I44" s="4">
        <v>40.6</v>
      </c>
      <c r="J44" s="4">
        <v>41.25</v>
      </c>
      <c r="K44" s="4">
        <v>40.340000000000003</v>
      </c>
      <c r="L44" s="4">
        <v>1.37634496556612</v>
      </c>
    </row>
    <row r="45" spans="1:12" ht="15" customHeight="1" x14ac:dyDescent="0.2">
      <c r="A45" s="6">
        <v>45986</v>
      </c>
      <c r="B45" s="7">
        <v>40.479999999999997</v>
      </c>
      <c r="C45" s="8">
        <v>939366</v>
      </c>
      <c r="D45" s="7">
        <v>0.619999999999997</v>
      </c>
      <c r="E45" s="7">
        <v>1.5554440541896499</v>
      </c>
      <c r="F45" s="7">
        <v>1.55543616062221</v>
      </c>
      <c r="G45" s="7">
        <v>41.075653000000003</v>
      </c>
      <c r="H45" s="7">
        <v>2.1864924715065399</v>
      </c>
      <c r="I45" s="7">
        <v>39.9</v>
      </c>
      <c r="J45" s="7">
        <v>40.72</v>
      </c>
      <c r="K45" s="7">
        <v>39.81</v>
      </c>
      <c r="L45" s="7">
        <v>0.70464893757341196</v>
      </c>
    </row>
    <row r="46" spans="1:12" ht="15" customHeight="1" x14ac:dyDescent="0.2">
      <c r="A46" s="3">
        <v>45985</v>
      </c>
      <c r="B46" s="4">
        <v>39.86</v>
      </c>
      <c r="C46" s="5">
        <v>1578440</v>
      </c>
      <c r="D46" s="4">
        <v>-0.91000000000000303</v>
      </c>
      <c r="E46" s="4">
        <v>-2.2320333578611802</v>
      </c>
      <c r="F46" s="4">
        <v>-2.2320321940168801</v>
      </c>
      <c r="G46" s="4">
        <v>40.446533000000002</v>
      </c>
      <c r="H46" s="4">
        <v>0.62139097102219598</v>
      </c>
      <c r="I46" s="4">
        <v>40.549999999999997</v>
      </c>
      <c r="J46" s="4">
        <v>41.28</v>
      </c>
      <c r="K46" s="4">
        <v>39.700000000000003</v>
      </c>
      <c r="L46" s="4">
        <v>-0.83776416374316898</v>
      </c>
    </row>
    <row r="47" spans="1:12" ht="15" customHeight="1" x14ac:dyDescent="0.2">
      <c r="A47" s="6">
        <v>45982</v>
      </c>
      <c r="B47" s="7">
        <v>40.770000000000003</v>
      </c>
      <c r="C47" s="8">
        <v>287248</v>
      </c>
      <c r="D47" s="7">
        <v>0.69000000000000405</v>
      </c>
      <c r="E47" s="7">
        <v>1.7215568862275401</v>
      </c>
      <c r="F47" s="7">
        <v>1.7215563304144601</v>
      </c>
      <c r="G47" s="7">
        <v>41.369923</v>
      </c>
      <c r="H47" s="7">
        <v>2.9185665091265802</v>
      </c>
      <c r="I47" s="7">
        <v>40.14</v>
      </c>
      <c r="J47" s="7">
        <v>41.15</v>
      </c>
      <c r="K47" s="7">
        <v>40.01</v>
      </c>
      <c r="L47" s="7">
        <v>1.42610022689892</v>
      </c>
    </row>
    <row r="48" spans="1:12" ht="15" customHeight="1" x14ac:dyDescent="0.2">
      <c r="A48" s="3">
        <v>45981</v>
      </c>
      <c r="B48" s="4">
        <v>40.08</v>
      </c>
      <c r="C48" s="5">
        <v>673441</v>
      </c>
      <c r="D48" s="4">
        <v>-0.64999999999999802</v>
      </c>
      <c r="E48" s="4">
        <v>-1.5958752762091799</v>
      </c>
      <c r="F48" s="4">
        <v>-1.59587376849577</v>
      </c>
      <c r="G48" s="4">
        <v>40.66977</v>
      </c>
      <c r="H48" s="4">
        <v>1.1767517347296199</v>
      </c>
      <c r="I48" s="4">
        <v>40.85</v>
      </c>
      <c r="J48" s="4">
        <v>41.04</v>
      </c>
      <c r="K48" s="4">
        <v>39.76</v>
      </c>
      <c r="L48" s="4">
        <v>-0.29045628908244697</v>
      </c>
    </row>
    <row r="49" spans="1:12" ht="15" customHeight="1" x14ac:dyDescent="0.2">
      <c r="A49" s="6">
        <v>45980</v>
      </c>
      <c r="B49" s="7">
        <v>40.729999999999997</v>
      </c>
      <c r="C49" s="8">
        <v>692613</v>
      </c>
      <c r="D49" s="7">
        <v>-0.110000000000006</v>
      </c>
      <c r="E49" s="7">
        <v>-0.26934378060726699</v>
      </c>
      <c r="F49" s="7">
        <v>-0.26934226800581201</v>
      </c>
      <c r="G49" s="7">
        <v>41.329334000000003</v>
      </c>
      <c r="H49" s="7">
        <v>2.8175906940147502</v>
      </c>
      <c r="I49" s="7">
        <v>40.950000000000003</v>
      </c>
      <c r="J49" s="7">
        <v>41</v>
      </c>
      <c r="K49" s="7">
        <v>40.090000000000003</v>
      </c>
      <c r="L49" s="7">
        <v>1.3265897042333199</v>
      </c>
    </row>
    <row r="50" spans="1:12" ht="15" customHeight="1" x14ac:dyDescent="0.2">
      <c r="A50" s="3">
        <v>45979</v>
      </c>
      <c r="B50" s="4">
        <v>40.840000000000003</v>
      </c>
      <c r="C50" s="5">
        <v>594307</v>
      </c>
      <c r="D50" s="4">
        <v>0.37000000000000399</v>
      </c>
      <c r="E50" s="4">
        <v>0.91425747467259699</v>
      </c>
      <c r="F50" s="4">
        <v>0.91425139977563397</v>
      </c>
      <c r="G50" s="4">
        <v>41.440952000000003</v>
      </c>
      <c r="H50" s="4">
        <v>3.0952698319869398</v>
      </c>
      <c r="I50" s="4">
        <v>40</v>
      </c>
      <c r="J50" s="4">
        <v>41.02</v>
      </c>
      <c r="K50" s="4">
        <v>39.520000000000003</v>
      </c>
      <c r="L50" s="4">
        <v>1.6002436415637</v>
      </c>
    </row>
    <row r="51" spans="1:12" ht="15" customHeight="1" x14ac:dyDescent="0.2">
      <c r="A51" s="6">
        <v>45975</v>
      </c>
      <c r="B51" s="7">
        <v>40.47</v>
      </c>
      <c r="C51" s="8">
        <v>671716</v>
      </c>
      <c r="D51" s="7">
        <v>-0.25</v>
      </c>
      <c r="E51" s="7">
        <v>-0.61394891944990204</v>
      </c>
      <c r="F51" s="7">
        <v>-0.61394480002715501</v>
      </c>
      <c r="G51" s="7">
        <v>41.065510000000003</v>
      </c>
      <c r="H51" s="7">
        <v>2.16125909072161</v>
      </c>
      <c r="I51" s="7">
        <v>40.869999999999997</v>
      </c>
      <c r="J51" s="7">
        <v>41.25</v>
      </c>
      <c r="K51" s="7">
        <v>39.700000000000003</v>
      </c>
      <c r="L51" s="7">
        <v>0.67977130690702103</v>
      </c>
    </row>
    <row r="52" spans="1:12" ht="15" customHeight="1" x14ac:dyDescent="0.2">
      <c r="A52" s="3">
        <v>45974</v>
      </c>
      <c r="B52" s="4">
        <v>40.72</v>
      </c>
      <c r="C52" s="5">
        <v>513153</v>
      </c>
      <c r="D52" s="4">
        <v>-0.62000000000000399</v>
      </c>
      <c r="E52" s="4">
        <v>-1.4997581035317</v>
      </c>
      <c r="F52" s="4">
        <v>-1.49975767796127</v>
      </c>
      <c r="G52" s="4">
        <v>41.319186999999999</v>
      </c>
      <c r="H52" s="4">
        <v>2.7923473621775501</v>
      </c>
      <c r="I52" s="4">
        <v>41.31</v>
      </c>
      <c r="J52" s="4">
        <v>41.56</v>
      </c>
      <c r="K52" s="4">
        <v>40.15</v>
      </c>
      <c r="L52" s="4">
        <v>1.3017120735669301</v>
      </c>
    </row>
    <row r="53" spans="1:12" ht="15" customHeight="1" x14ac:dyDescent="0.2">
      <c r="A53" s="6">
        <v>45973</v>
      </c>
      <c r="B53" s="7">
        <v>41.34</v>
      </c>
      <c r="C53" s="8">
        <v>1273568</v>
      </c>
      <c r="D53" s="7">
        <v>0.45000000000000201</v>
      </c>
      <c r="E53" s="7">
        <v>1.10051357300073</v>
      </c>
      <c r="F53" s="7">
        <v>1.1005143970040201</v>
      </c>
      <c r="G53" s="7">
        <v>41.948309999999999</v>
      </c>
      <c r="H53" s="7">
        <v>4.3574563259510901</v>
      </c>
      <c r="I53" s="7">
        <v>40.909999999999997</v>
      </c>
      <c r="J53" s="7">
        <v>42.25</v>
      </c>
      <c r="K53" s="7">
        <v>40.9</v>
      </c>
      <c r="L53" s="7">
        <v>2.8441251748835299</v>
      </c>
    </row>
    <row r="54" spans="1:12" ht="15" customHeight="1" x14ac:dyDescent="0.2">
      <c r="A54" s="3">
        <v>45972</v>
      </c>
      <c r="B54" s="4">
        <v>40.89</v>
      </c>
      <c r="C54" s="5">
        <v>888582</v>
      </c>
      <c r="D54" s="4">
        <v>3.0000000000001099E-2</v>
      </c>
      <c r="E54" s="4">
        <v>7.3421439060217197E-2</v>
      </c>
      <c r="F54" s="4">
        <v>7.3422781360688E-2</v>
      </c>
      <c r="G54" s="4">
        <v>41.491688000000003</v>
      </c>
      <c r="H54" s="4">
        <v>3.22148897893597</v>
      </c>
      <c r="I54" s="4">
        <v>40.76</v>
      </c>
      <c r="J54" s="4">
        <v>41.41</v>
      </c>
      <c r="K54" s="4">
        <v>40.5</v>
      </c>
      <c r="L54" s="4">
        <v>1.72463179489568</v>
      </c>
    </row>
    <row r="55" spans="1:12" ht="15" customHeight="1" x14ac:dyDescent="0.2">
      <c r="A55" s="6">
        <v>45971</v>
      </c>
      <c r="B55" s="7">
        <v>40.86</v>
      </c>
      <c r="C55" s="8">
        <v>468642</v>
      </c>
      <c r="D55" s="7">
        <v>-0.14000000000000001</v>
      </c>
      <c r="E55" s="7">
        <v>-0.34146341463414598</v>
      </c>
      <c r="F55" s="7">
        <v>-0.34146324813706302</v>
      </c>
      <c r="G55" s="7">
        <v>41.461246000000003</v>
      </c>
      <c r="H55" s="7">
        <v>3.14575649566132</v>
      </c>
      <c r="I55" s="7">
        <v>41.07</v>
      </c>
      <c r="J55" s="7">
        <v>41.44</v>
      </c>
      <c r="K55" s="7">
        <v>40.65</v>
      </c>
      <c r="L55" s="7">
        <v>1.6499989028964801</v>
      </c>
    </row>
    <row r="56" spans="1:12" ht="15" customHeight="1" x14ac:dyDescent="0.2">
      <c r="A56" s="3">
        <v>45968</v>
      </c>
      <c r="B56" s="4">
        <v>41</v>
      </c>
      <c r="C56" s="5">
        <v>1419802</v>
      </c>
      <c r="D56" s="4">
        <v>-0.54999999999999705</v>
      </c>
      <c r="E56" s="4">
        <v>-1.3237063778579901</v>
      </c>
      <c r="F56" s="4">
        <v>-1.3237084157546799</v>
      </c>
      <c r="G56" s="4">
        <v>41.603306000000003</v>
      </c>
      <c r="H56" s="4">
        <v>3.4991681169081499</v>
      </c>
      <c r="I56" s="4">
        <v>41.55</v>
      </c>
      <c r="J56" s="4">
        <v>42.21</v>
      </c>
      <c r="K56" s="4">
        <v>40.520000000000003</v>
      </c>
      <c r="L56" s="4">
        <v>1.9982857322260399</v>
      </c>
    </row>
    <row r="57" spans="1:12" ht="15" customHeight="1" x14ac:dyDescent="0.2">
      <c r="A57" s="6">
        <v>45967</v>
      </c>
      <c r="B57" s="7">
        <v>41.55</v>
      </c>
      <c r="C57" s="8">
        <v>1504985</v>
      </c>
      <c r="D57" s="7">
        <v>0.119999999999997</v>
      </c>
      <c r="E57" s="7">
        <v>0.28964518464880101</v>
      </c>
      <c r="F57" s="7">
        <v>0.28964333301182399</v>
      </c>
      <c r="G57" s="7">
        <v>42.1614</v>
      </c>
      <c r="H57" s="7">
        <v>4.8875737578213396</v>
      </c>
      <c r="I57" s="7">
        <v>41.63</v>
      </c>
      <c r="J57" s="7">
        <v>42.37</v>
      </c>
      <c r="K57" s="7">
        <v>41.21</v>
      </c>
      <c r="L57" s="7">
        <v>3.3665554188778399</v>
      </c>
    </row>
    <row r="58" spans="1:12" ht="15" customHeight="1" x14ac:dyDescent="0.2">
      <c r="A58" s="3">
        <v>45966</v>
      </c>
      <c r="B58" s="4">
        <v>41.43</v>
      </c>
      <c r="C58" s="5">
        <v>2907218</v>
      </c>
      <c r="D58" s="4">
        <v>0.82</v>
      </c>
      <c r="E58" s="4">
        <v>2.0192070918492999</v>
      </c>
      <c r="F58" s="4">
        <v>2.0192042384445199</v>
      </c>
      <c r="G58" s="4">
        <v>42.039634999999997</v>
      </c>
      <c r="H58" s="4">
        <v>4.5846512880119503</v>
      </c>
      <c r="I58" s="4">
        <v>40.94</v>
      </c>
      <c r="J58" s="4">
        <v>41.98</v>
      </c>
      <c r="K58" s="4">
        <v>40.840000000000003</v>
      </c>
      <c r="L58" s="4">
        <v>3.0680238508810902</v>
      </c>
    </row>
    <row r="59" spans="1:12" ht="15" customHeight="1" x14ac:dyDescent="0.2">
      <c r="A59" s="6">
        <v>45965</v>
      </c>
      <c r="B59" s="7">
        <v>40.61</v>
      </c>
      <c r="C59" s="8">
        <v>1735492</v>
      </c>
      <c r="D59" s="7">
        <v>0.53999999999999904</v>
      </c>
      <c r="E59" s="7">
        <v>1.34764162715248</v>
      </c>
      <c r="F59" s="7">
        <v>1.34764656690609</v>
      </c>
      <c r="G59" s="7">
        <v>41.207569999999997</v>
      </c>
      <c r="H59" s="7">
        <v>2.5146707119684302</v>
      </c>
      <c r="I59" s="7">
        <v>39.99</v>
      </c>
      <c r="J59" s="7">
        <v>41.29</v>
      </c>
      <c r="K59" s="7">
        <v>39.979999999999997</v>
      </c>
      <c r="L59" s="7">
        <v>1.0280581362365699</v>
      </c>
    </row>
    <row r="60" spans="1:12" ht="15" customHeight="1" x14ac:dyDescent="0.2">
      <c r="A60" s="3">
        <v>45964</v>
      </c>
      <c r="B60" s="4">
        <v>40.07</v>
      </c>
      <c r="C60" s="5">
        <v>256550</v>
      </c>
      <c r="D60" s="4">
        <v>-0.15999999999999601</v>
      </c>
      <c r="E60" s="4">
        <v>-0.39771314939098801</v>
      </c>
      <c r="F60" s="4">
        <v>-0.39771225185179998</v>
      </c>
      <c r="G60" s="4">
        <v>40.659621999999999</v>
      </c>
      <c r="H60" s="4">
        <v>1.1515059151293601</v>
      </c>
      <c r="I60" s="4">
        <v>40.43</v>
      </c>
      <c r="J60" s="4">
        <v>40.450000000000003</v>
      </c>
      <c r="K60" s="4">
        <v>39.71</v>
      </c>
      <c r="L60" s="4">
        <v>-0.31533391974883901</v>
      </c>
    </row>
    <row r="61" spans="1:12" ht="15" customHeight="1" x14ac:dyDescent="0.2">
      <c r="A61" s="6">
        <v>45961</v>
      </c>
      <c r="B61" s="7">
        <v>40.229999999999997</v>
      </c>
      <c r="C61" s="8">
        <v>389776</v>
      </c>
      <c r="D61" s="7">
        <v>-0.20000000000000201</v>
      </c>
      <c r="E61" s="7">
        <v>-0.494682166707893</v>
      </c>
      <c r="F61" s="7">
        <v>-0.49468469408350202</v>
      </c>
      <c r="G61" s="7">
        <v>40.821975999999999</v>
      </c>
      <c r="H61" s="7">
        <v>1.5554042000505801</v>
      </c>
      <c r="I61" s="7">
        <v>40.950000000000003</v>
      </c>
      <c r="J61" s="7">
        <v>40.96</v>
      </c>
      <c r="K61" s="7">
        <v>39.880000000000003</v>
      </c>
      <c r="L61" s="7">
        <v>8.27081709134979E-2</v>
      </c>
    </row>
    <row r="62" spans="1:12" ht="15" customHeight="1" x14ac:dyDescent="0.2">
      <c r="A62" s="3">
        <v>45960</v>
      </c>
      <c r="B62" s="4">
        <v>40.43</v>
      </c>
      <c r="C62" s="5">
        <v>355070</v>
      </c>
      <c r="D62" s="4">
        <v>2.0000000000003099E-2</v>
      </c>
      <c r="E62" s="4">
        <v>4.94926998267919E-2</v>
      </c>
      <c r="F62" s="4">
        <v>4.9499296701260798E-2</v>
      </c>
      <c r="G62" s="4">
        <v>41.024920000000002</v>
      </c>
      <c r="H62" s="4">
        <v>2.0602807878467</v>
      </c>
      <c r="I62" s="4">
        <v>40.61</v>
      </c>
      <c r="J62" s="4">
        <v>40.97</v>
      </c>
      <c r="K62" s="4">
        <v>39.869999999999997</v>
      </c>
      <c r="L62" s="4">
        <v>0.58026078424143701</v>
      </c>
    </row>
    <row r="63" spans="1:12" ht="15" customHeight="1" x14ac:dyDescent="0.2">
      <c r="A63" s="6">
        <v>45959</v>
      </c>
      <c r="B63" s="7">
        <v>40.409999999999997</v>
      </c>
      <c r="C63" s="8">
        <v>217880</v>
      </c>
      <c r="D63" s="7">
        <v>0.29999999999999699</v>
      </c>
      <c r="E63" s="7">
        <v>0.74794315632011799</v>
      </c>
      <c r="F63" s="7">
        <v>0.74793962979553497</v>
      </c>
      <c r="G63" s="7">
        <v>41.004623000000002</v>
      </c>
      <c r="H63" s="7">
        <v>2.0097866608831199</v>
      </c>
      <c r="I63" s="7">
        <v>40.159999999999997</v>
      </c>
      <c r="J63" s="7">
        <v>41.01</v>
      </c>
      <c r="K63" s="7">
        <v>39.520000000000003</v>
      </c>
      <c r="L63" s="7">
        <v>0.53050552290863595</v>
      </c>
    </row>
    <row r="64" spans="1:12" ht="15" customHeight="1" x14ac:dyDescent="0.2">
      <c r="A64" s="3">
        <v>45958</v>
      </c>
      <c r="B64" s="4">
        <v>40.11</v>
      </c>
      <c r="C64" s="5">
        <v>402542</v>
      </c>
      <c r="D64" s="4">
        <v>-9.9999999999980105E-3</v>
      </c>
      <c r="E64" s="4">
        <v>-2.49252243270103E-2</v>
      </c>
      <c r="F64" s="4">
        <v>-2.49273170233488E-2</v>
      </c>
      <c r="G64" s="4">
        <v>40.700209999999998</v>
      </c>
      <c r="H64" s="4">
        <v>1.2524792424781299</v>
      </c>
      <c r="I64" s="4">
        <v>40.21</v>
      </c>
      <c r="J64" s="4">
        <v>41.01</v>
      </c>
      <c r="K64" s="4">
        <v>39.21</v>
      </c>
      <c r="L64" s="4">
        <v>-0.21582339708325399</v>
      </c>
    </row>
    <row r="65" spans="1:12" ht="15" customHeight="1" x14ac:dyDescent="0.2">
      <c r="A65" s="6">
        <v>45957</v>
      </c>
      <c r="B65" s="7">
        <v>40.119999999999997</v>
      </c>
      <c r="C65" s="8">
        <v>765150</v>
      </c>
      <c r="D65" s="7">
        <v>1.3999999999999899</v>
      </c>
      <c r="E65" s="7">
        <v>3.6157024793388399</v>
      </c>
      <c r="F65" s="7">
        <v>3.6157031971462499</v>
      </c>
      <c r="G65" s="7">
        <v>40.710357999999999</v>
      </c>
      <c r="H65" s="7">
        <v>1.27772506207839</v>
      </c>
      <c r="I65" s="7">
        <v>38.909999999999997</v>
      </c>
      <c r="J65" s="7">
        <v>40.28</v>
      </c>
      <c r="K65" s="7">
        <v>38.770000000000003</v>
      </c>
      <c r="L65" s="7">
        <v>-0.19094576641686301</v>
      </c>
    </row>
    <row r="66" spans="1:12" ht="15" customHeight="1" x14ac:dyDescent="0.2">
      <c r="A66" s="3">
        <v>45954</v>
      </c>
      <c r="B66" s="4">
        <v>38.72</v>
      </c>
      <c r="C66" s="5">
        <v>1668134</v>
      </c>
      <c r="D66" s="4">
        <v>-0.160000000000003</v>
      </c>
      <c r="E66" s="4">
        <v>-0.41152263374486497</v>
      </c>
      <c r="F66" s="4">
        <v>-0.41152927825363</v>
      </c>
      <c r="G66" s="4">
        <v>39.289757000000002</v>
      </c>
      <c r="H66" s="4">
        <v>-2.2563936381529599</v>
      </c>
      <c r="I66" s="4">
        <v>39.47</v>
      </c>
      <c r="J66" s="4">
        <v>39.79</v>
      </c>
      <c r="K66" s="4">
        <v>38.5</v>
      </c>
      <c r="L66" s="4">
        <v>-3.6738140597123801</v>
      </c>
    </row>
    <row r="67" spans="1:12" ht="15" customHeight="1" x14ac:dyDescent="0.2">
      <c r="A67" s="6">
        <v>45953</v>
      </c>
      <c r="B67" s="7">
        <v>38.880000000000003</v>
      </c>
      <c r="C67" s="8">
        <v>1173133</v>
      </c>
      <c r="D67" s="7">
        <v>-1.3599999999999901</v>
      </c>
      <c r="E67" s="7">
        <v>-3.37972166998011</v>
      </c>
      <c r="F67" s="7">
        <v>-3.3797235201585099</v>
      </c>
      <c r="G67" s="7">
        <v>39.452114000000002</v>
      </c>
      <c r="H67" s="7">
        <v>-1.8524878899425401</v>
      </c>
      <c r="I67" s="7">
        <v>40.700000000000003</v>
      </c>
      <c r="J67" s="7">
        <v>41.1</v>
      </c>
      <c r="K67" s="7">
        <v>38.47</v>
      </c>
      <c r="L67" s="7">
        <v>-3.27577196905002</v>
      </c>
    </row>
    <row r="68" spans="1:12" ht="15" customHeight="1" x14ac:dyDescent="0.2">
      <c r="A68" s="3">
        <v>45952</v>
      </c>
      <c r="B68" s="4">
        <v>40.24</v>
      </c>
      <c r="C68" s="5">
        <v>361914</v>
      </c>
      <c r="D68" s="4">
        <v>6.0000000000002197E-2</v>
      </c>
      <c r="E68" s="4">
        <v>0.149328023892492</v>
      </c>
      <c r="F68" s="4">
        <v>0.14933811186512699</v>
      </c>
      <c r="G68" s="4">
        <v>40.832127</v>
      </c>
      <c r="H68" s="4">
        <v>1.5806574829400399</v>
      </c>
      <c r="I68" s="4">
        <v>40.82</v>
      </c>
      <c r="J68" s="4">
        <v>41.06</v>
      </c>
      <c r="K68" s="4">
        <v>39.5</v>
      </c>
      <c r="L68" s="4">
        <v>0.10758580157990701</v>
      </c>
    </row>
    <row r="69" spans="1:12" ht="15" customHeight="1" x14ac:dyDescent="0.2">
      <c r="A69" s="6">
        <v>45951</v>
      </c>
      <c r="B69" s="7">
        <v>40.18</v>
      </c>
      <c r="C69" s="8">
        <v>286400</v>
      </c>
      <c r="D69" s="7">
        <v>-0.95000000000000195</v>
      </c>
      <c r="E69" s="7">
        <v>-2.3097495745198202</v>
      </c>
      <c r="F69" s="7">
        <v>-2.3097518115394999</v>
      </c>
      <c r="G69" s="7">
        <v>40.771239999999999</v>
      </c>
      <c r="H69" s="7">
        <v>1.42918505310155</v>
      </c>
      <c r="I69" s="7">
        <v>41.11</v>
      </c>
      <c r="J69" s="7">
        <v>41.11</v>
      </c>
      <c r="K69" s="7">
        <v>39.549999999999997</v>
      </c>
      <c r="L69" s="7">
        <v>-4.1679982418477902E-2</v>
      </c>
    </row>
    <row r="70" spans="1:12" ht="15" customHeight="1" x14ac:dyDescent="0.2">
      <c r="A70" s="3">
        <v>45950</v>
      </c>
      <c r="B70" s="4">
        <v>41.13</v>
      </c>
      <c r="C70" s="5">
        <v>187191</v>
      </c>
      <c r="D70" s="4">
        <v>0.27000000000000302</v>
      </c>
      <c r="E70" s="4">
        <v>0.66079295154186601</v>
      </c>
      <c r="F70" s="4">
        <v>0.66079538468282095</v>
      </c>
      <c r="G70" s="4">
        <v>41.735219999999998</v>
      </c>
      <c r="H70" s="4">
        <v>3.8273388940808499</v>
      </c>
      <c r="I70" s="4">
        <v>40.86</v>
      </c>
      <c r="J70" s="4">
        <v>41.47</v>
      </c>
      <c r="K70" s="4">
        <v>40.549999999999997</v>
      </c>
      <c r="L70" s="4">
        <v>2.3216949308891999</v>
      </c>
    </row>
    <row r="71" spans="1:12" ht="15" customHeight="1" x14ac:dyDescent="0.2">
      <c r="A71" s="6">
        <v>45947</v>
      </c>
      <c r="B71" s="7">
        <v>40.86</v>
      </c>
      <c r="C71" s="8">
        <v>309817</v>
      </c>
      <c r="D71" s="7">
        <v>-0.81000000000000205</v>
      </c>
      <c r="E71" s="7">
        <v>-1.9438444924406</v>
      </c>
      <c r="F71" s="7">
        <v>-1.94384455373668</v>
      </c>
      <c r="G71" s="7">
        <v>41.461246000000003</v>
      </c>
      <c r="H71" s="7">
        <v>3.14575649566132</v>
      </c>
      <c r="I71" s="7">
        <v>41.8</v>
      </c>
      <c r="J71" s="7">
        <v>41.8</v>
      </c>
      <c r="K71" s="7">
        <v>40.369999999999997</v>
      </c>
      <c r="L71" s="7">
        <v>1.6499989028964801</v>
      </c>
    </row>
    <row r="72" spans="1:12" ht="15" customHeight="1" x14ac:dyDescent="0.2">
      <c r="A72" s="3">
        <v>45946</v>
      </c>
      <c r="B72" s="4">
        <v>41.67</v>
      </c>
      <c r="C72" s="5">
        <v>346404</v>
      </c>
      <c r="D72" s="4">
        <v>1.01</v>
      </c>
      <c r="E72" s="4">
        <v>2.4840137727496399</v>
      </c>
      <c r="F72" s="4">
        <v>2.4840089771017002</v>
      </c>
      <c r="G72" s="4">
        <v>42.283164999999997</v>
      </c>
      <c r="H72" s="4">
        <v>5.1904962276307103</v>
      </c>
      <c r="I72" s="4">
        <v>40.700000000000003</v>
      </c>
      <c r="J72" s="4">
        <v>41.88</v>
      </c>
      <c r="K72" s="4">
        <v>40.5</v>
      </c>
      <c r="L72" s="4">
        <v>3.6650869868746199</v>
      </c>
    </row>
    <row r="73" spans="1:12" ht="15" customHeight="1" x14ac:dyDescent="0.2">
      <c r="A73" s="6">
        <v>45945</v>
      </c>
      <c r="B73" s="7">
        <v>40.659999999999997</v>
      </c>
      <c r="C73" s="8">
        <v>671770</v>
      </c>
      <c r="D73" s="7">
        <v>0.41999999999999399</v>
      </c>
      <c r="E73" s="7">
        <v>1.04373757455267</v>
      </c>
      <c r="F73" s="7">
        <v>1.0437320593169099</v>
      </c>
      <c r="G73" s="7">
        <v>41.258305</v>
      </c>
      <c r="H73" s="7">
        <v>2.6408873711543999</v>
      </c>
      <c r="I73" s="7">
        <v>40.1</v>
      </c>
      <c r="J73" s="7">
        <v>41.99</v>
      </c>
      <c r="K73" s="7">
        <v>39.840000000000003</v>
      </c>
      <c r="L73" s="7">
        <v>1.1524462895685501</v>
      </c>
    </row>
    <row r="74" spans="1:12" ht="15" customHeight="1" x14ac:dyDescent="0.2">
      <c r="A74" s="3">
        <v>45944</v>
      </c>
      <c r="B74" s="4">
        <v>40.24</v>
      </c>
      <c r="C74" s="5">
        <v>450878</v>
      </c>
      <c r="D74" s="4">
        <v>-1.0899999999999901</v>
      </c>
      <c r="E74" s="4">
        <v>-2.63730946044035</v>
      </c>
      <c r="F74" s="4">
        <v>-2.6373042940077198</v>
      </c>
      <c r="G74" s="4">
        <v>40.832127</v>
      </c>
      <c r="H74" s="4">
        <v>1.5806574829400399</v>
      </c>
      <c r="I74" s="4">
        <v>41.53</v>
      </c>
      <c r="J74" s="4">
        <v>41.53</v>
      </c>
      <c r="K74" s="4">
        <v>40.130000000000003</v>
      </c>
      <c r="L74" s="4">
        <v>0.10758580157990701</v>
      </c>
    </row>
    <row r="75" spans="1:12" ht="15" customHeight="1" x14ac:dyDescent="0.2">
      <c r="A75" s="6">
        <v>45943</v>
      </c>
      <c r="B75" s="7">
        <v>41.33</v>
      </c>
      <c r="C75" s="8">
        <v>341557</v>
      </c>
      <c r="D75" s="7">
        <v>0.71999999999999797</v>
      </c>
      <c r="E75" s="7">
        <v>1.7729623245505901</v>
      </c>
      <c r="F75" s="7">
        <v>1.7729606477644799</v>
      </c>
      <c r="G75" s="7">
        <v>41.938164</v>
      </c>
      <c r="H75" s="7">
        <v>4.33221548187697</v>
      </c>
      <c r="I75" s="7">
        <v>40.76</v>
      </c>
      <c r="J75" s="7">
        <v>41.88</v>
      </c>
      <c r="K75" s="7">
        <v>40.24</v>
      </c>
      <c r="L75" s="7">
        <v>2.8192475442171201</v>
      </c>
    </row>
    <row r="76" spans="1:12" ht="15" customHeight="1" x14ac:dyDescent="0.2">
      <c r="A76" s="3">
        <v>45940</v>
      </c>
      <c r="B76" s="4">
        <v>40.61</v>
      </c>
      <c r="C76" s="5">
        <v>1653523</v>
      </c>
      <c r="D76" s="4">
        <v>0.57999999999999796</v>
      </c>
      <c r="E76" s="4">
        <v>1.4489133150137301</v>
      </c>
      <c r="F76" s="4">
        <v>1.4489167812311701</v>
      </c>
      <c r="G76" s="4">
        <v>41.207569999999997</v>
      </c>
      <c r="H76" s="4">
        <v>2.5146707119684302</v>
      </c>
      <c r="I76" s="4">
        <v>40.03</v>
      </c>
      <c r="J76" s="4">
        <v>41.34</v>
      </c>
      <c r="K76" s="4">
        <v>39.9</v>
      </c>
      <c r="L76" s="4">
        <v>1.0280581362365699</v>
      </c>
    </row>
    <row r="77" spans="1:12" ht="15" customHeight="1" x14ac:dyDescent="0.2">
      <c r="A77" s="6">
        <v>45939</v>
      </c>
      <c r="B77" s="7">
        <v>40.03</v>
      </c>
      <c r="C77" s="8">
        <v>552618</v>
      </c>
      <c r="D77" s="7">
        <v>-0.369999999999997</v>
      </c>
      <c r="E77" s="7">
        <v>-0.915841584158405</v>
      </c>
      <c r="F77" s="7">
        <v>-0.91584525526364702</v>
      </c>
      <c r="G77" s="7">
        <v>40.619033999999999</v>
      </c>
      <c r="H77" s="7">
        <v>1.05053258778059</v>
      </c>
      <c r="I77" s="7">
        <v>40.79</v>
      </c>
      <c r="J77" s="7">
        <v>40.85</v>
      </c>
      <c r="K77" s="7">
        <v>39.5</v>
      </c>
      <c r="L77" s="7">
        <v>-0.41484444241442298</v>
      </c>
    </row>
    <row r="78" spans="1:12" ht="15" customHeight="1" x14ac:dyDescent="0.2">
      <c r="A78" s="3">
        <v>45938</v>
      </c>
      <c r="B78" s="4">
        <v>40.4</v>
      </c>
      <c r="C78" s="5">
        <v>327362</v>
      </c>
      <c r="D78" s="4">
        <v>0.60000000000000098</v>
      </c>
      <c r="E78" s="4">
        <v>1.5075376884422</v>
      </c>
      <c r="F78" s="4">
        <v>1.50754796623662</v>
      </c>
      <c r="G78" s="4">
        <v>40.994480000000003</v>
      </c>
      <c r="H78" s="4">
        <v>1.9845532800982</v>
      </c>
      <c r="I78" s="4">
        <v>40</v>
      </c>
      <c r="J78" s="4">
        <v>40.67</v>
      </c>
      <c r="K78" s="4">
        <v>40</v>
      </c>
      <c r="L78" s="4">
        <v>0.50562789224224403</v>
      </c>
    </row>
    <row r="79" spans="1:12" ht="15" customHeight="1" x14ac:dyDescent="0.2">
      <c r="A79" s="6">
        <v>45937</v>
      </c>
      <c r="B79" s="7">
        <v>39.799999999999997</v>
      </c>
      <c r="C79" s="8">
        <v>441038</v>
      </c>
      <c r="D79" s="7">
        <v>-1.26</v>
      </c>
      <c r="E79" s="7">
        <v>-3.0686799805163298</v>
      </c>
      <c r="F79" s="7">
        <v>-3.06869025565166</v>
      </c>
      <c r="G79" s="7">
        <v>40.385646999999999</v>
      </c>
      <c r="H79" s="7">
        <v>0.46992102894676502</v>
      </c>
      <c r="I79" s="7">
        <v>41.37</v>
      </c>
      <c r="J79" s="7">
        <v>41.37</v>
      </c>
      <c r="K79" s="7">
        <v>39.6</v>
      </c>
      <c r="L79" s="7">
        <v>-0.98702994774155495</v>
      </c>
    </row>
    <row r="80" spans="1:12" ht="15" customHeight="1" x14ac:dyDescent="0.2">
      <c r="A80" s="3">
        <v>45936</v>
      </c>
      <c r="B80" s="4">
        <v>41.06</v>
      </c>
      <c r="C80" s="5">
        <v>335947</v>
      </c>
      <c r="D80" s="4">
        <v>0.100000000000001</v>
      </c>
      <c r="E80" s="4">
        <v>0.244140625</v>
      </c>
      <c r="F80" s="4">
        <v>0.244149101224544</v>
      </c>
      <c r="G80" s="4">
        <v>41.664192</v>
      </c>
      <c r="H80" s="4">
        <v>3.6506380589835699</v>
      </c>
      <c r="I80" s="4">
        <v>40.799999999999997</v>
      </c>
      <c r="J80" s="4">
        <v>41.49</v>
      </c>
      <c r="K80" s="4">
        <v>40.549999999999997</v>
      </c>
      <c r="L80" s="4">
        <v>2.1475515162244201</v>
      </c>
    </row>
    <row r="81" spans="1:12" ht="15" customHeight="1" x14ac:dyDescent="0.2">
      <c r="A81" s="6">
        <v>45933</v>
      </c>
      <c r="B81" s="7">
        <v>40.96</v>
      </c>
      <c r="C81" s="8">
        <v>262179</v>
      </c>
      <c r="D81" s="7">
        <v>-0.68999999999999695</v>
      </c>
      <c r="E81" s="7">
        <v>-1.6566626650660199</v>
      </c>
      <c r="F81" s="7">
        <v>-1.6566738538256101</v>
      </c>
      <c r="G81" s="7">
        <v>41.562716999999999</v>
      </c>
      <c r="H81" s="7">
        <v>3.39819230179631</v>
      </c>
      <c r="I81" s="7">
        <v>41.8</v>
      </c>
      <c r="J81" s="7">
        <v>42.31</v>
      </c>
      <c r="K81" s="7">
        <v>40.54</v>
      </c>
      <c r="L81" s="7">
        <v>1.89877520956045</v>
      </c>
    </row>
    <row r="82" spans="1:12" ht="15" customHeight="1" x14ac:dyDescent="0.2">
      <c r="A82" s="3">
        <v>45932</v>
      </c>
      <c r="B82" s="4">
        <v>41.65</v>
      </c>
      <c r="C82" s="5">
        <v>433693</v>
      </c>
      <c r="D82" s="4">
        <v>-1.6799999999999899</v>
      </c>
      <c r="E82" s="4">
        <v>-3.8772213247172802</v>
      </c>
      <c r="F82" s="4">
        <v>-3.8772169339081701</v>
      </c>
      <c r="G82" s="4">
        <v>42.262875000000001</v>
      </c>
      <c r="H82" s="4">
        <v>5.1400195150085999</v>
      </c>
      <c r="I82" s="4">
        <v>43.78</v>
      </c>
      <c r="J82" s="4">
        <v>43.78</v>
      </c>
      <c r="K82" s="4">
        <v>40.630000000000003</v>
      </c>
      <c r="L82" s="4">
        <v>3.61533172554181</v>
      </c>
    </row>
    <row r="83" spans="1:12" ht="15" customHeight="1" x14ac:dyDescent="0.2">
      <c r="A83" s="6">
        <v>45931</v>
      </c>
      <c r="B83" s="7">
        <v>43.33</v>
      </c>
      <c r="C83" s="8">
        <v>687074</v>
      </c>
      <c r="D83" s="7">
        <v>0.42000000000000098</v>
      </c>
      <c r="E83" s="7">
        <v>0.97879282218598096</v>
      </c>
      <c r="F83" s="7">
        <v>0.97879692096340898</v>
      </c>
      <c r="G83" s="7">
        <v>43.967593999999998</v>
      </c>
      <c r="H83" s="7">
        <v>9.3809564822074893</v>
      </c>
      <c r="I83" s="7">
        <v>42.74</v>
      </c>
      <c r="J83" s="7">
        <v>43.65</v>
      </c>
      <c r="K83" s="7">
        <v>42.68</v>
      </c>
      <c r="L83" s="7">
        <v>7.7947736774964396</v>
      </c>
    </row>
    <row r="84" spans="1:12" ht="15" customHeight="1" x14ac:dyDescent="0.2">
      <c r="A84" s="3">
        <v>45930</v>
      </c>
      <c r="B84" s="4">
        <v>42.91</v>
      </c>
      <c r="C84" s="5">
        <v>442158</v>
      </c>
      <c r="D84" s="4">
        <v>0.45999999999999303</v>
      </c>
      <c r="E84" s="4">
        <v>1.0836277974086901</v>
      </c>
      <c r="F84" s="4">
        <v>1.0836305963959101</v>
      </c>
      <c r="G84" s="4">
        <v>43.541412000000001</v>
      </c>
      <c r="H84" s="4">
        <v>8.3207166429408694</v>
      </c>
      <c r="I84" s="4">
        <v>42.46</v>
      </c>
      <c r="J84" s="4">
        <v>43.78</v>
      </c>
      <c r="K84" s="4">
        <v>42.13</v>
      </c>
      <c r="L84" s="4">
        <v>6.7499131895077804</v>
      </c>
    </row>
    <row r="85" spans="1:12" ht="15" customHeight="1" x14ac:dyDescent="0.2">
      <c r="A85" s="6">
        <v>45929</v>
      </c>
      <c r="B85" s="7">
        <v>42.45</v>
      </c>
      <c r="C85" s="8">
        <v>485056</v>
      </c>
      <c r="D85" s="7">
        <v>0.30000000000000399</v>
      </c>
      <c r="E85" s="7">
        <v>0.71174377224201202</v>
      </c>
      <c r="F85" s="7">
        <v>0.71173804770281401</v>
      </c>
      <c r="G85" s="7">
        <v>43.074641999999997</v>
      </c>
      <c r="H85" s="7">
        <v>7.1595034763254697</v>
      </c>
      <c r="I85" s="7">
        <v>41.92</v>
      </c>
      <c r="J85" s="7">
        <v>42.91</v>
      </c>
      <c r="K85" s="7">
        <v>41.3</v>
      </c>
      <c r="L85" s="7">
        <v>5.6055421788535504</v>
      </c>
    </row>
    <row r="86" spans="1:12" ht="15" customHeight="1" x14ac:dyDescent="0.2">
      <c r="A86" s="3">
        <v>45926</v>
      </c>
      <c r="B86" s="4">
        <v>42.15</v>
      </c>
      <c r="C86" s="5">
        <v>332301</v>
      </c>
      <c r="D86" s="4"/>
      <c r="E86" s="4"/>
      <c r="F86" s="4"/>
      <c r="G86" s="4">
        <v>42.770229999999998</v>
      </c>
      <c r="H86" s="4">
        <v>6.4021985456835599</v>
      </c>
      <c r="I86" s="4">
        <v>42.49</v>
      </c>
      <c r="J86" s="4">
        <v>42.58</v>
      </c>
      <c r="K86" s="4">
        <v>41.74</v>
      </c>
      <c r="L86" s="4">
        <v>4.8592132588616401</v>
      </c>
    </row>
    <row r="87" spans="1:12" ht="15" customHeight="1" x14ac:dyDescent="0.2">
      <c r="A87" s="6">
        <v>45925</v>
      </c>
      <c r="B87" s="7">
        <v>42.15</v>
      </c>
      <c r="C87" s="8">
        <v>576205</v>
      </c>
      <c r="D87" s="7">
        <v>-0.17999999999999899</v>
      </c>
      <c r="E87" s="7">
        <v>-0.42523033309709302</v>
      </c>
      <c r="F87" s="7">
        <v>-0.42523341857403302</v>
      </c>
      <c r="G87" s="7">
        <v>42.770229999999998</v>
      </c>
      <c r="H87" s="7">
        <v>6.4021985456835599</v>
      </c>
      <c r="I87" s="7">
        <v>42.33</v>
      </c>
      <c r="J87" s="7">
        <v>42.69</v>
      </c>
      <c r="K87" s="7">
        <v>41.59</v>
      </c>
      <c r="L87" s="7">
        <v>4.8592132588616401</v>
      </c>
    </row>
    <row r="88" spans="1:12" ht="15" customHeight="1" x14ac:dyDescent="0.2">
      <c r="A88" s="3">
        <v>45924</v>
      </c>
      <c r="B88" s="4">
        <v>42.33</v>
      </c>
      <c r="C88" s="5">
        <v>685388</v>
      </c>
      <c r="D88" s="4">
        <v>0.55999999999999495</v>
      </c>
      <c r="E88" s="4">
        <v>1.3406751256882701</v>
      </c>
      <c r="F88" s="4">
        <v>1.34068392140962</v>
      </c>
      <c r="G88" s="4">
        <v>42.95288</v>
      </c>
      <c r="H88" s="4">
        <v>6.8565884698052999</v>
      </c>
      <c r="I88" s="4">
        <v>41.99</v>
      </c>
      <c r="J88" s="4">
        <v>42.54</v>
      </c>
      <c r="K88" s="4">
        <v>40.299999999999997</v>
      </c>
      <c r="L88" s="4">
        <v>5.3070106108567803</v>
      </c>
    </row>
    <row r="89" spans="1:12" ht="15" customHeight="1" x14ac:dyDescent="0.2">
      <c r="A89" s="6">
        <v>45923</v>
      </c>
      <c r="B89" s="7">
        <v>41.77</v>
      </c>
      <c r="C89" s="8">
        <v>534927</v>
      </c>
      <c r="D89" s="7">
        <v>0.53000000000000103</v>
      </c>
      <c r="E89" s="7">
        <v>1.2851600387972799</v>
      </c>
      <c r="F89" s="7">
        <v>1.2851531919733901</v>
      </c>
      <c r="G89" s="7">
        <v>42.384636</v>
      </c>
      <c r="H89" s="7">
        <v>5.4429320337657101</v>
      </c>
      <c r="I89" s="7">
        <v>41.31</v>
      </c>
      <c r="J89" s="7">
        <v>41.94</v>
      </c>
      <c r="K89" s="7">
        <v>40.909999999999997</v>
      </c>
      <c r="L89" s="7">
        <v>3.9138632935385802</v>
      </c>
    </row>
    <row r="90" spans="1:12" ht="15" customHeight="1" x14ac:dyDescent="0.2">
      <c r="A90" s="3">
        <v>45922</v>
      </c>
      <c r="B90" s="4">
        <v>41.24</v>
      </c>
      <c r="C90" s="5">
        <v>717218</v>
      </c>
      <c r="D90" s="4">
        <v>0.53000000000000103</v>
      </c>
      <c r="E90" s="4">
        <v>1.30189142716776</v>
      </c>
      <c r="F90" s="4">
        <v>1.3018942100808799</v>
      </c>
      <c r="G90" s="4">
        <v>41.84684</v>
      </c>
      <c r="H90" s="4">
        <v>4.1050230075791703</v>
      </c>
      <c r="I90" s="4">
        <v>40.86</v>
      </c>
      <c r="J90" s="4">
        <v>41.4</v>
      </c>
      <c r="K90" s="4">
        <v>40.619999999999997</v>
      </c>
      <c r="L90" s="4">
        <v>2.5953488682195598</v>
      </c>
    </row>
    <row r="91" spans="1:12" ht="15" customHeight="1" x14ac:dyDescent="0.2">
      <c r="A91" s="6">
        <v>45919</v>
      </c>
      <c r="B91" s="7">
        <v>40.71</v>
      </c>
      <c r="C91" s="8">
        <v>1196996</v>
      </c>
      <c r="D91" s="7">
        <v>-2.0699999999999998</v>
      </c>
      <c r="E91" s="7">
        <v>-4.8387096774193497</v>
      </c>
      <c r="F91" s="7">
        <v>-4.8387016518228902</v>
      </c>
      <c r="G91" s="7">
        <v>41.309040000000003</v>
      </c>
      <c r="H91" s="7">
        <v>2.76710403034037</v>
      </c>
      <c r="I91" s="7">
        <v>42.68</v>
      </c>
      <c r="J91" s="7">
        <v>42.72</v>
      </c>
      <c r="K91" s="7">
        <v>40.119999999999997</v>
      </c>
      <c r="L91" s="7">
        <v>1.27683444290054</v>
      </c>
    </row>
    <row r="92" spans="1:12" ht="15" customHeight="1" x14ac:dyDescent="0.2">
      <c r="A92" s="3">
        <v>45918</v>
      </c>
      <c r="B92" s="4">
        <v>42.78</v>
      </c>
      <c r="C92" s="5">
        <v>422641</v>
      </c>
      <c r="D92" s="4">
        <v>-0.24000000000000199</v>
      </c>
      <c r="E92" s="4">
        <v>-0.55788005578800703</v>
      </c>
      <c r="F92" s="4">
        <v>-0.55788567254094701</v>
      </c>
      <c r="G92" s="4">
        <v>43.409495999999997</v>
      </c>
      <c r="H92" s="4">
        <v>7.9925408902420196</v>
      </c>
      <c r="I92" s="4">
        <v>43</v>
      </c>
      <c r="J92" s="4">
        <v>43.38</v>
      </c>
      <c r="K92" s="4">
        <v>41.49</v>
      </c>
      <c r="L92" s="4">
        <v>6.4265039908446404</v>
      </c>
    </row>
    <row r="93" spans="1:12" ht="15" customHeight="1" x14ac:dyDescent="0.2">
      <c r="A93" s="6">
        <v>45917</v>
      </c>
      <c r="B93" s="7">
        <v>43.02</v>
      </c>
      <c r="C93" s="8">
        <v>548047</v>
      </c>
      <c r="D93" s="7">
        <v>-9.9999999999980105E-3</v>
      </c>
      <c r="E93" s="7">
        <v>-2.3239600278868101E-2</v>
      </c>
      <c r="F93" s="7">
        <v>-2.3239261769703E-2</v>
      </c>
      <c r="G93" s="7">
        <v>43.653030000000001</v>
      </c>
      <c r="H93" s="7">
        <v>8.5983957809130604</v>
      </c>
      <c r="I93" s="7">
        <v>43.1</v>
      </c>
      <c r="J93" s="7">
        <v>43.29</v>
      </c>
      <c r="K93" s="7">
        <v>41.43</v>
      </c>
      <c r="L93" s="7">
        <v>7.0235671268381603</v>
      </c>
    </row>
    <row r="94" spans="1:12" ht="15" customHeight="1" x14ac:dyDescent="0.2">
      <c r="A94" s="3">
        <v>45915</v>
      </c>
      <c r="B94" s="4">
        <v>43.03</v>
      </c>
      <c r="C94" s="5">
        <v>156849</v>
      </c>
      <c r="D94" s="4">
        <v>0.100000000000001</v>
      </c>
      <c r="E94" s="4">
        <v>0.23293733985558701</v>
      </c>
      <c r="F94" s="4">
        <v>0.23293393897534301</v>
      </c>
      <c r="G94" s="4">
        <v>43.663176999999997</v>
      </c>
      <c r="H94" s="4">
        <v>8.6236391127502401</v>
      </c>
      <c r="I94" s="4">
        <v>43</v>
      </c>
      <c r="J94" s="4">
        <v>43.3</v>
      </c>
      <c r="K94" s="4">
        <v>42.7</v>
      </c>
      <c r="L94" s="4">
        <v>7.0484447575045497</v>
      </c>
    </row>
    <row r="95" spans="1:12" ht="15" customHeight="1" x14ac:dyDescent="0.2">
      <c r="A95" s="6">
        <v>45912</v>
      </c>
      <c r="B95" s="7">
        <v>42.93</v>
      </c>
      <c r="C95" s="8">
        <v>325641</v>
      </c>
      <c r="D95" s="7">
        <v>-3.9999999999999099E-2</v>
      </c>
      <c r="E95" s="7">
        <v>-9.3088201070512494E-2</v>
      </c>
      <c r="F95" s="7">
        <v>-9.3086843249878801E-2</v>
      </c>
      <c r="G95" s="7">
        <v>43.561706999999998</v>
      </c>
      <c r="H95" s="7">
        <v>8.3712057943783194</v>
      </c>
      <c r="I95" s="7">
        <v>42.99</v>
      </c>
      <c r="J95" s="7">
        <v>43.05</v>
      </c>
      <c r="K95" s="7">
        <v>42.44</v>
      </c>
      <c r="L95" s="7">
        <v>6.7996684508405796</v>
      </c>
    </row>
    <row r="96" spans="1:12" ht="15" customHeight="1" x14ac:dyDescent="0.2">
      <c r="A96" s="3">
        <v>45911</v>
      </c>
      <c r="B96" s="4">
        <v>42.97</v>
      </c>
      <c r="C96" s="5">
        <v>319077</v>
      </c>
      <c r="D96" s="4">
        <v>0.39999999999999802</v>
      </c>
      <c r="E96" s="4">
        <v>0.93962884660558899</v>
      </c>
      <c r="F96" s="4">
        <v>0.93963370610892205</v>
      </c>
      <c r="G96" s="4">
        <v>43.602294999999998</v>
      </c>
      <c r="H96" s="4">
        <v>8.4721791217270894</v>
      </c>
      <c r="I96" s="4">
        <v>42.87</v>
      </c>
      <c r="J96" s="4">
        <v>43.23</v>
      </c>
      <c r="K96" s="4">
        <v>42.46</v>
      </c>
      <c r="L96" s="4">
        <v>6.8991789735061699</v>
      </c>
    </row>
    <row r="97" spans="1:12" ht="15" customHeight="1" x14ac:dyDescent="0.2">
      <c r="A97" s="6">
        <v>45910</v>
      </c>
      <c r="B97" s="7">
        <v>42.57</v>
      </c>
      <c r="C97" s="8">
        <v>251198</v>
      </c>
      <c r="D97" s="7">
        <v>-0.119999999999997</v>
      </c>
      <c r="E97" s="7">
        <v>-0.28109627547434601</v>
      </c>
      <c r="F97" s="7">
        <v>-0.28109450232571798</v>
      </c>
      <c r="G97" s="7">
        <v>43.196407000000001</v>
      </c>
      <c r="H97" s="7">
        <v>7.4624259461348501</v>
      </c>
      <c r="I97" s="7">
        <v>42.77</v>
      </c>
      <c r="J97" s="7">
        <v>42.77</v>
      </c>
      <c r="K97" s="7">
        <v>42.26</v>
      </c>
      <c r="L97" s="7">
        <v>5.9040737468503099</v>
      </c>
    </row>
    <row r="98" spans="1:12" ht="15" customHeight="1" x14ac:dyDescent="0.2">
      <c r="A98" s="3">
        <v>45909</v>
      </c>
      <c r="B98" s="4">
        <v>42.69</v>
      </c>
      <c r="C98" s="5">
        <v>355552</v>
      </c>
      <c r="D98" s="4">
        <v>9.9999999999994302E-2</v>
      </c>
      <c r="E98" s="4">
        <v>0.23479690068088899</v>
      </c>
      <c r="F98" s="4">
        <v>0.23479812202225001</v>
      </c>
      <c r="G98" s="4">
        <v>43.318171999999997</v>
      </c>
      <c r="H98" s="4">
        <v>7.7653484159442296</v>
      </c>
      <c r="I98" s="4">
        <v>42.68</v>
      </c>
      <c r="J98" s="4">
        <v>42.8</v>
      </c>
      <c r="K98" s="4">
        <v>42.34</v>
      </c>
      <c r="L98" s="4">
        <v>6.2026053148470597</v>
      </c>
    </row>
    <row r="99" spans="1:12" ht="15" customHeight="1" x14ac:dyDescent="0.2">
      <c r="A99" s="6">
        <v>45908</v>
      </c>
      <c r="B99" s="7">
        <v>42.59</v>
      </c>
      <c r="C99" s="8">
        <v>238854</v>
      </c>
      <c r="D99" s="7">
        <v>0.20000000000000201</v>
      </c>
      <c r="E99" s="7">
        <v>0.471809389006838</v>
      </c>
      <c r="F99" s="7">
        <v>0.47180251156839698</v>
      </c>
      <c r="G99" s="7">
        <v>43.216700000000003</v>
      </c>
      <c r="H99" s="7">
        <v>7.51291012204618</v>
      </c>
      <c r="I99" s="7">
        <v>42.39</v>
      </c>
      <c r="J99" s="7">
        <v>42.65</v>
      </c>
      <c r="K99" s="7">
        <v>42.15</v>
      </c>
      <c r="L99" s="7">
        <v>5.95382900818311</v>
      </c>
    </row>
    <row r="100" spans="1:12" ht="15" customHeight="1" x14ac:dyDescent="0.2">
      <c r="A100" s="3">
        <v>45905</v>
      </c>
      <c r="B100" s="4">
        <v>42.39</v>
      </c>
      <c r="C100" s="5">
        <v>244121</v>
      </c>
      <c r="D100" s="4">
        <v>0.369999999999997</v>
      </c>
      <c r="E100" s="4">
        <v>0.88053307948594495</v>
      </c>
      <c r="F100" s="4">
        <v>0.88052959501192496</v>
      </c>
      <c r="G100" s="4">
        <v>43.013759999999998</v>
      </c>
      <c r="H100" s="4">
        <v>7.0080434853023101</v>
      </c>
      <c r="I100" s="4">
        <v>42.1</v>
      </c>
      <c r="J100" s="4">
        <v>42.59</v>
      </c>
      <c r="K100" s="4">
        <v>41.63</v>
      </c>
      <c r="L100" s="4">
        <v>5.4562763948551698</v>
      </c>
    </row>
    <row r="101" spans="1:12" ht="15" customHeight="1" x14ac:dyDescent="0.2">
      <c r="A101" s="6">
        <v>45904</v>
      </c>
      <c r="B101" s="7">
        <v>42.02</v>
      </c>
      <c r="C101" s="8">
        <v>321885</v>
      </c>
      <c r="D101" s="7">
        <v>0.12000000000000401</v>
      </c>
      <c r="E101" s="7">
        <v>0.28639618138426298</v>
      </c>
      <c r="F101" s="7">
        <v>0.28639434354884502</v>
      </c>
      <c r="G101" s="7">
        <v>42.638317000000001</v>
      </c>
      <c r="H101" s="7">
        <v>6.0740302562739297</v>
      </c>
      <c r="I101" s="7">
        <v>41.53</v>
      </c>
      <c r="J101" s="7">
        <v>42.17</v>
      </c>
      <c r="K101" s="7">
        <v>41.53</v>
      </c>
      <c r="L101" s="7">
        <v>4.5358040601985001</v>
      </c>
    </row>
    <row r="102" spans="1:12" ht="15" customHeight="1" x14ac:dyDescent="0.2">
      <c r="A102" s="3">
        <v>45903</v>
      </c>
      <c r="B102" s="4">
        <v>41.9</v>
      </c>
      <c r="C102" s="5">
        <v>295773</v>
      </c>
      <c r="D102" s="4">
        <v>8.9999999999996305E-2</v>
      </c>
      <c r="E102" s="4">
        <v>0.215259507294907</v>
      </c>
      <c r="F102" s="4">
        <v>0.215253989194641</v>
      </c>
      <c r="G102" s="4">
        <v>42.516551999999997</v>
      </c>
      <c r="H102" s="4">
        <v>5.7711077864645404</v>
      </c>
      <c r="I102" s="4">
        <v>42.04</v>
      </c>
      <c r="J102" s="4">
        <v>42.39</v>
      </c>
      <c r="K102" s="4">
        <v>41.66</v>
      </c>
      <c r="L102" s="4">
        <v>4.23727249220173</v>
      </c>
    </row>
    <row r="103" spans="1:12" ht="15" customHeight="1" x14ac:dyDescent="0.2">
      <c r="A103" s="6">
        <v>45902</v>
      </c>
      <c r="B103" s="7">
        <v>41.81</v>
      </c>
      <c r="C103" s="8">
        <v>218285</v>
      </c>
      <c r="D103" s="7">
        <v>-0.16999999999999399</v>
      </c>
      <c r="E103" s="7">
        <v>-0.40495474035253598</v>
      </c>
      <c r="F103" s="7">
        <v>-0.40493946566394401</v>
      </c>
      <c r="G103" s="7">
        <v>42.425229999999999</v>
      </c>
      <c r="H103" s="7">
        <v>5.5439202876928801</v>
      </c>
      <c r="I103" s="7">
        <v>42</v>
      </c>
      <c r="J103" s="7">
        <v>42</v>
      </c>
      <c r="K103" s="7">
        <v>41.56</v>
      </c>
      <c r="L103" s="7">
        <v>4.0133738162041697</v>
      </c>
    </row>
    <row r="104" spans="1:12" ht="15" customHeight="1" x14ac:dyDescent="0.2">
      <c r="A104" s="3">
        <v>45901</v>
      </c>
      <c r="B104" s="4">
        <v>41.98</v>
      </c>
      <c r="C104" s="5">
        <v>46420</v>
      </c>
      <c r="D104" s="4">
        <v>-7.0000000000000201E-2</v>
      </c>
      <c r="E104" s="4">
        <v>-0.16646848989299001</v>
      </c>
      <c r="F104" s="4">
        <v>-0.16646841465142101</v>
      </c>
      <c r="G104" s="4">
        <v>42.597724999999997</v>
      </c>
      <c r="H104" s="4">
        <v>5.9730469778728796</v>
      </c>
      <c r="I104" s="4">
        <v>42.05</v>
      </c>
      <c r="J104" s="4">
        <v>42.05</v>
      </c>
      <c r="K104" s="4">
        <v>41.71</v>
      </c>
      <c r="L104" s="4">
        <v>4.4362935375329</v>
      </c>
    </row>
    <row r="105" spans="1:12" ht="15" customHeight="1" x14ac:dyDescent="0.2">
      <c r="A105" s="6">
        <v>45898</v>
      </c>
      <c r="B105" s="7">
        <v>42.05</v>
      </c>
      <c r="C105" s="8">
        <v>229703</v>
      </c>
      <c r="D105" s="7">
        <v>0.39999999999999802</v>
      </c>
      <c r="E105" s="7">
        <v>0.96038415366146401</v>
      </c>
      <c r="F105" s="7">
        <v>0.96037006474356501</v>
      </c>
      <c r="G105" s="7">
        <v>42.668754999999997</v>
      </c>
      <c r="H105" s="7">
        <v>6.1497527884962997</v>
      </c>
      <c r="I105" s="7">
        <v>41.69</v>
      </c>
      <c r="J105" s="7">
        <v>42.29</v>
      </c>
      <c r="K105" s="7">
        <v>41.62</v>
      </c>
      <c r="L105" s="7">
        <v>4.61043695219767</v>
      </c>
    </row>
    <row r="106" spans="1:12" ht="15" customHeight="1" x14ac:dyDescent="0.2">
      <c r="A106" s="3">
        <v>45897</v>
      </c>
      <c r="B106" s="4">
        <v>41.65</v>
      </c>
      <c r="C106" s="5">
        <v>515513</v>
      </c>
      <c r="D106" s="4">
        <v>0.39</v>
      </c>
      <c r="E106" s="4">
        <v>0.94522539990304899</v>
      </c>
      <c r="F106" s="4">
        <v>0.94524033531793095</v>
      </c>
      <c r="G106" s="4">
        <v>42.262875000000001</v>
      </c>
      <c r="H106" s="4">
        <v>5.1400195150085999</v>
      </c>
      <c r="I106" s="4">
        <v>41.01</v>
      </c>
      <c r="J106" s="4">
        <v>41.7</v>
      </c>
      <c r="K106" s="4">
        <v>40.9</v>
      </c>
      <c r="L106" s="4">
        <v>3.61533172554181</v>
      </c>
    </row>
    <row r="107" spans="1:12" ht="15" customHeight="1" x14ac:dyDescent="0.2">
      <c r="A107" s="6">
        <v>45896</v>
      </c>
      <c r="B107" s="7">
        <v>41.26</v>
      </c>
      <c r="C107" s="8">
        <v>225013</v>
      </c>
      <c r="D107" s="7">
        <v>-0.77000000000000302</v>
      </c>
      <c r="E107" s="7">
        <v>-1.8320247442303199</v>
      </c>
      <c r="F107" s="7">
        <v>-1.8320239464683901</v>
      </c>
      <c r="G107" s="7">
        <v>41.867130000000003</v>
      </c>
      <c r="H107" s="7">
        <v>4.1554997202012904</v>
      </c>
      <c r="I107" s="7">
        <v>41.98</v>
      </c>
      <c r="J107" s="7">
        <v>41.98</v>
      </c>
      <c r="K107" s="7">
        <v>40.9</v>
      </c>
      <c r="L107" s="7">
        <v>2.6451041295523501</v>
      </c>
    </row>
    <row r="108" spans="1:12" ht="15" customHeight="1" x14ac:dyDescent="0.2">
      <c r="A108" s="3">
        <v>45895</v>
      </c>
      <c r="B108" s="4">
        <v>42.03</v>
      </c>
      <c r="C108" s="5">
        <v>554431</v>
      </c>
      <c r="D108" s="4">
        <v>0.67999999999999905</v>
      </c>
      <c r="E108" s="4">
        <v>1.6444981862152299</v>
      </c>
      <c r="F108" s="4">
        <v>1.6444981504799701</v>
      </c>
      <c r="G108" s="4">
        <v>42.64846</v>
      </c>
      <c r="H108" s="4">
        <v>6.0992636370588498</v>
      </c>
      <c r="I108" s="4">
        <v>41.49</v>
      </c>
      <c r="J108" s="4">
        <v>42.6</v>
      </c>
      <c r="K108" s="4">
        <v>41.15</v>
      </c>
      <c r="L108" s="4">
        <v>4.5606816908648904</v>
      </c>
    </row>
    <row r="109" spans="1:12" ht="15" customHeight="1" x14ac:dyDescent="0.2">
      <c r="A109" s="6">
        <v>45894</v>
      </c>
      <c r="B109" s="7">
        <v>41.35</v>
      </c>
      <c r="C109" s="8">
        <v>193858</v>
      </c>
      <c r="D109" s="7">
        <v>-0.46</v>
      </c>
      <c r="E109" s="7">
        <v>-1.10021525950729</v>
      </c>
      <c r="F109" s="7">
        <v>-1.10023210245412</v>
      </c>
      <c r="G109" s="7">
        <v>41.958454000000003</v>
      </c>
      <c r="H109" s="7">
        <v>4.3826921944991</v>
      </c>
      <c r="I109" s="7">
        <v>41.96</v>
      </c>
      <c r="J109" s="7">
        <v>41.96</v>
      </c>
      <c r="K109" s="7">
        <v>41.04</v>
      </c>
      <c r="L109" s="7">
        <v>2.8690028055499202</v>
      </c>
    </row>
    <row r="110" spans="1:12" ht="15" customHeight="1" x14ac:dyDescent="0.2">
      <c r="A110" s="3">
        <v>45891</v>
      </c>
      <c r="B110" s="4">
        <v>41.81</v>
      </c>
      <c r="C110" s="5">
        <v>174493</v>
      </c>
      <c r="D110" s="4">
        <v>2.0000000000003099E-2</v>
      </c>
      <c r="E110" s="4">
        <v>4.7858339315642803E-2</v>
      </c>
      <c r="F110" s="4">
        <v>4.7862354885408402E-2</v>
      </c>
      <c r="G110" s="4">
        <v>42.425229999999999</v>
      </c>
      <c r="H110" s="4">
        <v>5.5439202876928801</v>
      </c>
      <c r="I110" s="4">
        <v>41.8</v>
      </c>
      <c r="J110" s="4">
        <v>41.99</v>
      </c>
      <c r="K110" s="4">
        <v>41.57</v>
      </c>
      <c r="L110" s="4">
        <v>4.0133738162041697</v>
      </c>
    </row>
    <row r="111" spans="1:12" ht="15" customHeight="1" x14ac:dyDescent="0.2">
      <c r="A111" s="6">
        <v>45890</v>
      </c>
      <c r="B111" s="7">
        <v>41.79</v>
      </c>
      <c r="C111" s="8">
        <v>125406</v>
      </c>
      <c r="D111" s="7">
        <v>3.9999999999999099E-2</v>
      </c>
      <c r="E111" s="7">
        <v>9.5808383233530997E-2</v>
      </c>
      <c r="F111" s="7">
        <v>9.5821155245179299E-2</v>
      </c>
      <c r="G111" s="7">
        <v>42.404933999999997</v>
      </c>
      <c r="H111" s="7">
        <v>5.49342864849236</v>
      </c>
      <c r="I111" s="7">
        <v>41.8</v>
      </c>
      <c r="J111" s="7">
        <v>42</v>
      </c>
      <c r="K111" s="7">
        <v>41.55</v>
      </c>
      <c r="L111" s="7">
        <v>3.96361855487137</v>
      </c>
    </row>
    <row r="112" spans="1:12" ht="15" customHeight="1" x14ac:dyDescent="0.2">
      <c r="A112" s="3">
        <v>45889</v>
      </c>
      <c r="B112" s="4">
        <v>41.75</v>
      </c>
      <c r="C112" s="5">
        <v>201535</v>
      </c>
      <c r="D112" s="4">
        <v>-0.439999999999997</v>
      </c>
      <c r="E112" s="4">
        <v>-1.04290116141265</v>
      </c>
      <c r="F112" s="4">
        <v>-1.04290929456194</v>
      </c>
      <c r="G112" s="4">
        <v>42.364339999999999</v>
      </c>
      <c r="H112" s="4">
        <v>5.39244039456519</v>
      </c>
      <c r="I112" s="4">
        <v>42.19</v>
      </c>
      <c r="J112" s="4">
        <v>42.59</v>
      </c>
      <c r="K112" s="4">
        <v>41.51</v>
      </c>
      <c r="L112" s="4">
        <v>3.8641080322057801</v>
      </c>
    </row>
    <row r="113" spans="1:12" ht="15" customHeight="1" x14ac:dyDescent="0.2">
      <c r="A113" s="6">
        <v>45888</v>
      </c>
      <c r="B113" s="7">
        <v>42.19</v>
      </c>
      <c r="C113" s="8">
        <v>124365</v>
      </c>
      <c r="D113" s="7">
        <v>-3.9999999999999099E-2</v>
      </c>
      <c r="E113" s="7">
        <v>-9.4719393795872298E-2</v>
      </c>
      <c r="F113" s="7">
        <v>-9.4718012286454295E-2</v>
      </c>
      <c r="G113" s="7">
        <v>42.810817999999998</v>
      </c>
      <c r="H113" s="7">
        <v>6.50317187303233</v>
      </c>
      <c r="I113" s="7">
        <v>42.39</v>
      </c>
      <c r="J113" s="7">
        <v>42.56</v>
      </c>
      <c r="K113" s="7">
        <v>41.97</v>
      </c>
      <c r="L113" s="7">
        <v>4.9587237815272296</v>
      </c>
    </row>
    <row r="114" spans="1:12" ht="15" customHeight="1" x14ac:dyDescent="0.2">
      <c r="A114" s="3">
        <v>45887</v>
      </c>
      <c r="B114" s="4">
        <v>42.23</v>
      </c>
      <c r="C114" s="5">
        <v>156889</v>
      </c>
      <c r="D114" s="4">
        <v>0.189999999999997</v>
      </c>
      <c r="E114" s="4">
        <v>0.45195052331112801</v>
      </c>
      <c r="F114" s="4">
        <v>0.45195096605350399</v>
      </c>
      <c r="G114" s="4">
        <v>42.851405999999997</v>
      </c>
      <c r="H114" s="4">
        <v>6.6041452003811001</v>
      </c>
      <c r="I114" s="4">
        <v>42.16</v>
      </c>
      <c r="J114" s="4">
        <v>42.4</v>
      </c>
      <c r="K114" s="4">
        <v>41.52</v>
      </c>
      <c r="L114" s="4">
        <v>5.0582343041928102</v>
      </c>
    </row>
    <row r="115" spans="1:12" ht="15" customHeight="1" x14ac:dyDescent="0.2">
      <c r="A115" s="6">
        <v>45884</v>
      </c>
      <c r="B115" s="7">
        <v>42.04</v>
      </c>
      <c r="C115" s="8">
        <v>361101</v>
      </c>
      <c r="D115" s="7">
        <v>-0.160000000000003</v>
      </c>
      <c r="E115" s="7">
        <v>-0.37914691943128298</v>
      </c>
      <c r="F115" s="7">
        <v>-0.37914839144796902</v>
      </c>
      <c r="G115" s="7">
        <v>42.658610000000003</v>
      </c>
      <c r="H115" s="7">
        <v>6.1245144321852498</v>
      </c>
      <c r="I115" s="7">
        <v>42.19</v>
      </c>
      <c r="J115" s="7">
        <v>42.57</v>
      </c>
      <c r="K115" s="7">
        <v>41.84</v>
      </c>
      <c r="L115" s="7">
        <v>4.5855593215312798</v>
      </c>
    </row>
    <row r="116" spans="1:12" ht="15" customHeight="1" x14ac:dyDescent="0.2">
      <c r="A116" s="3">
        <v>45883</v>
      </c>
      <c r="B116" s="4">
        <v>42.2</v>
      </c>
      <c r="C116" s="5">
        <v>177129</v>
      </c>
      <c r="D116" s="4">
        <v>-0.35999999999999899</v>
      </c>
      <c r="E116" s="4">
        <v>-0.84586466165413798</v>
      </c>
      <c r="F116" s="4">
        <v>-0.84586849188899005</v>
      </c>
      <c r="G116" s="4">
        <v>42.820965000000001</v>
      </c>
      <c r="H116" s="4">
        <v>6.5284152048695301</v>
      </c>
      <c r="I116" s="4">
        <v>42.56</v>
      </c>
      <c r="J116" s="4">
        <v>42.67</v>
      </c>
      <c r="K116" s="4">
        <v>40.5</v>
      </c>
      <c r="L116" s="4">
        <v>4.9836014121936403</v>
      </c>
    </row>
    <row r="117" spans="1:12" ht="15" customHeight="1" x14ac:dyDescent="0.2">
      <c r="A117" s="6">
        <v>45882</v>
      </c>
      <c r="B117" s="7">
        <v>42.56</v>
      </c>
      <c r="C117" s="8">
        <v>1890744</v>
      </c>
      <c r="D117" s="7">
        <v>-0.19999999999999499</v>
      </c>
      <c r="E117" s="7">
        <v>-0.467726847521032</v>
      </c>
      <c r="F117" s="7">
        <v>-0.46771544680631599</v>
      </c>
      <c r="G117" s="7">
        <v>43.186264000000001</v>
      </c>
      <c r="H117" s="7">
        <v>7.43719256534993</v>
      </c>
      <c r="I117" s="7">
        <v>42.97</v>
      </c>
      <c r="J117" s="7">
        <v>42.97</v>
      </c>
      <c r="K117" s="7">
        <v>41.45</v>
      </c>
      <c r="L117" s="7">
        <v>5.8791961161839099</v>
      </c>
    </row>
    <row r="118" spans="1:12" ht="15" customHeight="1" x14ac:dyDescent="0.2">
      <c r="A118" s="3">
        <v>45881</v>
      </c>
      <c r="B118" s="4">
        <v>42.76</v>
      </c>
      <c r="C118" s="5">
        <v>1591610</v>
      </c>
      <c r="D118" s="4">
        <v>0.35999999999999899</v>
      </c>
      <c r="E118" s="4">
        <v>0.84905660377359005</v>
      </c>
      <c r="F118" s="4">
        <v>0.84904417102025198</v>
      </c>
      <c r="G118" s="4">
        <v>43.389201999999997</v>
      </c>
      <c r="H118" s="4">
        <v>7.9420542265676399</v>
      </c>
      <c r="I118" s="4">
        <v>42.72</v>
      </c>
      <c r="J118" s="4">
        <v>43.01</v>
      </c>
      <c r="K118" s="4">
        <v>42.05</v>
      </c>
      <c r="L118" s="4">
        <v>6.3767487295118297</v>
      </c>
    </row>
    <row r="119" spans="1:12" ht="15" customHeight="1" x14ac:dyDescent="0.2">
      <c r="A119" s="6">
        <v>45880</v>
      </c>
      <c r="B119" s="7">
        <v>42.4</v>
      </c>
      <c r="C119" s="8">
        <v>150619</v>
      </c>
      <c r="D119" s="7">
        <v>0.71999999999999797</v>
      </c>
      <c r="E119" s="7">
        <v>1.7274472168905901</v>
      </c>
      <c r="F119" s="7">
        <v>1.7274551588676701</v>
      </c>
      <c r="G119" s="7">
        <v>43.023910000000001</v>
      </c>
      <c r="H119" s="7">
        <v>7.0332942804287102</v>
      </c>
      <c r="I119" s="7">
        <v>41.8</v>
      </c>
      <c r="J119" s="7">
        <v>42.74</v>
      </c>
      <c r="K119" s="7">
        <v>41.59</v>
      </c>
      <c r="L119" s="7">
        <v>5.4811540255215601</v>
      </c>
    </row>
    <row r="120" spans="1:12" ht="15" customHeight="1" x14ac:dyDescent="0.2">
      <c r="A120" s="3">
        <v>45877</v>
      </c>
      <c r="B120" s="4">
        <v>41.68</v>
      </c>
      <c r="C120" s="5">
        <v>434979</v>
      </c>
      <c r="D120" s="4">
        <v>-1.0900000000000001</v>
      </c>
      <c r="E120" s="4">
        <v>-2.5485153144727599</v>
      </c>
      <c r="F120" s="4">
        <v>-2.54851955972706</v>
      </c>
      <c r="G120" s="4">
        <v>42.293312</v>
      </c>
      <c r="H120" s="4">
        <v>5.2157395594679103</v>
      </c>
      <c r="I120" s="4">
        <v>42.9</v>
      </c>
      <c r="J120" s="4">
        <v>43.2</v>
      </c>
      <c r="K120" s="4">
        <v>41.28</v>
      </c>
      <c r="L120" s="4">
        <v>3.6899646175410101</v>
      </c>
    </row>
    <row r="121" spans="1:12" ht="15" customHeight="1" x14ac:dyDescent="0.2">
      <c r="A121" s="6">
        <v>45876</v>
      </c>
      <c r="B121" s="7">
        <v>42.77</v>
      </c>
      <c r="C121" s="8">
        <v>588862</v>
      </c>
      <c r="D121" s="7">
        <v>0.380000000000002</v>
      </c>
      <c r="E121" s="7">
        <v>0.89643783911299502</v>
      </c>
      <c r="F121" s="7">
        <v>0.89644104584207795</v>
      </c>
      <c r="G121" s="7">
        <v>43.399352999999998</v>
      </c>
      <c r="H121" s="7">
        <v>7.9673075094571004</v>
      </c>
      <c r="I121" s="7">
        <v>42.4</v>
      </c>
      <c r="J121" s="7">
        <v>43.3</v>
      </c>
      <c r="K121" s="7">
        <v>41.84</v>
      </c>
      <c r="L121" s="7">
        <v>6.4016263601782404</v>
      </c>
    </row>
    <row r="122" spans="1:12" ht="15" customHeight="1" x14ac:dyDescent="0.2">
      <c r="A122" s="3">
        <v>45875</v>
      </c>
      <c r="B122" s="4">
        <v>42.39</v>
      </c>
      <c r="C122" s="5">
        <v>718041</v>
      </c>
      <c r="D122" s="4">
        <v>0.98000000000000398</v>
      </c>
      <c r="E122" s="4">
        <v>2.36657812122675</v>
      </c>
      <c r="F122" s="4">
        <v>2.36657691434467</v>
      </c>
      <c r="G122" s="4">
        <v>43.013759999999998</v>
      </c>
      <c r="H122" s="4">
        <v>7.0080434853023101</v>
      </c>
      <c r="I122" s="4">
        <v>41.49</v>
      </c>
      <c r="J122" s="4">
        <v>42.62</v>
      </c>
      <c r="K122" s="4">
        <v>41.2</v>
      </c>
      <c r="L122" s="4">
        <v>5.4562763948551698</v>
      </c>
    </row>
    <row r="123" spans="1:12" ht="15" customHeight="1" x14ac:dyDescent="0.2">
      <c r="A123" s="6">
        <v>45874</v>
      </c>
      <c r="B123" s="7">
        <v>41.41</v>
      </c>
      <c r="C123" s="8">
        <v>337744</v>
      </c>
      <c r="D123" s="7">
        <v>0.119999999999997</v>
      </c>
      <c r="E123" s="7">
        <v>0.290627270525534</v>
      </c>
      <c r="F123" s="7">
        <v>0.29062541209126103</v>
      </c>
      <c r="G123" s="7">
        <v>42.01934</v>
      </c>
      <c r="H123" s="7">
        <v>4.5341621365745102</v>
      </c>
      <c r="I123" s="7">
        <v>41.48</v>
      </c>
      <c r="J123" s="7">
        <v>41.81</v>
      </c>
      <c r="K123" s="7">
        <v>40.89</v>
      </c>
      <c r="L123" s="7">
        <v>3.0182685895482901</v>
      </c>
    </row>
    <row r="124" spans="1:12" ht="15" customHeight="1" x14ac:dyDescent="0.2">
      <c r="A124" s="3">
        <v>45873</v>
      </c>
      <c r="B124" s="4">
        <v>41.29</v>
      </c>
      <c r="C124" s="5">
        <v>296536</v>
      </c>
      <c r="D124" s="4">
        <v>0.119999999999997</v>
      </c>
      <c r="E124" s="4">
        <v>0.29147437454457498</v>
      </c>
      <c r="F124" s="4">
        <v>0.29148210808906899</v>
      </c>
      <c r="G124" s="4">
        <v>41.897575000000003</v>
      </c>
      <c r="H124" s="4">
        <v>4.2312396667651404</v>
      </c>
      <c r="I124" s="4">
        <v>41.2</v>
      </c>
      <c r="J124" s="4">
        <v>41.61</v>
      </c>
      <c r="K124" s="4">
        <v>40.22</v>
      </c>
      <c r="L124" s="4">
        <v>2.71973702155154</v>
      </c>
    </row>
    <row r="125" spans="1:12" ht="15" customHeight="1" x14ac:dyDescent="0.2">
      <c r="A125" s="6">
        <v>45870</v>
      </c>
      <c r="B125" s="7">
        <v>41.17</v>
      </c>
      <c r="C125" s="8">
        <v>587964</v>
      </c>
      <c r="D125" s="7">
        <v>0.32999999999999802</v>
      </c>
      <c r="E125" s="7">
        <v>0.80803134182174596</v>
      </c>
      <c r="F125" s="7">
        <v>0.80802680401743598</v>
      </c>
      <c r="G125" s="7">
        <v>41.775806000000003</v>
      </c>
      <c r="H125" s="7">
        <v>3.9283072459034898</v>
      </c>
      <c r="I125" s="7">
        <v>40.81</v>
      </c>
      <c r="J125" s="7">
        <v>41.37</v>
      </c>
      <c r="K125" s="7">
        <v>40.15</v>
      </c>
      <c r="L125" s="7">
        <v>2.4212054535547902</v>
      </c>
    </row>
    <row r="126" spans="1:12" ht="15" customHeight="1" x14ac:dyDescent="0.2">
      <c r="A126" s="3">
        <v>45869</v>
      </c>
      <c r="B126" s="4">
        <v>40.840000000000003</v>
      </c>
      <c r="C126" s="5">
        <v>406367</v>
      </c>
      <c r="D126" s="4">
        <v>-0.12999999999999501</v>
      </c>
      <c r="E126" s="4">
        <v>-0.31730534537465199</v>
      </c>
      <c r="F126" s="4">
        <v>-0.31731751981520701</v>
      </c>
      <c r="G126" s="4">
        <v>41.440952000000003</v>
      </c>
      <c r="H126" s="4">
        <v>3.0952698319869398</v>
      </c>
      <c r="I126" s="4">
        <v>40.97</v>
      </c>
      <c r="J126" s="4">
        <v>41.39</v>
      </c>
      <c r="K126" s="4">
        <v>40.1</v>
      </c>
      <c r="L126" s="4">
        <v>1.6002436415637</v>
      </c>
    </row>
    <row r="127" spans="1:12" ht="15" customHeight="1" x14ac:dyDescent="0.2">
      <c r="A127" s="6">
        <v>45868</v>
      </c>
      <c r="B127" s="7">
        <v>40.97</v>
      </c>
      <c r="C127" s="8">
        <v>760716</v>
      </c>
      <c r="D127" s="7">
        <v>0.35000000000000098</v>
      </c>
      <c r="E127" s="7">
        <v>0.86164451009356202</v>
      </c>
      <c r="F127" s="7">
        <v>0.861663548913149</v>
      </c>
      <c r="G127" s="7">
        <v>41.572870000000002</v>
      </c>
      <c r="H127" s="7">
        <v>3.4234505602118999</v>
      </c>
      <c r="I127" s="7">
        <v>40.65</v>
      </c>
      <c r="J127" s="7">
        <v>41.49</v>
      </c>
      <c r="K127" s="7">
        <v>40.409999999999997</v>
      </c>
      <c r="L127" s="7">
        <v>1.92365284022685</v>
      </c>
    </row>
    <row r="128" spans="1:12" ht="15" customHeight="1" x14ac:dyDescent="0.2">
      <c r="A128" s="3">
        <v>45867</v>
      </c>
      <c r="B128" s="4">
        <v>40.619999999999997</v>
      </c>
      <c r="C128" s="5">
        <v>616016</v>
      </c>
      <c r="D128" s="4">
        <v>0.35999999999999899</v>
      </c>
      <c r="E128" s="4">
        <v>0.89418777943368599</v>
      </c>
      <c r="F128" s="4">
        <v>0.89418209943366</v>
      </c>
      <c r="G128" s="4">
        <v>41.217711999999999</v>
      </c>
      <c r="H128" s="4">
        <v>2.5399016049902898</v>
      </c>
      <c r="I128" s="4">
        <v>40</v>
      </c>
      <c r="J128" s="4">
        <v>40.9</v>
      </c>
      <c r="K128" s="4">
        <v>39.68</v>
      </c>
      <c r="L128" s="4">
        <v>1.05293576690296</v>
      </c>
    </row>
    <row r="129" spans="1:12" ht="15" customHeight="1" x14ac:dyDescent="0.2">
      <c r="A129" s="6">
        <v>45866</v>
      </c>
      <c r="B129" s="7">
        <v>40.26</v>
      </c>
      <c r="C129" s="8">
        <v>424086</v>
      </c>
      <c r="D129" s="7">
        <v>0.26999999999999602</v>
      </c>
      <c r="E129" s="7">
        <v>0.67516879219804404</v>
      </c>
      <c r="F129" s="7">
        <v>0.67516633523043701</v>
      </c>
      <c r="G129" s="7">
        <v>40.852417000000003</v>
      </c>
      <c r="H129" s="7">
        <v>1.6311341955621601</v>
      </c>
      <c r="I129" s="7">
        <v>40</v>
      </c>
      <c r="J129" s="7">
        <v>40.5</v>
      </c>
      <c r="K129" s="7">
        <v>39.619999999999997</v>
      </c>
      <c r="L129" s="7">
        <v>0.15734106291269001</v>
      </c>
    </row>
    <row r="130" spans="1:12" ht="15" customHeight="1" x14ac:dyDescent="0.2">
      <c r="A130" s="3">
        <v>45863</v>
      </c>
      <c r="B130" s="4">
        <v>39.99</v>
      </c>
      <c r="C130" s="5">
        <v>336785</v>
      </c>
      <c r="D130" s="4">
        <v>0.190000000000004</v>
      </c>
      <c r="E130" s="4">
        <v>0.477386934673385</v>
      </c>
      <c r="F130" s="4">
        <v>0.47739237655397498</v>
      </c>
      <c r="G130" s="4">
        <v>40.578445000000002</v>
      </c>
      <c r="H130" s="4">
        <v>0.94955677266876704</v>
      </c>
      <c r="I130" s="4">
        <v>39.78</v>
      </c>
      <c r="J130" s="4">
        <v>40.11</v>
      </c>
      <c r="K130" s="4">
        <v>39.119999999999997</v>
      </c>
      <c r="L130" s="4">
        <v>-0.514354965080007</v>
      </c>
    </row>
    <row r="131" spans="1:12" ht="15" customHeight="1" x14ac:dyDescent="0.2">
      <c r="A131" s="6">
        <v>45862</v>
      </c>
      <c r="B131" s="7">
        <v>39.799999999999997</v>
      </c>
      <c r="C131" s="8">
        <v>1139745</v>
      </c>
      <c r="D131" s="7">
        <v>-0.55000000000000404</v>
      </c>
      <c r="E131" s="7">
        <v>-1.36307311028501</v>
      </c>
      <c r="F131" s="7">
        <v>-1.3630728409275701</v>
      </c>
      <c r="G131" s="7">
        <v>40.385646999999999</v>
      </c>
      <c r="H131" s="7">
        <v>0.46992102894676502</v>
      </c>
      <c r="I131" s="7">
        <v>40.200000000000003</v>
      </c>
      <c r="J131" s="7">
        <v>40.67</v>
      </c>
      <c r="K131" s="7">
        <v>39.299999999999997</v>
      </c>
      <c r="L131" s="7">
        <v>-0.98702994774155495</v>
      </c>
    </row>
    <row r="132" spans="1:12" ht="15" customHeight="1" x14ac:dyDescent="0.2">
      <c r="A132" s="3">
        <v>45861</v>
      </c>
      <c r="B132" s="4">
        <v>40.35</v>
      </c>
      <c r="C132" s="5">
        <v>1408840</v>
      </c>
      <c r="D132" s="4">
        <v>1.5799999999999901</v>
      </c>
      <c r="E132" s="4">
        <v>4.0753159659530498</v>
      </c>
      <c r="F132" s="4">
        <v>4.0753125304075999</v>
      </c>
      <c r="G132" s="4">
        <v>40.943739999999998</v>
      </c>
      <c r="H132" s="4">
        <v>1.8583241820968901</v>
      </c>
      <c r="I132" s="4">
        <v>39</v>
      </c>
      <c r="J132" s="4">
        <v>40.94</v>
      </c>
      <c r="K132" s="4">
        <v>39</v>
      </c>
      <c r="L132" s="4">
        <v>0.38123973891026802</v>
      </c>
    </row>
    <row r="133" spans="1:12" ht="15" customHeight="1" x14ac:dyDescent="0.2">
      <c r="A133" s="6">
        <v>45860</v>
      </c>
      <c r="B133" s="7">
        <v>38.770000000000003</v>
      </c>
      <c r="C133" s="8">
        <v>241572</v>
      </c>
      <c r="D133" s="7">
        <v>-0.66999999999999404</v>
      </c>
      <c r="E133" s="7">
        <v>-1.69878296146043</v>
      </c>
      <c r="F133" s="7">
        <v>-1.6987807452958299</v>
      </c>
      <c r="G133" s="7">
        <v>39.340491999999998</v>
      </c>
      <c r="H133" s="7">
        <v>-2.1301769789670102</v>
      </c>
      <c r="I133" s="7">
        <v>39.450000000000003</v>
      </c>
      <c r="J133" s="7">
        <v>39.57</v>
      </c>
      <c r="K133" s="7">
        <v>38.520000000000003</v>
      </c>
      <c r="L133" s="7">
        <v>-3.5494259063803799</v>
      </c>
    </row>
    <row r="134" spans="1:12" ht="15" customHeight="1" x14ac:dyDescent="0.2">
      <c r="A134" s="3">
        <v>45859</v>
      </c>
      <c r="B134" s="4">
        <v>39.44</v>
      </c>
      <c r="C134" s="5">
        <v>223213</v>
      </c>
      <c r="D134" s="4">
        <v>1.9999999999996E-2</v>
      </c>
      <c r="E134" s="4">
        <v>5.0735667174017701E-2</v>
      </c>
      <c r="F134" s="4">
        <v>5.0732427706301403E-2</v>
      </c>
      <c r="G134" s="4">
        <v>40.020350000000001</v>
      </c>
      <c r="H134" s="4">
        <v>-0.43885135600749697</v>
      </c>
      <c r="I134" s="4">
        <v>39.450000000000003</v>
      </c>
      <c r="J134" s="4">
        <v>39.880000000000003</v>
      </c>
      <c r="K134" s="4">
        <v>38.71</v>
      </c>
      <c r="L134" s="4">
        <v>-1.8826246517318299</v>
      </c>
    </row>
    <row r="135" spans="1:12" ht="15" customHeight="1" x14ac:dyDescent="0.2">
      <c r="A135" s="6">
        <v>45856</v>
      </c>
      <c r="B135" s="7">
        <v>39.42</v>
      </c>
      <c r="C135" s="8">
        <v>321483</v>
      </c>
      <c r="D135" s="7">
        <v>-0.80999999999999495</v>
      </c>
      <c r="E135" s="7">
        <v>-2.0134228187919301</v>
      </c>
      <c r="F135" s="7">
        <v>-2.0134228681139699</v>
      </c>
      <c r="G135" s="7">
        <v>40.000056999999998</v>
      </c>
      <c r="H135" s="7">
        <v>-0.48933553191882101</v>
      </c>
      <c r="I135" s="7">
        <v>40</v>
      </c>
      <c r="J135" s="7">
        <v>40.01</v>
      </c>
      <c r="K135" s="7">
        <v>39.119999999999997</v>
      </c>
      <c r="L135" s="7">
        <v>-1.93237991306461</v>
      </c>
    </row>
    <row r="136" spans="1:12" ht="15" customHeight="1" x14ac:dyDescent="0.2">
      <c r="A136" s="3">
        <v>45855</v>
      </c>
      <c r="B136" s="4">
        <v>40.229999999999997</v>
      </c>
      <c r="C136" s="5">
        <v>291667</v>
      </c>
      <c r="D136" s="4">
        <v>-0.48000000000000398</v>
      </c>
      <c r="E136" s="4">
        <v>-1.1790714812085601</v>
      </c>
      <c r="F136" s="4">
        <v>-1.1790736361823</v>
      </c>
      <c r="G136" s="4">
        <v>40.821975999999999</v>
      </c>
      <c r="H136" s="4">
        <v>1.5554042000505801</v>
      </c>
      <c r="I136" s="4">
        <v>40.79</v>
      </c>
      <c r="J136" s="4">
        <v>41</v>
      </c>
      <c r="K136" s="4">
        <v>39.5</v>
      </c>
      <c r="L136" s="4">
        <v>8.27081709134979E-2</v>
      </c>
    </row>
    <row r="137" spans="1:12" ht="15" customHeight="1" x14ac:dyDescent="0.2">
      <c r="A137" s="6">
        <v>45854</v>
      </c>
      <c r="B137" s="7">
        <v>40.71</v>
      </c>
      <c r="C137" s="8">
        <v>993761</v>
      </c>
      <c r="D137" s="7">
        <v>0.52000000000000302</v>
      </c>
      <c r="E137" s="7">
        <v>1.29385419258523</v>
      </c>
      <c r="F137" s="7">
        <v>1.2938574158843601</v>
      </c>
      <c r="G137" s="7">
        <v>41.309040000000003</v>
      </c>
      <c r="H137" s="7">
        <v>2.76710403034037</v>
      </c>
      <c r="I137" s="7">
        <v>40.39</v>
      </c>
      <c r="J137" s="7">
        <v>40.909999999999997</v>
      </c>
      <c r="K137" s="7">
        <v>39.69</v>
      </c>
      <c r="L137" s="7">
        <v>1.27683444290054</v>
      </c>
    </row>
    <row r="138" spans="1:12" ht="15" customHeight="1" x14ac:dyDescent="0.2">
      <c r="A138" s="3">
        <v>45853</v>
      </c>
      <c r="B138" s="4">
        <v>40.19</v>
      </c>
      <c r="C138" s="5">
        <v>299363</v>
      </c>
      <c r="D138" s="4">
        <v>9.9999999999994302E-2</v>
      </c>
      <c r="E138" s="4">
        <v>0.24943876278371499</v>
      </c>
      <c r="F138" s="4">
        <v>0.249437584876055</v>
      </c>
      <c r="G138" s="4">
        <v>40.781387000000002</v>
      </c>
      <c r="H138" s="4">
        <v>1.45442838493875</v>
      </c>
      <c r="I138" s="4">
        <v>40.1</v>
      </c>
      <c r="J138" s="4">
        <v>40.56</v>
      </c>
      <c r="K138" s="4">
        <v>39.450000000000003</v>
      </c>
      <c r="L138" s="4">
        <v>-1.6802351752086199E-2</v>
      </c>
    </row>
    <row r="139" spans="1:12" ht="15" customHeight="1" x14ac:dyDescent="0.2">
      <c r="A139" s="6">
        <v>45852</v>
      </c>
      <c r="B139" s="7">
        <v>40.090000000000003</v>
      </c>
      <c r="C139" s="8">
        <v>348231</v>
      </c>
      <c r="D139" s="7">
        <v>-0.19999999999999499</v>
      </c>
      <c r="E139" s="7">
        <v>-0.49640109208238797</v>
      </c>
      <c r="F139" s="7">
        <v>-0.49640362733919202</v>
      </c>
      <c r="G139" s="7">
        <v>40.679915999999999</v>
      </c>
      <c r="H139" s="7">
        <v>1.20199257880375</v>
      </c>
      <c r="I139" s="7">
        <v>40.08</v>
      </c>
      <c r="J139" s="7">
        <v>40.619999999999997</v>
      </c>
      <c r="K139" s="7">
        <v>39.51</v>
      </c>
      <c r="L139" s="7">
        <v>-0.265578658416038</v>
      </c>
    </row>
    <row r="140" spans="1:12" ht="15" customHeight="1" x14ac:dyDescent="0.2">
      <c r="A140" s="3">
        <v>45849</v>
      </c>
      <c r="B140" s="4">
        <v>40.29</v>
      </c>
      <c r="C140" s="5">
        <v>726296</v>
      </c>
      <c r="D140" s="4">
        <v>-0.630000000000002</v>
      </c>
      <c r="E140" s="4">
        <v>-1.5395894428152499</v>
      </c>
      <c r="F140" s="4">
        <v>-1.5395886482701999</v>
      </c>
      <c r="G140" s="4">
        <v>40.882860000000001</v>
      </c>
      <c r="H140" s="4">
        <v>1.7068691665998701</v>
      </c>
      <c r="I140" s="4">
        <v>40.64</v>
      </c>
      <c r="J140" s="4">
        <v>40.68</v>
      </c>
      <c r="K140" s="4">
        <v>39.700000000000003</v>
      </c>
      <c r="L140" s="4">
        <v>0.231973954911883</v>
      </c>
    </row>
    <row r="141" spans="1:12" ht="15" customHeight="1" x14ac:dyDescent="0.2">
      <c r="A141" s="6">
        <v>45848</v>
      </c>
      <c r="B141" s="7">
        <v>40.92</v>
      </c>
      <c r="C141" s="8">
        <v>236538</v>
      </c>
      <c r="D141" s="7">
        <v>-0.35000000000000098</v>
      </c>
      <c r="E141" s="7">
        <v>-0.84807366125515504</v>
      </c>
      <c r="F141" s="7">
        <v>-0.84807322729651902</v>
      </c>
      <c r="G141" s="7">
        <v>41.522129999999997</v>
      </c>
      <c r="H141" s="7">
        <v>3.2972214622106</v>
      </c>
      <c r="I141" s="7">
        <v>41.28</v>
      </c>
      <c r="J141" s="7">
        <v>41.28</v>
      </c>
      <c r="K141" s="7">
        <v>40.53</v>
      </c>
      <c r="L141" s="7">
        <v>1.7992646868948701</v>
      </c>
    </row>
    <row r="142" spans="1:12" ht="15" customHeight="1" x14ac:dyDescent="0.2">
      <c r="A142" s="3">
        <v>45847</v>
      </c>
      <c r="B142" s="4">
        <v>41.27</v>
      </c>
      <c r="C142" s="5">
        <v>575523</v>
      </c>
      <c r="D142" s="4">
        <v>1.1799999999999899</v>
      </c>
      <c r="E142" s="4">
        <v>2.9433774008480902</v>
      </c>
      <c r="F142" s="4">
        <v>2.9433787424733202</v>
      </c>
      <c r="G142" s="4">
        <v>41.877279999999999</v>
      </c>
      <c r="H142" s="4">
        <v>4.1807505153276798</v>
      </c>
      <c r="I142" s="4">
        <v>40.409999999999997</v>
      </c>
      <c r="J142" s="4">
        <v>41.67</v>
      </c>
      <c r="K142" s="4">
        <v>40.409999999999997</v>
      </c>
      <c r="L142" s="4">
        <v>2.6699817602187501</v>
      </c>
    </row>
    <row r="143" spans="1:12" ht="15" customHeight="1" x14ac:dyDescent="0.2">
      <c r="A143" s="6">
        <v>45846</v>
      </c>
      <c r="B143" s="7">
        <v>40.090000000000003</v>
      </c>
      <c r="C143" s="8">
        <v>1483403</v>
      </c>
      <c r="D143" s="7">
        <v>-1.00999999999999</v>
      </c>
      <c r="E143" s="7">
        <v>-2.4574209245741998</v>
      </c>
      <c r="F143" s="7">
        <v>-2.4574187268763001</v>
      </c>
      <c r="G143" s="7">
        <v>40.679915999999999</v>
      </c>
      <c r="H143" s="7">
        <v>1.20199257880375</v>
      </c>
      <c r="I143" s="7">
        <v>41.1</v>
      </c>
      <c r="J143" s="7">
        <v>41.44</v>
      </c>
      <c r="K143" s="7">
        <v>39.909999999999997</v>
      </c>
      <c r="L143" s="7">
        <v>-0.265578658416038</v>
      </c>
    </row>
    <row r="144" spans="1:12" ht="15" customHeight="1" x14ac:dyDescent="0.2">
      <c r="A144" s="3">
        <v>45845</v>
      </c>
      <c r="B144" s="4">
        <v>41.1</v>
      </c>
      <c r="C144" s="5">
        <v>744018</v>
      </c>
      <c r="D144" s="4">
        <v>5.0000000000004201E-2</v>
      </c>
      <c r="E144" s="4">
        <v>0.121802679658955</v>
      </c>
      <c r="F144" s="4">
        <v>0.121805712002953</v>
      </c>
      <c r="G144" s="4">
        <v>41.704777</v>
      </c>
      <c r="H144" s="4">
        <v>3.7516039230431399</v>
      </c>
      <c r="I144" s="4">
        <v>41.18</v>
      </c>
      <c r="J144" s="4">
        <v>41.39</v>
      </c>
      <c r="K144" s="4">
        <v>40.98</v>
      </c>
      <c r="L144" s="4">
        <v>2.24706203889001</v>
      </c>
    </row>
    <row r="145" spans="1:12" ht="15" customHeight="1" x14ac:dyDescent="0.2">
      <c r="A145" s="6">
        <v>45842</v>
      </c>
      <c r="B145" s="7">
        <v>41.05</v>
      </c>
      <c r="C145" s="8">
        <v>34986</v>
      </c>
      <c r="D145" s="7">
        <v>-0.260000000000005</v>
      </c>
      <c r="E145" s="7">
        <v>-0.62938755749214403</v>
      </c>
      <c r="F145" s="7">
        <v>-0.629397438371748</v>
      </c>
      <c r="G145" s="7">
        <v>41.654040000000002</v>
      </c>
      <c r="H145" s="7">
        <v>3.6253822883310498</v>
      </c>
      <c r="I145" s="7">
        <v>41.21</v>
      </c>
      <c r="J145" s="7">
        <v>41.5</v>
      </c>
      <c r="K145" s="7">
        <v>41</v>
      </c>
      <c r="L145" s="7">
        <v>2.1226738855580098</v>
      </c>
    </row>
    <row r="146" spans="1:12" ht="15" customHeight="1" x14ac:dyDescent="0.2">
      <c r="A146" s="3">
        <v>45841</v>
      </c>
      <c r="B146" s="4">
        <v>41.31</v>
      </c>
      <c r="C146" s="5">
        <v>270686</v>
      </c>
      <c r="D146" s="4">
        <v>-0.41999999999999399</v>
      </c>
      <c r="E146" s="4">
        <v>-1.0064701653486601</v>
      </c>
      <c r="F146" s="4">
        <v>-1.0064649463839599</v>
      </c>
      <c r="G146" s="4">
        <v>41.917870000000001</v>
      </c>
      <c r="H146" s="4">
        <v>4.2817288182025797</v>
      </c>
      <c r="I146" s="4">
        <v>41.8</v>
      </c>
      <c r="J146" s="4">
        <v>42.09</v>
      </c>
      <c r="K146" s="4">
        <v>41.01</v>
      </c>
      <c r="L146" s="4">
        <v>2.76949228288434</v>
      </c>
    </row>
    <row r="147" spans="1:12" ht="15" customHeight="1" x14ac:dyDescent="0.2">
      <c r="A147" s="6">
        <v>45840</v>
      </c>
      <c r="B147" s="7">
        <v>41.73</v>
      </c>
      <c r="C147" s="8">
        <v>873041</v>
      </c>
      <c r="D147" s="7">
        <v>-8.00000000000054E-2</v>
      </c>
      <c r="E147" s="7">
        <v>-0.19134178426215501</v>
      </c>
      <c r="F147" s="7">
        <v>-0.19135311700136901</v>
      </c>
      <c r="G147" s="7">
        <v>42.344048000000001</v>
      </c>
      <c r="H147" s="7">
        <v>5.34195870641694</v>
      </c>
      <c r="I147" s="7">
        <v>42</v>
      </c>
      <c r="J147" s="7">
        <v>42.29</v>
      </c>
      <c r="K147" s="7">
        <v>41.2</v>
      </c>
      <c r="L147" s="7">
        <v>3.8143527708729801</v>
      </c>
    </row>
    <row r="148" spans="1:12" ht="15" customHeight="1" x14ac:dyDescent="0.2">
      <c r="A148" s="3">
        <v>45839</v>
      </c>
      <c r="B148" s="4">
        <v>41.81</v>
      </c>
      <c r="C148" s="5">
        <v>403798</v>
      </c>
      <c r="D148" s="4">
        <v>0.69000000000000405</v>
      </c>
      <c r="E148" s="4">
        <v>1.67801556420235</v>
      </c>
      <c r="F148" s="4">
        <v>1.6780319361956599</v>
      </c>
      <c r="G148" s="4">
        <v>42.425229999999999</v>
      </c>
      <c r="H148" s="4">
        <v>5.5439202876928801</v>
      </c>
      <c r="I148" s="4">
        <v>41.14</v>
      </c>
      <c r="J148" s="4">
        <v>41.98</v>
      </c>
      <c r="K148" s="4">
        <v>40.99</v>
      </c>
      <c r="L148" s="4">
        <v>4.0133738162041697</v>
      </c>
    </row>
    <row r="149" spans="1:12" ht="15" customHeight="1" x14ac:dyDescent="0.2">
      <c r="A149" s="6">
        <v>45838</v>
      </c>
      <c r="B149" s="7">
        <v>41.12</v>
      </c>
      <c r="C149" s="8">
        <v>697498</v>
      </c>
      <c r="D149" s="7">
        <v>-0.100000000000001</v>
      </c>
      <c r="E149" s="7">
        <v>-0.24260067928190099</v>
      </c>
      <c r="F149" s="7">
        <v>-0.24261147454058801</v>
      </c>
      <c r="G149" s="7">
        <v>41.725070000000002</v>
      </c>
      <c r="H149" s="7">
        <v>3.8020880989544601</v>
      </c>
      <c r="I149" s="7">
        <v>41.05</v>
      </c>
      <c r="J149" s="7">
        <v>41.87</v>
      </c>
      <c r="K149" s="7">
        <v>40.840000000000003</v>
      </c>
      <c r="L149" s="7">
        <v>2.2968173002227901</v>
      </c>
    </row>
    <row r="150" spans="1:12" ht="15" customHeight="1" x14ac:dyDescent="0.2">
      <c r="A150" s="3">
        <v>45835</v>
      </c>
      <c r="B150" s="4">
        <v>41.22</v>
      </c>
      <c r="C150" s="5">
        <v>366510</v>
      </c>
      <c r="D150" s="4">
        <v>-1.67</v>
      </c>
      <c r="E150" s="4">
        <v>-3.8936815108416898</v>
      </c>
      <c r="F150" s="4">
        <v>-3.8936819640670999</v>
      </c>
      <c r="G150" s="4">
        <v>41.826546</v>
      </c>
      <c r="H150" s="4">
        <v>4.0545363439047799</v>
      </c>
      <c r="I150" s="4">
        <v>42.88</v>
      </c>
      <c r="J150" s="4">
        <v>42.97</v>
      </c>
      <c r="K150" s="4">
        <v>40.97</v>
      </c>
      <c r="L150" s="4">
        <v>2.5455936068867602</v>
      </c>
    </row>
    <row r="151" spans="1:12" ht="15" customHeight="1" x14ac:dyDescent="0.2">
      <c r="A151" s="6">
        <v>45834</v>
      </c>
      <c r="B151" s="7">
        <v>42.89</v>
      </c>
      <c r="C151" s="8">
        <v>1173849</v>
      </c>
      <c r="D151" s="7">
        <v>1.4299999999999899</v>
      </c>
      <c r="E151" s="7">
        <v>3.44910757356489</v>
      </c>
      <c r="F151" s="7">
        <v>3.4491119055739299</v>
      </c>
      <c r="G151" s="7">
        <v>43.521120000000003</v>
      </c>
      <c r="H151" s="7">
        <v>8.2702349547926293</v>
      </c>
      <c r="I151" s="7">
        <v>41.51</v>
      </c>
      <c r="J151" s="7">
        <v>43.49</v>
      </c>
      <c r="K151" s="7">
        <v>41.5</v>
      </c>
      <c r="L151" s="7">
        <v>6.7001579281749999</v>
      </c>
    </row>
    <row r="152" spans="1:12" ht="15" customHeight="1" x14ac:dyDescent="0.2">
      <c r="A152" s="3">
        <v>45833</v>
      </c>
      <c r="B152" s="4">
        <v>41.46</v>
      </c>
      <c r="C152" s="5">
        <v>851939</v>
      </c>
      <c r="D152" s="4">
        <v>0.100000000000001</v>
      </c>
      <c r="E152" s="4">
        <v>0.24177949709864799</v>
      </c>
      <c r="F152" s="4">
        <v>0.24177834836303</v>
      </c>
      <c r="G152" s="4">
        <v>42.070076</v>
      </c>
      <c r="H152" s="4">
        <v>4.6603812835235399</v>
      </c>
      <c r="I152" s="4">
        <v>41.37</v>
      </c>
      <c r="J152" s="4">
        <v>41.92</v>
      </c>
      <c r="K152" s="4">
        <v>40.380000000000003</v>
      </c>
      <c r="L152" s="4">
        <v>3.1426567428802801</v>
      </c>
    </row>
    <row r="153" spans="1:12" ht="15" customHeight="1" x14ac:dyDescent="0.2">
      <c r="A153" s="6">
        <v>45832</v>
      </c>
      <c r="B153" s="7">
        <v>41.36</v>
      </c>
      <c r="C153" s="8">
        <v>722152</v>
      </c>
      <c r="D153" s="7">
        <v>0.75</v>
      </c>
      <c r="E153" s="7">
        <v>1.8468357547401999</v>
      </c>
      <c r="F153" s="7">
        <v>1.8468329969469199</v>
      </c>
      <c r="G153" s="7">
        <v>41.968604999999997</v>
      </c>
      <c r="H153" s="7">
        <v>4.40794547738854</v>
      </c>
      <c r="I153" s="7">
        <v>40.64</v>
      </c>
      <c r="J153" s="7">
        <v>41.67</v>
      </c>
      <c r="K153" s="7">
        <v>40.64</v>
      </c>
      <c r="L153" s="7">
        <v>2.89388043621631</v>
      </c>
    </row>
    <row r="154" spans="1:12" ht="15" customHeight="1" x14ac:dyDescent="0.2">
      <c r="A154" s="3">
        <v>45831</v>
      </c>
      <c r="B154" s="4">
        <v>40.61</v>
      </c>
      <c r="C154" s="5">
        <v>442283</v>
      </c>
      <c r="D154" s="4">
        <v>0.50999999999999801</v>
      </c>
      <c r="E154" s="4">
        <v>1.27182044887779</v>
      </c>
      <c r="F154" s="4">
        <v>1.2718264899220999</v>
      </c>
      <c r="G154" s="4">
        <v>41.207569999999997</v>
      </c>
      <c r="H154" s="4">
        <v>2.5146707119684302</v>
      </c>
      <c r="I154" s="4">
        <v>39.82</v>
      </c>
      <c r="J154" s="4">
        <v>41.04</v>
      </c>
      <c r="K154" s="4">
        <v>39.700000000000003</v>
      </c>
      <c r="L154" s="4">
        <v>1.0280581362365699</v>
      </c>
    </row>
    <row r="155" spans="1:12" ht="15" customHeight="1" x14ac:dyDescent="0.2">
      <c r="A155" s="6">
        <v>45828</v>
      </c>
      <c r="B155" s="7">
        <v>40.1</v>
      </c>
      <c r="C155" s="8">
        <v>7544673</v>
      </c>
      <c r="D155" s="7">
        <v>1.59</v>
      </c>
      <c r="E155" s="7">
        <v>4.1287977148792603</v>
      </c>
      <c r="F155" s="7">
        <v>4.1288043421516099</v>
      </c>
      <c r="G155" s="7">
        <v>40.690063000000002</v>
      </c>
      <c r="H155" s="7">
        <v>1.2272359106409501</v>
      </c>
      <c r="I155" s="7">
        <v>38.340000000000003</v>
      </c>
      <c r="J155" s="7">
        <v>40.93</v>
      </c>
      <c r="K155" s="7">
        <v>37.51</v>
      </c>
      <c r="L155" s="7">
        <v>-0.240701027749646</v>
      </c>
    </row>
    <row r="156" spans="1:12" ht="15" customHeight="1" x14ac:dyDescent="0.2">
      <c r="A156" s="3">
        <v>45827</v>
      </c>
      <c r="B156" s="4">
        <v>38.51</v>
      </c>
      <c r="C156" s="5">
        <v>235550</v>
      </c>
      <c r="D156" s="4">
        <v>-1.1599999999999999</v>
      </c>
      <c r="E156" s="4">
        <v>-2.9241240231913301</v>
      </c>
      <c r="F156" s="4">
        <v>-2.9241286553906098</v>
      </c>
      <c r="G156" s="4">
        <v>39.076664000000001</v>
      </c>
      <c r="H156" s="4">
        <v>-2.7865185333124098</v>
      </c>
      <c r="I156" s="4">
        <v>39.799999999999997</v>
      </c>
      <c r="J156" s="4">
        <v>39.799999999999997</v>
      </c>
      <c r="K156" s="4">
        <v>38.21</v>
      </c>
      <c r="L156" s="4">
        <v>-4.1962443037067096</v>
      </c>
    </row>
    <row r="157" spans="1:12" ht="15" customHeight="1" x14ac:dyDescent="0.2">
      <c r="A157" s="6">
        <v>45826</v>
      </c>
      <c r="B157" s="7">
        <v>39.67</v>
      </c>
      <c r="C157" s="8">
        <v>1205426</v>
      </c>
      <c r="D157" s="7">
        <v>0.53000000000000103</v>
      </c>
      <c r="E157" s="7">
        <v>1.3541134389371401</v>
      </c>
      <c r="F157" s="7">
        <v>1.3541164270713899</v>
      </c>
      <c r="G157" s="7">
        <v>40.253734999999999</v>
      </c>
      <c r="H157" s="7">
        <v>0.14175522730019499</v>
      </c>
      <c r="I157" s="7">
        <v>39.89</v>
      </c>
      <c r="J157" s="7">
        <v>39.979999999999997</v>
      </c>
      <c r="K157" s="7">
        <v>38</v>
      </c>
      <c r="L157" s="7">
        <v>-1.3104391464046901</v>
      </c>
    </row>
    <row r="158" spans="1:12" ht="15" customHeight="1" x14ac:dyDescent="0.2">
      <c r="A158" s="3">
        <v>45825</v>
      </c>
      <c r="B158" s="4">
        <v>39.14</v>
      </c>
      <c r="C158" s="5">
        <v>739523</v>
      </c>
      <c r="D158" s="4">
        <v>0.39</v>
      </c>
      <c r="E158" s="4">
        <v>1.0064516129032199</v>
      </c>
      <c r="F158" s="4">
        <v>1.00644711911166</v>
      </c>
      <c r="G158" s="4">
        <v>39.715935000000002</v>
      </c>
      <c r="H158" s="4">
        <v>-1.1961637499386</v>
      </c>
      <c r="I158" s="4">
        <v>38.57</v>
      </c>
      <c r="J158" s="4">
        <v>39.4</v>
      </c>
      <c r="K158" s="4">
        <v>38.46</v>
      </c>
      <c r="L158" s="4">
        <v>-2.62895357172372</v>
      </c>
    </row>
    <row r="159" spans="1:12" ht="15" customHeight="1" x14ac:dyDescent="0.2">
      <c r="A159" s="6">
        <v>45824</v>
      </c>
      <c r="B159" s="7">
        <v>38.75</v>
      </c>
      <c r="C159" s="8">
        <v>714468</v>
      </c>
      <c r="D159" s="7">
        <v>-0.46</v>
      </c>
      <c r="E159" s="7">
        <v>-1.17317010966589</v>
      </c>
      <c r="F159" s="7">
        <v>-1.1731631496185499</v>
      </c>
      <c r="G159" s="7">
        <v>39.320197999999998</v>
      </c>
      <c r="H159" s="7">
        <v>-2.1806636426413899</v>
      </c>
      <c r="I159" s="7">
        <v>38.380000000000003</v>
      </c>
      <c r="J159" s="7">
        <v>39.5</v>
      </c>
      <c r="K159" s="7">
        <v>38.270000000000003</v>
      </c>
      <c r="L159" s="7">
        <v>-3.5991811677131902</v>
      </c>
    </row>
    <row r="160" spans="1:12" ht="15" customHeight="1" x14ac:dyDescent="0.2">
      <c r="A160" s="3">
        <v>45821</v>
      </c>
      <c r="B160" s="4">
        <v>39.21</v>
      </c>
      <c r="C160" s="5">
        <v>527816</v>
      </c>
      <c r="D160" s="4">
        <v>-1.17</v>
      </c>
      <c r="E160" s="4">
        <v>-2.8974739970282299</v>
      </c>
      <c r="F160" s="4">
        <v>-2.8974877011589801</v>
      </c>
      <c r="G160" s="4">
        <v>39.786963999999998</v>
      </c>
      <c r="H160" s="4">
        <v>-1.0194604270782599</v>
      </c>
      <c r="I160" s="4">
        <v>40.4</v>
      </c>
      <c r="J160" s="4">
        <v>40.4</v>
      </c>
      <c r="K160" s="4">
        <v>38.64</v>
      </c>
      <c r="L160" s="4">
        <v>-2.4548101570589398</v>
      </c>
    </row>
    <row r="161" spans="1:12" ht="15" customHeight="1" x14ac:dyDescent="0.2">
      <c r="A161" s="6">
        <v>45820</v>
      </c>
      <c r="B161" s="7">
        <v>40.380000000000003</v>
      </c>
      <c r="C161" s="8">
        <v>425338</v>
      </c>
      <c r="D161" s="7">
        <v>-0.32</v>
      </c>
      <c r="E161" s="7">
        <v>-0.78624078624078797</v>
      </c>
      <c r="F161" s="7">
        <v>-0.78623657055407703</v>
      </c>
      <c r="G161" s="7">
        <v>40.974186000000003</v>
      </c>
      <c r="H161" s="7">
        <v>1.9340666164238101</v>
      </c>
      <c r="I161" s="7">
        <v>41.09</v>
      </c>
      <c r="J161" s="7">
        <v>41.49</v>
      </c>
      <c r="K161" s="7">
        <v>40.03</v>
      </c>
      <c r="L161" s="7">
        <v>0.45587263090946101</v>
      </c>
    </row>
    <row r="162" spans="1:12" ht="15" customHeight="1" x14ac:dyDescent="0.2">
      <c r="A162" s="3">
        <v>45819</v>
      </c>
      <c r="B162" s="4">
        <v>40.700000000000003</v>
      </c>
      <c r="C162" s="5">
        <v>547753</v>
      </c>
      <c r="D162" s="4">
        <v>-0.56999999999999995</v>
      </c>
      <c r="E162" s="4">
        <v>-1.3811485340440901</v>
      </c>
      <c r="F162" s="4">
        <v>-1.3811474861786499</v>
      </c>
      <c r="G162" s="4">
        <v>41.298893</v>
      </c>
      <c r="H162" s="4">
        <v>2.7418606985031699</v>
      </c>
      <c r="I162" s="4">
        <v>41.08</v>
      </c>
      <c r="J162" s="4">
        <v>41.08</v>
      </c>
      <c r="K162" s="4">
        <v>40.53</v>
      </c>
      <c r="L162" s="4">
        <v>1.25195681223415</v>
      </c>
    </row>
    <row r="163" spans="1:12" ht="15" customHeight="1" x14ac:dyDescent="0.2">
      <c r="A163" s="6">
        <v>45818</v>
      </c>
      <c r="B163" s="7">
        <v>41.27</v>
      </c>
      <c r="C163" s="8">
        <v>467996</v>
      </c>
      <c r="D163" s="7">
        <v>-0.50999999999999801</v>
      </c>
      <c r="E163" s="7">
        <v>-1.2206797510770599</v>
      </c>
      <c r="F163" s="7">
        <v>-1.2206761383824001</v>
      </c>
      <c r="G163" s="7">
        <v>41.877279999999999</v>
      </c>
      <c r="H163" s="7">
        <v>4.1807505153276798</v>
      </c>
      <c r="I163" s="7">
        <v>42</v>
      </c>
      <c r="J163" s="7">
        <v>42.11</v>
      </c>
      <c r="K163" s="7">
        <v>41.01</v>
      </c>
      <c r="L163" s="7">
        <v>2.6699817602187501</v>
      </c>
    </row>
    <row r="164" spans="1:12" ht="15" customHeight="1" x14ac:dyDescent="0.2">
      <c r="A164" s="3">
        <v>45817</v>
      </c>
      <c r="B164" s="4">
        <v>41.78</v>
      </c>
      <c r="C164" s="5">
        <v>327096</v>
      </c>
      <c r="D164" s="4">
        <v>-0.69999999999999496</v>
      </c>
      <c r="E164" s="4">
        <v>-1.6478342749529</v>
      </c>
      <c r="F164" s="4">
        <v>-1.6478335049256301</v>
      </c>
      <c r="G164" s="4">
        <v>42.394782999999997</v>
      </c>
      <c r="H164" s="4">
        <v>5.4681753656028897</v>
      </c>
      <c r="I164" s="4">
        <v>42.54</v>
      </c>
      <c r="J164" s="4">
        <v>42.73</v>
      </c>
      <c r="K164" s="4">
        <v>41.01</v>
      </c>
      <c r="L164" s="4">
        <v>3.9387409242049798</v>
      </c>
    </row>
    <row r="165" spans="1:12" ht="15" customHeight="1" x14ac:dyDescent="0.2">
      <c r="A165" s="6">
        <v>45814</v>
      </c>
      <c r="B165" s="7">
        <v>42.48</v>
      </c>
      <c r="C165" s="8">
        <v>301886</v>
      </c>
      <c r="D165" s="7">
        <v>1.6299999999999899</v>
      </c>
      <c r="E165" s="7">
        <v>3.99020807833536</v>
      </c>
      <c r="F165" s="7">
        <v>3.9902029137948101</v>
      </c>
      <c r="G165" s="7">
        <v>43.105083</v>
      </c>
      <c r="H165" s="7">
        <v>7.2352334718370601</v>
      </c>
      <c r="I165" s="7">
        <v>40.85</v>
      </c>
      <c r="J165" s="7">
        <v>43.03</v>
      </c>
      <c r="K165" s="7">
        <v>40.450000000000003</v>
      </c>
      <c r="L165" s="7">
        <v>5.6801750708527301</v>
      </c>
    </row>
    <row r="166" spans="1:12" ht="15" customHeight="1" x14ac:dyDescent="0.2">
      <c r="A166" s="3">
        <v>45813</v>
      </c>
      <c r="B166" s="4">
        <v>40.85</v>
      </c>
      <c r="C166" s="5">
        <v>217462</v>
      </c>
      <c r="D166" s="4">
        <v>0.30000000000000399</v>
      </c>
      <c r="E166" s="4">
        <v>0.73982737361284401</v>
      </c>
      <c r="F166" s="4">
        <v>0.73983363373419897</v>
      </c>
      <c r="G166" s="4">
        <v>41.451099999999997</v>
      </c>
      <c r="H166" s="4">
        <v>3.1205156515871799</v>
      </c>
      <c r="I166" s="4">
        <v>40.21</v>
      </c>
      <c r="J166" s="4">
        <v>41</v>
      </c>
      <c r="K166" s="4">
        <v>39.81</v>
      </c>
      <c r="L166" s="4">
        <v>1.6251212722300901</v>
      </c>
    </row>
    <row r="167" spans="1:12" ht="15" customHeight="1" x14ac:dyDescent="0.2">
      <c r="A167" s="6">
        <v>45812</v>
      </c>
      <c r="B167" s="7">
        <v>40.549999999999997</v>
      </c>
      <c r="C167" s="8">
        <v>263970</v>
      </c>
      <c r="D167" s="7">
        <v>0.17999999999999899</v>
      </c>
      <c r="E167" s="7">
        <v>0.44587565023532699</v>
      </c>
      <c r="F167" s="7">
        <v>0.44587404536686698</v>
      </c>
      <c r="G167" s="7">
        <v>41.146683000000003</v>
      </c>
      <c r="H167" s="7">
        <v>2.3631982821299502</v>
      </c>
      <c r="I167" s="7">
        <v>40.380000000000003</v>
      </c>
      <c r="J167" s="7">
        <v>40.82</v>
      </c>
      <c r="K167" s="7">
        <v>40.020000000000003</v>
      </c>
      <c r="L167" s="7">
        <v>0.87879235223818897</v>
      </c>
    </row>
    <row r="168" spans="1:12" ht="15" customHeight="1" x14ac:dyDescent="0.2">
      <c r="A168" s="3">
        <v>45811</v>
      </c>
      <c r="B168" s="4">
        <v>40.369999999999997</v>
      </c>
      <c r="C168" s="5">
        <v>741759</v>
      </c>
      <c r="D168" s="4">
        <v>-0.30000000000000399</v>
      </c>
      <c r="E168" s="4">
        <v>-0.73764445537252099</v>
      </c>
      <c r="F168" s="4">
        <v>-0.73764101814538496</v>
      </c>
      <c r="G168" s="4">
        <v>40.964035000000003</v>
      </c>
      <c r="H168" s="4">
        <v>1.90881333353435</v>
      </c>
      <c r="I168" s="4">
        <v>40.67</v>
      </c>
      <c r="J168" s="4">
        <v>40.950000000000003</v>
      </c>
      <c r="K168" s="4">
        <v>39.700000000000003</v>
      </c>
      <c r="L168" s="4">
        <v>0.43099500024305099</v>
      </c>
    </row>
    <row r="169" spans="1:12" ht="15" customHeight="1" x14ac:dyDescent="0.2">
      <c r="A169" s="6">
        <v>45810</v>
      </c>
      <c r="B169" s="7">
        <v>40.67</v>
      </c>
      <c r="C169" s="8">
        <v>518075</v>
      </c>
      <c r="D169" s="7">
        <v>-1.2999999999999901</v>
      </c>
      <c r="E169" s="7">
        <v>-3.0974505599237498</v>
      </c>
      <c r="F169" s="7">
        <v>-3.09745705203254</v>
      </c>
      <c r="G169" s="7">
        <v>41.268447999999999</v>
      </c>
      <c r="H169" s="7">
        <v>2.66612075193932</v>
      </c>
      <c r="I169" s="7">
        <v>42.18</v>
      </c>
      <c r="J169" s="7">
        <v>42.49</v>
      </c>
      <c r="K169" s="7">
        <v>40.47</v>
      </c>
      <c r="L169" s="7">
        <v>1.1773239202349599</v>
      </c>
    </row>
    <row r="170" spans="1:12" ht="15" customHeight="1" x14ac:dyDescent="0.2">
      <c r="A170" s="3">
        <v>45807</v>
      </c>
      <c r="B170" s="4">
        <v>41.97</v>
      </c>
      <c r="C170" s="5">
        <v>370572</v>
      </c>
      <c r="D170" s="4">
        <v>-0.28999999999999898</v>
      </c>
      <c r="E170" s="4">
        <v>-0.68622811168953501</v>
      </c>
      <c r="F170" s="4">
        <v>-0.68622743791795204</v>
      </c>
      <c r="G170" s="4">
        <v>42.587580000000003</v>
      </c>
      <c r="H170" s="4">
        <v>5.9478086215618404</v>
      </c>
      <c r="I170" s="4">
        <v>42.42</v>
      </c>
      <c r="J170" s="4">
        <v>42.89</v>
      </c>
      <c r="K170" s="4">
        <v>41.2</v>
      </c>
      <c r="L170" s="4">
        <v>4.4114159068665098</v>
      </c>
    </row>
    <row r="171" spans="1:12" ht="15" customHeight="1" x14ac:dyDescent="0.2">
      <c r="A171" s="6">
        <v>45806</v>
      </c>
      <c r="B171" s="7">
        <v>42.26</v>
      </c>
      <c r="C171" s="8">
        <v>576872</v>
      </c>
      <c r="D171" s="7">
        <v>0.32</v>
      </c>
      <c r="E171" s="7">
        <v>0.76299475441106102</v>
      </c>
      <c r="F171" s="7">
        <v>0.76299775522963298</v>
      </c>
      <c r="G171" s="7">
        <v>42.881847</v>
      </c>
      <c r="H171" s="7">
        <v>6.6798751958926799</v>
      </c>
      <c r="I171" s="7">
        <v>41.73</v>
      </c>
      <c r="J171" s="7">
        <v>42.7</v>
      </c>
      <c r="K171" s="7">
        <v>41.73</v>
      </c>
      <c r="L171" s="7">
        <v>5.1328671961919996</v>
      </c>
    </row>
    <row r="172" spans="1:12" ht="15" customHeight="1" x14ac:dyDescent="0.2">
      <c r="A172" s="3">
        <v>45805</v>
      </c>
      <c r="B172" s="4">
        <v>41.94</v>
      </c>
      <c r="C172" s="5">
        <v>795604</v>
      </c>
      <c r="D172" s="4">
        <v>-3.0000000000001099E-2</v>
      </c>
      <c r="E172" s="4">
        <v>-7.1479628305937098E-2</v>
      </c>
      <c r="F172" s="4">
        <v>-7.1483282215156693E-2</v>
      </c>
      <c r="G172" s="4">
        <v>42.557136999999997</v>
      </c>
      <c r="H172" s="4">
        <v>5.8720736505241096</v>
      </c>
      <c r="I172" s="4">
        <v>41.97</v>
      </c>
      <c r="J172" s="4">
        <v>42.45</v>
      </c>
      <c r="K172" s="4">
        <v>41.38</v>
      </c>
      <c r="L172" s="4">
        <v>4.3367830148673097</v>
      </c>
    </row>
    <row r="173" spans="1:12" ht="15" customHeight="1" x14ac:dyDescent="0.2">
      <c r="A173" s="6">
        <v>45804</v>
      </c>
      <c r="B173" s="7">
        <v>41.97</v>
      </c>
      <c r="C173" s="8">
        <v>541729</v>
      </c>
      <c r="D173" s="7">
        <v>-0.130000000000002</v>
      </c>
      <c r="E173" s="7">
        <v>-0.30878859857482699</v>
      </c>
      <c r="F173" s="7">
        <v>-0.30878177618692798</v>
      </c>
      <c r="G173" s="7">
        <v>42.587580000000003</v>
      </c>
      <c r="H173" s="7">
        <v>5.9478086215618404</v>
      </c>
      <c r="I173" s="7">
        <v>42.3</v>
      </c>
      <c r="J173" s="7">
        <v>43.19</v>
      </c>
      <c r="K173" s="7">
        <v>41.16</v>
      </c>
      <c r="L173" s="7">
        <v>4.4114159068665098</v>
      </c>
    </row>
    <row r="174" spans="1:12" ht="15" customHeight="1" x14ac:dyDescent="0.2">
      <c r="A174" s="3">
        <v>45803</v>
      </c>
      <c r="B174" s="4">
        <v>42.1</v>
      </c>
      <c r="C174" s="5">
        <v>161330</v>
      </c>
      <c r="D174" s="4">
        <v>0.71</v>
      </c>
      <c r="E174" s="4">
        <v>1.7153901908673701</v>
      </c>
      <c r="F174" s="4">
        <v>1.7153818208156499</v>
      </c>
      <c r="G174" s="4">
        <v>42.71949</v>
      </c>
      <c r="H174" s="4">
        <v>6.2759694476822698</v>
      </c>
      <c r="I174" s="4">
        <v>41.4</v>
      </c>
      <c r="J174" s="4">
        <v>43</v>
      </c>
      <c r="K174" s="4">
        <v>41.15</v>
      </c>
      <c r="L174" s="4">
        <v>4.7348251055296702</v>
      </c>
    </row>
    <row r="175" spans="1:12" ht="15" customHeight="1" x14ac:dyDescent="0.2">
      <c r="A175" s="6">
        <v>45800</v>
      </c>
      <c r="B175" s="7">
        <v>41.39</v>
      </c>
      <c r="C175" s="8">
        <v>163725</v>
      </c>
      <c r="D175" s="7">
        <v>-0.630000000000002</v>
      </c>
      <c r="E175" s="7">
        <v>-1.49928605425988</v>
      </c>
      <c r="F175" s="7">
        <v>-1.4992876008684899</v>
      </c>
      <c r="G175" s="7">
        <v>41.999046</v>
      </c>
      <c r="H175" s="7">
        <v>4.4836754729001198</v>
      </c>
      <c r="I175" s="7">
        <v>40.89</v>
      </c>
      <c r="J175" s="7">
        <v>42</v>
      </c>
      <c r="K175" s="7">
        <v>40.89</v>
      </c>
      <c r="L175" s="7">
        <v>2.9685133282155101</v>
      </c>
    </row>
    <row r="176" spans="1:12" ht="15" customHeight="1" x14ac:dyDescent="0.2">
      <c r="A176" s="3">
        <v>45799</v>
      </c>
      <c r="B176" s="4">
        <v>42.02</v>
      </c>
      <c r="C176" s="5">
        <v>450005</v>
      </c>
      <c r="D176" s="4">
        <v>2.0000000000003099E-2</v>
      </c>
      <c r="E176" s="4">
        <v>4.7619047619051801E-2</v>
      </c>
      <c r="F176" s="4">
        <v>4.7618351512923499E-2</v>
      </c>
      <c r="G176" s="4">
        <v>42.638317000000001</v>
      </c>
      <c r="H176" s="4">
        <v>6.0740302562739297</v>
      </c>
      <c r="I176" s="4">
        <v>42</v>
      </c>
      <c r="J176" s="4">
        <v>42.78</v>
      </c>
      <c r="K176" s="4">
        <v>41.64</v>
      </c>
      <c r="L176" s="4">
        <v>4.5358040601985001</v>
      </c>
    </row>
    <row r="177" spans="1:12" ht="15" customHeight="1" x14ac:dyDescent="0.2">
      <c r="A177" s="6">
        <v>45798</v>
      </c>
      <c r="B177" s="7">
        <v>42</v>
      </c>
      <c r="C177" s="8">
        <v>343030</v>
      </c>
      <c r="D177" s="7">
        <v>7.9999999999998295E-2</v>
      </c>
      <c r="E177" s="7">
        <v>0.19083969465647499</v>
      </c>
      <c r="F177" s="7">
        <v>0.190848676542554</v>
      </c>
      <c r="G177" s="7">
        <v>42.618023000000001</v>
      </c>
      <c r="H177" s="7">
        <v>6.0235435925995402</v>
      </c>
      <c r="I177" s="7">
        <v>41.9</v>
      </c>
      <c r="J177" s="7">
        <v>42.19</v>
      </c>
      <c r="K177" s="7">
        <v>41.46</v>
      </c>
      <c r="L177" s="7">
        <v>4.4860487988657001</v>
      </c>
    </row>
    <row r="178" spans="1:12" ht="15" customHeight="1" x14ac:dyDescent="0.2">
      <c r="A178" s="3">
        <v>45797</v>
      </c>
      <c r="B178" s="4">
        <v>41.92</v>
      </c>
      <c r="C178" s="5">
        <v>298162</v>
      </c>
      <c r="D178" s="4">
        <v>-0.46</v>
      </c>
      <c r="E178" s="4">
        <v>-1.08541764983483</v>
      </c>
      <c r="F178" s="4">
        <v>-1.08542275273475</v>
      </c>
      <c r="G178" s="4">
        <v>42.536842</v>
      </c>
      <c r="H178" s="4">
        <v>5.8215844990866703</v>
      </c>
      <c r="I178" s="4">
        <v>42.54</v>
      </c>
      <c r="J178" s="4">
        <v>42.78</v>
      </c>
      <c r="K178" s="4">
        <v>41.56</v>
      </c>
      <c r="L178" s="4">
        <v>4.28702775353453</v>
      </c>
    </row>
    <row r="179" spans="1:12" ht="15" customHeight="1" x14ac:dyDescent="0.2">
      <c r="A179" s="6">
        <v>45796</v>
      </c>
      <c r="B179" s="7">
        <v>42.38</v>
      </c>
      <c r="C179" s="8">
        <v>349663</v>
      </c>
      <c r="D179" s="7">
        <v>0.46</v>
      </c>
      <c r="E179" s="7">
        <v>1.09732824427482</v>
      </c>
      <c r="F179" s="7">
        <v>1.0973334597805799</v>
      </c>
      <c r="G179" s="7">
        <v>43.003613000000001</v>
      </c>
      <c r="H179" s="7">
        <v>6.9828001534651296</v>
      </c>
      <c r="I179" s="7">
        <v>41.71</v>
      </c>
      <c r="J179" s="7">
        <v>42.76</v>
      </c>
      <c r="K179" s="7">
        <v>41.71</v>
      </c>
      <c r="L179" s="7">
        <v>5.4313987641887804</v>
      </c>
    </row>
    <row r="180" spans="1:12" ht="15" customHeight="1" x14ac:dyDescent="0.2">
      <c r="A180" s="3">
        <v>45793</v>
      </c>
      <c r="B180" s="4">
        <v>41.92</v>
      </c>
      <c r="C180" s="5">
        <v>274930</v>
      </c>
      <c r="D180" s="4">
        <v>1.00000000000051E-2</v>
      </c>
      <c r="E180" s="4">
        <v>2.3860653781926301E-2</v>
      </c>
      <c r="F180" s="4">
        <v>2.3860307037737401E-2</v>
      </c>
      <c r="G180" s="4">
        <v>42.536842</v>
      </c>
      <c r="H180" s="4">
        <v>5.8215844990866703</v>
      </c>
      <c r="I180" s="4">
        <v>41.9</v>
      </c>
      <c r="J180" s="4">
        <v>42.49</v>
      </c>
      <c r="K180" s="4">
        <v>41.61</v>
      </c>
      <c r="L180" s="4">
        <v>4.28702775353453</v>
      </c>
    </row>
    <row r="181" spans="1:12" ht="15" customHeight="1" x14ac:dyDescent="0.2">
      <c r="A181" s="6">
        <v>45792</v>
      </c>
      <c r="B181" s="7">
        <v>41.91</v>
      </c>
      <c r="C181" s="8">
        <v>522533</v>
      </c>
      <c r="D181" s="7">
        <v>0.119999999999997</v>
      </c>
      <c r="E181" s="7">
        <v>0.28715003589374599</v>
      </c>
      <c r="F181" s="7">
        <v>0.28713875607022599</v>
      </c>
      <c r="G181" s="7">
        <v>42.526694999999997</v>
      </c>
      <c r="H181" s="7">
        <v>5.7963411672494702</v>
      </c>
      <c r="I181" s="7">
        <v>41.99</v>
      </c>
      <c r="J181" s="7">
        <v>41.99</v>
      </c>
      <c r="K181" s="7">
        <v>41.59</v>
      </c>
      <c r="L181" s="7">
        <v>4.2621501228681202</v>
      </c>
    </row>
    <row r="182" spans="1:12" ht="15" customHeight="1" x14ac:dyDescent="0.2">
      <c r="A182" s="3">
        <v>45791</v>
      </c>
      <c r="B182" s="4">
        <v>41.79</v>
      </c>
      <c r="C182" s="5">
        <v>397465</v>
      </c>
      <c r="D182" s="4">
        <v>-0.380000000000002</v>
      </c>
      <c r="E182" s="4">
        <v>-0.90111453640029304</v>
      </c>
      <c r="F182" s="4">
        <v>-0.90110145892128202</v>
      </c>
      <c r="G182" s="4">
        <v>42.404933999999997</v>
      </c>
      <c r="H182" s="4">
        <v>5.49342864849236</v>
      </c>
      <c r="I182" s="4">
        <v>42.18</v>
      </c>
      <c r="J182" s="4">
        <v>42.22</v>
      </c>
      <c r="K182" s="4">
        <v>41.39</v>
      </c>
      <c r="L182" s="4">
        <v>3.96361855487137</v>
      </c>
    </row>
    <row r="183" spans="1:12" ht="15" customHeight="1" x14ac:dyDescent="0.2">
      <c r="A183" s="6">
        <v>45790</v>
      </c>
      <c r="B183" s="7">
        <v>42.17</v>
      </c>
      <c r="C183" s="8">
        <v>2166237</v>
      </c>
      <c r="D183" s="7">
        <v>0.880000000000002</v>
      </c>
      <c r="E183" s="7">
        <v>2.1312666505207201</v>
      </c>
      <c r="F183" s="7">
        <v>2.1312569999576199</v>
      </c>
      <c r="G183" s="7">
        <v>42.790520000000001</v>
      </c>
      <c r="H183" s="7">
        <v>6.4526752583056801</v>
      </c>
      <c r="I183" s="7">
        <v>41.4</v>
      </c>
      <c r="J183" s="7">
        <v>42.2</v>
      </c>
      <c r="K183" s="7">
        <v>40.89</v>
      </c>
      <c r="L183" s="7">
        <v>4.90896852019445</v>
      </c>
    </row>
    <row r="184" spans="1:12" ht="15" customHeight="1" x14ac:dyDescent="0.2">
      <c r="A184" s="3">
        <v>45789</v>
      </c>
      <c r="B184" s="4">
        <v>41.29</v>
      </c>
      <c r="C184" s="5">
        <v>2248803</v>
      </c>
      <c r="D184" s="4">
        <v>0.22999999999999601</v>
      </c>
      <c r="E184" s="4">
        <v>0.56015586945932205</v>
      </c>
      <c r="F184" s="4">
        <v>0.56015246857541401</v>
      </c>
      <c r="G184" s="4">
        <v>41.897575000000003</v>
      </c>
      <c r="H184" s="4">
        <v>4.2312396667651404</v>
      </c>
      <c r="I184" s="4">
        <v>41.51</v>
      </c>
      <c r="J184" s="4">
        <v>41.72</v>
      </c>
      <c r="K184" s="4">
        <v>40.159999999999997</v>
      </c>
      <c r="L184" s="4">
        <v>2.71973702155154</v>
      </c>
    </row>
    <row r="185" spans="1:12" ht="15" customHeight="1" x14ac:dyDescent="0.2">
      <c r="A185" s="6">
        <v>45786</v>
      </c>
      <c r="B185" s="7">
        <v>41.06</v>
      </c>
      <c r="C185" s="8">
        <v>1871949</v>
      </c>
      <c r="D185" s="7">
        <v>-0.25525399999999998</v>
      </c>
      <c r="E185" s="7">
        <v>-0.61782023656444796</v>
      </c>
      <c r="F185" s="7">
        <v>-0.61781543393634097</v>
      </c>
      <c r="G185" s="7">
        <v>41.664192</v>
      </c>
      <c r="H185" s="7">
        <v>3.6506380589835699</v>
      </c>
      <c r="I185" s="7">
        <v>41.74</v>
      </c>
      <c r="J185" s="7">
        <v>42.24</v>
      </c>
      <c r="K185" s="7">
        <v>40.6</v>
      </c>
      <c r="L185" s="7">
        <v>2.1475515162244201</v>
      </c>
    </row>
    <row r="186" spans="1:12" ht="15" customHeight="1" x14ac:dyDescent="0.2">
      <c r="A186" s="3">
        <v>45785</v>
      </c>
      <c r="B186" s="4">
        <v>41.315254000000003</v>
      </c>
      <c r="C186" s="5">
        <v>3162266.4</v>
      </c>
      <c r="D186" s="4">
        <v>1.3164670000000001</v>
      </c>
      <c r="E186" s="4">
        <v>3.2912673076811201</v>
      </c>
      <c r="F186" s="4">
        <v>3.2912709769741202</v>
      </c>
      <c r="G186" s="4">
        <v>41.923200000000001</v>
      </c>
      <c r="H186" s="4">
        <v>4.29498859534778</v>
      </c>
      <c r="I186" s="4">
        <v>40.18685</v>
      </c>
      <c r="J186" s="4">
        <v>41.443930000000002</v>
      </c>
      <c r="K186" s="4">
        <v>40.18685</v>
      </c>
      <c r="L186" s="4">
        <v>2.7825629900364701</v>
      </c>
    </row>
    <row r="187" spans="1:12" ht="15" customHeight="1" x14ac:dyDescent="0.2">
      <c r="A187" s="6">
        <v>45784</v>
      </c>
      <c r="B187" s="7">
        <v>39.998787</v>
      </c>
      <c r="C187" s="8">
        <v>1658284.79999999</v>
      </c>
      <c r="D187" s="7">
        <v>0.68297700000000106</v>
      </c>
      <c r="E187" s="7">
        <v>1.7371561211634701</v>
      </c>
      <c r="F187" s="7">
        <v>1.73714630224333</v>
      </c>
      <c r="G187" s="7">
        <v>40.587359999999997</v>
      </c>
      <c r="H187" s="7">
        <v>0.97173518040784601</v>
      </c>
      <c r="I187" s="7">
        <v>39.098050000000001</v>
      </c>
      <c r="J187" s="7">
        <v>40.404612999999998</v>
      </c>
      <c r="K187" s="7">
        <v>39.058453</v>
      </c>
      <c r="L187" s="7">
        <v>-0.49249499101344901</v>
      </c>
    </row>
    <row r="188" spans="1:12" ht="15" customHeight="1" x14ac:dyDescent="0.2">
      <c r="A188" s="3">
        <v>45783</v>
      </c>
      <c r="B188" s="4">
        <v>39.315809999999999</v>
      </c>
      <c r="C188" s="5">
        <v>755835.4</v>
      </c>
      <c r="D188" s="4">
        <v>1.28677299999999</v>
      </c>
      <c r="E188" s="4">
        <v>3.3836591760133001</v>
      </c>
      <c r="F188" s="4">
        <v>3.3836653478238299</v>
      </c>
      <c r="G188" s="4">
        <v>39.894337</v>
      </c>
      <c r="H188" s="4">
        <v>-0.75234184332396103</v>
      </c>
      <c r="I188" s="4">
        <v>38.029037000000002</v>
      </c>
      <c r="J188" s="4">
        <v>39.424689999999998</v>
      </c>
      <c r="K188" s="4">
        <v>37.722194999999999</v>
      </c>
      <c r="L188" s="4">
        <v>-2.1915799469778001</v>
      </c>
    </row>
    <row r="189" spans="1:12" ht="15" customHeight="1" x14ac:dyDescent="0.2">
      <c r="A189" s="6">
        <v>45782</v>
      </c>
      <c r="B189" s="7">
        <v>38.029037000000002</v>
      </c>
      <c r="C189" s="8">
        <v>189776.15</v>
      </c>
      <c r="D189" s="7">
        <v>0.42562099999999897</v>
      </c>
      <c r="E189" s="7">
        <v>1.1318679132768099</v>
      </c>
      <c r="F189" s="7">
        <v>1.13187074514904</v>
      </c>
      <c r="G189" s="7">
        <v>38.588627000000002</v>
      </c>
      <c r="H189" s="7">
        <v>-4.0006389570660197</v>
      </c>
      <c r="I189" s="7">
        <v>37.662804000000001</v>
      </c>
      <c r="J189" s="7">
        <v>38.424970000000002</v>
      </c>
      <c r="K189" s="7">
        <v>37.177790000000002</v>
      </c>
      <c r="L189" s="7">
        <v>-5.3927662915269101</v>
      </c>
    </row>
    <row r="190" spans="1:12" ht="15" customHeight="1" x14ac:dyDescent="0.2">
      <c r="A190" s="3">
        <v>45779</v>
      </c>
      <c r="B190" s="4">
        <v>37.603416000000003</v>
      </c>
      <c r="C190" s="5">
        <v>373722</v>
      </c>
      <c r="D190" s="4">
        <v>0.95023300000000399</v>
      </c>
      <c r="E190" s="4">
        <v>2.5924979012054798</v>
      </c>
      <c r="F190" s="4">
        <v>2.5924938471512302</v>
      </c>
      <c r="G190" s="4">
        <v>38.156742000000001</v>
      </c>
      <c r="H190" s="4">
        <v>-5.0750665091016902</v>
      </c>
      <c r="I190" s="4">
        <v>36.821452999999998</v>
      </c>
      <c r="J190" s="4">
        <v>37.949852</v>
      </c>
      <c r="K190" s="4">
        <v>36.623489999999997</v>
      </c>
      <c r="L190" s="4">
        <v>-6.4516104957131502</v>
      </c>
    </row>
    <row r="191" spans="1:12" ht="15" customHeight="1" x14ac:dyDescent="0.2">
      <c r="A191" s="6">
        <v>45777</v>
      </c>
      <c r="B191" s="7">
        <v>36.653182999999999</v>
      </c>
      <c r="C191" s="8">
        <v>428369.08</v>
      </c>
      <c r="D191" s="7">
        <v>0.148472999999995</v>
      </c>
      <c r="E191" s="7">
        <v>0.40672285850236101</v>
      </c>
      <c r="F191" s="7">
        <v>0.406723526647012</v>
      </c>
      <c r="G191" s="7">
        <v>37.192528000000003</v>
      </c>
      <c r="H191" s="7">
        <v>-7.4738024866385802</v>
      </c>
      <c r="I191" s="7">
        <v>36.534405</v>
      </c>
      <c r="J191" s="7">
        <v>37.613309999999998</v>
      </c>
      <c r="K191" s="7">
        <v>36.207763999999997</v>
      </c>
      <c r="L191" s="7">
        <v>-8.8155650578153608</v>
      </c>
    </row>
    <row r="192" spans="1:12" ht="15" customHeight="1" x14ac:dyDescent="0.2">
      <c r="A192" s="3">
        <v>45776</v>
      </c>
      <c r="B192" s="4">
        <v>36.504710000000003</v>
      </c>
      <c r="C192" s="5">
        <v>412987.55</v>
      </c>
      <c r="D192" s="4">
        <v>-1.6134119999999901</v>
      </c>
      <c r="E192" s="4">
        <v>-4.2326639281966596</v>
      </c>
      <c r="F192" s="4">
        <v>-4.2326662637609296</v>
      </c>
      <c r="G192" s="4">
        <v>37.041870000000003</v>
      </c>
      <c r="H192" s="4">
        <v>-7.8486038947323804</v>
      </c>
      <c r="I192" s="4">
        <v>38.207203</v>
      </c>
      <c r="J192" s="4">
        <v>38.603133999999997</v>
      </c>
      <c r="K192" s="4">
        <v>35.801932999999998</v>
      </c>
      <c r="L192" s="4">
        <v>-9.1849307036085399</v>
      </c>
    </row>
    <row r="193" spans="1:12" ht="15" customHeight="1" x14ac:dyDescent="0.2">
      <c r="A193" s="6">
        <v>45775</v>
      </c>
      <c r="B193" s="7">
        <v>38.118122</v>
      </c>
      <c r="C193" s="8">
        <v>391115</v>
      </c>
      <c r="D193" s="7">
        <v>-0.59389500000000295</v>
      </c>
      <c r="E193" s="7">
        <v>-1.5341360280969201</v>
      </c>
      <c r="F193" s="7">
        <v>-1.53414086879221</v>
      </c>
      <c r="G193" s="7">
        <v>38.679023999999998</v>
      </c>
      <c r="H193" s="7">
        <v>-3.7757526391310101</v>
      </c>
      <c r="I193" s="7">
        <v>38.751609999999999</v>
      </c>
      <c r="J193" s="7">
        <v>38.900080000000003</v>
      </c>
      <c r="K193" s="7">
        <v>37.969650000000001</v>
      </c>
      <c r="L193" s="7">
        <v>-5.1711439187353196</v>
      </c>
    </row>
    <row r="194" spans="1:12" ht="15" customHeight="1" x14ac:dyDescent="0.2">
      <c r="A194" s="3">
        <v>45772</v>
      </c>
      <c r="B194" s="4">
        <v>38.712017000000003</v>
      </c>
      <c r="C194" s="5">
        <v>645986.6</v>
      </c>
      <c r="D194" s="4">
        <v>0.57410000000000105</v>
      </c>
      <c r="E194" s="4">
        <v>1.50532605123663</v>
      </c>
      <c r="F194" s="4">
        <v>1.5053317763638701</v>
      </c>
      <c r="G194" s="4">
        <v>39.281660000000002</v>
      </c>
      <c r="H194" s="4">
        <v>-2.2765370557035398</v>
      </c>
      <c r="I194" s="4">
        <v>38.157715000000003</v>
      </c>
      <c r="J194" s="4">
        <v>38.840693999999999</v>
      </c>
      <c r="K194" s="4">
        <v>37.177790000000002</v>
      </c>
      <c r="L194" s="4">
        <v>-3.69367387227335</v>
      </c>
    </row>
    <row r="195" spans="1:12" ht="15" customHeight="1" x14ac:dyDescent="0.2">
      <c r="A195" s="6">
        <v>45771</v>
      </c>
      <c r="B195" s="7">
        <v>38.137917000000002</v>
      </c>
      <c r="C195" s="8">
        <v>702626.95</v>
      </c>
      <c r="D195" s="7">
        <v>-0.44542299999999801</v>
      </c>
      <c r="E195" s="7">
        <v>-1.1544438610032099</v>
      </c>
      <c r="F195" s="7">
        <v>-1.15443799322548</v>
      </c>
      <c r="G195" s="7">
        <v>38.699109999999997</v>
      </c>
      <c r="H195" s="7">
        <v>-3.7257834301744799</v>
      </c>
      <c r="I195" s="7">
        <v>38.801099999999998</v>
      </c>
      <c r="J195" s="7">
        <v>39.088149999999999</v>
      </c>
      <c r="K195" s="7">
        <v>37.969650000000001</v>
      </c>
      <c r="L195" s="7">
        <v>-5.1218986488311797</v>
      </c>
    </row>
    <row r="196" spans="1:12" ht="15" customHeight="1" x14ac:dyDescent="0.2">
      <c r="A196" s="3">
        <v>45770</v>
      </c>
      <c r="B196" s="4">
        <v>38.58334</v>
      </c>
      <c r="C196" s="5">
        <v>1359387.0999999901</v>
      </c>
      <c r="D196" s="4">
        <v>0.72257299999999702</v>
      </c>
      <c r="E196" s="4">
        <v>1.90850069149417</v>
      </c>
      <c r="F196" s="4">
        <v>1.9084993758114699</v>
      </c>
      <c r="G196" s="4">
        <v>39.151085000000002</v>
      </c>
      <c r="H196" s="4">
        <v>-2.6013767181300098</v>
      </c>
      <c r="I196" s="4">
        <v>38.088430000000002</v>
      </c>
      <c r="J196" s="4">
        <v>39.098050000000001</v>
      </c>
      <c r="K196" s="4">
        <v>37.860767000000003</v>
      </c>
      <c r="L196" s="4">
        <v>-4.01379176039935</v>
      </c>
    </row>
    <row r="197" spans="1:12" ht="15" customHeight="1" x14ac:dyDescent="0.2">
      <c r="A197" s="6">
        <v>45769</v>
      </c>
      <c r="B197" s="7">
        <v>37.860767000000003</v>
      </c>
      <c r="C197" s="8">
        <v>535814.44999999995</v>
      </c>
      <c r="D197" s="7">
        <v>0.60379400000000005</v>
      </c>
      <c r="E197" s="7">
        <v>1.62062011854802</v>
      </c>
      <c r="F197" s="7">
        <v>2.3538883555849801</v>
      </c>
      <c r="G197" s="7">
        <v>38.417879999999997</v>
      </c>
      <c r="H197" s="7">
        <v>-4.4254170374055599</v>
      </c>
      <c r="I197" s="7">
        <v>37.316364</v>
      </c>
      <c r="J197" s="7">
        <v>37.959747</v>
      </c>
      <c r="K197" s="7">
        <v>36.94023</v>
      </c>
      <c r="L197" s="7">
        <v>-5.8113821827503598</v>
      </c>
    </row>
    <row r="198" spans="1:12" ht="15" customHeight="1" x14ac:dyDescent="0.2">
      <c r="A198" s="3">
        <v>45768</v>
      </c>
      <c r="B198" s="4">
        <v>37.256973000000002</v>
      </c>
      <c r="C198" s="5">
        <v>270879.46000000002</v>
      </c>
      <c r="D198" s="4">
        <v>0.27714900000000098</v>
      </c>
      <c r="E198" s="4">
        <v>0.74946002988007798</v>
      </c>
      <c r="F198" s="4">
        <v>0.74946148384853395</v>
      </c>
      <c r="G198" s="4">
        <v>37.534362999999999</v>
      </c>
      <c r="H198" s="4">
        <v>-6.6233979987538198</v>
      </c>
      <c r="I198" s="4">
        <v>36.791755999999999</v>
      </c>
      <c r="J198" s="4">
        <v>37.682600000000001</v>
      </c>
      <c r="K198" s="4">
        <v>35.653460000000003</v>
      </c>
      <c r="L198" s="4">
        <v>-7.3134785958089896</v>
      </c>
    </row>
    <row r="199" spans="1:12" ht="15" customHeight="1" x14ac:dyDescent="0.2">
      <c r="A199" s="6">
        <v>45763</v>
      </c>
      <c r="B199" s="7">
        <v>36.979824000000001</v>
      </c>
      <c r="C199" s="8">
        <v>500494.01999999903</v>
      </c>
      <c r="D199" s="7">
        <v>0.55430400000000102</v>
      </c>
      <c r="E199" s="7">
        <v>1.52174629215999</v>
      </c>
      <c r="F199" s="7">
        <v>1.52173256664545</v>
      </c>
      <c r="G199" s="7">
        <v>37.25515</v>
      </c>
      <c r="H199" s="7">
        <v>-7.3180137878794804</v>
      </c>
      <c r="I199" s="7">
        <v>36.475014000000002</v>
      </c>
      <c r="J199" s="7">
        <v>37.019419999999997</v>
      </c>
      <c r="K199" s="7">
        <v>36.435420000000001</v>
      </c>
      <c r="L199" s="7">
        <v>-8.0029596419651092</v>
      </c>
    </row>
    <row r="200" spans="1:12" ht="15" customHeight="1" x14ac:dyDescent="0.2">
      <c r="A200" s="3">
        <v>45762</v>
      </c>
      <c r="B200" s="4">
        <v>36.425519999999999</v>
      </c>
      <c r="C200" s="5">
        <v>390914.94999999902</v>
      </c>
      <c r="D200" s="4">
        <v>0.24745399999999701</v>
      </c>
      <c r="E200" s="4">
        <v>0.68398902251987004</v>
      </c>
      <c r="F200" s="4">
        <v>0.68399343207392604</v>
      </c>
      <c r="G200" s="4">
        <v>36.696724000000003</v>
      </c>
      <c r="H200" s="4">
        <v>-8.70724536613079</v>
      </c>
      <c r="I200" s="4">
        <v>36.385930000000002</v>
      </c>
      <c r="J200" s="4">
        <v>36.672977000000003</v>
      </c>
      <c r="K200" s="4">
        <v>35.534683000000001</v>
      </c>
      <c r="L200" s="4">
        <v>-9.3819366608557395</v>
      </c>
    </row>
    <row r="201" spans="1:12" ht="15" customHeight="1" x14ac:dyDescent="0.2">
      <c r="A201" s="6">
        <v>45761</v>
      </c>
      <c r="B201" s="7">
        <v>36.178066000000001</v>
      </c>
      <c r="C201" s="8">
        <v>361848.14</v>
      </c>
      <c r="D201" s="7">
        <v>0.41572599999999899</v>
      </c>
      <c r="E201" s="7">
        <v>1.1624686751482201</v>
      </c>
      <c r="F201" s="7">
        <v>1.1624736046524</v>
      </c>
      <c r="G201" s="7">
        <v>36.447426</v>
      </c>
      <c r="H201" s="7">
        <v>-9.32743972311793</v>
      </c>
      <c r="I201" s="7">
        <v>35.564377</v>
      </c>
      <c r="J201" s="7">
        <v>36.524506000000002</v>
      </c>
      <c r="K201" s="7">
        <v>35.564377</v>
      </c>
      <c r="L201" s="7">
        <v>-9.9975435827479906</v>
      </c>
    </row>
    <row r="202" spans="1:12" ht="15" customHeight="1" x14ac:dyDescent="0.2">
      <c r="A202" s="3">
        <v>45758</v>
      </c>
      <c r="B202" s="4">
        <v>35.762340000000002</v>
      </c>
      <c r="C202" s="5">
        <v>440067.14</v>
      </c>
      <c r="D202" s="4">
        <v>0.10887999999999901</v>
      </c>
      <c r="E202" s="4">
        <v>0.305384105778228</v>
      </c>
      <c r="F202" s="4">
        <v>0.30537670750911899</v>
      </c>
      <c r="G202" s="4">
        <v>36.028602999999997</v>
      </c>
      <c r="H202" s="4">
        <v>-10.3693721139771</v>
      </c>
      <c r="I202" s="4">
        <v>35.465397000000003</v>
      </c>
      <c r="J202" s="4">
        <v>36.128574</v>
      </c>
      <c r="K202" s="4">
        <v>35.158549999999998</v>
      </c>
      <c r="L202" s="4">
        <v>-11.0317713713898</v>
      </c>
    </row>
    <row r="203" spans="1:12" ht="15" customHeight="1" x14ac:dyDescent="0.2">
      <c r="A203" s="6">
        <v>45757</v>
      </c>
      <c r="B203" s="7">
        <v>35.653460000000003</v>
      </c>
      <c r="C203" s="8">
        <v>3089281.5</v>
      </c>
      <c r="D203" s="7">
        <v>-0.28705000000000003</v>
      </c>
      <c r="E203" s="7">
        <v>-0.79868093135017004</v>
      </c>
      <c r="F203" s="7">
        <v>-0.798674882139638</v>
      </c>
      <c r="G203" s="7">
        <v>35.918914999999998</v>
      </c>
      <c r="H203" s="7">
        <v>-10.642249869230699</v>
      </c>
      <c r="I203" s="7">
        <v>36.069183000000002</v>
      </c>
      <c r="J203" s="7">
        <v>36.950130000000001</v>
      </c>
      <c r="K203" s="7">
        <v>35.504986000000002</v>
      </c>
      <c r="L203" s="7">
        <v>-11.3026390140855</v>
      </c>
    </row>
    <row r="204" spans="1:12" ht="15" customHeight="1" x14ac:dyDescent="0.2">
      <c r="A204" s="3">
        <v>45756</v>
      </c>
      <c r="B204" s="4">
        <v>35.940510000000003</v>
      </c>
      <c r="C204" s="5">
        <v>1331169</v>
      </c>
      <c r="D204" s="4">
        <v>-6.9289999999995106E-2</v>
      </c>
      <c r="E204" s="4">
        <v>-0.192419841265423</v>
      </c>
      <c r="F204" s="4">
        <v>-0.192417395657207</v>
      </c>
      <c r="G204" s="4">
        <v>36.208100000000002</v>
      </c>
      <c r="H204" s="4">
        <v>-9.9228261068045303</v>
      </c>
      <c r="I204" s="4">
        <v>36.079085999999997</v>
      </c>
      <c r="J204" s="4">
        <v>37.346057999999999</v>
      </c>
      <c r="K204" s="4">
        <v>35.099159999999998</v>
      </c>
      <c r="L204" s="4">
        <v>-10.588526625806599</v>
      </c>
    </row>
    <row r="205" spans="1:12" ht="15" customHeight="1" x14ac:dyDescent="0.2">
      <c r="A205" s="6">
        <v>45755</v>
      </c>
      <c r="B205" s="7">
        <v>36.009799999999998</v>
      </c>
      <c r="C205" s="8">
        <v>857454.47</v>
      </c>
      <c r="D205" s="7">
        <v>0.51471</v>
      </c>
      <c r="E205" s="7">
        <v>1.45008788539484</v>
      </c>
      <c r="F205" s="7">
        <v>1.4500816779045</v>
      </c>
      <c r="G205" s="7">
        <v>36.277904999999997</v>
      </c>
      <c r="H205" s="7">
        <v>-9.7491678059377609</v>
      </c>
      <c r="I205" s="7">
        <v>35.772239999999996</v>
      </c>
      <c r="J205" s="7">
        <v>36.128574</v>
      </c>
      <c r="K205" s="7">
        <v>34.703229999999998</v>
      </c>
      <c r="L205" s="7">
        <v>-10.416149522919101</v>
      </c>
    </row>
    <row r="206" spans="1:12" ht="15" customHeight="1" x14ac:dyDescent="0.2">
      <c r="A206" s="3">
        <v>45754</v>
      </c>
      <c r="B206" s="4">
        <v>35.495089999999998</v>
      </c>
      <c r="C206" s="5">
        <v>812585.9</v>
      </c>
      <c r="D206" s="4">
        <v>0.38602999999999799</v>
      </c>
      <c r="E206" s="4">
        <v>1.0995167629096201</v>
      </c>
      <c r="F206" s="4">
        <v>1.09952777822464</v>
      </c>
      <c r="G206" s="4">
        <v>35.759365000000003</v>
      </c>
      <c r="H206" s="4">
        <v>-11.039172466513</v>
      </c>
      <c r="I206" s="4">
        <v>34.920990000000003</v>
      </c>
      <c r="J206" s="4">
        <v>35.663356999999998</v>
      </c>
      <c r="K206" s="4">
        <v>34.188521999999999</v>
      </c>
      <c r="L206" s="4">
        <v>-11.696626050949201</v>
      </c>
    </row>
    <row r="207" spans="1:12" ht="15" customHeight="1" x14ac:dyDescent="0.2">
      <c r="A207" s="6">
        <v>45751</v>
      </c>
      <c r="B207" s="7">
        <v>35.109059999999999</v>
      </c>
      <c r="C207" s="8">
        <v>622187.4</v>
      </c>
      <c r="D207" s="7">
        <v>-0.47511500000000201</v>
      </c>
      <c r="E207" s="7">
        <v>-1.33518621690682</v>
      </c>
      <c r="F207" s="7">
        <v>-1.33518795864109</v>
      </c>
      <c r="G207" s="7">
        <v>35.370457000000002</v>
      </c>
      <c r="H207" s="7">
        <v>-12.0066834252337</v>
      </c>
      <c r="I207" s="7">
        <v>35.772239999999996</v>
      </c>
      <c r="J207" s="7">
        <v>36.019694999999999</v>
      </c>
      <c r="K207" s="7">
        <v>34.752719999999997</v>
      </c>
      <c r="L207" s="7">
        <v>-12.6569772275641</v>
      </c>
    </row>
    <row r="208" spans="1:12" ht="15" customHeight="1" x14ac:dyDescent="0.2">
      <c r="A208" s="3">
        <v>45750</v>
      </c>
      <c r="B208" s="4">
        <v>35.584175000000002</v>
      </c>
      <c r="C208" s="5">
        <v>754988.799999999</v>
      </c>
      <c r="D208" s="4">
        <v>1.3461649999999901</v>
      </c>
      <c r="E208" s="4">
        <v>3.9317851709255098</v>
      </c>
      <c r="F208" s="4">
        <v>3.9317803268867402</v>
      </c>
      <c r="G208" s="4">
        <v>35.849110000000003</v>
      </c>
      <c r="H208" s="4">
        <v>-10.815908170097501</v>
      </c>
      <c r="I208" s="4">
        <v>34.14893</v>
      </c>
      <c r="J208" s="4">
        <v>36.900640000000003</v>
      </c>
      <c r="K208" s="4">
        <v>34.099437999999999</v>
      </c>
      <c r="L208" s="4">
        <v>-11.4750036781576</v>
      </c>
    </row>
    <row r="209" spans="1:12" ht="15" customHeight="1" x14ac:dyDescent="0.2">
      <c r="A209" s="6">
        <v>45749</v>
      </c>
      <c r="B209" s="7">
        <v>34.238010000000003</v>
      </c>
      <c r="C209" s="8">
        <v>457701.57</v>
      </c>
      <c r="D209" s="7">
        <v>0.47511300000000001</v>
      </c>
      <c r="E209" s="7">
        <v>1.4072044824826599</v>
      </c>
      <c r="F209" s="7">
        <v>1.4072003592609399</v>
      </c>
      <c r="G209" s="7">
        <v>34.492924000000002</v>
      </c>
      <c r="H209" s="7">
        <v>-14.1897776123912</v>
      </c>
      <c r="I209" s="7">
        <v>33.673813000000003</v>
      </c>
      <c r="J209" s="7">
        <v>34.396385000000002</v>
      </c>
      <c r="K209" s="7">
        <v>33.485750000000003</v>
      </c>
      <c r="L209" s="7">
        <v>-14.823943246760599</v>
      </c>
    </row>
    <row r="210" spans="1:12" ht="15" customHeight="1" x14ac:dyDescent="0.2">
      <c r="A210" s="3">
        <v>45748</v>
      </c>
      <c r="B210" s="4">
        <v>33.762897000000002</v>
      </c>
      <c r="C210" s="5">
        <v>752714.6</v>
      </c>
      <c r="D210" s="4">
        <v>0.37613200000000502</v>
      </c>
      <c r="E210" s="4">
        <v>1.1265901323473699</v>
      </c>
      <c r="F210" s="4">
        <v>1.1265977986248901</v>
      </c>
      <c r="G210" s="4">
        <v>34.014274999999998</v>
      </c>
      <c r="H210" s="4">
        <v>-15.3805429164752</v>
      </c>
      <c r="I210" s="4">
        <v>33.386764999999997</v>
      </c>
      <c r="J210" s="4">
        <v>33.98066</v>
      </c>
      <c r="K210" s="4">
        <v>32.575108</v>
      </c>
      <c r="L210" s="4">
        <v>-16.005911820641</v>
      </c>
    </row>
    <row r="211" spans="1:12" ht="15" customHeight="1" x14ac:dyDescent="0.2">
      <c r="A211" s="6">
        <v>45747</v>
      </c>
      <c r="B211" s="7">
        <v>33.386764999999997</v>
      </c>
      <c r="C211" s="8">
        <v>444338.6</v>
      </c>
      <c r="D211" s="7">
        <v>-0.257355000000004</v>
      </c>
      <c r="E211" s="7">
        <v>-0.76493307002829503</v>
      </c>
      <c r="F211" s="7">
        <v>-0.76492988118169702</v>
      </c>
      <c r="G211" s="7">
        <v>33.635339999999999</v>
      </c>
      <c r="H211" s="7">
        <v>-16.3232434141323</v>
      </c>
      <c r="I211" s="7">
        <v>33.505540000000003</v>
      </c>
      <c r="J211" s="7">
        <v>33.713405999999999</v>
      </c>
      <c r="K211" s="7">
        <v>32.881954</v>
      </c>
      <c r="L211" s="7">
        <v>-16.941639118422302</v>
      </c>
    </row>
    <row r="212" spans="1:12" ht="15" customHeight="1" x14ac:dyDescent="0.2">
      <c r="A212" s="3">
        <v>45744</v>
      </c>
      <c r="B212" s="4">
        <v>33.644120000000001</v>
      </c>
      <c r="C212" s="5">
        <v>684943</v>
      </c>
      <c r="D212" s="4">
        <v>0.296951999999997</v>
      </c>
      <c r="E212" s="4">
        <v>0.89048641251934202</v>
      </c>
      <c r="F212" s="4">
        <v>0.89048373458213703</v>
      </c>
      <c r="G212" s="4">
        <v>33.89461</v>
      </c>
      <c r="H212" s="4">
        <v>-15.6782410838447</v>
      </c>
      <c r="I212" s="4">
        <v>33.35707</v>
      </c>
      <c r="J212" s="4">
        <v>34.040047000000001</v>
      </c>
      <c r="K212" s="4">
        <v>32.743380000000002</v>
      </c>
      <c r="L212" s="4">
        <v>-16.301400854407198</v>
      </c>
    </row>
    <row r="213" spans="1:12" ht="15" customHeight="1" x14ac:dyDescent="0.2">
      <c r="A213" s="6">
        <v>45743</v>
      </c>
      <c r="B213" s="7">
        <v>33.347168000000003</v>
      </c>
      <c r="C213" s="8">
        <v>616168.15</v>
      </c>
      <c r="D213" s="7">
        <v>-4.9495999999997702E-2</v>
      </c>
      <c r="E213" s="7">
        <v>-0.14820641965915801</v>
      </c>
      <c r="F213" s="7">
        <v>-0.14820786479234899</v>
      </c>
      <c r="G213" s="7">
        <v>33.595447999999998</v>
      </c>
      <c r="H213" s="7">
        <v>-16.4224852583867</v>
      </c>
      <c r="I213" s="7">
        <v>33.396664000000001</v>
      </c>
      <c r="J213" s="7">
        <v>33.614420000000003</v>
      </c>
      <c r="K213" s="7">
        <v>32.921543</v>
      </c>
      <c r="L213" s="7">
        <v>-17.040147072572001</v>
      </c>
    </row>
    <row r="214" spans="1:12" ht="15" customHeight="1" x14ac:dyDescent="0.2">
      <c r="A214" s="3">
        <v>45742</v>
      </c>
      <c r="B214" s="4">
        <v>33.396664000000001</v>
      </c>
      <c r="C214" s="5">
        <v>450740.75</v>
      </c>
      <c r="D214" s="4">
        <v>0.237560999999999</v>
      </c>
      <c r="E214" s="4">
        <v>0.716427703125743</v>
      </c>
      <c r="F214" s="4">
        <v>0.71642855113709303</v>
      </c>
      <c r="G214" s="4">
        <v>33.645313000000002</v>
      </c>
      <c r="H214" s="4">
        <v>-16.298432953068701</v>
      </c>
      <c r="I214" s="4">
        <v>33.258082999999999</v>
      </c>
      <c r="J214" s="4">
        <v>33.535235999999998</v>
      </c>
      <c r="K214" s="4">
        <v>32.842359999999999</v>
      </c>
      <c r="L214" s="4">
        <v>-16.917012751825599</v>
      </c>
    </row>
    <row r="215" spans="1:12" ht="15" customHeight="1" x14ac:dyDescent="0.2">
      <c r="A215" s="6">
        <v>45741</v>
      </c>
      <c r="B215" s="7">
        <v>33.159103000000002</v>
      </c>
      <c r="C215" s="8">
        <v>668573.36</v>
      </c>
      <c r="D215" s="7">
        <v>-1.1283989999999999</v>
      </c>
      <c r="E215" s="7">
        <v>-3.2909921521842</v>
      </c>
      <c r="F215" s="7">
        <v>-3.2909997473857402</v>
      </c>
      <c r="G215" s="7">
        <v>33.405982999999999</v>
      </c>
      <c r="H215" s="7">
        <v>-16.893829287807598</v>
      </c>
      <c r="I215" s="7">
        <v>34.307299999999998</v>
      </c>
      <c r="J215" s="7">
        <v>34.643839999999997</v>
      </c>
      <c r="K215" s="7">
        <v>32.901752000000002</v>
      </c>
      <c r="L215" s="7">
        <v>-17.508008233699599</v>
      </c>
    </row>
    <row r="216" spans="1:12" ht="15" customHeight="1" x14ac:dyDescent="0.2">
      <c r="A216" s="3">
        <v>45740</v>
      </c>
      <c r="B216" s="4">
        <v>34.287502000000003</v>
      </c>
      <c r="C216" s="5">
        <v>631298.03</v>
      </c>
      <c r="D216" s="4">
        <v>-0.16827399999999601</v>
      </c>
      <c r="E216" s="4">
        <v>-0.48837675285559001</v>
      </c>
      <c r="F216" s="4">
        <v>-0.48836853554258203</v>
      </c>
      <c r="G216" s="4">
        <v>34.542786</v>
      </c>
      <c r="H216" s="4">
        <v>-14.0657327703625</v>
      </c>
      <c r="I216" s="4">
        <v>34.307299999999998</v>
      </c>
      <c r="J216" s="4">
        <v>34.643839999999997</v>
      </c>
      <c r="K216" s="4">
        <v>34.049945999999998</v>
      </c>
      <c r="L216" s="4">
        <v>-14.700818877066499</v>
      </c>
    </row>
    <row r="217" spans="1:12" ht="15" customHeight="1" x14ac:dyDescent="0.2">
      <c r="A217" s="6">
        <v>45737</v>
      </c>
      <c r="B217" s="7">
        <v>34.455776</v>
      </c>
      <c r="C217" s="8">
        <v>8228594.9999999898</v>
      </c>
      <c r="D217" s="7">
        <v>8.9086000000001705E-2</v>
      </c>
      <c r="E217" s="7">
        <v>0.25922193845262498</v>
      </c>
      <c r="F217" s="7">
        <v>0.25921825195951398</v>
      </c>
      <c r="G217" s="7">
        <v>34.712310000000002</v>
      </c>
      <c r="H217" s="7">
        <v>-13.6439972242534</v>
      </c>
      <c r="I217" s="7">
        <v>34.238010000000003</v>
      </c>
      <c r="J217" s="7">
        <v>35.039771999999999</v>
      </c>
      <c r="K217" s="7">
        <v>33.92127</v>
      </c>
      <c r="L217" s="7">
        <v>-14.282193034790801</v>
      </c>
    </row>
    <row r="218" spans="1:12" ht="15" customHeight="1" x14ac:dyDescent="0.2">
      <c r="A218" s="3">
        <v>45736</v>
      </c>
      <c r="B218" s="4">
        <v>34.366689999999998</v>
      </c>
      <c r="C218" s="5">
        <v>626547.69999999995</v>
      </c>
      <c r="D218" s="4">
        <v>-0.257353000000001</v>
      </c>
      <c r="E218" s="4">
        <v>-0.74327830519388405</v>
      </c>
      <c r="F218" s="4">
        <v>-0.74327522380562805</v>
      </c>
      <c r="G218" s="4">
        <v>34.622562000000002</v>
      </c>
      <c r="H218" s="4">
        <v>-13.8672689839582</v>
      </c>
      <c r="I218" s="4">
        <v>34.287502000000003</v>
      </c>
      <c r="J218" s="4">
        <v>34.633940000000003</v>
      </c>
      <c r="K218" s="4">
        <v>34.010353000000002</v>
      </c>
      <c r="L218" s="4">
        <v>-14.503817895345399</v>
      </c>
    </row>
    <row r="219" spans="1:12" ht="15" customHeight="1" x14ac:dyDescent="0.2">
      <c r="A219" s="6">
        <v>45735</v>
      </c>
      <c r="B219" s="7">
        <v>34.624043</v>
      </c>
      <c r="C219" s="8">
        <v>642399.05000000005</v>
      </c>
      <c r="D219" s="7">
        <v>9.8959999999976792E-3</v>
      </c>
      <c r="E219" s="7">
        <v>2.85894666131714E-2</v>
      </c>
      <c r="F219" s="7">
        <v>2.8590387779714399E-2</v>
      </c>
      <c r="G219" s="7">
        <v>34.881830000000001</v>
      </c>
      <c r="H219" s="7">
        <v>-13.222271629196699</v>
      </c>
      <c r="I219" s="7">
        <v>34.614147000000003</v>
      </c>
      <c r="J219" s="7">
        <v>34.77252</v>
      </c>
      <c r="K219" s="7">
        <v>34.198417999999997</v>
      </c>
      <c r="L219" s="7">
        <v>-13.863584606856501</v>
      </c>
    </row>
    <row r="220" spans="1:12" ht="15" customHeight="1" x14ac:dyDescent="0.2">
      <c r="A220" s="3">
        <v>45734</v>
      </c>
      <c r="B220" s="4">
        <v>34.614147000000003</v>
      </c>
      <c r="C220" s="5">
        <v>925495.85</v>
      </c>
      <c r="D220" s="4">
        <v>1.2174830000000001</v>
      </c>
      <c r="E220" s="4">
        <v>3.6455227983250098</v>
      </c>
      <c r="F220" s="4">
        <v>3.6455211458428001</v>
      </c>
      <c r="G220" s="4">
        <v>34.871859999999998</v>
      </c>
      <c r="H220" s="4">
        <v>-13.2470746269711</v>
      </c>
      <c r="I220" s="4">
        <v>33.406559999999999</v>
      </c>
      <c r="J220" s="4">
        <v>34.683433999999998</v>
      </c>
      <c r="K220" s="4">
        <v>33.258082999999999</v>
      </c>
      <c r="L220" s="4">
        <v>-13.888203510164001</v>
      </c>
    </row>
    <row r="221" spans="1:12" ht="15" customHeight="1" x14ac:dyDescent="0.2">
      <c r="A221" s="6">
        <v>45730</v>
      </c>
      <c r="B221" s="7">
        <v>33.396664000000001</v>
      </c>
      <c r="C221" s="8">
        <v>516027.1</v>
      </c>
      <c r="D221" s="7">
        <v>0.425623999999999</v>
      </c>
      <c r="E221" s="7">
        <v>1.2909025617632901</v>
      </c>
      <c r="F221" s="7">
        <v>1.29090283991217</v>
      </c>
      <c r="G221" s="7">
        <v>33.645313000000002</v>
      </c>
      <c r="H221" s="7">
        <v>-16.298432953068701</v>
      </c>
      <c r="I221" s="7">
        <v>32.852257000000002</v>
      </c>
      <c r="J221" s="7">
        <v>33.812390000000001</v>
      </c>
      <c r="K221" s="7">
        <v>32.852257000000002</v>
      </c>
      <c r="L221" s="7">
        <v>-16.917012751825599</v>
      </c>
    </row>
    <row r="222" spans="1:12" ht="15" customHeight="1" x14ac:dyDescent="0.2">
      <c r="A222" s="3">
        <v>45729</v>
      </c>
      <c r="B222" s="4">
        <v>32.971040000000002</v>
      </c>
      <c r="C222" s="5">
        <v>644164</v>
      </c>
      <c r="D222" s="4">
        <v>0.35634000000000299</v>
      </c>
      <c r="E222" s="4">
        <v>1.0925748205563801</v>
      </c>
      <c r="F222" s="4">
        <v>1.0925653875991399</v>
      </c>
      <c r="G222" s="4">
        <v>33.216520000000003</v>
      </c>
      <c r="H222" s="4">
        <v>-17.3651683417024</v>
      </c>
      <c r="I222" s="4">
        <v>32.723582999999998</v>
      </c>
      <c r="J222" s="4">
        <v>33.465949999999999</v>
      </c>
      <c r="K222" s="4">
        <v>32.317757</v>
      </c>
      <c r="L222" s="4">
        <v>-17.9758644193011</v>
      </c>
    </row>
    <row r="223" spans="1:12" ht="15" customHeight="1" x14ac:dyDescent="0.2">
      <c r="A223" s="6">
        <v>45728</v>
      </c>
      <c r="B223" s="7">
        <v>32.614699999999999</v>
      </c>
      <c r="C223" s="8">
        <v>1629623</v>
      </c>
      <c r="D223" s="7">
        <v>0.36623399999999801</v>
      </c>
      <c r="E223" s="7">
        <v>1.13566332116386</v>
      </c>
      <c r="F223" s="7">
        <v>1.1356702805636001</v>
      </c>
      <c r="G223" s="7">
        <v>32.857529999999997</v>
      </c>
      <c r="H223" s="7">
        <v>-18.258250404995302</v>
      </c>
      <c r="I223" s="7">
        <v>32.357346</v>
      </c>
      <c r="J223" s="7">
        <v>33.248187999999999</v>
      </c>
      <c r="K223" s="7">
        <v>31.921824000000001</v>
      </c>
      <c r="L223" s="7">
        <v>-18.862353910467402</v>
      </c>
    </row>
    <row r="224" spans="1:12" ht="15" customHeight="1" x14ac:dyDescent="0.2">
      <c r="A224" s="3">
        <v>45727</v>
      </c>
      <c r="B224" s="4">
        <v>32.248466000000001</v>
      </c>
      <c r="C224" s="5">
        <v>2118024</v>
      </c>
      <c r="D224" s="4">
        <v>0.306844000000001</v>
      </c>
      <c r="E224" s="4">
        <v>0.96064000757383095</v>
      </c>
      <c r="F224" s="4">
        <v>0.96063511360049403</v>
      </c>
      <c r="G224" s="4">
        <v>32.488567000000003</v>
      </c>
      <c r="H224" s="4">
        <v>-19.176142929351901</v>
      </c>
      <c r="I224" s="4">
        <v>32.020805000000003</v>
      </c>
      <c r="J224" s="4">
        <v>32.872055000000003</v>
      </c>
      <c r="K224" s="4">
        <v>31.456607999999999</v>
      </c>
      <c r="L224" s="4">
        <v>-19.773457329415201</v>
      </c>
    </row>
    <row r="225" spans="1:12" ht="15" customHeight="1" x14ac:dyDescent="0.2">
      <c r="A225" s="6">
        <v>45726</v>
      </c>
      <c r="B225" s="7">
        <v>31.941621999999999</v>
      </c>
      <c r="C225" s="8">
        <v>500901.14999999898</v>
      </c>
      <c r="D225" s="7">
        <v>-0.168268000000001</v>
      </c>
      <c r="E225" s="7">
        <v>-0.524037921026832</v>
      </c>
      <c r="F225" s="7">
        <v>-0.52402616875715202</v>
      </c>
      <c r="G225" s="7">
        <v>32.17944</v>
      </c>
      <c r="H225" s="7">
        <v>-19.945177662852998</v>
      </c>
      <c r="I225" s="7">
        <v>32.189075000000003</v>
      </c>
      <c r="J225" s="7">
        <v>32.189075000000003</v>
      </c>
      <c r="K225" s="7">
        <v>31.486301000000001</v>
      </c>
      <c r="L225" s="7">
        <v>-20.536812499835101</v>
      </c>
    </row>
    <row r="226" spans="1:12" ht="15" customHeight="1" x14ac:dyDescent="0.2">
      <c r="A226" s="3">
        <v>45723</v>
      </c>
      <c r="B226" s="4">
        <v>32.10989</v>
      </c>
      <c r="C226" s="5">
        <v>376323.46</v>
      </c>
      <c r="D226" s="4">
        <v>7.9185999999999895E-2</v>
      </c>
      <c r="E226" s="4">
        <v>0.247219043327917</v>
      </c>
      <c r="F226" s="4">
        <v>0.24721108535001801</v>
      </c>
      <c r="G226" s="4">
        <v>32.348956999999999</v>
      </c>
      <c r="H226" s="4">
        <v>-19.5234595310855</v>
      </c>
      <c r="I226" s="4">
        <v>32.050502999999999</v>
      </c>
      <c r="J226" s="4">
        <v>32.406837000000003</v>
      </c>
      <c r="K226" s="4">
        <v>31.327929000000001</v>
      </c>
      <c r="L226" s="4">
        <v>-20.1182015841378</v>
      </c>
    </row>
    <row r="227" spans="1:12" ht="15" customHeight="1" x14ac:dyDescent="0.2">
      <c r="A227" s="6">
        <v>45722</v>
      </c>
      <c r="B227" s="7">
        <v>32.030704</v>
      </c>
      <c r="C227" s="8">
        <v>319527.5</v>
      </c>
      <c r="D227" s="7"/>
      <c r="E227" s="7"/>
      <c r="F227" s="7"/>
      <c r="G227" s="7">
        <v>32.269184000000003</v>
      </c>
      <c r="H227" s="7">
        <v>-19.7219158542005</v>
      </c>
      <c r="I227" s="7">
        <v>32.169280000000001</v>
      </c>
      <c r="J227" s="7">
        <v>33.149208000000002</v>
      </c>
      <c r="K227" s="7">
        <v>31.674368000000001</v>
      </c>
      <c r="L227" s="7">
        <v>-20.315197590332701</v>
      </c>
    </row>
    <row r="228" spans="1:12" ht="15" customHeight="1" x14ac:dyDescent="0.2">
      <c r="A228" s="3">
        <v>45721</v>
      </c>
      <c r="B228" s="4">
        <v>32.030704</v>
      </c>
      <c r="C228" s="5">
        <v>270826.93</v>
      </c>
      <c r="D228" s="4">
        <v>-0.50481099999999601</v>
      </c>
      <c r="E228" s="4">
        <v>-1.5515691084035199</v>
      </c>
      <c r="F228" s="4">
        <v>-1.5515646100440199</v>
      </c>
      <c r="G228" s="4">
        <v>32.269184000000003</v>
      </c>
      <c r="H228" s="4">
        <v>-19.7219158542005</v>
      </c>
      <c r="I228" s="4">
        <v>32.535514999999997</v>
      </c>
      <c r="J228" s="4">
        <v>32.693885999999999</v>
      </c>
      <c r="K228" s="4">
        <v>31.88223</v>
      </c>
      <c r="L228" s="4">
        <v>-20.315197590332701</v>
      </c>
    </row>
    <row r="229" spans="1:12" ht="15" customHeight="1" x14ac:dyDescent="0.2">
      <c r="A229" s="6">
        <v>45720</v>
      </c>
      <c r="B229" s="7">
        <v>32.535514999999997</v>
      </c>
      <c r="C229" s="8">
        <v>500270.75</v>
      </c>
      <c r="D229" s="7">
        <v>6.9289999999995106E-2</v>
      </c>
      <c r="E229" s="7">
        <v>0.213421794495638</v>
      </c>
      <c r="F229" s="7">
        <v>0.213419081301569</v>
      </c>
      <c r="G229" s="7">
        <v>32.777752</v>
      </c>
      <c r="H229" s="7">
        <v>-18.456719166925701</v>
      </c>
      <c r="I229" s="7">
        <v>32.466225000000001</v>
      </c>
      <c r="J229" s="7">
        <v>32.872055000000003</v>
      </c>
      <c r="K229" s="7">
        <v>31.674368000000001</v>
      </c>
      <c r="L229" s="7">
        <v>-19.059347428899301</v>
      </c>
    </row>
    <row r="230" spans="1:12" ht="15" customHeight="1" x14ac:dyDescent="0.2">
      <c r="A230" s="3">
        <v>45719</v>
      </c>
      <c r="B230" s="4">
        <v>32.466225000000001</v>
      </c>
      <c r="C230" s="5">
        <v>1305294.7</v>
      </c>
      <c r="D230" s="4">
        <v>-0.77206799999999698</v>
      </c>
      <c r="E230" s="4">
        <v>-2.3228268671919898</v>
      </c>
      <c r="F230" s="4">
        <v>-2.3228288893154798</v>
      </c>
      <c r="G230" s="4">
        <v>32.707946999999997</v>
      </c>
      <c r="H230" s="4">
        <v>-18.630377467792499</v>
      </c>
      <c r="I230" s="4">
        <v>33.07002</v>
      </c>
      <c r="J230" s="4">
        <v>33.555034999999997</v>
      </c>
      <c r="K230" s="4">
        <v>32.27816</v>
      </c>
      <c r="L230" s="4">
        <v>-19.231724531786799</v>
      </c>
    </row>
    <row r="231" spans="1:12" ht="15" customHeight="1" x14ac:dyDescent="0.2">
      <c r="A231" s="6">
        <v>45716</v>
      </c>
      <c r="B231" s="7">
        <v>33.238292999999999</v>
      </c>
      <c r="C231" s="8">
        <v>1449235.4</v>
      </c>
      <c r="D231" s="7">
        <v>-0.58399200000000195</v>
      </c>
      <c r="E231" s="7">
        <v>-1.7266485691312701</v>
      </c>
      <c r="F231" s="7">
        <v>-1.72664848355218</v>
      </c>
      <c r="G231" s="7">
        <v>33.485764000000003</v>
      </c>
      <c r="H231" s="7">
        <v>-16.695353062588001</v>
      </c>
      <c r="I231" s="7">
        <v>34.040047000000001</v>
      </c>
      <c r="J231" s="7">
        <v>34.040047000000001</v>
      </c>
      <c r="K231" s="7">
        <v>32.842359999999999</v>
      </c>
      <c r="L231" s="7">
        <v>-17.311002276452399</v>
      </c>
    </row>
    <row r="232" spans="1:12" ht="15" customHeight="1" x14ac:dyDescent="0.2">
      <c r="A232" s="3">
        <v>45715</v>
      </c>
      <c r="B232" s="4">
        <v>33.822285000000001</v>
      </c>
      <c r="C232" s="5">
        <v>902887.799999999</v>
      </c>
      <c r="D232" s="4">
        <v>-1.33626499999999</v>
      </c>
      <c r="E232" s="4">
        <v>-3.8006829064338499</v>
      </c>
      <c r="F232" s="4">
        <v>-3.8006884183993699</v>
      </c>
      <c r="G232" s="4">
        <v>34.074103999999998</v>
      </c>
      <c r="H232" s="4">
        <v>-15.231702539961301</v>
      </c>
      <c r="I232" s="4">
        <v>35.168446000000003</v>
      </c>
      <c r="J232" s="4">
        <v>35.188243999999997</v>
      </c>
      <c r="K232" s="4">
        <v>32.921543</v>
      </c>
      <c r="L232" s="4">
        <v>-15.8581685476394</v>
      </c>
    </row>
    <row r="233" spans="1:12" ht="15" customHeight="1" x14ac:dyDescent="0.2">
      <c r="A233" s="6">
        <v>45714</v>
      </c>
      <c r="B233" s="7">
        <v>35.158549999999998</v>
      </c>
      <c r="C233" s="8">
        <v>384551.18</v>
      </c>
      <c r="D233" s="7">
        <v>0.22766</v>
      </c>
      <c r="E233" s="7">
        <v>0.65174405805290503</v>
      </c>
      <c r="F233" s="7">
        <v>0.65175829247057204</v>
      </c>
      <c r="G233" s="7">
        <v>35.420319999999997</v>
      </c>
      <c r="H233" s="7">
        <v>-11.882636095441899</v>
      </c>
      <c r="I233" s="7">
        <v>34.802210000000002</v>
      </c>
      <c r="J233" s="7">
        <v>36.079085999999997</v>
      </c>
      <c r="K233" s="7">
        <v>34.703229999999998</v>
      </c>
      <c r="L233" s="7">
        <v>-12.533857833396199</v>
      </c>
    </row>
    <row r="234" spans="1:12" ht="15" customHeight="1" x14ac:dyDescent="0.2">
      <c r="A234" s="3">
        <v>45713</v>
      </c>
      <c r="B234" s="4">
        <v>34.930889999999998</v>
      </c>
      <c r="C234" s="5">
        <v>385581.7</v>
      </c>
      <c r="D234" s="4">
        <v>-0.33653999999999901</v>
      </c>
      <c r="E234" s="4">
        <v>-0.95425155731506595</v>
      </c>
      <c r="F234" s="4">
        <v>-0.95425258301392502</v>
      </c>
      <c r="G234" s="4">
        <v>35.190959999999997</v>
      </c>
      <c r="H234" s="4">
        <v>-12.453229432406401</v>
      </c>
      <c r="I234" s="4">
        <v>35.277329999999999</v>
      </c>
      <c r="J234" s="4">
        <v>35.366410000000002</v>
      </c>
      <c r="K234" s="4">
        <v>34.396385000000002</v>
      </c>
      <c r="L234" s="4">
        <v>-13.100221973147301</v>
      </c>
    </row>
    <row r="235" spans="1:12" ht="15" customHeight="1" x14ac:dyDescent="0.2">
      <c r="A235" s="6">
        <v>45712</v>
      </c>
      <c r="B235" s="7">
        <v>35.267429999999997</v>
      </c>
      <c r="C235" s="8">
        <v>353767.94</v>
      </c>
      <c r="D235" s="7">
        <v>0.28705000000000003</v>
      </c>
      <c r="E235" s="7">
        <v>0.82060286366243396</v>
      </c>
      <c r="F235" s="7">
        <v>0.82059952066950703</v>
      </c>
      <c r="G235" s="7">
        <v>35.530006</v>
      </c>
      <c r="H235" s="7">
        <v>-11.6097633157144</v>
      </c>
      <c r="I235" s="7">
        <v>35.059562999999997</v>
      </c>
      <c r="J235" s="7">
        <v>35.425800000000002</v>
      </c>
      <c r="K235" s="7">
        <v>34.663634999999999</v>
      </c>
      <c r="L235" s="7">
        <v>-12.2629901907004</v>
      </c>
    </row>
    <row r="236" spans="1:12" ht="15" customHeight="1" x14ac:dyDescent="0.2">
      <c r="A236" s="3">
        <v>45709</v>
      </c>
      <c r="B236" s="4">
        <v>34.980379999999997</v>
      </c>
      <c r="C236" s="5">
        <v>601235.17000000004</v>
      </c>
      <c r="D236" s="4">
        <v>-0.21776300000000501</v>
      </c>
      <c r="E236" s="4">
        <v>-0.61867752511831597</v>
      </c>
      <c r="F236" s="4">
        <v>-0.61867944643863004</v>
      </c>
      <c r="G236" s="4">
        <v>35.240819999999999</v>
      </c>
      <c r="H236" s="4">
        <v>-12.3291895659037</v>
      </c>
      <c r="I236" s="4">
        <v>35.237732000000001</v>
      </c>
      <c r="J236" s="4">
        <v>35.336716000000003</v>
      </c>
      <c r="K236" s="4">
        <v>34.653736000000002</v>
      </c>
      <c r="L236" s="4">
        <v>-12.9771025789793</v>
      </c>
    </row>
    <row r="237" spans="1:12" ht="15" customHeight="1" x14ac:dyDescent="0.2">
      <c r="A237" s="6">
        <v>45708</v>
      </c>
      <c r="B237" s="7">
        <v>35.198143000000002</v>
      </c>
      <c r="C237" s="8">
        <v>636756.65</v>
      </c>
      <c r="D237" s="7">
        <v>0.55430300000000399</v>
      </c>
      <c r="E237" s="7">
        <v>1.60000450296504</v>
      </c>
      <c r="F237" s="7">
        <v>1.60000458429407</v>
      </c>
      <c r="G237" s="7">
        <v>35.460205000000002</v>
      </c>
      <c r="H237" s="7">
        <v>-11.783411665529</v>
      </c>
      <c r="I237" s="7">
        <v>34.515163000000001</v>
      </c>
      <c r="J237" s="7">
        <v>35.633662999999999</v>
      </c>
      <c r="K237" s="7">
        <v>34.515163000000001</v>
      </c>
      <c r="L237" s="7">
        <v>-12.435359830298699</v>
      </c>
    </row>
    <row r="238" spans="1:12" ht="15" customHeight="1" x14ac:dyDescent="0.2">
      <c r="A238" s="3">
        <v>45707</v>
      </c>
      <c r="B238" s="4">
        <v>34.643839999999997</v>
      </c>
      <c r="C238" s="5">
        <v>654689.15</v>
      </c>
      <c r="D238" s="4">
        <v>0.28705000000000003</v>
      </c>
      <c r="E238" s="4">
        <v>0.83549714627006999</v>
      </c>
      <c r="F238" s="4">
        <v>0.83549952507162495</v>
      </c>
      <c r="G238" s="4">
        <v>34.901775000000001</v>
      </c>
      <c r="H238" s="4">
        <v>-13.172653194832501</v>
      </c>
      <c r="I238" s="4">
        <v>34.386485999999998</v>
      </c>
      <c r="J238" s="4">
        <v>34.911095000000003</v>
      </c>
      <c r="K238" s="4">
        <v>34.059845000000003</v>
      </c>
      <c r="L238" s="4">
        <v>-13.814334361426299</v>
      </c>
    </row>
    <row r="239" spans="1:12" ht="15" customHeight="1" x14ac:dyDescent="0.2">
      <c r="A239" s="6">
        <v>45706</v>
      </c>
      <c r="B239" s="7">
        <v>34.356789999999997</v>
      </c>
      <c r="C239" s="8">
        <v>437703.06</v>
      </c>
      <c r="D239" s="7">
        <v>0.148472999999995</v>
      </c>
      <c r="E239" s="7">
        <v>0.43402602940096902</v>
      </c>
      <c r="F239" s="7">
        <v>0.434021868664413</v>
      </c>
      <c r="G239" s="7">
        <v>34.612586999999998</v>
      </c>
      <c r="H239" s="7">
        <v>-13.892084420547899</v>
      </c>
      <c r="I239" s="7">
        <v>34.14893</v>
      </c>
      <c r="J239" s="7">
        <v>34.633940000000003</v>
      </c>
      <c r="K239" s="7">
        <v>33.871777000000002</v>
      </c>
      <c r="L239" s="7">
        <v>-14.5284467497052</v>
      </c>
    </row>
    <row r="240" spans="1:12" ht="15" customHeight="1" x14ac:dyDescent="0.2">
      <c r="A240" s="3">
        <v>45705</v>
      </c>
      <c r="B240" s="4">
        <v>34.208317000000001</v>
      </c>
      <c r="C240" s="5">
        <v>125786</v>
      </c>
      <c r="D240" s="4">
        <v>-0.18806800000000101</v>
      </c>
      <c r="E240" s="4">
        <v>-0.54676676051859097</v>
      </c>
      <c r="F240" s="4">
        <v>-0.54676322272719702</v>
      </c>
      <c r="G240" s="4">
        <v>34.463009999999997</v>
      </c>
      <c r="H240" s="4">
        <v>-14.2641965567667</v>
      </c>
      <c r="I240" s="4">
        <v>34.396385000000002</v>
      </c>
      <c r="J240" s="4">
        <v>34.505263999999997</v>
      </c>
      <c r="K240" s="4">
        <v>33.663913999999998</v>
      </c>
      <c r="L240" s="4">
        <v>-14.897812395498301</v>
      </c>
    </row>
    <row r="241" spans="1:12" ht="15" customHeight="1" x14ac:dyDescent="0.2">
      <c r="A241" s="6">
        <v>45702</v>
      </c>
      <c r="B241" s="7">
        <v>34.396385000000002</v>
      </c>
      <c r="C241" s="8">
        <v>478215.3</v>
      </c>
      <c r="D241" s="7">
        <v>-0.148474999999997</v>
      </c>
      <c r="E241" s="7">
        <v>-0.429803449775156</v>
      </c>
      <c r="F241" s="7">
        <v>-0.42981076407545499</v>
      </c>
      <c r="G241" s="7">
        <v>34.652476999999998</v>
      </c>
      <c r="H241" s="7">
        <v>-13.792847551819699</v>
      </c>
      <c r="I241" s="7">
        <v>34.713127</v>
      </c>
      <c r="J241" s="7">
        <v>34.732925000000002</v>
      </c>
      <c r="K241" s="7">
        <v>34.198417999999997</v>
      </c>
      <c r="L241" s="7">
        <v>-14.4299437710816</v>
      </c>
    </row>
    <row r="242" spans="1:12" ht="15" customHeight="1" x14ac:dyDescent="0.2">
      <c r="A242" s="3">
        <v>45701</v>
      </c>
      <c r="B242" s="4">
        <v>34.54486</v>
      </c>
      <c r="C242" s="5">
        <v>821667.299999999</v>
      </c>
      <c r="D242" s="4">
        <v>-3.9589999999996899E-2</v>
      </c>
      <c r="E242" s="4">
        <v>-0.11447341218378999</v>
      </c>
      <c r="F242" s="4">
        <v>-0.114459757407314</v>
      </c>
      <c r="G242" s="4">
        <v>34.802059999999997</v>
      </c>
      <c r="H242" s="4">
        <v>-13.4207204890225</v>
      </c>
      <c r="I242" s="4">
        <v>34.742820000000002</v>
      </c>
      <c r="J242" s="4">
        <v>34.851703999999998</v>
      </c>
      <c r="K242" s="4">
        <v>34.416179999999997</v>
      </c>
      <c r="L242" s="4">
        <v>-14.060573149762201</v>
      </c>
    </row>
    <row r="243" spans="1:12" ht="15" customHeight="1" x14ac:dyDescent="0.2">
      <c r="A243" s="6">
        <v>45700</v>
      </c>
      <c r="B243" s="7">
        <v>34.584449999999997</v>
      </c>
      <c r="C243" s="8">
        <v>798085.299999999</v>
      </c>
      <c r="D243" s="7">
        <v>9.8999999999946908E-3</v>
      </c>
      <c r="E243" s="7">
        <v>2.8633778313791301E-2</v>
      </c>
      <c r="F243" s="7">
        <v>2.8623129843086102E-2</v>
      </c>
      <c r="G243" s="7">
        <v>34.841940000000001</v>
      </c>
      <c r="H243" s="7">
        <v>-13.321508497924899</v>
      </c>
      <c r="I243" s="7">
        <v>34.643839999999997</v>
      </c>
      <c r="J243" s="7">
        <v>34.841805000000001</v>
      </c>
      <c r="K243" s="7">
        <v>33.931164000000003</v>
      </c>
      <c r="L243" s="7">
        <v>-13.962082609954001</v>
      </c>
    </row>
    <row r="244" spans="1:12" ht="15" customHeight="1" x14ac:dyDescent="0.2">
      <c r="A244" s="3">
        <v>45699</v>
      </c>
      <c r="B244" s="4">
        <v>34.574550000000002</v>
      </c>
      <c r="C244" s="5">
        <v>381332.43</v>
      </c>
      <c r="D244" s="4">
        <v>8.9080000000002699E-2</v>
      </c>
      <c r="E244" s="4">
        <v>0.25831168895189499</v>
      </c>
      <c r="F244" s="4">
        <v>0.25831390308725899</v>
      </c>
      <c r="G244" s="4">
        <v>34.831969999999998</v>
      </c>
      <c r="H244" s="4">
        <v>-13.3463114956993</v>
      </c>
      <c r="I244" s="4">
        <v>34.485469999999999</v>
      </c>
      <c r="J244" s="4">
        <v>35.029870000000003</v>
      </c>
      <c r="K244" s="4">
        <v>34.178623000000002</v>
      </c>
      <c r="L244" s="4">
        <v>-13.9867114643137</v>
      </c>
    </row>
    <row r="245" spans="1:12" ht="15" customHeight="1" x14ac:dyDescent="0.2">
      <c r="A245" s="6">
        <v>45698</v>
      </c>
      <c r="B245" s="7">
        <v>34.485469999999999</v>
      </c>
      <c r="C245" s="8">
        <v>544449.34</v>
      </c>
      <c r="D245" s="7">
        <v>-9.8979999999997403E-2</v>
      </c>
      <c r="E245" s="7">
        <v>-0.28619798782399902</v>
      </c>
      <c r="F245" s="7">
        <v>-0.28618957497773501</v>
      </c>
      <c r="G245" s="7">
        <v>34.742226000000002</v>
      </c>
      <c r="H245" s="7">
        <v>-13.569573304351801</v>
      </c>
      <c r="I245" s="7">
        <v>34.693330000000003</v>
      </c>
      <c r="J245" s="7">
        <v>35.613869999999999</v>
      </c>
      <c r="K245" s="7">
        <v>33.881675999999999</v>
      </c>
      <c r="L245" s="7">
        <v>-14.20832139829</v>
      </c>
    </row>
    <row r="246" spans="1:12" ht="15" customHeight="1" x14ac:dyDescent="0.2">
      <c r="A246" s="3">
        <v>45695</v>
      </c>
      <c r="B246" s="4">
        <v>34.584449999999997</v>
      </c>
      <c r="C246" s="5">
        <v>1060744.0999999901</v>
      </c>
      <c r="D246" s="4">
        <v>0.56419999999999904</v>
      </c>
      <c r="E246" s="4">
        <v>1.6584240268663499</v>
      </c>
      <c r="F246" s="4">
        <v>1.65842221142025</v>
      </c>
      <c r="G246" s="4">
        <v>34.841940000000001</v>
      </c>
      <c r="H246" s="4">
        <v>-13.321508497924899</v>
      </c>
      <c r="I246" s="4">
        <v>33.92127</v>
      </c>
      <c r="J246" s="4">
        <v>34.732925000000002</v>
      </c>
      <c r="K246" s="4">
        <v>33.624319999999997</v>
      </c>
      <c r="L246" s="4">
        <v>-13.962082609954001</v>
      </c>
    </row>
    <row r="247" spans="1:12" ht="15" customHeight="1" x14ac:dyDescent="0.2">
      <c r="A247" s="6">
        <v>45694</v>
      </c>
      <c r="B247" s="7">
        <v>34.020249999999997</v>
      </c>
      <c r="C247" s="8">
        <v>696502.6</v>
      </c>
      <c r="D247" s="7">
        <v>0.31674399999999903</v>
      </c>
      <c r="E247" s="7">
        <v>0.93979540288775498</v>
      </c>
      <c r="F247" s="7">
        <v>0.93978872866111696</v>
      </c>
      <c r="G247" s="7">
        <v>34.273539999999997</v>
      </c>
      <c r="H247" s="7">
        <v>-14.735553025002901</v>
      </c>
      <c r="I247" s="7">
        <v>33.861877</v>
      </c>
      <c r="J247" s="7">
        <v>34.327095</v>
      </c>
      <c r="K247" s="7">
        <v>33.663913999999998</v>
      </c>
      <c r="L247" s="7">
        <v>-15.365678532152099</v>
      </c>
    </row>
    <row r="248" spans="1:12" ht="15" customHeight="1" x14ac:dyDescent="0.2">
      <c r="A248" s="3">
        <v>45693</v>
      </c>
      <c r="B248" s="4">
        <v>33.703505999999997</v>
      </c>
      <c r="C248" s="5">
        <v>449811.28</v>
      </c>
      <c r="D248" s="4">
        <v>-0.52460900000000499</v>
      </c>
      <c r="E248" s="4">
        <v>-1.5326844612974</v>
      </c>
      <c r="F248" s="4">
        <v>-1.5326876268960301</v>
      </c>
      <c r="G248" s="4">
        <v>33.954439999999998</v>
      </c>
      <c r="H248" s="4">
        <v>-15.5293982195676</v>
      </c>
      <c r="I248" s="4">
        <v>34.208317000000001</v>
      </c>
      <c r="J248" s="4">
        <v>34.742820000000002</v>
      </c>
      <c r="K248" s="4">
        <v>33.446156000000002</v>
      </c>
      <c r="L248" s="4">
        <v>-16.153662556931799</v>
      </c>
    </row>
    <row r="249" spans="1:12" ht="15" customHeight="1" x14ac:dyDescent="0.2">
      <c r="A249" s="6">
        <v>45692</v>
      </c>
      <c r="B249" s="7">
        <v>34.228115000000003</v>
      </c>
      <c r="C249" s="8">
        <v>504199.74</v>
      </c>
      <c r="D249" s="7">
        <v>0.70277800000000201</v>
      </c>
      <c r="E249" s="7">
        <v>2.0962593157527398</v>
      </c>
      <c r="F249" s="7">
        <v>2.0962640234133398</v>
      </c>
      <c r="G249" s="7">
        <v>34.482956000000001</v>
      </c>
      <c r="H249" s="7">
        <v>-14.2145756346395</v>
      </c>
      <c r="I249" s="7">
        <v>33.683709999999998</v>
      </c>
      <c r="J249" s="7">
        <v>34.525063000000003</v>
      </c>
      <c r="K249" s="7">
        <v>33.683709999999998</v>
      </c>
      <c r="L249" s="7">
        <v>-14.848559662305</v>
      </c>
    </row>
    <row r="250" spans="1:12" ht="15" customHeight="1" x14ac:dyDescent="0.2">
      <c r="A250" s="3">
        <v>45688</v>
      </c>
      <c r="B250" s="4">
        <v>33.525337</v>
      </c>
      <c r="C250" s="5">
        <v>1226464.5</v>
      </c>
      <c r="D250" s="4">
        <v>-8.9083000000002202E-2</v>
      </c>
      <c r="E250" s="4">
        <v>-0.26501424091208697</v>
      </c>
      <c r="F250" s="4">
        <v>-0.26502233461854702</v>
      </c>
      <c r="G250" s="4">
        <v>33.774943999999998</v>
      </c>
      <c r="H250" s="4">
        <v>-15.9759417389772</v>
      </c>
      <c r="I250" s="4">
        <v>33.644120000000001</v>
      </c>
      <c r="J250" s="4">
        <v>34.079639999999998</v>
      </c>
      <c r="K250" s="4">
        <v>32.476128000000003</v>
      </c>
      <c r="L250" s="4">
        <v>-16.596904814751898</v>
      </c>
    </row>
    <row r="251" spans="1:12" ht="15" customHeight="1" x14ac:dyDescent="0.2">
      <c r="A251" s="6">
        <v>45687</v>
      </c>
      <c r="B251" s="7">
        <v>33.614420000000003</v>
      </c>
      <c r="C251" s="8">
        <v>1297906.5</v>
      </c>
      <c r="D251" s="7">
        <v>9.8980000000004495E-2</v>
      </c>
      <c r="E251" s="7">
        <v>0.295326571872567</v>
      </c>
      <c r="F251" s="7">
        <v>0.29532376106757802</v>
      </c>
      <c r="G251" s="7">
        <v>33.864693000000003</v>
      </c>
      <c r="H251" s="7">
        <v>-15.7526674915093</v>
      </c>
      <c r="I251" s="7">
        <v>33.673813000000003</v>
      </c>
      <c r="J251" s="7">
        <v>34.445872999999999</v>
      </c>
      <c r="K251" s="7">
        <v>33.159103000000002</v>
      </c>
      <c r="L251" s="7">
        <v>-16.375287417486401</v>
      </c>
    </row>
    <row r="252" spans="1:12" ht="15" customHeight="1" x14ac:dyDescent="0.2">
      <c r="A252" s="3">
        <v>45686</v>
      </c>
      <c r="B252" s="4">
        <v>33.515439999999998</v>
      </c>
      <c r="C252" s="5">
        <v>1392652.5999999901</v>
      </c>
      <c r="D252" s="4">
        <v>8.9082999999995097E-2</v>
      </c>
      <c r="E252" s="4">
        <v>0.26650526110276701</v>
      </c>
      <c r="F252" s="4">
        <v>0.26650745963725497</v>
      </c>
      <c r="G252" s="4">
        <v>33.764977000000002</v>
      </c>
      <c r="H252" s="4">
        <v>-16.000737273462398</v>
      </c>
      <c r="I252" s="4">
        <v>33.456049999999998</v>
      </c>
      <c r="J252" s="4">
        <v>33.654015000000001</v>
      </c>
      <c r="K252" s="4">
        <v>32.664192</v>
      </c>
      <c r="L252" s="4">
        <v>-16.621526205822398</v>
      </c>
    </row>
    <row r="253" spans="1:12" ht="15" customHeight="1" x14ac:dyDescent="0.2">
      <c r="A253" s="6">
        <v>45685</v>
      </c>
      <c r="B253" s="7">
        <v>33.426357000000003</v>
      </c>
      <c r="C253" s="8">
        <v>1255922.2</v>
      </c>
      <c r="D253" s="7">
        <v>0.27714900000000098</v>
      </c>
      <c r="E253" s="7">
        <v>0.83606522363972502</v>
      </c>
      <c r="F253" s="7">
        <v>0.83607280689028596</v>
      </c>
      <c r="G253" s="7">
        <v>33.675229999999999</v>
      </c>
      <c r="H253" s="7">
        <v>-16.224006545404102</v>
      </c>
      <c r="I253" s="7">
        <v>33.159103000000002</v>
      </c>
      <c r="J253" s="7">
        <v>33.98066</v>
      </c>
      <c r="K253" s="7">
        <v>32.763171999999997</v>
      </c>
      <c r="L253" s="7">
        <v>-16.843143603087899</v>
      </c>
    </row>
    <row r="254" spans="1:12" ht="15" customHeight="1" x14ac:dyDescent="0.2">
      <c r="A254" s="3">
        <v>45684</v>
      </c>
      <c r="B254" s="4">
        <v>33.149208000000002</v>
      </c>
      <c r="C254" s="5">
        <v>449337.46</v>
      </c>
      <c r="D254" s="4">
        <v>-0.49491199999999902</v>
      </c>
      <c r="E254" s="4">
        <v>-1.47102079055716</v>
      </c>
      <c r="F254" s="4">
        <v>-1.4710155980552599</v>
      </c>
      <c r="G254" s="4">
        <v>33.396014999999998</v>
      </c>
      <c r="H254" s="4">
        <v>-16.9186273100559</v>
      </c>
      <c r="I254" s="4">
        <v>33.446156000000002</v>
      </c>
      <c r="J254" s="4">
        <v>34.327095</v>
      </c>
      <c r="K254" s="4">
        <v>32.881954</v>
      </c>
      <c r="L254" s="4">
        <v>-17.532624649243999</v>
      </c>
    </row>
    <row r="255" spans="1:12" ht="15" customHeight="1" x14ac:dyDescent="0.2">
      <c r="A255" s="6">
        <v>45681</v>
      </c>
      <c r="B255" s="7">
        <v>33.644120000000001</v>
      </c>
      <c r="C255" s="8">
        <v>1721543.3</v>
      </c>
      <c r="D255" s="7">
        <v>1.2372829999999899</v>
      </c>
      <c r="E255" s="7">
        <v>3.8179690291897299</v>
      </c>
      <c r="F255" s="7">
        <v>3.8179629165136801</v>
      </c>
      <c r="G255" s="7">
        <v>33.89461</v>
      </c>
      <c r="H255" s="7">
        <v>-15.6782410838447</v>
      </c>
      <c r="I255" s="7">
        <v>32.396940000000001</v>
      </c>
      <c r="J255" s="7">
        <v>33.901470000000003</v>
      </c>
      <c r="K255" s="7">
        <v>32.396940000000001</v>
      </c>
      <c r="L255" s="7">
        <v>-16.301400854407198</v>
      </c>
    </row>
    <row r="256" spans="1:12" ht="15" customHeight="1" x14ac:dyDescent="0.2">
      <c r="A256" s="3">
        <v>45680</v>
      </c>
      <c r="B256" s="4">
        <v>32.406837000000003</v>
      </c>
      <c r="C256" s="5">
        <v>7181271.5</v>
      </c>
      <c r="D256" s="4">
        <v>0.53450300000000395</v>
      </c>
      <c r="E256" s="4">
        <v>1.67701242086633</v>
      </c>
      <c r="F256" s="4">
        <v>1.67701382083644</v>
      </c>
      <c r="G256" s="4">
        <v>32.648116999999999</v>
      </c>
      <c r="H256" s="4">
        <v>-18.779220332069499</v>
      </c>
      <c r="I256" s="4">
        <v>32.010910000000003</v>
      </c>
      <c r="J256" s="4">
        <v>32.535514999999997</v>
      </c>
      <c r="K256" s="4">
        <v>31.248743000000001</v>
      </c>
      <c r="L256" s="4">
        <v>-19.379467804788401</v>
      </c>
    </row>
    <row r="257" spans="1:12" ht="15" customHeight="1" x14ac:dyDescent="0.2">
      <c r="A257" s="6">
        <v>45679</v>
      </c>
      <c r="B257" s="7">
        <v>31.872333999999999</v>
      </c>
      <c r="C257" s="8">
        <v>693308.1</v>
      </c>
      <c r="D257" s="7">
        <v>0.21776199999999599</v>
      </c>
      <c r="E257" s="7">
        <v>0.68793222034402302</v>
      </c>
      <c r="F257" s="7">
        <v>0.687931242686046</v>
      </c>
      <c r="G257" s="7">
        <v>32.109634</v>
      </c>
      <c r="H257" s="7">
        <v>-20.118838451482901</v>
      </c>
      <c r="I257" s="7">
        <v>31.783249000000001</v>
      </c>
      <c r="J257" s="7">
        <v>31.951516999999999</v>
      </c>
      <c r="K257" s="7">
        <v>31.228947000000002</v>
      </c>
      <c r="L257" s="7">
        <v>-20.7091846271965</v>
      </c>
    </row>
    <row r="258" spans="1:12" ht="15" customHeight="1" x14ac:dyDescent="0.2">
      <c r="A258" s="3">
        <v>45678</v>
      </c>
      <c r="B258" s="4">
        <v>31.654572000000002</v>
      </c>
      <c r="C258" s="5">
        <v>611928</v>
      </c>
      <c r="D258" s="4">
        <v>-0.138573999999998</v>
      </c>
      <c r="E258" s="4">
        <v>-0.43586123877139499</v>
      </c>
      <c r="F258" s="4">
        <v>-0.43586518554030701</v>
      </c>
      <c r="G258" s="4">
        <v>31.890250999999999</v>
      </c>
      <c r="H258" s="4">
        <v>-20.6646113763315</v>
      </c>
      <c r="I258" s="4">
        <v>31.971312999999999</v>
      </c>
      <c r="J258" s="4">
        <v>32.565212000000002</v>
      </c>
      <c r="K258" s="4">
        <v>31.486301000000001</v>
      </c>
      <c r="L258" s="4">
        <v>-21.250924888114</v>
      </c>
    </row>
    <row r="259" spans="1:12" ht="15" customHeight="1" x14ac:dyDescent="0.2">
      <c r="A259" s="6">
        <v>45677</v>
      </c>
      <c r="B259" s="7">
        <v>31.793146</v>
      </c>
      <c r="C259" s="8">
        <v>189413.47</v>
      </c>
      <c r="D259" s="7">
        <v>0.27714900000000098</v>
      </c>
      <c r="E259" s="7">
        <v>0.87939150394005206</v>
      </c>
      <c r="F259" s="7">
        <v>0.87939315878464697</v>
      </c>
      <c r="G259" s="7">
        <v>32.029857999999997</v>
      </c>
      <c r="H259" s="7">
        <v>-20.317302237887102</v>
      </c>
      <c r="I259" s="7">
        <v>31.634772999999999</v>
      </c>
      <c r="J259" s="7">
        <v>31.981214999999999</v>
      </c>
      <c r="K259" s="7">
        <v>31.327929000000001</v>
      </c>
      <c r="L259" s="7">
        <v>-20.9061856089175</v>
      </c>
    </row>
    <row r="260" spans="1:12" ht="15" customHeight="1" x14ac:dyDescent="0.2">
      <c r="A260" s="3">
        <v>45674</v>
      </c>
      <c r="B260" s="4">
        <v>31.515996999999999</v>
      </c>
      <c r="C260" s="5">
        <v>936589.7</v>
      </c>
      <c r="D260" s="4">
        <v>-0.39593099999999998</v>
      </c>
      <c r="E260" s="4">
        <v>-1.24069908906788</v>
      </c>
      <c r="F260" s="4">
        <v>-1.24070262313361</v>
      </c>
      <c r="G260" s="4">
        <v>31.750644999999999</v>
      </c>
      <c r="H260" s="4">
        <v>-21.011918027012801</v>
      </c>
      <c r="I260" s="4">
        <v>31.921824000000001</v>
      </c>
      <c r="J260" s="4">
        <v>31.921824000000001</v>
      </c>
      <c r="K260" s="4">
        <v>31.327929000000001</v>
      </c>
      <c r="L260" s="4">
        <v>-21.5956666550736</v>
      </c>
    </row>
    <row r="261" spans="1:12" ht="15" customHeight="1" x14ac:dyDescent="0.2">
      <c r="A261" s="6">
        <v>45673</v>
      </c>
      <c r="B261" s="7">
        <v>31.911928</v>
      </c>
      <c r="C261" s="8">
        <v>1522633.4</v>
      </c>
      <c r="D261" s="7">
        <v>-0.23755499999999599</v>
      </c>
      <c r="E261" s="7">
        <v>-0.73890768321218603</v>
      </c>
      <c r="F261" s="7">
        <v>-0.73890249936962005</v>
      </c>
      <c r="G261" s="7">
        <v>32.149524999999997</v>
      </c>
      <c r="H261" s="7">
        <v>-20.019599094991602</v>
      </c>
      <c r="I261" s="7">
        <v>32.179175999999998</v>
      </c>
      <c r="J261" s="7">
        <v>32.179175999999998</v>
      </c>
      <c r="K261" s="7">
        <v>30.971594</v>
      </c>
      <c r="L261" s="7">
        <v>-20.610684136335902</v>
      </c>
    </row>
    <row r="262" spans="1:12" ht="15" customHeight="1" x14ac:dyDescent="0.2">
      <c r="A262" s="3">
        <v>45672</v>
      </c>
      <c r="B262" s="4">
        <v>32.149482999999996</v>
      </c>
      <c r="C262" s="5">
        <v>697281.56</v>
      </c>
      <c r="D262" s="4">
        <v>0.227658999999995</v>
      </c>
      <c r="E262" s="4">
        <v>0.71317666559402804</v>
      </c>
      <c r="F262" s="4">
        <v>0.71317979774057005</v>
      </c>
      <c r="G262" s="4">
        <v>32.388846999999998</v>
      </c>
      <c r="H262" s="4">
        <v>-19.424222662357199</v>
      </c>
      <c r="I262" s="4">
        <v>32.139586999999999</v>
      </c>
      <c r="J262" s="4">
        <v>32.258366000000002</v>
      </c>
      <c r="K262" s="4">
        <v>31.664469</v>
      </c>
      <c r="L262" s="4">
        <v>-20.0197035810404</v>
      </c>
    </row>
    <row r="263" spans="1:12" ht="15" customHeight="1" x14ac:dyDescent="0.2">
      <c r="A263" s="6">
        <v>45671</v>
      </c>
      <c r="B263" s="7">
        <v>31.921824000000001</v>
      </c>
      <c r="C263" s="8">
        <v>1194928.5999999901</v>
      </c>
      <c r="D263" s="7">
        <v>-0.494912999999996</v>
      </c>
      <c r="E263" s="7">
        <v>-1.5267205949815199</v>
      </c>
      <c r="F263" s="7">
        <v>-1.5267212503854299</v>
      </c>
      <c r="G263" s="7">
        <v>32.159492</v>
      </c>
      <c r="H263" s="7">
        <v>-19.994803560506401</v>
      </c>
      <c r="I263" s="7">
        <v>32.248466000000001</v>
      </c>
      <c r="J263" s="7">
        <v>32.703785000000003</v>
      </c>
      <c r="K263" s="7">
        <v>31.387318</v>
      </c>
      <c r="L263" s="7">
        <v>-20.586065233028499</v>
      </c>
    </row>
    <row r="264" spans="1:12" ht="15" customHeight="1" x14ac:dyDescent="0.2">
      <c r="A264" s="3">
        <v>45670</v>
      </c>
      <c r="B264" s="4">
        <v>32.416736999999998</v>
      </c>
      <c r="C264" s="5">
        <v>1059065</v>
      </c>
      <c r="D264" s="4">
        <v>0.22766199999999501</v>
      </c>
      <c r="E264" s="4">
        <v>0.707264809566576</v>
      </c>
      <c r="F264" s="4">
        <v>0.70726165258256901</v>
      </c>
      <c r="G264" s="4">
        <v>32.658090000000001</v>
      </c>
      <c r="H264" s="4">
        <v>-18.754409871005901</v>
      </c>
      <c r="I264" s="4">
        <v>32.189075000000003</v>
      </c>
      <c r="J264" s="4">
        <v>32.624600000000001</v>
      </c>
      <c r="K264" s="4">
        <v>31.506098000000001</v>
      </c>
      <c r="L264" s="4">
        <v>-19.354838950428601</v>
      </c>
    </row>
    <row r="265" spans="1:12" ht="15" customHeight="1" x14ac:dyDescent="0.2">
      <c r="A265" s="6">
        <v>45667</v>
      </c>
      <c r="B265" s="7">
        <v>32.189075000000003</v>
      </c>
      <c r="C265" s="8">
        <v>753824.95</v>
      </c>
      <c r="D265" s="7">
        <v>0.34643900000000299</v>
      </c>
      <c r="E265" s="7">
        <v>1.08797211386646</v>
      </c>
      <c r="F265" s="7">
        <v>1.08797097829669</v>
      </c>
      <c r="G265" s="7">
        <v>32.428733999999999</v>
      </c>
      <c r="H265" s="7">
        <v>-19.324993256918201</v>
      </c>
      <c r="I265" s="7">
        <v>31.88223</v>
      </c>
      <c r="J265" s="7">
        <v>32.258366000000002</v>
      </c>
      <c r="K265" s="7">
        <v>31.288338</v>
      </c>
      <c r="L265" s="7">
        <v>-19.921208065705901</v>
      </c>
    </row>
    <row r="266" spans="1:12" ht="15" customHeight="1" x14ac:dyDescent="0.2">
      <c r="A266" s="3">
        <v>45666</v>
      </c>
      <c r="B266" s="4">
        <v>31.842635999999999</v>
      </c>
      <c r="C266" s="5">
        <v>326824.77</v>
      </c>
      <c r="D266" s="4">
        <v>-0.12867699999999899</v>
      </c>
      <c r="E266" s="4">
        <v>-0.40247643254438498</v>
      </c>
      <c r="F266" s="4">
        <v>-0.40247319489528</v>
      </c>
      <c r="G266" s="4">
        <v>32.079715999999998</v>
      </c>
      <c r="H266" s="4">
        <v>-20.193267346910599</v>
      </c>
      <c r="I266" s="4">
        <v>32.654297</v>
      </c>
      <c r="J266" s="4">
        <v>32.654297</v>
      </c>
      <c r="K266" s="4">
        <v>31.357624000000001</v>
      </c>
      <c r="L266" s="4">
        <v>-20.7830662147495</v>
      </c>
    </row>
    <row r="267" spans="1:12" ht="15" customHeight="1" x14ac:dyDescent="0.2">
      <c r="A267" s="6">
        <v>45665</v>
      </c>
      <c r="B267" s="7">
        <v>31.971312999999999</v>
      </c>
      <c r="C267" s="8">
        <v>1396454.3</v>
      </c>
      <c r="D267" s="7">
        <v>-0.56420199999999798</v>
      </c>
      <c r="E267" s="7">
        <v>-1.73411117051627</v>
      </c>
      <c r="F267" s="7">
        <v>-1.7341091603841401</v>
      </c>
      <c r="G267" s="7">
        <v>32.209350000000001</v>
      </c>
      <c r="H267" s="7">
        <v>-19.870768669529799</v>
      </c>
      <c r="I267" s="7">
        <v>32.535514999999997</v>
      </c>
      <c r="J267" s="7">
        <v>32.535514999999997</v>
      </c>
      <c r="K267" s="7">
        <v>31.852537000000002</v>
      </c>
      <c r="L267" s="7">
        <v>-20.462948326623501</v>
      </c>
    </row>
    <row r="268" spans="1:12" ht="15" customHeight="1" x14ac:dyDescent="0.2">
      <c r="A268" s="3">
        <v>45664</v>
      </c>
      <c r="B268" s="4">
        <v>32.535514999999997</v>
      </c>
      <c r="C268" s="5">
        <v>1516603</v>
      </c>
      <c r="D268" s="4">
        <v>0.67308299999999799</v>
      </c>
      <c r="E268" s="4">
        <v>2.1124658657568798</v>
      </c>
      <c r="F268" s="4">
        <v>2.1124585120216199</v>
      </c>
      <c r="G268" s="4">
        <v>32.777752</v>
      </c>
      <c r="H268" s="4">
        <v>-18.456719166925701</v>
      </c>
      <c r="I268" s="4">
        <v>31.88223</v>
      </c>
      <c r="J268" s="4">
        <v>32.664192</v>
      </c>
      <c r="K268" s="4">
        <v>31.822844</v>
      </c>
      <c r="L268" s="4">
        <v>-19.059347428899301</v>
      </c>
    </row>
    <row r="269" spans="1:12" ht="15" customHeight="1" x14ac:dyDescent="0.2">
      <c r="A269" s="6">
        <v>45663</v>
      </c>
      <c r="B269" s="7">
        <v>31.862431999999998</v>
      </c>
      <c r="C269" s="8">
        <v>1103221.3999999999</v>
      </c>
      <c r="D269" s="7">
        <v>0.17816699999999799</v>
      </c>
      <c r="E269" s="7">
        <v>0.56232012956587396</v>
      </c>
      <c r="F269" s="7">
        <v>0.56232163704914495</v>
      </c>
      <c r="G269" s="7">
        <v>32.09966</v>
      </c>
      <c r="H269" s="7">
        <v>-20.143651400309501</v>
      </c>
      <c r="I269" s="7">
        <v>31.842635999999999</v>
      </c>
      <c r="J269" s="7">
        <v>32.27816</v>
      </c>
      <c r="K269" s="7">
        <v>31.100269999999998</v>
      </c>
      <c r="L269" s="7">
        <v>-20.7338184570823</v>
      </c>
    </row>
    <row r="270" spans="1:12" ht="15" customHeight="1" x14ac:dyDescent="0.2">
      <c r="A270" s="3">
        <v>45660</v>
      </c>
      <c r="B270" s="4">
        <v>31.684265</v>
      </c>
      <c r="C270" s="5">
        <v>581249.80000000005</v>
      </c>
      <c r="D270" s="4">
        <v>-0.87104499999999796</v>
      </c>
      <c r="E270" s="4">
        <v>-2.6755850274502002</v>
      </c>
      <c r="F270" s="4">
        <v>-2.6755813175285601</v>
      </c>
      <c r="G270" s="4">
        <v>31.920165999999998</v>
      </c>
      <c r="H270" s="4">
        <v>-20.590189944193</v>
      </c>
      <c r="I270" s="4">
        <v>32.565212000000002</v>
      </c>
      <c r="J270" s="4">
        <v>32.565212000000002</v>
      </c>
      <c r="K270" s="4">
        <v>31.506098000000001</v>
      </c>
      <c r="L270" s="4">
        <v>-21.1770557393763</v>
      </c>
    </row>
    <row r="271" spans="1:12" ht="15" customHeight="1" x14ac:dyDescent="0.2">
      <c r="A271" s="6">
        <v>45659</v>
      </c>
      <c r="B271" s="7">
        <v>32.555309999999999</v>
      </c>
      <c r="C271" s="8">
        <v>385683.72</v>
      </c>
      <c r="D271" s="7">
        <v>8.9084999999997194E-2</v>
      </c>
      <c r="E271" s="7">
        <v>0.27439284980004203</v>
      </c>
      <c r="F271" s="7">
        <v>0.27439203078076702</v>
      </c>
      <c r="G271" s="7">
        <v>32.797694999999997</v>
      </c>
      <c r="H271" s="7">
        <v>-18.407105708087698</v>
      </c>
      <c r="I271" s="7">
        <v>32.575108</v>
      </c>
      <c r="J271" s="7">
        <v>32.852257000000002</v>
      </c>
      <c r="K271" s="7">
        <v>31.842635999999999</v>
      </c>
      <c r="L271" s="7">
        <v>-19.010102158995199</v>
      </c>
    </row>
    <row r="272" spans="1:12" ht="15" customHeight="1" x14ac:dyDescent="0.2">
      <c r="A272" s="3">
        <v>45657</v>
      </c>
      <c r="B272" s="4">
        <v>32.466225000000001</v>
      </c>
      <c r="C272" s="5">
        <v>146362.4</v>
      </c>
      <c r="D272" s="4">
        <v>0.395928000000004</v>
      </c>
      <c r="E272" s="4">
        <v>1.2345629352918199</v>
      </c>
      <c r="F272" s="4">
        <v>1.2345666402653901</v>
      </c>
      <c r="G272" s="4">
        <v>32.707946999999997</v>
      </c>
      <c r="H272" s="4">
        <v>-18.630377467792499</v>
      </c>
      <c r="I272" s="4">
        <v>32.080196000000001</v>
      </c>
      <c r="J272" s="4">
        <v>32.763171999999997</v>
      </c>
      <c r="K272" s="4">
        <v>31.971312999999999</v>
      </c>
      <c r="L272" s="4">
        <v>-19.231724531786799</v>
      </c>
    </row>
    <row r="273" spans="1:12" ht="15" customHeight="1" x14ac:dyDescent="0.2">
      <c r="A273" s="6">
        <v>45656</v>
      </c>
      <c r="B273" s="7">
        <v>32.070296999999997</v>
      </c>
      <c r="C273" s="8">
        <v>227279.8</v>
      </c>
      <c r="D273" s="7">
        <v>-0.12867799999999999</v>
      </c>
      <c r="E273" s="7">
        <v>-0.39963383927593599</v>
      </c>
      <c r="F273" s="7">
        <v>-0.39963062643838498</v>
      </c>
      <c r="G273" s="7">
        <v>32.309069999999998</v>
      </c>
      <c r="H273" s="7">
        <v>-19.622688936524501</v>
      </c>
      <c r="I273" s="7">
        <v>32.228672000000003</v>
      </c>
      <c r="J273" s="7">
        <v>32.555309999999999</v>
      </c>
      <c r="K273" s="7">
        <v>31.803045000000001</v>
      </c>
      <c r="L273" s="7">
        <v>-20.216699587235301</v>
      </c>
    </row>
    <row r="274" spans="1:12" ht="15" customHeight="1" x14ac:dyDescent="0.2">
      <c r="A274" s="3">
        <v>45653</v>
      </c>
      <c r="B274" s="4">
        <v>32.198974999999997</v>
      </c>
      <c r="C274" s="5">
        <v>428882.32</v>
      </c>
      <c r="D274" s="4">
        <v>-0.31674200000000402</v>
      </c>
      <c r="E274" s="4">
        <v>-0.97411968495114598</v>
      </c>
      <c r="F274" s="4">
        <v>-0.97413410725564198</v>
      </c>
      <c r="G274" s="4">
        <v>32.438704999999999</v>
      </c>
      <c r="H274" s="4">
        <v>-19.300187771380699</v>
      </c>
      <c r="I274" s="4">
        <v>32.654297</v>
      </c>
      <c r="J274" s="4">
        <v>33.159103000000002</v>
      </c>
      <c r="K274" s="4">
        <v>32.090090000000004</v>
      </c>
      <c r="L274" s="4">
        <v>-19.8965792113462</v>
      </c>
    </row>
    <row r="275" spans="1:12" ht="15" customHeight="1" x14ac:dyDescent="0.2">
      <c r="A275" s="6">
        <v>45652</v>
      </c>
      <c r="B275" s="7">
        <v>32.515717000000002</v>
      </c>
      <c r="C275" s="8">
        <v>304228.84999999998</v>
      </c>
      <c r="D275" s="7">
        <v>4.9492000000000702E-2</v>
      </c>
      <c r="E275" s="7">
        <v>0.15244149881916599</v>
      </c>
      <c r="F275" s="7">
        <v>0.15244918918329001</v>
      </c>
      <c r="G275" s="7">
        <v>32.757809999999999</v>
      </c>
      <c r="H275" s="7">
        <v>-18.5063301380006</v>
      </c>
      <c r="I275" s="7">
        <v>32.297960000000003</v>
      </c>
      <c r="J275" s="7">
        <v>33.574829999999999</v>
      </c>
      <c r="K275" s="7">
        <v>32.297960000000003</v>
      </c>
      <c r="L275" s="7">
        <v>-19.1086001620926</v>
      </c>
    </row>
    <row r="276" spans="1:12" ht="15" customHeight="1" x14ac:dyDescent="0.2">
      <c r="A276" s="3">
        <v>45650</v>
      </c>
      <c r="B276" s="4">
        <v>32.466225000000001</v>
      </c>
      <c r="C276" s="5">
        <v>166867.04999999999</v>
      </c>
      <c r="D276" s="4">
        <v>-3.9594999999998402E-2</v>
      </c>
      <c r="E276" s="4">
        <v>-0.121808956057711</v>
      </c>
      <c r="F276" s="4">
        <v>-0.121809571728359</v>
      </c>
      <c r="G276" s="4">
        <v>32.707946999999997</v>
      </c>
      <c r="H276" s="4">
        <v>-18.630377467792499</v>
      </c>
      <c r="I276" s="4">
        <v>32.773069999999997</v>
      </c>
      <c r="J276" s="4">
        <v>32.891849999999998</v>
      </c>
      <c r="K276" s="4">
        <v>32.189075000000003</v>
      </c>
      <c r="L276" s="4">
        <v>-19.231724531786799</v>
      </c>
    </row>
    <row r="277" spans="1:12" ht="15" customHeight="1" x14ac:dyDescent="0.2">
      <c r="A277" s="6">
        <v>45649</v>
      </c>
      <c r="B277" s="7">
        <v>32.50582</v>
      </c>
      <c r="C277" s="8">
        <v>610390.30000000005</v>
      </c>
      <c r="D277" s="7">
        <v>-0.90073999999999899</v>
      </c>
      <c r="E277" s="7">
        <v>-2.6962967752441398</v>
      </c>
      <c r="F277" s="7">
        <v>-2.6962871799016299</v>
      </c>
      <c r="G277" s="7">
        <v>32.747836999999997</v>
      </c>
      <c r="H277" s="7">
        <v>-18.531140599064202</v>
      </c>
      <c r="I277" s="7">
        <v>33.406559999999999</v>
      </c>
      <c r="J277" s="7">
        <v>33.753</v>
      </c>
      <c r="K277" s="7">
        <v>32.139586999999999</v>
      </c>
      <c r="L277" s="7">
        <v>-19.1332215531632</v>
      </c>
    </row>
    <row r="278" spans="1:12" ht="15" customHeight="1" x14ac:dyDescent="0.2">
      <c r="A278" s="3">
        <v>45646</v>
      </c>
      <c r="B278" s="4">
        <v>33.406559999999999</v>
      </c>
      <c r="C278" s="5">
        <v>12190662</v>
      </c>
      <c r="D278" s="4">
        <v>6.9286999999995602E-2</v>
      </c>
      <c r="E278" s="4">
        <v>0.20783643581163599</v>
      </c>
      <c r="F278" s="4">
        <v>0.20782790658344599</v>
      </c>
      <c r="G278" s="4">
        <v>33.655279999999998</v>
      </c>
      <c r="H278" s="4">
        <v>-16.273637418583601</v>
      </c>
      <c r="I278" s="4">
        <v>33.456049999999998</v>
      </c>
      <c r="J278" s="4">
        <v>34.435977999999999</v>
      </c>
      <c r="K278" s="4">
        <v>32.486023000000003</v>
      </c>
      <c r="L278" s="4">
        <v>-16.8923938485182</v>
      </c>
    </row>
    <row r="279" spans="1:12" ht="15" customHeight="1" x14ac:dyDescent="0.2">
      <c r="A279" s="6">
        <v>45645</v>
      </c>
      <c r="B279" s="7">
        <v>33.337273000000003</v>
      </c>
      <c r="C279" s="8">
        <v>682732.5</v>
      </c>
      <c r="D279" s="7">
        <v>0.26725300000000302</v>
      </c>
      <c r="E279" s="7">
        <v>0.80814284357857402</v>
      </c>
      <c r="F279" s="7">
        <v>0.80814954030670105</v>
      </c>
      <c r="G279" s="7">
        <v>33.585479999999997</v>
      </c>
      <c r="H279" s="7">
        <v>-16.447283280634998</v>
      </c>
      <c r="I279" s="7">
        <v>34.030149999999999</v>
      </c>
      <c r="J279" s="7">
        <v>34.030149999999999</v>
      </c>
      <c r="K279" s="7">
        <v>32.782969999999999</v>
      </c>
      <c r="L279" s="7">
        <v>-17.064763488116402</v>
      </c>
    </row>
    <row r="280" spans="1:12" ht="15" customHeight="1" x14ac:dyDescent="0.2">
      <c r="A280" s="3">
        <v>45644</v>
      </c>
      <c r="B280" s="4">
        <v>33.07002</v>
      </c>
      <c r="C280" s="5">
        <v>442794.86</v>
      </c>
      <c r="D280" s="4">
        <v>-0.60379300000000302</v>
      </c>
      <c r="E280" s="4">
        <v>-1.7930639455650601</v>
      </c>
      <c r="F280" s="4">
        <v>-1.7930714787289901</v>
      </c>
      <c r="G280" s="4">
        <v>33.316234999999999</v>
      </c>
      <c r="H280" s="4">
        <v>-17.117101047512399</v>
      </c>
      <c r="I280" s="4">
        <v>33.703505999999997</v>
      </c>
      <c r="J280" s="4">
        <v>33.911369999999998</v>
      </c>
      <c r="K280" s="4">
        <v>32.931446000000001</v>
      </c>
      <c r="L280" s="4">
        <v>-17.729625630965099</v>
      </c>
    </row>
    <row r="281" spans="1:12" ht="15" customHeight="1" x14ac:dyDescent="0.2">
      <c r="A281" s="6">
        <v>45643</v>
      </c>
      <c r="B281" s="7">
        <v>33.673813000000003</v>
      </c>
      <c r="C281" s="8">
        <v>680423</v>
      </c>
      <c r="D281" s="7">
        <v>0.16827299999999901</v>
      </c>
      <c r="E281" s="7">
        <v>0.50222440826204195</v>
      </c>
      <c r="F281" s="7">
        <v>0.50223378778555505</v>
      </c>
      <c r="G281" s="7">
        <v>33.924526</v>
      </c>
      <c r="H281" s="7">
        <v>-15.6038171639431</v>
      </c>
      <c r="I281" s="7">
        <v>33.614420000000003</v>
      </c>
      <c r="J281" s="7">
        <v>34.079639999999998</v>
      </c>
      <c r="K281" s="7">
        <v>33.307580000000002</v>
      </c>
      <c r="L281" s="7">
        <v>-16.227531705669499</v>
      </c>
    </row>
    <row r="282" spans="1:12" ht="15" customHeight="1" x14ac:dyDescent="0.2">
      <c r="A282" s="3">
        <v>45642</v>
      </c>
      <c r="B282" s="4">
        <v>33.505540000000003</v>
      </c>
      <c r="C282" s="5">
        <v>462216.52</v>
      </c>
      <c r="D282" s="4">
        <v>0.15837199999999901</v>
      </c>
      <c r="E282" s="4">
        <v>0.474918889664044</v>
      </c>
      <c r="F282" s="4">
        <v>0.47491255362930301</v>
      </c>
      <c r="G282" s="4">
        <v>33.754997000000003</v>
      </c>
      <c r="H282" s="4">
        <v>-16.0255651488674</v>
      </c>
      <c r="I282" s="4">
        <v>33.456049999999998</v>
      </c>
      <c r="J282" s="4">
        <v>33.941066999999997</v>
      </c>
      <c r="K282" s="4">
        <v>32.96114</v>
      </c>
      <c r="L282" s="4">
        <v>-16.646155060182199</v>
      </c>
    </row>
    <row r="283" spans="1:12" ht="15" customHeight="1" x14ac:dyDescent="0.2">
      <c r="A283" s="6">
        <v>45639</v>
      </c>
      <c r="B283" s="7">
        <v>33.347168000000003</v>
      </c>
      <c r="C283" s="8">
        <v>655296.299999999</v>
      </c>
      <c r="D283" s="7">
        <v>-0.62359199999999504</v>
      </c>
      <c r="E283" s="7">
        <v>-1.83567279625181</v>
      </c>
      <c r="F283" s="7">
        <v>-1.83567039922822</v>
      </c>
      <c r="G283" s="7">
        <v>33.595447999999998</v>
      </c>
      <c r="H283" s="7">
        <v>-16.4224852583867</v>
      </c>
      <c r="I283" s="7">
        <v>34.317196000000003</v>
      </c>
      <c r="J283" s="7">
        <v>34.346893000000001</v>
      </c>
      <c r="K283" s="7">
        <v>33.208595000000003</v>
      </c>
      <c r="L283" s="7">
        <v>-17.040147072572001</v>
      </c>
    </row>
    <row r="284" spans="1:12" ht="15" customHeight="1" x14ac:dyDescent="0.2">
      <c r="A284" s="3">
        <v>45637</v>
      </c>
      <c r="B284" s="4">
        <v>33.970759999999999</v>
      </c>
      <c r="C284" s="5">
        <v>719837.04</v>
      </c>
      <c r="D284" s="4">
        <v>0.108882999999998</v>
      </c>
      <c r="E284" s="4">
        <v>0.32155039722103701</v>
      </c>
      <c r="F284" s="4">
        <v>0.321545500834097</v>
      </c>
      <c r="G284" s="4">
        <v>34.223681999999997</v>
      </c>
      <c r="H284" s="4">
        <v>-14.8595879159794</v>
      </c>
      <c r="I284" s="4">
        <v>34.049945999999998</v>
      </c>
      <c r="J284" s="4">
        <v>34.346893000000001</v>
      </c>
      <c r="K284" s="4">
        <v>33.743099999999998</v>
      </c>
      <c r="L284" s="4">
        <v>-15.4887979263201</v>
      </c>
    </row>
    <row r="285" spans="1:12" ht="15" customHeight="1" x14ac:dyDescent="0.2">
      <c r="A285" s="6">
        <v>45636</v>
      </c>
      <c r="B285" s="7">
        <v>33.861877</v>
      </c>
      <c r="C285" s="8">
        <v>687333.3</v>
      </c>
      <c r="D285" s="7">
        <v>0.26725299999999602</v>
      </c>
      <c r="E285" s="7">
        <v>0.79552311703203704</v>
      </c>
      <c r="F285" s="7">
        <v>0.79552672665943402</v>
      </c>
      <c r="G285" s="7">
        <v>34.113990000000001</v>
      </c>
      <c r="H285" s="7">
        <v>-15.1324756222853</v>
      </c>
      <c r="I285" s="7">
        <v>33.555034999999997</v>
      </c>
      <c r="J285" s="7">
        <v>34.238010000000003</v>
      </c>
      <c r="K285" s="7">
        <v>33.277880000000003</v>
      </c>
      <c r="L285" s="7">
        <v>-15.759673032305001</v>
      </c>
    </row>
    <row r="286" spans="1:12" ht="15" customHeight="1" x14ac:dyDescent="0.2">
      <c r="A286" s="3">
        <v>45635</v>
      </c>
      <c r="B286" s="4">
        <v>33.594624000000003</v>
      </c>
      <c r="C286" s="5">
        <v>557454.69999999995</v>
      </c>
      <c r="D286" s="4">
        <v>0.46521400000000301</v>
      </c>
      <c r="E286" s="4">
        <v>1.4042326742311499</v>
      </c>
      <c r="F286" s="4">
        <v>1.40422763974308</v>
      </c>
      <c r="G286" s="4">
        <v>33.844746000000001</v>
      </c>
      <c r="H286" s="4">
        <v>-15.8022909013996</v>
      </c>
      <c r="I286" s="4">
        <v>33.010627999999997</v>
      </c>
      <c r="J286" s="4">
        <v>34.049945999999998</v>
      </c>
      <c r="K286" s="4">
        <v>32.921543</v>
      </c>
      <c r="L286" s="4">
        <v>-16.424535175153601</v>
      </c>
    </row>
    <row r="287" spans="1:12" ht="15" customHeight="1" x14ac:dyDescent="0.2">
      <c r="A287" s="6">
        <v>45632</v>
      </c>
      <c r="B287" s="7">
        <v>33.12941</v>
      </c>
      <c r="C287" s="8">
        <v>671709.299999999</v>
      </c>
      <c r="D287" s="7">
        <v>-0.38602999999999799</v>
      </c>
      <c r="E287" s="7">
        <v>-1.1517974998985401</v>
      </c>
      <c r="F287" s="7">
        <v>-1.1518059082344401</v>
      </c>
      <c r="G287" s="7">
        <v>33.376069999999999</v>
      </c>
      <c r="H287" s="7">
        <v>-16.968245744419999</v>
      </c>
      <c r="I287" s="7">
        <v>33.515439999999998</v>
      </c>
      <c r="J287" s="7">
        <v>33.624319999999997</v>
      </c>
      <c r="K287" s="7">
        <v>32.842359999999999</v>
      </c>
      <c r="L287" s="7">
        <v>-17.581877382437298</v>
      </c>
    </row>
    <row r="288" spans="1:12" ht="15" customHeight="1" x14ac:dyDescent="0.2">
      <c r="A288" s="3">
        <v>45631</v>
      </c>
      <c r="B288" s="4">
        <v>33.515439999999998</v>
      </c>
      <c r="C288" s="5">
        <v>1313867.8999999999</v>
      </c>
      <c r="D288" s="4">
        <v>1.10860299999999</v>
      </c>
      <c r="E288" s="4">
        <v>3.4208923259002102</v>
      </c>
      <c r="F288" s="4">
        <v>3.42090173224998</v>
      </c>
      <c r="G288" s="4">
        <v>33.764977000000002</v>
      </c>
      <c r="H288" s="4">
        <v>-16.000737273462398</v>
      </c>
      <c r="I288" s="4">
        <v>32.406837000000003</v>
      </c>
      <c r="J288" s="4">
        <v>33.654015000000001</v>
      </c>
      <c r="K288" s="4">
        <v>32.337547000000001</v>
      </c>
      <c r="L288" s="4">
        <v>-16.621526205822398</v>
      </c>
    </row>
    <row r="289" spans="1:12" ht="15" customHeight="1" x14ac:dyDescent="0.2">
      <c r="A289" s="6">
        <v>45630</v>
      </c>
      <c r="B289" s="7">
        <v>32.406837000000003</v>
      </c>
      <c r="C289" s="8">
        <v>816041.1</v>
      </c>
      <c r="D289" s="7">
        <v>7.9185000000002503E-2</v>
      </c>
      <c r="E289" s="7">
        <v>0.24494510148773599</v>
      </c>
      <c r="F289" s="7">
        <v>0.24495261348904601</v>
      </c>
      <c r="G289" s="7">
        <v>32.648116999999999</v>
      </c>
      <c r="H289" s="7">
        <v>-18.779220332069499</v>
      </c>
      <c r="I289" s="7">
        <v>32.367244999999997</v>
      </c>
      <c r="J289" s="7">
        <v>32.713684000000001</v>
      </c>
      <c r="K289" s="7">
        <v>31.812943000000001</v>
      </c>
      <c r="L289" s="7">
        <v>-19.379467804788401</v>
      </c>
    </row>
    <row r="290" spans="1:12" ht="15" customHeight="1" x14ac:dyDescent="0.2">
      <c r="A290" s="3">
        <v>45629</v>
      </c>
      <c r="B290" s="4">
        <v>32.327652</v>
      </c>
      <c r="C290" s="5">
        <v>379431.1</v>
      </c>
      <c r="D290" s="4">
        <v>-0.17816799999999899</v>
      </c>
      <c r="E290" s="4">
        <v>-0.54811107672409998</v>
      </c>
      <c r="F290" s="4">
        <v>-0.54811864368323704</v>
      </c>
      <c r="G290" s="4">
        <v>32.568339999999999</v>
      </c>
      <c r="H290" s="4">
        <v>-18.977686606236901</v>
      </c>
      <c r="I290" s="4">
        <v>32.654297</v>
      </c>
      <c r="J290" s="4">
        <v>32.654297</v>
      </c>
      <c r="K290" s="4">
        <v>32.179175999999998</v>
      </c>
      <c r="L290" s="4">
        <v>-19.576461323220201</v>
      </c>
    </row>
    <row r="291" spans="1:12" ht="15" customHeight="1" x14ac:dyDescent="0.2">
      <c r="A291" s="6">
        <v>45628</v>
      </c>
      <c r="B291" s="7">
        <v>32.50582</v>
      </c>
      <c r="C291" s="8">
        <v>478610.35</v>
      </c>
      <c r="D291" s="7">
        <v>9.8979999999997403E-3</v>
      </c>
      <c r="E291" s="7">
        <v>3.0459206542898701E-2</v>
      </c>
      <c r="F291" s="7">
        <v>3.04601414905958E-2</v>
      </c>
      <c r="G291" s="7">
        <v>32.747836999999997</v>
      </c>
      <c r="H291" s="7">
        <v>-18.531140599064202</v>
      </c>
      <c r="I291" s="7">
        <v>32.495922</v>
      </c>
      <c r="J291" s="7">
        <v>32.773069999999997</v>
      </c>
      <c r="K291" s="7">
        <v>32.119790000000002</v>
      </c>
      <c r="L291" s="7">
        <v>-19.1332215531632</v>
      </c>
    </row>
    <row r="292" spans="1:12" ht="15" customHeight="1" x14ac:dyDescent="0.2">
      <c r="A292" s="3">
        <v>45625</v>
      </c>
      <c r="B292" s="4">
        <v>32.495922</v>
      </c>
      <c r="C292" s="5">
        <v>545027.16</v>
      </c>
      <c r="D292" s="4"/>
      <c r="E292" s="4"/>
      <c r="F292" s="4"/>
      <c r="G292" s="4">
        <v>32.737864999999999</v>
      </c>
      <c r="H292" s="4">
        <v>-18.555948572364802</v>
      </c>
      <c r="I292" s="4">
        <v>32.495922</v>
      </c>
      <c r="J292" s="4">
        <v>32.664192</v>
      </c>
      <c r="K292" s="4">
        <v>32.129683999999997</v>
      </c>
      <c r="L292" s="4">
        <v>-19.157845431996801</v>
      </c>
    </row>
    <row r="293" spans="1:12" ht="15" customHeight="1" x14ac:dyDescent="0.2">
      <c r="A293" s="6">
        <v>45624</v>
      </c>
      <c r="B293" s="7">
        <v>32.495922</v>
      </c>
      <c r="C293" s="8">
        <v>551464.66</v>
      </c>
      <c r="D293" s="7">
        <v>0.21776200000000001</v>
      </c>
      <c r="E293" s="7">
        <v>0.674641925066366</v>
      </c>
      <c r="F293" s="7">
        <v>0.67464096263780604</v>
      </c>
      <c r="G293" s="7">
        <v>32.737864999999999</v>
      </c>
      <c r="H293" s="7">
        <v>-18.555948572364802</v>
      </c>
      <c r="I293" s="7">
        <v>32.545414000000001</v>
      </c>
      <c r="J293" s="7">
        <v>32.753276999999997</v>
      </c>
      <c r="K293" s="7">
        <v>32.377144000000001</v>
      </c>
      <c r="L293" s="7">
        <v>-19.157845431996801</v>
      </c>
    </row>
    <row r="294" spans="1:12" ht="15" customHeight="1" x14ac:dyDescent="0.2">
      <c r="A294" s="3">
        <v>45623</v>
      </c>
      <c r="B294" s="4">
        <v>32.27816</v>
      </c>
      <c r="C294" s="5">
        <v>870948.7</v>
      </c>
      <c r="D294" s="4">
        <v>0.227657</v>
      </c>
      <c r="E294" s="4">
        <v>0.71030710500861105</v>
      </c>
      <c r="F294" s="4">
        <v>0.71030715290254498</v>
      </c>
      <c r="G294" s="4">
        <v>32.518481999999999</v>
      </c>
      <c r="H294" s="4">
        <v>-19.101721497213401</v>
      </c>
      <c r="I294" s="4">
        <v>32.169280000000001</v>
      </c>
      <c r="J294" s="4">
        <v>32.604799999999997</v>
      </c>
      <c r="K294" s="4">
        <v>31.88223</v>
      </c>
      <c r="L294" s="4">
        <v>-19.6995856929144</v>
      </c>
    </row>
    <row r="295" spans="1:12" ht="15" customHeight="1" x14ac:dyDescent="0.2">
      <c r="A295" s="6">
        <v>45622</v>
      </c>
      <c r="B295" s="7">
        <v>32.050502999999999</v>
      </c>
      <c r="C295" s="8">
        <v>1269167</v>
      </c>
      <c r="D295" s="7">
        <v>-0.59389099999999895</v>
      </c>
      <c r="E295" s="7">
        <v>-1.81927408424246</v>
      </c>
      <c r="F295" s="7">
        <v>-1.81927789827631</v>
      </c>
      <c r="G295" s="7">
        <v>32.28913</v>
      </c>
      <c r="H295" s="7">
        <v>-19.672294932073299</v>
      </c>
      <c r="I295" s="7">
        <v>32.644393999999998</v>
      </c>
      <c r="J295" s="7">
        <v>32.901752000000002</v>
      </c>
      <c r="K295" s="7">
        <v>31.951516999999999</v>
      </c>
      <c r="L295" s="7">
        <v>-20.265942369376301</v>
      </c>
    </row>
    <row r="296" spans="1:12" ht="15" customHeight="1" x14ac:dyDescent="0.2">
      <c r="A296" s="3">
        <v>45621</v>
      </c>
      <c r="B296" s="4">
        <v>32.644393999999998</v>
      </c>
      <c r="C296" s="5">
        <v>3205710.2</v>
      </c>
      <c r="D296" s="4">
        <v>-1.653006</v>
      </c>
      <c r="E296" s="4">
        <v>-4.81962481121018</v>
      </c>
      <c r="F296" s="4">
        <v>-4.8196240896204001</v>
      </c>
      <c r="G296" s="4">
        <v>32.887444000000002</v>
      </c>
      <c r="H296" s="4">
        <v>-18.183831460619899</v>
      </c>
      <c r="I296" s="4">
        <v>34.465670000000003</v>
      </c>
      <c r="J296" s="4">
        <v>34.475569999999998</v>
      </c>
      <c r="K296" s="4">
        <v>32.466225000000001</v>
      </c>
      <c r="L296" s="4">
        <v>-18.7884822739667</v>
      </c>
    </row>
    <row r="297" spans="1:12" ht="15" customHeight="1" x14ac:dyDescent="0.2">
      <c r="A297" s="6">
        <v>45618</v>
      </c>
      <c r="B297" s="7">
        <v>34.297400000000003</v>
      </c>
      <c r="C297" s="8">
        <v>446147</v>
      </c>
      <c r="D297" s="7">
        <v>-0.10887999999999901</v>
      </c>
      <c r="E297" s="7">
        <v>-0.31645385667965398</v>
      </c>
      <c r="F297" s="7">
        <v>-0.31644622876429901</v>
      </c>
      <c r="G297" s="7">
        <v>34.552757</v>
      </c>
      <c r="H297" s="7">
        <v>-14.040927284825001</v>
      </c>
      <c r="I297" s="7">
        <v>34.228115000000003</v>
      </c>
      <c r="J297" s="7">
        <v>34.633940000000003</v>
      </c>
      <c r="K297" s="7">
        <v>34.079639999999998</v>
      </c>
      <c r="L297" s="7">
        <v>-14.6761949982329</v>
      </c>
    </row>
    <row r="298" spans="1:12" ht="15" customHeight="1" x14ac:dyDescent="0.2">
      <c r="A298" s="3">
        <v>45617</v>
      </c>
      <c r="B298" s="4">
        <v>34.406280000000002</v>
      </c>
      <c r="C298" s="5">
        <v>594337</v>
      </c>
      <c r="D298" s="4">
        <v>-0.34643999999999397</v>
      </c>
      <c r="E298" s="4">
        <v>-0.99687161177598405</v>
      </c>
      <c r="F298" s="4">
        <v>-0.99687910820761505</v>
      </c>
      <c r="G298" s="4">
        <v>34.662444999999998</v>
      </c>
      <c r="H298" s="4">
        <v>-13.7680495295714</v>
      </c>
      <c r="I298" s="4">
        <v>34.663634999999999</v>
      </c>
      <c r="J298" s="4">
        <v>34.831904999999999</v>
      </c>
      <c r="K298" s="4">
        <v>34.158825</v>
      </c>
      <c r="L298" s="4">
        <v>-14.405327355537199</v>
      </c>
    </row>
    <row r="299" spans="1:12" ht="15" customHeight="1" x14ac:dyDescent="0.2">
      <c r="A299" s="6">
        <v>45616</v>
      </c>
      <c r="B299" s="7">
        <v>34.752719999999997</v>
      </c>
      <c r="C299" s="8">
        <v>475228.94</v>
      </c>
      <c r="D299" s="7">
        <v>-0.20786300000000299</v>
      </c>
      <c r="E299" s="7">
        <v>-0.59456388355996204</v>
      </c>
      <c r="F299" s="7">
        <v>-0.594556495260256</v>
      </c>
      <c r="G299" s="7">
        <v>35.011467000000003</v>
      </c>
      <c r="H299" s="7">
        <v>-12.8997654885267</v>
      </c>
      <c r="I299" s="7">
        <v>35.059562999999997</v>
      </c>
      <c r="J299" s="7">
        <v>35.059562999999997</v>
      </c>
      <c r="K299" s="7">
        <v>34.346893000000001</v>
      </c>
      <c r="L299" s="7">
        <v>-13.5434667187305</v>
      </c>
    </row>
    <row r="300" spans="1:12" ht="15" customHeight="1" x14ac:dyDescent="0.2">
      <c r="A300" s="3">
        <v>45615</v>
      </c>
      <c r="B300" s="4">
        <v>34.960583</v>
      </c>
      <c r="C300" s="5">
        <v>401297.6</v>
      </c>
      <c r="D300" s="4">
        <v>-0.682979000000003</v>
      </c>
      <c r="E300" s="4">
        <v>-1.91613565445564</v>
      </c>
      <c r="F300" s="4">
        <v>-1.9161384323792401</v>
      </c>
      <c r="G300" s="4">
        <v>35.220874999999999</v>
      </c>
      <c r="H300" s="4">
        <v>-12.378808000267799</v>
      </c>
      <c r="I300" s="4">
        <v>35.643562000000003</v>
      </c>
      <c r="J300" s="4">
        <v>35.643562000000003</v>
      </c>
      <c r="K300" s="4">
        <v>34.77252</v>
      </c>
      <c r="L300" s="4">
        <v>-13.026352824409599</v>
      </c>
    </row>
    <row r="301" spans="1:12" ht="15" customHeight="1" x14ac:dyDescent="0.2">
      <c r="A301" s="6">
        <v>45611</v>
      </c>
      <c r="B301" s="7">
        <v>35.643562000000003</v>
      </c>
      <c r="C301" s="8">
        <v>543232.9</v>
      </c>
      <c r="D301" s="7">
        <v>0.86114900000000405</v>
      </c>
      <c r="E301" s="7">
        <v>2.4758173045671099</v>
      </c>
      <c r="F301" s="7">
        <v>2.4758157355674899</v>
      </c>
      <c r="G301" s="7">
        <v>35.908940000000001</v>
      </c>
      <c r="H301" s="7">
        <v>-10.667065305820399</v>
      </c>
      <c r="I301" s="7">
        <v>34.802210000000002</v>
      </c>
      <c r="J301" s="7">
        <v>36.128574</v>
      </c>
      <c r="K301" s="7">
        <v>34.693330000000003</v>
      </c>
      <c r="L301" s="7">
        <v>-11.3272628929191</v>
      </c>
    </row>
    <row r="302" spans="1:12" ht="15" customHeight="1" x14ac:dyDescent="0.2">
      <c r="A302" s="3">
        <v>45610</v>
      </c>
      <c r="B302" s="4">
        <v>34.782412999999998</v>
      </c>
      <c r="C302" s="5">
        <v>311835.24</v>
      </c>
      <c r="D302" s="4">
        <v>-3.95970000000005E-2</v>
      </c>
      <c r="E302" s="4">
        <v>-0.11371256283023699</v>
      </c>
      <c r="F302" s="4">
        <v>-0.113713094553702</v>
      </c>
      <c r="G302" s="4">
        <v>35.041379999999997</v>
      </c>
      <c r="H302" s="4">
        <v>-12.8253490319143</v>
      </c>
      <c r="I302" s="4">
        <v>34.841805000000001</v>
      </c>
      <c r="J302" s="4">
        <v>35.109059999999999</v>
      </c>
      <c r="K302" s="4">
        <v>34.703229999999998</v>
      </c>
      <c r="L302" s="4">
        <v>-13.4695975699928</v>
      </c>
    </row>
    <row r="303" spans="1:12" ht="15" customHeight="1" x14ac:dyDescent="0.2">
      <c r="A303" s="6">
        <v>45609</v>
      </c>
      <c r="B303" s="7">
        <v>34.822009999999999</v>
      </c>
      <c r="C303" s="8">
        <v>515917</v>
      </c>
      <c r="D303" s="7">
        <v>-0.17816499999999899</v>
      </c>
      <c r="E303" s="7">
        <v>-0.50904031194129995</v>
      </c>
      <c r="F303" s="7">
        <v>-0.50904454285095602</v>
      </c>
      <c r="G303" s="7">
        <v>35.081271999999998</v>
      </c>
      <c r="H303" s="7">
        <v>-12.726107187659901</v>
      </c>
      <c r="I303" s="7">
        <v>35.019973999999998</v>
      </c>
      <c r="J303" s="7">
        <v>35.198143000000002</v>
      </c>
      <c r="K303" s="7">
        <v>34.485469999999999</v>
      </c>
      <c r="L303" s="7">
        <v>-13.371089615843101</v>
      </c>
    </row>
    <row r="304" spans="1:12" ht="15" customHeight="1" x14ac:dyDescent="0.2">
      <c r="A304" s="3">
        <v>45608</v>
      </c>
      <c r="B304" s="4">
        <v>35.000174999999999</v>
      </c>
      <c r="C304" s="5">
        <v>302887.18</v>
      </c>
      <c r="D304" s="4">
        <v>-0.62359299999999895</v>
      </c>
      <c r="E304" s="4">
        <v>-1.75049702771475</v>
      </c>
      <c r="F304" s="4">
        <v>-1.7504945805121399</v>
      </c>
      <c r="G304" s="4">
        <v>35.260764999999999</v>
      </c>
      <c r="H304" s="4">
        <v>-12.279571131539599</v>
      </c>
      <c r="I304" s="4">
        <v>35.623767999999998</v>
      </c>
      <c r="J304" s="4">
        <v>35.900917</v>
      </c>
      <c r="K304" s="4">
        <v>34.871499999999997</v>
      </c>
      <c r="L304" s="4">
        <v>-12.9278573090752</v>
      </c>
    </row>
    <row r="305" spans="1:12" ht="15" customHeight="1" x14ac:dyDescent="0.2">
      <c r="A305" s="6">
        <v>45607</v>
      </c>
      <c r="B305" s="7">
        <v>35.623767999999998</v>
      </c>
      <c r="C305" s="8">
        <v>469069.24</v>
      </c>
      <c r="D305" s="7">
        <v>-0.425622000000004</v>
      </c>
      <c r="E305" s="7">
        <v>-1.1806635285645699</v>
      </c>
      <c r="F305" s="7">
        <v>-1.180652885045</v>
      </c>
      <c r="G305" s="7">
        <v>35.889000000000003</v>
      </c>
      <c r="H305" s="7">
        <v>-10.7166713013692</v>
      </c>
      <c r="I305" s="7">
        <v>36.227559999999997</v>
      </c>
      <c r="J305" s="7">
        <v>36.227559999999997</v>
      </c>
      <c r="K305" s="7">
        <v>35.544580000000003</v>
      </c>
      <c r="L305" s="7">
        <v>-11.3765056750602</v>
      </c>
    </row>
    <row r="306" spans="1:12" ht="15" customHeight="1" x14ac:dyDescent="0.2">
      <c r="A306" s="3">
        <v>45604</v>
      </c>
      <c r="B306" s="4">
        <v>36.049390000000002</v>
      </c>
      <c r="C306" s="5">
        <v>640018.80000000005</v>
      </c>
      <c r="D306" s="4">
        <v>-1.41544599999999</v>
      </c>
      <c r="E306" s="4">
        <v>-3.7780653837641101</v>
      </c>
      <c r="F306" s="4">
        <v>-3.77807211329741</v>
      </c>
      <c r="G306" s="4">
        <v>36.317787000000003</v>
      </c>
      <c r="H306" s="4">
        <v>-9.6499508393140196</v>
      </c>
      <c r="I306" s="4">
        <v>37.464835999999998</v>
      </c>
      <c r="J306" s="4">
        <v>37.464835999999998</v>
      </c>
      <c r="K306" s="4">
        <v>35.653460000000003</v>
      </c>
      <c r="L306" s="4">
        <v>-10.317658983110899</v>
      </c>
    </row>
    <row r="307" spans="1:12" ht="15" customHeight="1" x14ac:dyDescent="0.2">
      <c r="A307" s="6">
        <v>45603</v>
      </c>
      <c r="B307" s="7">
        <v>37.464835999999998</v>
      </c>
      <c r="C307" s="8">
        <v>1287676.3999999999</v>
      </c>
      <c r="D307" s="7">
        <v>1.2075800000000001</v>
      </c>
      <c r="E307" s="7">
        <v>3.3305885034432698</v>
      </c>
      <c r="F307" s="7">
        <v>3.3305889859675402</v>
      </c>
      <c r="G307" s="7">
        <v>37.743774000000002</v>
      </c>
      <c r="H307" s="7">
        <v>-6.1024330472057402</v>
      </c>
      <c r="I307" s="7">
        <v>36.277050000000003</v>
      </c>
      <c r="J307" s="7">
        <v>37.989445000000003</v>
      </c>
      <c r="K307" s="7">
        <v>35.871223000000001</v>
      </c>
      <c r="L307" s="7">
        <v>-6.7963647014880797</v>
      </c>
    </row>
    <row r="308" spans="1:12" ht="15" customHeight="1" x14ac:dyDescent="0.2">
      <c r="A308" s="3">
        <v>45602</v>
      </c>
      <c r="B308" s="4">
        <v>36.257255999999998</v>
      </c>
      <c r="C308" s="5">
        <v>572547.24</v>
      </c>
      <c r="D308" s="4">
        <v>0.53450799999999499</v>
      </c>
      <c r="E308" s="4">
        <v>1.4962678683061801</v>
      </c>
      <c r="F308" s="4">
        <v>1.49626621855585</v>
      </c>
      <c r="G308" s="4">
        <v>36.527203</v>
      </c>
      <c r="H308" s="4">
        <v>-9.1289734489506191</v>
      </c>
      <c r="I308" s="4">
        <v>35.514885</v>
      </c>
      <c r="J308" s="4">
        <v>36.583893000000003</v>
      </c>
      <c r="K308" s="4">
        <v>34.604244000000001</v>
      </c>
      <c r="L308" s="4">
        <v>-9.8005376255007999</v>
      </c>
    </row>
    <row r="309" spans="1:12" ht="15" customHeight="1" x14ac:dyDescent="0.2">
      <c r="A309" s="6">
        <v>45601</v>
      </c>
      <c r="B309" s="7">
        <v>35.722748000000003</v>
      </c>
      <c r="C309" s="8">
        <v>402079.56</v>
      </c>
      <c r="D309" s="7">
        <v>-0.71267199999999697</v>
      </c>
      <c r="E309" s="7">
        <v>-1.95598678428846</v>
      </c>
      <c r="F309" s="7">
        <v>-1.9559918985898399</v>
      </c>
      <c r="G309" s="7">
        <v>35.988715999999997</v>
      </c>
      <c r="H309" s="7">
        <v>-10.4686015194162</v>
      </c>
      <c r="I309" s="7">
        <v>36.623489999999997</v>
      </c>
      <c r="J309" s="7">
        <v>36.623489999999997</v>
      </c>
      <c r="K309" s="7">
        <v>35.069465999999998</v>
      </c>
      <c r="L309" s="7">
        <v>-11.130266886724201</v>
      </c>
    </row>
    <row r="310" spans="1:12" ht="15" customHeight="1" x14ac:dyDescent="0.2">
      <c r="A310" s="3">
        <v>45600</v>
      </c>
      <c r="B310" s="4">
        <v>36.435420000000001</v>
      </c>
      <c r="C310" s="5">
        <v>407240.05</v>
      </c>
      <c r="D310" s="4">
        <v>0.65328000000000197</v>
      </c>
      <c r="E310" s="4">
        <v>1.82571528701189</v>
      </c>
      <c r="F310" s="4">
        <v>1.8257211455107101</v>
      </c>
      <c r="G310" s="4">
        <v>36.706696000000001</v>
      </c>
      <c r="H310" s="4">
        <v>-8.6824373928302698</v>
      </c>
      <c r="I310" s="4">
        <v>35.960307999999998</v>
      </c>
      <c r="J310" s="4">
        <v>37.098602</v>
      </c>
      <c r="K310" s="4">
        <v>35.613869999999999</v>
      </c>
      <c r="L310" s="4">
        <v>-9.35730780649601</v>
      </c>
    </row>
    <row r="311" spans="1:12" ht="15" customHeight="1" x14ac:dyDescent="0.2">
      <c r="A311" s="6">
        <v>45597</v>
      </c>
      <c r="B311" s="7">
        <v>35.782139999999998</v>
      </c>
      <c r="C311" s="8">
        <v>552492.19999999995</v>
      </c>
      <c r="D311" s="7">
        <v>-3.9588000000001899E-2</v>
      </c>
      <c r="E311" s="7">
        <v>-0.11051393165623</v>
      </c>
      <c r="F311" s="7">
        <v>-0.110511867071416</v>
      </c>
      <c r="G311" s="7">
        <v>36.048549999999999</v>
      </c>
      <c r="H311" s="7">
        <v>-10.3197487040869</v>
      </c>
      <c r="I311" s="7">
        <v>35.633662999999999</v>
      </c>
      <c r="J311" s="7">
        <v>36.356236000000003</v>
      </c>
      <c r="K311" s="7">
        <v>35.544580000000003</v>
      </c>
      <c r="L311" s="7">
        <v>-10.9825136626703</v>
      </c>
    </row>
    <row r="312" spans="1:12" ht="15" customHeight="1" x14ac:dyDescent="0.2">
      <c r="A312" s="3">
        <v>45596</v>
      </c>
      <c r="B312" s="4">
        <v>35.821728</v>
      </c>
      <c r="C312" s="5">
        <v>514131.84</v>
      </c>
      <c r="D312" s="4">
        <v>-3.9596000000002997E-2</v>
      </c>
      <c r="E312" s="4">
        <v>-0.110414216719945</v>
      </c>
      <c r="F312" s="4">
        <v>-0.110414756865417</v>
      </c>
      <c r="G312" s="4">
        <v>36.088431999999997</v>
      </c>
      <c r="H312" s="4">
        <v>-10.2205317374631</v>
      </c>
      <c r="I312" s="4">
        <v>35.881120000000003</v>
      </c>
      <c r="J312" s="4">
        <v>36.128574</v>
      </c>
      <c r="K312" s="4">
        <v>35.059562999999997</v>
      </c>
      <c r="L312" s="4">
        <v>-10.8840280983882</v>
      </c>
    </row>
    <row r="313" spans="1:12" ht="15" customHeight="1" x14ac:dyDescent="0.2">
      <c r="A313" s="6">
        <v>45595</v>
      </c>
      <c r="B313" s="7">
        <v>35.861324000000003</v>
      </c>
      <c r="C313" s="8">
        <v>507970.1</v>
      </c>
      <c r="D313" s="7">
        <v>7.9184000000005E-2</v>
      </c>
      <c r="E313" s="7">
        <v>0.221294757664036</v>
      </c>
      <c r="F313" s="7">
        <v>0.22129322816035699</v>
      </c>
      <c r="G313" s="7">
        <v>36.128323000000002</v>
      </c>
      <c r="H313" s="7">
        <v>-10.1212923809718</v>
      </c>
      <c r="I313" s="7">
        <v>35.871223000000001</v>
      </c>
      <c r="J313" s="7">
        <v>36.128574</v>
      </c>
      <c r="K313" s="7">
        <v>35.356513999999997</v>
      </c>
      <c r="L313" s="7">
        <v>-10.7855226320015</v>
      </c>
    </row>
    <row r="314" spans="1:12" ht="15" customHeight="1" x14ac:dyDescent="0.2">
      <c r="A314" s="3">
        <v>45594</v>
      </c>
      <c r="B314" s="4">
        <v>35.782139999999998</v>
      </c>
      <c r="C314" s="5">
        <v>946270.26</v>
      </c>
      <c r="D314" s="4">
        <v>-0.44541999999999798</v>
      </c>
      <c r="E314" s="4">
        <v>-1.2295059341562</v>
      </c>
      <c r="F314" s="4">
        <v>-1.22949970743029</v>
      </c>
      <c r="G314" s="4">
        <v>36.048549999999999</v>
      </c>
      <c r="H314" s="4">
        <v>-10.3197487040869</v>
      </c>
      <c r="I314" s="4">
        <v>36.227559999999997</v>
      </c>
      <c r="J314" s="4">
        <v>36.564100000000003</v>
      </c>
      <c r="K314" s="4">
        <v>35.366410000000002</v>
      </c>
      <c r="L314" s="4">
        <v>-10.9825136626703</v>
      </c>
    </row>
    <row r="315" spans="1:12" ht="15" customHeight="1" x14ac:dyDescent="0.2">
      <c r="A315" s="6">
        <v>45593</v>
      </c>
      <c r="B315" s="7">
        <v>36.227559999999997</v>
      </c>
      <c r="C315" s="8">
        <v>419017.94</v>
      </c>
      <c r="D315" s="7"/>
      <c r="E315" s="7"/>
      <c r="F315" s="7"/>
      <c r="G315" s="7">
        <v>36.497284000000001</v>
      </c>
      <c r="H315" s="7">
        <v>-9.2034048321414108</v>
      </c>
      <c r="I315" s="7">
        <v>36.069183000000002</v>
      </c>
      <c r="J315" s="7">
        <v>36.554200000000002</v>
      </c>
      <c r="K315" s="7">
        <v>35.841526000000002</v>
      </c>
      <c r="L315" s="7">
        <v>-9.8744142375277395</v>
      </c>
    </row>
    <row r="316" spans="1:12" ht="15" customHeight="1" x14ac:dyDescent="0.2">
      <c r="A316" s="3">
        <v>45590</v>
      </c>
      <c r="B316" s="4">
        <v>36.227559999999997</v>
      </c>
      <c r="C316" s="5">
        <v>589442.19999999995</v>
      </c>
      <c r="D316" s="4">
        <v>-0.28704600000000302</v>
      </c>
      <c r="E316" s="4">
        <v>-0.78611282290709195</v>
      </c>
      <c r="F316" s="4">
        <v>-0.78612054921279795</v>
      </c>
      <c r="G316" s="4">
        <v>36.497284000000001</v>
      </c>
      <c r="H316" s="4">
        <v>-9.2034048321414108</v>
      </c>
      <c r="I316" s="4">
        <v>36.811554000000001</v>
      </c>
      <c r="J316" s="4">
        <v>36.811554000000001</v>
      </c>
      <c r="K316" s="4">
        <v>35.772239999999996</v>
      </c>
      <c r="L316" s="4">
        <v>-9.8744142375277395</v>
      </c>
    </row>
    <row r="317" spans="1:12" ht="15" customHeight="1" x14ac:dyDescent="0.2">
      <c r="A317" s="6">
        <v>45589</v>
      </c>
      <c r="B317" s="7">
        <v>36.514606000000001</v>
      </c>
      <c r="C317" s="8">
        <v>660299.19999999995</v>
      </c>
      <c r="D317" s="7">
        <v>-1.9798999999999001E-2</v>
      </c>
      <c r="E317" s="7">
        <v>-5.4192753378623497E-2</v>
      </c>
      <c r="F317" s="7">
        <v>-5.4191638762102201E-2</v>
      </c>
      <c r="G317" s="7">
        <v>36.786470000000001</v>
      </c>
      <c r="H317" s="7">
        <v>-8.4839785819521492</v>
      </c>
      <c r="I317" s="7">
        <v>36.613590000000002</v>
      </c>
      <c r="J317" s="7">
        <v>36.910538000000003</v>
      </c>
      <c r="K317" s="7">
        <v>36.336436999999997</v>
      </c>
      <c r="L317" s="7">
        <v>-9.1603118003010806</v>
      </c>
    </row>
    <row r="318" spans="1:12" ht="15" customHeight="1" x14ac:dyDescent="0.2">
      <c r="A318" s="3">
        <v>45588</v>
      </c>
      <c r="B318" s="4">
        <v>36.534405</v>
      </c>
      <c r="C318" s="5">
        <v>800243.19999999995</v>
      </c>
      <c r="D318" s="4">
        <v>-0.36623500000000297</v>
      </c>
      <c r="E318" s="4">
        <v>-0.99248956115667297</v>
      </c>
      <c r="F318" s="4">
        <v>-0.99248758122882896</v>
      </c>
      <c r="G318" s="4">
        <v>36.806415999999999</v>
      </c>
      <c r="H318" s="4">
        <v>-8.4343576598249701</v>
      </c>
      <c r="I318" s="4">
        <v>36.900640000000003</v>
      </c>
      <c r="J318" s="4">
        <v>37.217379999999999</v>
      </c>
      <c r="K318" s="4">
        <v>36.376033999999997</v>
      </c>
      <c r="L318" s="4">
        <v>-9.1110565793446892</v>
      </c>
    </row>
    <row r="319" spans="1:12" ht="15" customHeight="1" x14ac:dyDescent="0.2">
      <c r="A319" s="6">
        <v>45587</v>
      </c>
      <c r="B319" s="7">
        <v>36.900640000000003</v>
      </c>
      <c r="C319" s="8">
        <v>466247.52999999898</v>
      </c>
      <c r="D319" s="7">
        <v>-0.34643799999999902</v>
      </c>
      <c r="E319" s="7">
        <v>-0.93010785973600596</v>
      </c>
      <c r="F319" s="7">
        <v>-0.93010959936862203</v>
      </c>
      <c r="G319" s="7">
        <v>37.175376999999997</v>
      </c>
      <c r="H319" s="7">
        <v>-7.51647011099453</v>
      </c>
      <c r="I319" s="7">
        <v>37.217379999999999</v>
      </c>
      <c r="J319" s="7">
        <v>37.415348000000002</v>
      </c>
      <c r="K319" s="7">
        <v>36.118679999999998</v>
      </c>
      <c r="L319" s="7">
        <v>-8.1999506726339</v>
      </c>
    </row>
    <row r="320" spans="1:12" ht="15" customHeight="1" x14ac:dyDescent="0.2">
      <c r="A320" s="3">
        <v>45586</v>
      </c>
      <c r="B320" s="4">
        <v>37.247078000000002</v>
      </c>
      <c r="C320" s="5">
        <v>171197.11</v>
      </c>
      <c r="D320" s="4">
        <v>-0.24745599999999901</v>
      </c>
      <c r="E320" s="4">
        <v>-0.65997886518604998</v>
      </c>
      <c r="F320" s="4">
        <v>-0.65997783166185098</v>
      </c>
      <c r="G320" s="4">
        <v>37.524394999999998</v>
      </c>
      <c r="H320" s="4">
        <v>-6.6481960210020903</v>
      </c>
      <c r="I320" s="4">
        <v>37.672702999999998</v>
      </c>
      <c r="J320" s="4">
        <v>37.672702999999998</v>
      </c>
      <c r="K320" s="4">
        <v>36.762062</v>
      </c>
      <c r="L320" s="4">
        <v>-7.3380950113533903</v>
      </c>
    </row>
    <row r="321" spans="1:12" ht="15" customHeight="1" x14ac:dyDescent="0.2">
      <c r="A321" s="6">
        <v>45583</v>
      </c>
      <c r="B321" s="7">
        <v>37.494534000000002</v>
      </c>
      <c r="C321" s="8">
        <v>535073.9</v>
      </c>
      <c r="D321" s="7">
        <v>7.9185999999999895E-2</v>
      </c>
      <c r="E321" s="7">
        <v>0.21164042093100299</v>
      </c>
      <c r="F321" s="7">
        <v>0.21164423457620199</v>
      </c>
      <c r="G321" s="7">
        <v>37.773693000000002</v>
      </c>
      <c r="H321" s="7">
        <v>-6.0280016640149503</v>
      </c>
      <c r="I321" s="7">
        <v>37.524227000000003</v>
      </c>
      <c r="J321" s="7">
        <v>37.999344000000001</v>
      </c>
      <c r="K321" s="7">
        <v>37.217379999999999</v>
      </c>
      <c r="L321" s="7">
        <v>-6.7224831139350103</v>
      </c>
    </row>
    <row r="322" spans="1:12" ht="15" customHeight="1" x14ac:dyDescent="0.2">
      <c r="A322" s="3">
        <v>45582</v>
      </c>
      <c r="B322" s="4">
        <v>37.415348000000002</v>
      </c>
      <c r="C322" s="5">
        <v>396400.8</v>
      </c>
      <c r="D322" s="4">
        <v>-0.92053599999999802</v>
      </c>
      <c r="E322" s="4">
        <v>-2.4012384845488199</v>
      </c>
      <c r="F322" s="4">
        <v>-2.4012418844344099</v>
      </c>
      <c r="G322" s="4">
        <v>37.693916000000002</v>
      </c>
      <c r="H322" s="4">
        <v>-6.2264679381822603</v>
      </c>
      <c r="I322" s="4">
        <v>38.365577999999999</v>
      </c>
      <c r="J322" s="4">
        <v>38.41507</v>
      </c>
      <c r="K322" s="4">
        <v>37.256973000000002</v>
      </c>
      <c r="L322" s="4">
        <v>-6.9194791201299397</v>
      </c>
    </row>
    <row r="323" spans="1:12" ht="15" customHeight="1" x14ac:dyDescent="0.2">
      <c r="A323" s="6">
        <v>45581</v>
      </c>
      <c r="B323" s="7">
        <v>38.335884</v>
      </c>
      <c r="C323" s="8">
        <v>808479.06</v>
      </c>
      <c r="D323" s="7">
        <v>1.01952</v>
      </c>
      <c r="E323" s="7">
        <v>2.73209897941826</v>
      </c>
      <c r="F323" s="7">
        <v>2.7320999230838701</v>
      </c>
      <c r="G323" s="7">
        <v>38.621307000000002</v>
      </c>
      <c r="H323" s="7">
        <v>-3.9193388600482399</v>
      </c>
      <c r="I323" s="7">
        <v>37.464835999999998</v>
      </c>
      <c r="J323" s="7">
        <v>38.622931999999999</v>
      </c>
      <c r="K323" s="7">
        <v>37.029316000000001</v>
      </c>
      <c r="L323" s="7">
        <v>-4.6294036578177398</v>
      </c>
    </row>
    <row r="324" spans="1:12" ht="15" customHeight="1" x14ac:dyDescent="0.2">
      <c r="A324" s="3">
        <v>45580</v>
      </c>
      <c r="B324" s="4">
        <v>37.316364</v>
      </c>
      <c r="C324" s="5">
        <v>591083.86</v>
      </c>
      <c r="D324" s="4">
        <v>-0.38603199999999999</v>
      </c>
      <c r="E324" s="4">
        <v>-1.02389248683293</v>
      </c>
      <c r="F324" s="4">
        <v>-1.0238999681569001</v>
      </c>
      <c r="G324" s="4">
        <v>37.594195999999997</v>
      </c>
      <c r="H324" s="4">
        <v>-6.4745476711875796</v>
      </c>
      <c r="I324" s="4">
        <v>37.573720000000002</v>
      </c>
      <c r="J324" s="4">
        <v>37.890459999999997</v>
      </c>
      <c r="K324" s="4">
        <v>37.029316000000001</v>
      </c>
      <c r="L324" s="4">
        <v>-7.1657278595182001</v>
      </c>
    </row>
    <row r="325" spans="1:12" ht="15" customHeight="1" x14ac:dyDescent="0.2">
      <c r="A325" s="6">
        <v>45579</v>
      </c>
      <c r="B325" s="7">
        <v>37.702396</v>
      </c>
      <c r="C325" s="8">
        <v>496844.9</v>
      </c>
      <c r="D325" s="7">
        <v>-7.9183999999997895E-2</v>
      </c>
      <c r="E325" s="7">
        <v>-0.209583611908226</v>
      </c>
      <c r="F325" s="7">
        <v>-0.209582155085585</v>
      </c>
      <c r="G325" s="7">
        <v>37.983105000000002</v>
      </c>
      <c r="H325" s="7">
        <v>-5.5070342247038004</v>
      </c>
      <c r="I325" s="7">
        <v>37.702396</v>
      </c>
      <c r="J325" s="7">
        <v>38.058734999999999</v>
      </c>
      <c r="K325" s="7">
        <v>37.524227000000003</v>
      </c>
      <c r="L325" s="7">
        <v>-6.2053717073771599</v>
      </c>
    </row>
    <row r="326" spans="1:12" ht="15" customHeight="1" x14ac:dyDescent="0.2">
      <c r="A326" s="3">
        <v>45576</v>
      </c>
      <c r="B326" s="4">
        <v>37.781579999999998</v>
      </c>
      <c r="C326" s="5">
        <v>581024.5</v>
      </c>
      <c r="D326" s="4">
        <v>0.18806699999999599</v>
      </c>
      <c r="E326" s="4">
        <v>0.50026450042057702</v>
      </c>
      <c r="F326" s="4">
        <v>0.50026654584309704</v>
      </c>
      <c r="G326" s="4">
        <v>38.062877999999998</v>
      </c>
      <c r="H326" s="4">
        <v>-5.3085779015887704</v>
      </c>
      <c r="I326" s="4">
        <v>37.22728</v>
      </c>
      <c r="J326" s="4">
        <v>38.058734999999999</v>
      </c>
      <c r="K326" s="4">
        <v>37.22728</v>
      </c>
      <c r="L326" s="4">
        <v>-6.0083806767083701</v>
      </c>
    </row>
    <row r="327" spans="1:12" ht="15" customHeight="1" x14ac:dyDescent="0.2">
      <c r="A327" s="6">
        <v>45575</v>
      </c>
      <c r="B327" s="7">
        <v>37.593513000000002</v>
      </c>
      <c r="C327" s="8">
        <v>536504.5</v>
      </c>
      <c r="D327" s="7">
        <v>3.95930000000035E-2</v>
      </c>
      <c r="E327" s="7">
        <v>0.105429739425355</v>
      </c>
      <c r="F327" s="7">
        <v>0.10542766530095</v>
      </c>
      <c r="G327" s="7">
        <v>37.87341</v>
      </c>
      <c r="H327" s="7">
        <v>-5.7799293942988497</v>
      </c>
      <c r="I327" s="7">
        <v>37.415348000000002</v>
      </c>
      <c r="J327" s="7">
        <v>38.108223000000002</v>
      </c>
      <c r="K327" s="7">
        <v>36.732370000000003</v>
      </c>
      <c r="L327" s="7">
        <v>-6.4762468133620796</v>
      </c>
    </row>
    <row r="328" spans="1:12" ht="15" customHeight="1" x14ac:dyDescent="0.2">
      <c r="A328" s="3">
        <v>45574</v>
      </c>
      <c r="B328" s="4">
        <v>37.553919999999998</v>
      </c>
      <c r="C328" s="5">
        <v>1099178.2</v>
      </c>
      <c r="D328" s="4">
        <v>-4.94960000000048E-2</v>
      </c>
      <c r="E328" s="4">
        <v>-0.13162633947938401</v>
      </c>
      <c r="F328" s="4">
        <v>-0.13161970610597801</v>
      </c>
      <c r="G328" s="4">
        <v>37.833523</v>
      </c>
      <c r="H328" s="4">
        <v>-5.8791587997379002</v>
      </c>
      <c r="I328" s="4">
        <v>37.930053999999998</v>
      </c>
      <c r="J328" s="4">
        <v>37.930053999999998</v>
      </c>
      <c r="K328" s="4">
        <v>36.385930000000002</v>
      </c>
      <c r="L328" s="4">
        <v>-6.5747448164595497</v>
      </c>
    </row>
    <row r="329" spans="1:12" ht="15" customHeight="1" x14ac:dyDescent="0.2">
      <c r="A329" s="6">
        <v>45573</v>
      </c>
      <c r="B329" s="7">
        <v>37.603416000000003</v>
      </c>
      <c r="C329" s="8">
        <v>404936.6</v>
      </c>
      <c r="D329" s="7">
        <v>-0.17816399999999499</v>
      </c>
      <c r="E329" s="7">
        <v>-0.47156312679351697</v>
      </c>
      <c r="F329" s="7">
        <v>-0.47156970106149099</v>
      </c>
      <c r="G329" s="7">
        <v>37.883384999999997</v>
      </c>
      <c r="H329" s="7">
        <v>-5.7551139577091197</v>
      </c>
      <c r="I329" s="7">
        <v>37.999344000000001</v>
      </c>
      <c r="J329" s="7">
        <v>38.296287999999997</v>
      </c>
      <c r="K329" s="7">
        <v>37.336162999999999</v>
      </c>
      <c r="L329" s="7">
        <v>-6.4516104957131502</v>
      </c>
    </row>
    <row r="330" spans="1:12" ht="15" customHeight="1" x14ac:dyDescent="0.2">
      <c r="A330" s="3">
        <v>45572</v>
      </c>
      <c r="B330" s="4">
        <v>37.781579999999998</v>
      </c>
      <c r="C330" s="5">
        <v>700102.23</v>
      </c>
      <c r="D330" s="4">
        <v>-0.40583200000000302</v>
      </c>
      <c r="E330" s="4">
        <v>-1.06273763720883</v>
      </c>
      <c r="F330" s="4">
        <v>-1.0627335968515099</v>
      </c>
      <c r="G330" s="4">
        <v>38.062877999999998</v>
      </c>
      <c r="H330" s="4">
        <v>-5.3085779015887704</v>
      </c>
      <c r="I330" s="4">
        <v>38.167614</v>
      </c>
      <c r="J330" s="4">
        <v>38.484360000000002</v>
      </c>
      <c r="K330" s="4">
        <v>37.573720000000002</v>
      </c>
      <c r="L330" s="4">
        <v>-6.0083806767083701</v>
      </c>
    </row>
    <row r="331" spans="1:12" ht="15" customHeight="1" x14ac:dyDescent="0.2">
      <c r="A331" s="6">
        <v>45569</v>
      </c>
      <c r="B331" s="7">
        <v>38.187412000000002</v>
      </c>
      <c r="C331" s="8">
        <v>609262.89999999898</v>
      </c>
      <c r="D331" s="7">
        <v>0.18806800000000101</v>
      </c>
      <c r="E331" s="7">
        <v>0.49492433343059</v>
      </c>
      <c r="F331" s="7">
        <v>0.49492898277165798</v>
      </c>
      <c r="G331" s="7">
        <v>38.471730000000001</v>
      </c>
      <c r="H331" s="7">
        <v>-4.2914509962669998</v>
      </c>
      <c r="I331" s="7">
        <v>38.306190000000001</v>
      </c>
      <c r="J331" s="7">
        <v>38.573439999999998</v>
      </c>
      <c r="K331" s="7">
        <v>37.801375999999998</v>
      </c>
      <c r="L331" s="7">
        <v>-4.9987668158478504</v>
      </c>
    </row>
    <row r="332" spans="1:12" ht="15" customHeight="1" x14ac:dyDescent="0.2">
      <c r="A332" s="3">
        <v>45568</v>
      </c>
      <c r="B332" s="4">
        <v>37.999344000000001</v>
      </c>
      <c r="C332" s="5">
        <v>822063.3</v>
      </c>
      <c r="D332" s="4">
        <v>-0.36623399999999801</v>
      </c>
      <c r="E332" s="4">
        <v>-0.95459007550987496</v>
      </c>
      <c r="F332" s="4">
        <v>-0.95459336318007804</v>
      </c>
      <c r="G332" s="4">
        <v>38.282260000000001</v>
      </c>
      <c r="H332" s="4">
        <v>-4.7628074645032203</v>
      </c>
      <c r="I332" s="4">
        <v>38.484360000000002</v>
      </c>
      <c r="J332" s="4">
        <v>38.791203000000003</v>
      </c>
      <c r="K332" s="4">
        <v>37.623207000000001</v>
      </c>
      <c r="L332" s="4">
        <v>-5.46663544026464</v>
      </c>
    </row>
    <row r="333" spans="1:12" ht="15" customHeight="1" x14ac:dyDescent="0.2">
      <c r="A333" s="6">
        <v>45567</v>
      </c>
      <c r="B333" s="7">
        <v>38.365577999999999</v>
      </c>
      <c r="C333" s="8">
        <v>489750.73</v>
      </c>
      <c r="D333" s="7">
        <v>-0.55430199999999896</v>
      </c>
      <c r="E333" s="7">
        <v>-1.4242130242950399</v>
      </c>
      <c r="F333" s="7">
        <v>-1.42421564975889</v>
      </c>
      <c r="G333" s="7">
        <v>38.651221999999997</v>
      </c>
      <c r="H333" s="7">
        <v>-3.84491742790973</v>
      </c>
      <c r="I333" s="7">
        <v>38.771403999999997</v>
      </c>
      <c r="J333" s="7">
        <v>39.602856000000003</v>
      </c>
      <c r="K333" s="7">
        <v>38.207203</v>
      </c>
      <c r="L333" s="7">
        <v>-4.5555320213169397</v>
      </c>
    </row>
    <row r="334" spans="1:12" ht="15" customHeight="1" x14ac:dyDescent="0.2">
      <c r="A334" s="3">
        <v>45565</v>
      </c>
      <c r="B334" s="4">
        <v>38.919879999999999</v>
      </c>
      <c r="C334" s="5">
        <v>475646.18</v>
      </c>
      <c r="D334" s="4">
        <v>-0.17817000000000099</v>
      </c>
      <c r="E334" s="4">
        <v>-0.45570047611070902</v>
      </c>
      <c r="F334" s="4">
        <v>-0.45570417234188598</v>
      </c>
      <c r="G334" s="4">
        <v>39.209651999999998</v>
      </c>
      <c r="H334" s="4">
        <v>-2.45567589860614</v>
      </c>
      <c r="I334" s="4">
        <v>38.909984999999999</v>
      </c>
      <c r="J334" s="4">
        <v>39.296013000000002</v>
      </c>
      <c r="K334" s="4">
        <v>37.682600000000001</v>
      </c>
      <c r="L334" s="4">
        <v>-3.1765599779524401</v>
      </c>
    </row>
    <row r="335" spans="1:12" ht="15" customHeight="1" x14ac:dyDescent="0.2">
      <c r="A335" s="6">
        <v>45562</v>
      </c>
      <c r="B335" s="7">
        <v>39.098050000000001</v>
      </c>
      <c r="C335" s="8">
        <v>415216.25</v>
      </c>
      <c r="D335" s="7">
        <v>-0.49490999999999702</v>
      </c>
      <c r="E335" s="7">
        <v>-1.24999494859691</v>
      </c>
      <c r="F335" s="7">
        <v>-1.2499954559978299</v>
      </c>
      <c r="G335" s="7">
        <v>39.389150000000001</v>
      </c>
      <c r="H335" s="7">
        <v>-2.0091274036704498</v>
      </c>
      <c r="I335" s="7">
        <v>39.602856000000003</v>
      </c>
      <c r="J335" s="7">
        <v>39.790923999999997</v>
      </c>
      <c r="K335" s="7">
        <v>38.890186</v>
      </c>
      <c r="L335" s="7">
        <v>-2.7333152323692498</v>
      </c>
    </row>
    <row r="336" spans="1:12" ht="15" customHeight="1" x14ac:dyDescent="0.2">
      <c r="A336" s="3">
        <v>45561</v>
      </c>
      <c r="B336" s="4">
        <v>39.592959999999998</v>
      </c>
      <c r="C336" s="5">
        <v>632585.19999999995</v>
      </c>
      <c r="D336" s="4">
        <v>0.80175699999999495</v>
      </c>
      <c r="E336" s="4">
        <v>2.0668526315102702</v>
      </c>
      <c r="F336" s="4">
        <v>2.0668568286446898</v>
      </c>
      <c r="G336" s="4">
        <v>39.887745000000002</v>
      </c>
      <c r="H336" s="4">
        <v>-0.76874117745924397</v>
      </c>
      <c r="I336" s="4">
        <v>39.03866</v>
      </c>
      <c r="J336" s="4">
        <v>40.107669999999999</v>
      </c>
      <c r="K336" s="4">
        <v>38.870387999999998</v>
      </c>
      <c r="L336" s="4">
        <v>-1.5020964130586201</v>
      </c>
    </row>
    <row r="337" spans="1:12" ht="15" customHeight="1" x14ac:dyDescent="0.2">
      <c r="A337" s="6">
        <v>45560</v>
      </c>
      <c r="B337" s="7">
        <v>38.791203000000003</v>
      </c>
      <c r="C337" s="8">
        <v>583364.299999999</v>
      </c>
      <c r="D337" s="7">
        <v>-1.0690109999999899</v>
      </c>
      <c r="E337" s="7">
        <v>-2.6818998011400401</v>
      </c>
      <c r="F337" s="7">
        <v>-2.6818969929665699</v>
      </c>
      <c r="G337" s="7">
        <v>39.080016999999998</v>
      </c>
      <c r="H337" s="7">
        <v>-2.7781770637499701</v>
      </c>
      <c r="I337" s="7">
        <v>39.701839999999997</v>
      </c>
      <c r="J337" s="7">
        <v>40.18685</v>
      </c>
      <c r="K337" s="7">
        <v>38.622931999999999</v>
      </c>
      <c r="L337" s="7">
        <v>-3.4966778660784201</v>
      </c>
    </row>
    <row r="338" spans="1:12" ht="15" customHeight="1" x14ac:dyDescent="0.2">
      <c r="A338" s="3">
        <v>45559</v>
      </c>
      <c r="B338" s="4">
        <v>39.860213999999999</v>
      </c>
      <c r="C338" s="5">
        <v>501484.1</v>
      </c>
      <c r="D338" s="4">
        <v>0.59389899999999995</v>
      </c>
      <c r="E338" s="4">
        <v>1.51248977654256</v>
      </c>
      <c r="F338" s="4">
        <v>1.5124878073492201</v>
      </c>
      <c r="G338" s="4">
        <v>40.156986000000003</v>
      </c>
      <c r="H338" s="4">
        <v>-9.8933361634113898E-2</v>
      </c>
      <c r="I338" s="4">
        <v>39.296013000000002</v>
      </c>
      <c r="J338" s="4">
        <v>40.275936000000002</v>
      </c>
      <c r="K338" s="4">
        <v>39.137639999999998</v>
      </c>
      <c r="L338" s="4">
        <v>-0.83723178244690899</v>
      </c>
    </row>
    <row r="339" spans="1:12" ht="15" customHeight="1" x14ac:dyDescent="0.2">
      <c r="A339" s="6">
        <v>45558</v>
      </c>
      <c r="B339" s="7">
        <v>39.266314999999999</v>
      </c>
      <c r="C339" s="8">
        <v>813216.3</v>
      </c>
      <c r="D339" s="7">
        <v>-1.2471810000000001</v>
      </c>
      <c r="E339" s="7">
        <v>-3.0784334188291198</v>
      </c>
      <c r="F339" s="7">
        <v>-3.07843179338485</v>
      </c>
      <c r="G339" s="7">
        <v>39.558666000000002</v>
      </c>
      <c r="H339" s="7">
        <v>-1.5874117596659501</v>
      </c>
      <c r="I339" s="7">
        <v>39.602856000000003</v>
      </c>
      <c r="J339" s="7">
        <v>40.523389999999999</v>
      </c>
      <c r="K339" s="7">
        <v>38.622931999999999</v>
      </c>
      <c r="L339" s="7">
        <v>-2.3147117799611299</v>
      </c>
    </row>
    <row r="340" spans="1:12" ht="15" customHeight="1" x14ac:dyDescent="0.2">
      <c r="A340" s="3">
        <v>45555</v>
      </c>
      <c r="B340" s="4">
        <v>40.513496000000004</v>
      </c>
      <c r="C340" s="5">
        <v>15996359</v>
      </c>
      <c r="D340" s="4">
        <v>1.4946360000000001</v>
      </c>
      <c r="E340" s="4">
        <v>3.8305475864748701</v>
      </c>
      <c r="F340" s="4">
        <v>3.8305421837083502</v>
      </c>
      <c r="G340" s="4">
        <v>40.815131999999998</v>
      </c>
      <c r="H340" s="4">
        <v>1.5383779496224901</v>
      </c>
      <c r="I340" s="4">
        <v>38.820900000000002</v>
      </c>
      <c r="J340" s="4">
        <v>42.176400000000001</v>
      </c>
      <c r="K340" s="4">
        <v>38.613033000000001</v>
      </c>
      <c r="L340" s="4">
        <v>0.78797904925359097</v>
      </c>
    </row>
    <row r="341" spans="1:12" ht="15" customHeight="1" x14ac:dyDescent="0.2">
      <c r="A341" s="6">
        <v>45554</v>
      </c>
      <c r="B341" s="7">
        <v>39.018859999999997</v>
      </c>
      <c r="C341" s="8">
        <v>723497.3</v>
      </c>
      <c r="D341" s="7">
        <v>-0.34644000000000102</v>
      </c>
      <c r="E341" s="7">
        <v>-0.88006442221957304</v>
      </c>
      <c r="F341" s="7">
        <v>-0.88005598614123703</v>
      </c>
      <c r="G341" s="7">
        <v>39.309370000000001</v>
      </c>
      <c r="H341" s="7">
        <v>-2.2076011411269598</v>
      </c>
      <c r="I341" s="7">
        <v>39.216827000000002</v>
      </c>
      <c r="J341" s="7">
        <v>39.474181999999999</v>
      </c>
      <c r="K341" s="7">
        <v>38.514052999999997</v>
      </c>
      <c r="L341" s="7">
        <v>-2.93032118961646</v>
      </c>
    </row>
    <row r="342" spans="1:12" ht="15" customHeight="1" x14ac:dyDescent="0.2">
      <c r="A342" s="3">
        <v>45553</v>
      </c>
      <c r="B342" s="4">
        <v>39.365299999999998</v>
      </c>
      <c r="C342" s="5">
        <v>745318.36</v>
      </c>
      <c r="D342" s="4">
        <v>-0.26725300000000302</v>
      </c>
      <c r="E342" s="4">
        <v>-0.67432698569784799</v>
      </c>
      <c r="F342" s="4">
        <v>-0.67433003160969296</v>
      </c>
      <c r="G342" s="4">
        <v>39.658386</v>
      </c>
      <c r="H342" s="4">
        <v>-1.3393320266606501</v>
      </c>
      <c r="I342" s="4">
        <v>39.632553000000001</v>
      </c>
      <c r="J342" s="4">
        <v>40.572887000000001</v>
      </c>
      <c r="K342" s="4">
        <v>39.048557000000002</v>
      </c>
      <c r="L342" s="4">
        <v>-2.0684605528098099</v>
      </c>
    </row>
    <row r="343" spans="1:12" ht="15" customHeight="1" x14ac:dyDescent="0.2">
      <c r="A343" s="6">
        <v>45552</v>
      </c>
      <c r="B343" s="7">
        <v>39.632553000000001</v>
      </c>
      <c r="C343" s="8">
        <v>1104040.8</v>
      </c>
      <c r="D343" s="7">
        <v>1.395653</v>
      </c>
      <c r="E343" s="7">
        <v>3.6500160839398599</v>
      </c>
      <c r="F343" s="7">
        <v>3.6500131731332899</v>
      </c>
      <c r="G343" s="7">
        <v>39.927630000000001</v>
      </c>
      <c r="H343" s="7">
        <v>-0.66951674754632595</v>
      </c>
      <c r="I343" s="7">
        <v>38.137917000000002</v>
      </c>
      <c r="J343" s="7">
        <v>40.335326999999999</v>
      </c>
      <c r="K343" s="7">
        <v>38.108223000000002</v>
      </c>
      <c r="L343" s="7">
        <v>-1.40359840996115</v>
      </c>
    </row>
    <row r="344" spans="1:12" ht="15" customHeight="1" x14ac:dyDescent="0.2">
      <c r="A344" s="3">
        <v>45548</v>
      </c>
      <c r="B344" s="4">
        <v>38.236899999999999</v>
      </c>
      <c r="C344" s="5">
        <v>772889.95</v>
      </c>
      <c r="D344" s="4">
        <v>-0.56419999999999904</v>
      </c>
      <c r="E344" s="4">
        <v>-1.4540824873521501</v>
      </c>
      <c r="F344" s="4">
        <v>-1.45408837403131</v>
      </c>
      <c r="G344" s="4">
        <v>38.521586999999997</v>
      </c>
      <c r="H344" s="4">
        <v>-4.1674185930535597</v>
      </c>
      <c r="I344" s="4">
        <v>38.939673999999997</v>
      </c>
      <c r="J344" s="4">
        <v>39.385097999999999</v>
      </c>
      <c r="K344" s="4">
        <v>37.959747</v>
      </c>
      <c r="L344" s="4">
        <v>-4.8756523972060002</v>
      </c>
    </row>
    <row r="345" spans="1:12" ht="15" customHeight="1" x14ac:dyDescent="0.2">
      <c r="A345" s="6">
        <v>45547</v>
      </c>
      <c r="B345" s="7">
        <v>38.801099999999998</v>
      </c>
      <c r="C345" s="8">
        <v>1125130.3999999999</v>
      </c>
      <c r="D345" s="7">
        <v>0.67307999999999801</v>
      </c>
      <c r="E345" s="7">
        <v>1.76531590153383</v>
      </c>
      <c r="F345" s="7">
        <v>1.76532290934037</v>
      </c>
      <c r="G345" s="7">
        <v>39.08999</v>
      </c>
      <c r="H345" s="7">
        <v>-2.7533666026863699</v>
      </c>
      <c r="I345" s="7">
        <v>38.345782999999997</v>
      </c>
      <c r="J345" s="7">
        <v>39.493980000000001</v>
      </c>
      <c r="K345" s="7">
        <v>38.345782999999997</v>
      </c>
      <c r="L345" s="7">
        <v>-3.4720564750078999</v>
      </c>
    </row>
    <row r="346" spans="1:12" ht="15" customHeight="1" x14ac:dyDescent="0.2">
      <c r="A346" s="3">
        <v>45546</v>
      </c>
      <c r="B346" s="4">
        <v>38.128019999999999</v>
      </c>
      <c r="C346" s="5">
        <v>915456.67</v>
      </c>
      <c r="D346" s="4">
        <v>-0.197965000000003</v>
      </c>
      <c r="E346" s="4">
        <v>-0.51652945123263905</v>
      </c>
      <c r="F346" s="4">
        <v>-0.51653224327695701</v>
      </c>
      <c r="G346" s="4">
        <v>38.411895999999999</v>
      </c>
      <c r="H346" s="4">
        <v>-4.44030381159632</v>
      </c>
      <c r="I346" s="4">
        <v>38.128019999999999</v>
      </c>
      <c r="J346" s="4">
        <v>38.603133999999997</v>
      </c>
      <c r="K346" s="4">
        <v>37.573720000000002</v>
      </c>
      <c r="L346" s="4">
        <v>-5.1465200399017199</v>
      </c>
    </row>
    <row r="347" spans="1:12" ht="15" customHeight="1" x14ac:dyDescent="0.2">
      <c r="A347" s="6">
        <v>45545</v>
      </c>
      <c r="B347" s="7">
        <v>38.325985000000003</v>
      </c>
      <c r="C347" s="8">
        <v>1058882.2</v>
      </c>
      <c r="D347" s="7">
        <v>2.9991680000000001</v>
      </c>
      <c r="E347" s="7">
        <v>8.4897770438814302</v>
      </c>
      <c r="F347" s="7">
        <v>8.4897834314269005</v>
      </c>
      <c r="G347" s="7">
        <v>38.611336000000001</v>
      </c>
      <c r="H347" s="7">
        <v>-3.9441443455857002</v>
      </c>
      <c r="I347" s="7">
        <v>35.623767999999998</v>
      </c>
      <c r="J347" s="7">
        <v>39.583064999999998</v>
      </c>
      <c r="K347" s="7">
        <v>34.485469999999999</v>
      </c>
      <c r="L347" s="7">
        <v>-4.6540300244143902</v>
      </c>
    </row>
    <row r="348" spans="1:12" ht="15" customHeight="1" x14ac:dyDescent="0.2">
      <c r="A348" s="3">
        <v>45544</v>
      </c>
      <c r="B348" s="4">
        <v>35.326816999999998</v>
      </c>
      <c r="C348" s="5">
        <v>1405382.1</v>
      </c>
      <c r="D348" s="4">
        <v>1.662903</v>
      </c>
      <c r="E348" s="4">
        <v>4.9397197248067997</v>
      </c>
      <c r="F348" s="4">
        <v>4.9397109883942001</v>
      </c>
      <c r="G348" s="4">
        <v>35.589835999999998</v>
      </c>
      <c r="H348" s="4">
        <v>-11.460920451437399</v>
      </c>
      <c r="I348" s="4">
        <v>34.079639999999998</v>
      </c>
      <c r="J348" s="4">
        <v>35.861324000000003</v>
      </c>
      <c r="K348" s="4">
        <v>34.079639999999998</v>
      </c>
      <c r="L348" s="4">
        <v>-12.115249405461901</v>
      </c>
    </row>
    <row r="349" spans="1:12" ht="15" customHeight="1" x14ac:dyDescent="0.2">
      <c r="A349" s="6">
        <v>45541</v>
      </c>
      <c r="B349" s="7">
        <v>33.663913999999998</v>
      </c>
      <c r="C349" s="8">
        <v>882313.4</v>
      </c>
      <c r="D349" s="7">
        <v>-3.9591999999998899E-2</v>
      </c>
      <c r="E349" s="7">
        <v>-0.117471458310591</v>
      </c>
      <c r="F349" s="7">
        <v>-0.117466228275298</v>
      </c>
      <c r="G349" s="7">
        <v>33.914555</v>
      </c>
      <c r="H349" s="7">
        <v>-15.6286226494805</v>
      </c>
      <c r="I349" s="7">
        <v>33.851982</v>
      </c>
      <c r="J349" s="7">
        <v>33.92127</v>
      </c>
      <c r="K349" s="7">
        <v>33.079917999999999</v>
      </c>
      <c r="L349" s="7">
        <v>-16.252158072266202</v>
      </c>
    </row>
    <row r="350" spans="1:12" ht="15" customHeight="1" x14ac:dyDescent="0.2">
      <c r="A350" s="3">
        <v>45540</v>
      </c>
      <c r="B350" s="4">
        <v>33.703505999999997</v>
      </c>
      <c r="C350" s="5">
        <v>525157</v>
      </c>
      <c r="D350" s="4">
        <v>0.58399599999999896</v>
      </c>
      <c r="E350" s="4">
        <v>1.76329903431542</v>
      </c>
      <c r="F350" s="4">
        <v>1.76329888878818</v>
      </c>
      <c r="G350" s="4">
        <v>33.954439999999998</v>
      </c>
      <c r="H350" s="4">
        <v>-15.5293982195676</v>
      </c>
      <c r="I350" s="4">
        <v>33.545135000000002</v>
      </c>
      <c r="J350" s="4">
        <v>34.099437999999999</v>
      </c>
      <c r="K350" s="4">
        <v>33.010627999999997</v>
      </c>
      <c r="L350" s="4">
        <v>-16.153662556931799</v>
      </c>
    </row>
    <row r="351" spans="1:12" ht="15" customHeight="1" x14ac:dyDescent="0.2">
      <c r="A351" s="6">
        <v>45539</v>
      </c>
      <c r="B351" s="7">
        <v>33.119509999999998</v>
      </c>
      <c r="C351" s="8">
        <v>867552.2</v>
      </c>
      <c r="D351" s="7">
        <v>-0.42562500000000297</v>
      </c>
      <c r="E351" s="7">
        <v>-1.2688128993965899</v>
      </c>
      <c r="F351" s="7">
        <v>-1.26881312529795</v>
      </c>
      <c r="G351" s="7">
        <v>33.366095999999999</v>
      </c>
      <c r="H351" s="7">
        <v>-16.993058693246699</v>
      </c>
      <c r="I351" s="7">
        <v>33.505540000000003</v>
      </c>
      <c r="J351" s="7">
        <v>34.020249999999997</v>
      </c>
      <c r="K351" s="7">
        <v>33.040325000000003</v>
      </c>
      <c r="L351" s="7">
        <v>-17.606506236797099</v>
      </c>
    </row>
    <row r="352" spans="1:12" ht="15" customHeight="1" x14ac:dyDescent="0.2">
      <c r="A352" s="3">
        <v>45538</v>
      </c>
      <c r="B352" s="4">
        <v>33.545135000000002</v>
      </c>
      <c r="C352" s="5">
        <v>786176.15</v>
      </c>
      <c r="D352" s="4">
        <v>0.50480999999999898</v>
      </c>
      <c r="E352" s="4">
        <v>1.5278602737715099</v>
      </c>
      <c r="F352" s="4">
        <v>1.52786490065588</v>
      </c>
      <c r="G352" s="4">
        <v>33.794890000000002</v>
      </c>
      <c r="H352" s="4">
        <v>-15.92632081685</v>
      </c>
      <c r="I352" s="4">
        <v>33.060122999999997</v>
      </c>
      <c r="J352" s="4">
        <v>33.703505999999997</v>
      </c>
      <c r="K352" s="4">
        <v>32.288060000000002</v>
      </c>
      <c r="L352" s="4">
        <v>-16.547652081558599</v>
      </c>
    </row>
    <row r="353" spans="1:12" ht="15" customHeight="1" x14ac:dyDescent="0.2">
      <c r="A353" s="6">
        <v>45537</v>
      </c>
      <c r="B353" s="7">
        <v>33.040325000000003</v>
      </c>
      <c r="C353" s="8">
        <v>216394.03</v>
      </c>
      <c r="D353" s="7">
        <v>-0.316744999999997</v>
      </c>
      <c r="E353" s="7">
        <v>-0.94955881916486395</v>
      </c>
      <c r="F353" s="7">
        <v>-0.94956984179964599</v>
      </c>
      <c r="G353" s="7">
        <v>33.286320000000003</v>
      </c>
      <c r="H353" s="7">
        <v>-17.191522479650899</v>
      </c>
      <c r="I353" s="7">
        <v>33.465949999999999</v>
      </c>
      <c r="J353" s="7">
        <v>33.574829999999999</v>
      </c>
      <c r="K353" s="7">
        <v>32.367244999999997</v>
      </c>
      <c r="L353" s="7">
        <v>-17.803499755228898</v>
      </c>
    </row>
    <row r="354" spans="1:12" ht="15" customHeight="1" x14ac:dyDescent="0.2">
      <c r="A354" s="3">
        <v>45534</v>
      </c>
      <c r="B354" s="4">
        <v>33.35707</v>
      </c>
      <c r="C354" s="5">
        <v>853150.7</v>
      </c>
      <c r="D354" s="4">
        <v>-0.33653999999999901</v>
      </c>
      <c r="E354" s="4">
        <v>-0.99882440617078405</v>
      </c>
      <c r="F354" s="4">
        <v>-0.99882534632369502</v>
      </c>
      <c r="G354" s="4">
        <v>33.605426999999999</v>
      </c>
      <c r="H354" s="4">
        <v>-16.3976598707447</v>
      </c>
      <c r="I354" s="4">
        <v>33.832183999999998</v>
      </c>
      <c r="J354" s="4">
        <v>34.228115000000003</v>
      </c>
      <c r="K354" s="4">
        <v>32.941339999999997</v>
      </c>
      <c r="L354" s="4">
        <v>-17.0155132426862</v>
      </c>
    </row>
    <row r="355" spans="1:12" ht="15" customHeight="1" x14ac:dyDescent="0.2">
      <c r="A355" s="6">
        <v>45533</v>
      </c>
      <c r="B355" s="7">
        <v>33.69361</v>
      </c>
      <c r="C355" s="8">
        <v>427510.35</v>
      </c>
      <c r="D355" s="7">
        <v>-0.46521499999999999</v>
      </c>
      <c r="E355" s="7">
        <v>-1.3619174547133901</v>
      </c>
      <c r="F355" s="7">
        <v>-1.3619039258455501</v>
      </c>
      <c r="G355" s="7">
        <v>33.944473000000002</v>
      </c>
      <c r="H355" s="7">
        <v>-15.5541937540528</v>
      </c>
      <c r="I355" s="7">
        <v>34.445872999999999</v>
      </c>
      <c r="J355" s="7">
        <v>34.445872999999999</v>
      </c>
      <c r="K355" s="7">
        <v>33.465949999999999</v>
      </c>
      <c r="L355" s="7">
        <v>-16.178281460239202</v>
      </c>
    </row>
    <row r="356" spans="1:12" ht="15" customHeight="1" x14ac:dyDescent="0.2">
      <c r="A356" s="3">
        <v>45532</v>
      </c>
      <c r="B356" s="4">
        <v>34.158825</v>
      </c>
      <c r="C356" s="5">
        <v>737941.299999999</v>
      </c>
      <c r="D356" s="4">
        <v>-0.19796499999999601</v>
      </c>
      <c r="E356" s="4">
        <v>-0.57620342296238403</v>
      </c>
      <c r="F356" s="4">
        <v>-0.57620656901489198</v>
      </c>
      <c r="G356" s="4">
        <v>34.413147000000002</v>
      </c>
      <c r="H356" s="4">
        <v>-14.388243886558501</v>
      </c>
      <c r="I356" s="4">
        <v>34.495365</v>
      </c>
      <c r="J356" s="4">
        <v>35.109059999999999</v>
      </c>
      <c r="K356" s="4">
        <v>33.663913999999998</v>
      </c>
      <c r="L356" s="4">
        <v>-15.0209367651925</v>
      </c>
    </row>
    <row r="357" spans="1:12" ht="15" customHeight="1" x14ac:dyDescent="0.2">
      <c r="A357" s="6">
        <v>45531</v>
      </c>
      <c r="B357" s="7">
        <v>34.356789999999997</v>
      </c>
      <c r="C357" s="8">
        <v>456016.45</v>
      </c>
      <c r="D357" s="7">
        <v>0.92053699999999505</v>
      </c>
      <c r="E357" s="7">
        <v>2.75311052347879</v>
      </c>
      <c r="F357" s="7">
        <v>2.7531114855320999</v>
      </c>
      <c r="G357" s="7">
        <v>34.612586999999998</v>
      </c>
      <c r="H357" s="7">
        <v>-13.892084420547899</v>
      </c>
      <c r="I357" s="7">
        <v>33.515439999999998</v>
      </c>
      <c r="J357" s="7">
        <v>34.54486</v>
      </c>
      <c r="K357" s="7">
        <v>33.386764999999997</v>
      </c>
      <c r="L357" s="7">
        <v>-14.5284467497052</v>
      </c>
    </row>
    <row r="358" spans="1:12" ht="15" customHeight="1" x14ac:dyDescent="0.2">
      <c r="A358" s="3">
        <v>45530</v>
      </c>
      <c r="B358" s="4">
        <v>33.436253000000001</v>
      </c>
      <c r="C358" s="5">
        <v>1010878.65999999</v>
      </c>
      <c r="D358" s="4">
        <v>0.593893000000001</v>
      </c>
      <c r="E358" s="4">
        <v>1.8083140188464</v>
      </c>
      <c r="F358" s="4">
        <v>1.80830567181846</v>
      </c>
      <c r="G358" s="4">
        <v>33.685195999999998</v>
      </c>
      <c r="H358" s="4">
        <v>-16.199213498681999</v>
      </c>
      <c r="I358" s="4">
        <v>32.951239999999999</v>
      </c>
      <c r="J358" s="4">
        <v>33.644120000000001</v>
      </c>
      <c r="K358" s="4">
        <v>32.614699999999999</v>
      </c>
      <c r="L358" s="4">
        <v>-16.818524699780401</v>
      </c>
    </row>
    <row r="359" spans="1:12" ht="15" customHeight="1" x14ac:dyDescent="0.2">
      <c r="A359" s="6">
        <v>45527</v>
      </c>
      <c r="B359" s="7">
        <v>32.842359999999999</v>
      </c>
      <c r="C359" s="8">
        <v>582743</v>
      </c>
      <c r="D359" s="7">
        <v>-0.168267999999997</v>
      </c>
      <c r="E359" s="7">
        <v>-0.50973886349571196</v>
      </c>
      <c r="F359" s="7">
        <v>-0.50972444401678996</v>
      </c>
      <c r="G359" s="7">
        <v>33.086883999999998</v>
      </c>
      <c r="H359" s="7">
        <v>-17.6876719946093</v>
      </c>
      <c r="I359" s="7">
        <v>33.050224</v>
      </c>
      <c r="J359" s="7">
        <v>33.327373999999999</v>
      </c>
      <c r="K359" s="7">
        <v>32.713684000000001</v>
      </c>
      <c r="L359" s="7">
        <v>-18.2959897707163</v>
      </c>
    </row>
    <row r="360" spans="1:12" ht="15" customHeight="1" x14ac:dyDescent="0.2">
      <c r="A360" s="3">
        <v>45526</v>
      </c>
      <c r="B360" s="4">
        <v>33.010627999999997</v>
      </c>
      <c r="C360" s="5">
        <v>130181.72999999901</v>
      </c>
      <c r="D360" s="4">
        <v>1.97909999999978E-2</v>
      </c>
      <c r="E360" s="4">
        <v>5.9989384325098698E-2</v>
      </c>
      <c r="F360" s="4">
        <v>5.9979302853041497E-2</v>
      </c>
      <c r="G360" s="4">
        <v>33.256399999999999</v>
      </c>
      <c r="H360" s="4">
        <v>-17.265956350604799</v>
      </c>
      <c r="I360" s="4">
        <v>33.159103000000002</v>
      </c>
      <c r="J360" s="4">
        <v>33.426357000000003</v>
      </c>
      <c r="K360" s="4">
        <v>32.693885999999999</v>
      </c>
      <c r="L360" s="4">
        <v>-17.8773788550189</v>
      </c>
    </row>
    <row r="361" spans="1:12" ht="15" customHeight="1" x14ac:dyDescent="0.2">
      <c r="A361" s="6">
        <v>45525</v>
      </c>
      <c r="B361" s="7">
        <v>32.990836999999999</v>
      </c>
      <c r="C361" s="8">
        <v>247545.00999999899</v>
      </c>
      <c r="D361" s="7">
        <v>-0.20785899999999899</v>
      </c>
      <c r="E361" s="7">
        <v>-0.62610591693119599</v>
      </c>
      <c r="F361" s="7">
        <v>-0.62611013322928499</v>
      </c>
      <c r="G361" s="7">
        <v>33.236465000000003</v>
      </c>
      <c r="H361" s="7">
        <v>-17.315549907338202</v>
      </c>
      <c r="I361" s="7">
        <v>33.258082999999999</v>
      </c>
      <c r="J361" s="7">
        <v>33.525337</v>
      </c>
      <c r="K361" s="7">
        <v>32.822563000000002</v>
      </c>
      <c r="L361" s="7">
        <v>-17.926614173870799</v>
      </c>
    </row>
    <row r="362" spans="1:12" ht="15" customHeight="1" x14ac:dyDescent="0.2">
      <c r="A362" s="3">
        <v>45524</v>
      </c>
      <c r="B362" s="4">
        <v>33.198695999999998</v>
      </c>
      <c r="C362" s="5">
        <v>168757.28</v>
      </c>
      <c r="D362" s="4">
        <v>-0.26725400000000099</v>
      </c>
      <c r="E362" s="4">
        <v>-0.79858483025284599</v>
      </c>
      <c r="F362" s="4">
        <v>-0.79857950951671697</v>
      </c>
      <c r="G362" s="4">
        <v>33.445872999999999</v>
      </c>
      <c r="H362" s="4">
        <v>-16.7945924190794</v>
      </c>
      <c r="I362" s="4">
        <v>33.644120000000001</v>
      </c>
      <c r="J362" s="4">
        <v>33.743099999999998</v>
      </c>
      <c r="K362" s="4">
        <v>32.782969999999999</v>
      </c>
      <c r="L362" s="4">
        <v>-17.409510230602201</v>
      </c>
    </row>
    <row r="363" spans="1:12" ht="15" customHeight="1" x14ac:dyDescent="0.2">
      <c r="A363" s="6">
        <v>45523</v>
      </c>
      <c r="B363" s="7">
        <v>33.465949999999999</v>
      </c>
      <c r="C363" s="8">
        <v>168493.59</v>
      </c>
      <c r="D363" s="7">
        <v>-0.13857699999999701</v>
      </c>
      <c r="E363" s="7">
        <v>-0.41237598731860198</v>
      </c>
      <c r="F363" s="7">
        <v>-0.41237966044622698</v>
      </c>
      <c r="G363" s="7">
        <v>33.715114999999997</v>
      </c>
      <c r="H363" s="7">
        <v>-16.1247821154912</v>
      </c>
      <c r="I363" s="7">
        <v>33.644120000000001</v>
      </c>
      <c r="J363" s="7">
        <v>34.079639999999998</v>
      </c>
      <c r="K363" s="7">
        <v>33.406559999999999</v>
      </c>
      <c r="L363" s="7">
        <v>-16.744645599990399</v>
      </c>
    </row>
    <row r="364" spans="1:12" ht="15" customHeight="1" x14ac:dyDescent="0.2">
      <c r="A364" s="3">
        <v>45520</v>
      </c>
      <c r="B364" s="4">
        <v>33.604526999999997</v>
      </c>
      <c r="C364" s="5">
        <v>100816.92</v>
      </c>
      <c r="D364" s="4">
        <v>6.92909999999997E-2</v>
      </c>
      <c r="E364" s="4">
        <v>0.20662147718297699</v>
      </c>
      <c r="F364" s="4">
        <v>0.20662771516139999</v>
      </c>
      <c r="G364" s="4">
        <v>33.854725000000002</v>
      </c>
      <c r="H364" s="4">
        <v>-15.777465513757599</v>
      </c>
      <c r="I364" s="4">
        <v>33.535235999999998</v>
      </c>
      <c r="J364" s="4">
        <v>33.743099999999998</v>
      </c>
      <c r="K364" s="4">
        <v>33.386764999999997</v>
      </c>
      <c r="L364" s="4">
        <v>-16.399898857504699</v>
      </c>
    </row>
    <row r="365" spans="1:12" ht="15" customHeight="1" x14ac:dyDescent="0.2">
      <c r="A365" s="6">
        <v>45519</v>
      </c>
      <c r="B365" s="7">
        <v>33.535235999999998</v>
      </c>
      <c r="C365" s="8">
        <v>403892</v>
      </c>
      <c r="D365" s="7">
        <v>0.118775999999996</v>
      </c>
      <c r="E365" s="7">
        <v>0.35544159973856998</v>
      </c>
      <c r="F365" s="7">
        <v>0.35543765490935098</v>
      </c>
      <c r="G365" s="7">
        <v>33.784916000000003</v>
      </c>
      <c r="H365" s="7">
        <v>-15.9511337656766</v>
      </c>
      <c r="I365" s="7">
        <v>33.604526999999997</v>
      </c>
      <c r="J365" s="7">
        <v>34.119236000000001</v>
      </c>
      <c r="K365" s="7">
        <v>33.238292999999999</v>
      </c>
      <c r="L365" s="7">
        <v>-16.572278448155199</v>
      </c>
    </row>
    <row r="366" spans="1:12" ht="15" customHeight="1" x14ac:dyDescent="0.2">
      <c r="A366" s="3">
        <v>45518</v>
      </c>
      <c r="B366" s="4">
        <v>33.416460000000001</v>
      </c>
      <c r="C366" s="5">
        <v>630990.97</v>
      </c>
      <c r="D366" s="4">
        <v>0.376134999999997</v>
      </c>
      <c r="E366" s="4">
        <v>1.1384119254274701</v>
      </c>
      <c r="F366" s="4">
        <v>1.1384166228047801</v>
      </c>
      <c r="G366" s="4">
        <v>33.665256999999997</v>
      </c>
      <c r="H366" s="4">
        <v>-16.2488170064677</v>
      </c>
      <c r="I366" s="4">
        <v>33.060122999999997</v>
      </c>
      <c r="J366" s="4">
        <v>34.139029999999998</v>
      </c>
      <c r="K366" s="4">
        <v>32.782969999999999</v>
      </c>
      <c r="L366" s="4">
        <v>-16.867764994158399</v>
      </c>
    </row>
    <row r="367" spans="1:12" ht="15" customHeight="1" x14ac:dyDescent="0.2">
      <c r="A367" s="6">
        <v>45517</v>
      </c>
      <c r="B367" s="7">
        <v>33.040325000000003</v>
      </c>
      <c r="C367" s="8">
        <v>1801126.2</v>
      </c>
      <c r="D367" s="7">
        <v>0.29694500000000001</v>
      </c>
      <c r="E367" s="7">
        <v>0.90688560557889897</v>
      </c>
      <c r="F367" s="7">
        <v>0.90687690761683803</v>
      </c>
      <c r="G367" s="7">
        <v>33.286320000000003</v>
      </c>
      <c r="H367" s="7">
        <v>-17.191522479650899</v>
      </c>
      <c r="I367" s="7">
        <v>32.921543</v>
      </c>
      <c r="J367" s="7">
        <v>33.307580000000002</v>
      </c>
      <c r="K367" s="7">
        <v>32.674087999999998</v>
      </c>
      <c r="L367" s="7">
        <v>-17.803499755228898</v>
      </c>
    </row>
    <row r="368" spans="1:12" ht="15" customHeight="1" x14ac:dyDescent="0.2">
      <c r="A368" s="3">
        <v>45516</v>
      </c>
      <c r="B368" s="4">
        <v>32.743380000000002</v>
      </c>
      <c r="C368" s="5">
        <v>8963759</v>
      </c>
      <c r="D368" s="4">
        <v>-0.23755399999999499</v>
      </c>
      <c r="E368" s="4">
        <v>-0.72027675141036396</v>
      </c>
      <c r="F368" s="4">
        <v>-0.72027770613145503</v>
      </c>
      <c r="G368" s="4">
        <v>32.987166999999999</v>
      </c>
      <c r="H368" s="4">
        <v>-17.9357442643254</v>
      </c>
      <c r="I368" s="4">
        <v>32.812668000000002</v>
      </c>
      <c r="J368" s="4">
        <v>33.258082999999999</v>
      </c>
      <c r="K368" s="4">
        <v>32.268259999999998</v>
      </c>
      <c r="L368" s="4">
        <v>-18.542228559052202</v>
      </c>
    </row>
    <row r="369" spans="1:12" ht="15" customHeight="1" x14ac:dyDescent="0.2">
      <c r="A369" s="6">
        <v>45513</v>
      </c>
      <c r="B369" s="7">
        <v>32.980933999999998</v>
      </c>
      <c r="C369" s="8">
        <v>4978647.5</v>
      </c>
      <c r="D369" s="7">
        <v>-9.8984000000001501E-2</v>
      </c>
      <c r="E369" s="7">
        <v>-0.29922686023586798</v>
      </c>
      <c r="F369" s="7">
        <v>-0.29922394415687797</v>
      </c>
      <c r="G369" s="7">
        <v>33.226489999999998</v>
      </c>
      <c r="H369" s="7">
        <v>-17.340365343927999</v>
      </c>
      <c r="I369" s="7">
        <v>33.307580000000002</v>
      </c>
      <c r="J369" s="7">
        <v>33.307580000000002</v>
      </c>
      <c r="K369" s="7">
        <v>32.812668000000002</v>
      </c>
      <c r="L369" s="7">
        <v>-17.951250491519701</v>
      </c>
    </row>
    <row r="370" spans="1:12" ht="15" customHeight="1" x14ac:dyDescent="0.2">
      <c r="A370" s="3">
        <v>45512</v>
      </c>
      <c r="B370" s="4">
        <v>33.079917999999999</v>
      </c>
      <c r="C370" s="5">
        <v>899851.87</v>
      </c>
      <c r="D370" s="4">
        <v>0.18806800000000101</v>
      </c>
      <c r="E370" s="4">
        <v>0.57177689914067398</v>
      </c>
      <c r="F370" s="4">
        <v>0.57178225739768995</v>
      </c>
      <c r="G370" s="4">
        <v>33.326210000000003</v>
      </c>
      <c r="H370" s="4">
        <v>-17.092285610922701</v>
      </c>
      <c r="I370" s="4">
        <v>33.109614999999998</v>
      </c>
      <c r="J370" s="4">
        <v>33.258082999999999</v>
      </c>
      <c r="K370" s="4">
        <v>32.773069999999997</v>
      </c>
      <c r="L370" s="4">
        <v>-17.705001752131501</v>
      </c>
    </row>
    <row r="371" spans="1:12" ht="15" customHeight="1" x14ac:dyDescent="0.2">
      <c r="A371" s="6">
        <v>45511</v>
      </c>
      <c r="B371" s="7">
        <v>32.891849999999998</v>
      </c>
      <c r="C371" s="8">
        <v>290550.65999999997</v>
      </c>
      <c r="D371" s="7">
        <v>-0.10888200000000101</v>
      </c>
      <c r="E371" s="7">
        <v>-0.32993813591771698</v>
      </c>
      <c r="F371" s="7">
        <v>-0.32993915467562901</v>
      </c>
      <c r="G371" s="7">
        <v>33.136740000000003</v>
      </c>
      <c r="H371" s="7">
        <v>-17.5636420791589</v>
      </c>
      <c r="I371" s="7">
        <v>33.159103000000002</v>
      </c>
      <c r="J371" s="7">
        <v>33.436253000000001</v>
      </c>
      <c r="K371" s="7">
        <v>32.664192</v>
      </c>
      <c r="L371" s="7">
        <v>-18.1728703765483</v>
      </c>
    </row>
    <row r="372" spans="1:12" ht="15" customHeight="1" x14ac:dyDescent="0.2">
      <c r="A372" s="3">
        <v>45510</v>
      </c>
      <c r="B372" s="4">
        <v>33.000731999999999</v>
      </c>
      <c r="C372" s="5">
        <v>1289513.2</v>
      </c>
      <c r="D372" s="4">
        <v>0.168272000000001</v>
      </c>
      <c r="E372" s="4">
        <v>0.512517185736305</v>
      </c>
      <c r="F372" s="4">
        <v>0.51251159796972201</v>
      </c>
      <c r="G372" s="4">
        <v>33.246433000000003</v>
      </c>
      <c r="H372" s="4">
        <v>-17.29075188509</v>
      </c>
      <c r="I372" s="4">
        <v>33.149208000000002</v>
      </c>
      <c r="J372" s="4">
        <v>33.456049999999998</v>
      </c>
      <c r="K372" s="4">
        <v>32.674087999999998</v>
      </c>
      <c r="L372" s="4">
        <v>-17.901997758326399</v>
      </c>
    </row>
    <row r="373" spans="1:12" ht="15" customHeight="1" x14ac:dyDescent="0.2">
      <c r="A373" s="6">
        <v>45509</v>
      </c>
      <c r="B373" s="7">
        <v>32.832459999999998</v>
      </c>
      <c r="C373" s="8">
        <v>287291.46999999997</v>
      </c>
      <c r="D373" s="7">
        <v>-0.55430499999999905</v>
      </c>
      <c r="E373" s="7">
        <v>-1.6602536963374499</v>
      </c>
      <c r="F373" s="7">
        <v>-1.6602478226769799</v>
      </c>
      <c r="G373" s="7">
        <v>33.076909999999998</v>
      </c>
      <c r="H373" s="7">
        <v>-17.7124849434359</v>
      </c>
      <c r="I373" s="7">
        <v>32.911648</v>
      </c>
      <c r="J373" s="7">
        <v>34.14893</v>
      </c>
      <c r="K373" s="7">
        <v>32.476128000000003</v>
      </c>
      <c r="L373" s="7">
        <v>-18.320618625076001</v>
      </c>
    </row>
    <row r="374" spans="1:12" ht="15" customHeight="1" x14ac:dyDescent="0.2">
      <c r="A374" s="3">
        <v>45506</v>
      </c>
      <c r="B374" s="4">
        <v>33.386764999999997</v>
      </c>
      <c r="C374" s="5">
        <v>179687.5</v>
      </c>
      <c r="D374" s="4">
        <v>-0.72256800000000199</v>
      </c>
      <c r="E374" s="4">
        <v>-2.1183879497145202</v>
      </c>
      <c r="F374" s="4">
        <v>-2.11839436794323</v>
      </c>
      <c r="G374" s="4">
        <v>33.635339999999999</v>
      </c>
      <c r="H374" s="4">
        <v>-16.3232434141323</v>
      </c>
      <c r="I374" s="4">
        <v>34.099437999999999</v>
      </c>
      <c r="J374" s="4">
        <v>34.099437999999999</v>
      </c>
      <c r="K374" s="4">
        <v>32.911648</v>
      </c>
      <c r="L374" s="4">
        <v>-16.941639118422302</v>
      </c>
    </row>
    <row r="375" spans="1:12" ht="15" customHeight="1" x14ac:dyDescent="0.2">
      <c r="A375" s="6">
        <v>45505</v>
      </c>
      <c r="B375" s="7">
        <v>34.109332999999999</v>
      </c>
      <c r="C375" s="8">
        <v>322744.26</v>
      </c>
      <c r="D375" s="7">
        <v>-0.20786300000000299</v>
      </c>
      <c r="E375" s="7">
        <v>-0.60571090948107198</v>
      </c>
      <c r="F375" s="7">
        <v>-0.60570912887913897</v>
      </c>
      <c r="G375" s="7">
        <v>34.363289999999999</v>
      </c>
      <c r="H375" s="7">
        <v>-14.512276289772</v>
      </c>
      <c r="I375" s="7">
        <v>34.346893000000001</v>
      </c>
      <c r="J375" s="7">
        <v>35.336716000000003</v>
      </c>
      <c r="K375" s="7">
        <v>33.654015000000001</v>
      </c>
      <c r="L375" s="7">
        <v>-15.1440611348866</v>
      </c>
    </row>
    <row r="376" spans="1:12" ht="15" customHeight="1" x14ac:dyDescent="0.2">
      <c r="A376" s="3">
        <v>45504</v>
      </c>
      <c r="B376" s="4">
        <v>34.317196000000003</v>
      </c>
      <c r="C376" s="5">
        <v>2148916.5</v>
      </c>
      <c r="D376" s="4">
        <v>-0.237559999999994</v>
      </c>
      <c r="E376" s="4">
        <v>-0.68748857610221303</v>
      </c>
      <c r="F376" s="4">
        <v>-0.68748366764165203</v>
      </c>
      <c r="G376" s="4">
        <v>34.572699999999998</v>
      </c>
      <c r="H376" s="4">
        <v>-13.991313825987</v>
      </c>
      <c r="I376" s="4">
        <v>34.643839999999997</v>
      </c>
      <c r="J376" s="4">
        <v>35.455494000000002</v>
      </c>
      <c r="K376" s="4">
        <v>34.069740000000003</v>
      </c>
      <c r="L376" s="4">
        <v>-14.6269472405657</v>
      </c>
    </row>
    <row r="377" spans="1:12" ht="15" customHeight="1" x14ac:dyDescent="0.2">
      <c r="A377" s="6">
        <v>45503</v>
      </c>
      <c r="B377" s="7">
        <v>34.554755999999998</v>
      </c>
      <c r="C377" s="8">
        <v>152851.43</v>
      </c>
      <c r="D377" s="7">
        <v>0.46521599999999802</v>
      </c>
      <c r="E377" s="7">
        <v>1.36468840588637</v>
      </c>
      <c r="F377" s="7">
        <v>1.36469230458791</v>
      </c>
      <c r="G377" s="7">
        <v>34.812027</v>
      </c>
      <c r="H377" s="7">
        <v>-13.3959249545373</v>
      </c>
      <c r="I377" s="7">
        <v>34.158825</v>
      </c>
      <c r="J377" s="7">
        <v>35.138751999999997</v>
      </c>
      <c r="K377" s="7">
        <v>34.030149999999999</v>
      </c>
      <c r="L377" s="7">
        <v>-14.0359542464548</v>
      </c>
    </row>
    <row r="378" spans="1:12" ht="15" customHeight="1" x14ac:dyDescent="0.2">
      <c r="A378" s="3">
        <v>45502</v>
      </c>
      <c r="B378" s="4">
        <v>34.08954</v>
      </c>
      <c r="C378" s="5">
        <v>1197278.3999999999</v>
      </c>
      <c r="D378" s="4">
        <v>-0.43552300000000299</v>
      </c>
      <c r="E378" s="4">
        <v>-1.2614690956537999</v>
      </c>
      <c r="F378" s="4">
        <v>-1.2614702637953701</v>
      </c>
      <c r="G378" s="4">
        <v>34.343345999999997</v>
      </c>
      <c r="H378" s="4">
        <v>-14.561892236373099</v>
      </c>
      <c r="I378" s="4">
        <v>34.831904999999999</v>
      </c>
      <c r="J378" s="4">
        <v>34.831904999999999</v>
      </c>
      <c r="K378" s="4">
        <v>33.753</v>
      </c>
      <c r="L378" s="4">
        <v>-15.193301429264601</v>
      </c>
    </row>
    <row r="379" spans="1:12" ht="15" customHeight="1" x14ac:dyDescent="0.2">
      <c r="A379" s="6">
        <v>45499</v>
      </c>
      <c r="B379" s="7">
        <v>34.525063000000003</v>
      </c>
      <c r="C379" s="8">
        <v>189255.87</v>
      </c>
      <c r="D379" s="7">
        <v>0.59389899999999995</v>
      </c>
      <c r="E379" s="7">
        <v>1.75030541245211</v>
      </c>
      <c r="F379" s="7">
        <v>1.75030318462037</v>
      </c>
      <c r="G379" s="7">
        <v>34.782111999999998</v>
      </c>
      <c r="H379" s="7">
        <v>-13.470346386675899</v>
      </c>
      <c r="I379" s="7">
        <v>33.950961999999997</v>
      </c>
      <c r="J379" s="7">
        <v>34.940784000000001</v>
      </c>
      <c r="K379" s="7">
        <v>33.901470000000003</v>
      </c>
      <c r="L379" s="7">
        <v>-14.1098233951925</v>
      </c>
    </row>
    <row r="380" spans="1:12" ht="15" customHeight="1" x14ac:dyDescent="0.2">
      <c r="A380" s="3">
        <v>45498</v>
      </c>
      <c r="B380" s="4">
        <v>33.931164000000003</v>
      </c>
      <c r="C380" s="5">
        <v>293128.88</v>
      </c>
      <c r="D380" s="4">
        <v>-0.77206599999999503</v>
      </c>
      <c r="E380" s="4">
        <v>-2.2247669741404299</v>
      </c>
      <c r="F380" s="4">
        <v>-2.2247774058460199</v>
      </c>
      <c r="G380" s="4">
        <v>34.183791999999997</v>
      </c>
      <c r="H380" s="4">
        <v>-14.9588247847077</v>
      </c>
      <c r="I380" s="4">
        <v>35.089260000000003</v>
      </c>
      <c r="J380" s="4">
        <v>35.623767999999998</v>
      </c>
      <c r="K380" s="4">
        <v>33.654015000000001</v>
      </c>
      <c r="L380" s="4">
        <v>-15.5873033927067</v>
      </c>
    </row>
    <row r="381" spans="1:12" ht="15" customHeight="1" x14ac:dyDescent="0.2">
      <c r="A381" s="6">
        <v>45497</v>
      </c>
      <c r="B381" s="7">
        <v>34.703229999999998</v>
      </c>
      <c r="C381" s="8">
        <v>135784.74</v>
      </c>
      <c r="D381" s="7">
        <v>-0.30684500000000198</v>
      </c>
      <c r="E381" s="7">
        <v>-0.87644770826684704</v>
      </c>
      <c r="F381" s="7">
        <v>-0.87644043275873995</v>
      </c>
      <c r="G381" s="7">
        <v>34.96161</v>
      </c>
      <c r="H381" s="7">
        <v>-13.0237978917402</v>
      </c>
      <c r="I381" s="7">
        <v>35.010075000000001</v>
      </c>
      <c r="J381" s="7">
        <v>35.138751999999997</v>
      </c>
      <c r="K381" s="7">
        <v>34.455776</v>
      </c>
      <c r="L381" s="7">
        <v>-13.6665861128985</v>
      </c>
    </row>
    <row r="382" spans="1:12" ht="15" customHeight="1" x14ac:dyDescent="0.2">
      <c r="A382" s="3">
        <v>45496</v>
      </c>
      <c r="B382" s="4">
        <v>35.010075000000001</v>
      </c>
      <c r="C382" s="5">
        <v>259250.12</v>
      </c>
      <c r="D382" s="4">
        <v>-0.227657</v>
      </c>
      <c r="E382" s="4">
        <v>-0.64606030830814898</v>
      </c>
      <c r="F382" s="4">
        <v>-0.64605755343479698</v>
      </c>
      <c r="G382" s="4">
        <v>35.270736999999997</v>
      </c>
      <c r="H382" s="4">
        <v>-12.254763158239101</v>
      </c>
      <c r="I382" s="4">
        <v>35.316920000000003</v>
      </c>
      <c r="J382" s="4">
        <v>35.732643000000003</v>
      </c>
      <c r="K382" s="4">
        <v>34.455776</v>
      </c>
      <c r="L382" s="4">
        <v>-12.903228454715499</v>
      </c>
    </row>
    <row r="383" spans="1:12" ht="15" customHeight="1" x14ac:dyDescent="0.2">
      <c r="A383" s="6">
        <v>45495</v>
      </c>
      <c r="B383" s="7">
        <v>35.237732000000001</v>
      </c>
      <c r="C383" s="8">
        <v>77687.546000000002</v>
      </c>
      <c r="D383" s="7">
        <v>0.138572000000003</v>
      </c>
      <c r="E383" s="7">
        <v>0.39480147103236801</v>
      </c>
      <c r="F383" s="7">
        <v>0.394799449159144</v>
      </c>
      <c r="G383" s="7">
        <v>35.500087999999998</v>
      </c>
      <c r="H383" s="7">
        <v>-11.6841922111422</v>
      </c>
      <c r="I383" s="7">
        <v>34.90119</v>
      </c>
      <c r="J383" s="7">
        <v>35.75244</v>
      </c>
      <c r="K383" s="7">
        <v>34.90119</v>
      </c>
      <c r="L383" s="7">
        <v>-12.336871778253499</v>
      </c>
    </row>
    <row r="384" spans="1:12" ht="15" customHeight="1" x14ac:dyDescent="0.2">
      <c r="A384" s="3">
        <v>45492</v>
      </c>
      <c r="B384" s="4">
        <v>35.099159999999998</v>
      </c>
      <c r="C384" s="5">
        <v>189477.12999999899</v>
      </c>
      <c r="D384" s="4">
        <v>0.56420199999999399</v>
      </c>
      <c r="E384" s="4">
        <v>1.6337127150986801</v>
      </c>
      <c r="F384" s="4">
        <v>1.63370782848188</v>
      </c>
      <c r="G384" s="4">
        <v>35.360484999999997</v>
      </c>
      <c r="H384" s="4">
        <v>-12.0314913985343</v>
      </c>
      <c r="I384" s="4">
        <v>34.663634999999999</v>
      </c>
      <c r="J384" s="4">
        <v>35.287227999999999</v>
      </c>
      <c r="K384" s="4">
        <v>34.376587000000001</v>
      </c>
      <c r="L384" s="4">
        <v>-12.681606081923899</v>
      </c>
    </row>
    <row r="385" spans="1:12" ht="15" customHeight="1" x14ac:dyDescent="0.2">
      <c r="A385" s="6">
        <v>45491</v>
      </c>
      <c r="B385" s="7">
        <v>34.534958000000003</v>
      </c>
      <c r="C385" s="8">
        <v>299229.98</v>
      </c>
      <c r="D385" s="7">
        <v>-0.81165699999999597</v>
      </c>
      <c r="E385" s="7">
        <v>-2.2962792901102298</v>
      </c>
      <c r="F385" s="7">
        <v>-2.29627627890908</v>
      </c>
      <c r="G385" s="7">
        <v>34.792084000000003</v>
      </c>
      <c r="H385" s="7">
        <v>-13.445538413375299</v>
      </c>
      <c r="I385" s="7">
        <v>35.435699999999997</v>
      </c>
      <c r="J385" s="7">
        <v>35.712851999999998</v>
      </c>
      <c r="K385" s="7">
        <v>34.346893000000001</v>
      </c>
      <c r="L385" s="7">
        <v>-14.085206979648101</v>
      </c>
    </row>
    <row r="386" spans="1:12" ht="15" customHeight="1" x14ac:dyDescent="0.2">
      <c r="A386" s="3">
        <v>45490</v>
      </c>
      <c r="B386" s="4">
        <v>35.346615</v>
      </c>
      <c r="C386" s="5">
        <v>277642.27</v>
      </c>
      <c r="D386" s="4">
        <v>-0.67307999999999801</v>
      </c>
      <c r="E386" s="4">
        <v>-1.86864436248002</v>
      </c>
      <c r="F386" s="4">
        <v>-1.8686380948433601</v>
      </c>
      <c r="G386" s="4">
        <v>35.609783</v>
      </c>
      <c r="H386" s="4">
        <v>-11.411297041547099</v>
      </c>
      <c r="I386" s="4">
        <v>36.029594000000003</v>
      </c>
      <c r="J386" s="4">
        <v>36.197865</v>
      </c>
      <c r="K386" s="4">
        <v>34.673533999999997</v>
      </c>
      <c r="L386" s="4">
        <v>-12.0659966722686</v>
      </c>
    </row>
    <row r="387" spans="1:12" ht="15" customHeight="1" x14ac:dyDescent="0.2">
      <c r="A387" s="6">
        <v>45489</v>
      </c>
      <c r="B387" s="7">
        <v>36.019694999999999</v>
      </c>
      <c r="C387" s="8">
        <v>1328630.1000000001</v>
      </c>
      <c r="D387" s="7">
        <v>3.9591999999998899E-2</v>
      </c>
      <c r="E387" s="7">
        <v>0.110038595498185</v>
      </c>
      <c r="F387" s="7">
        <v>0.11003645830143199</v>
      </c>
      <c r="G387" s="7">
        <v>36.287872</v>
      </c>
      <c r="H387" s="7">
        <v>-9.7243722714525607</v>
      </c>
      <c r="I387" s="7">
        <v>36.217660000000002</v>
      </c>
      <c r="J387" s="7">
        <v>36.376033999999997</v>
      </c>
      <c r="K387" s="7">
        <v>35.693053999999997</v>
      </c>
      <c r="L387" s="7">
        <v>-10.3915331073747</v>
      </c>
    </row>
    <row r="388" spans="1:12" ht="15" customHeight="1" x14ac:dyDescent="0.2">
      <c r="A388" s="3">
        <v>45488</v>
      </c>
      <c r="B388" s="4">
        <v>35.980103</v>
      </c>
      <c r="C388" s="5">
        <v>353313.31999999902</v>
      </c>
      <c r="D388" s="4">
        <v>-0.46521700000000199</v>
      </c>
      <c r="E388" s="4">
        <v>-1.2764793943365</v>
      </c>
      <c r="F388" s="4">
        <v>-1.2764802426102599</v>
      </c>
      <c r="G388" s="4">
        <v>36.247985999999997</v>
      </c>
      <c r="H388" s="4">
        <v>-9.8235991891285508</v>
      </c>
      <c r="I388" s="4">
        <v>36.277050000000003</v>
      </c>
      <c r="J388" s="4">
        <v>36.385930000000002</v>
      </c>
      <c r="K388" s="4">
        <v>35.594070000000002</v>
      </c>
      <c r="L388" s="4">
        <v>-10.490028622709101</v>
      </c>
    </row>
    <row r="389" spans="1:12" ht="15" customHeight="1" x14ac:dyDescent="0.2">
      <c r="A389" s="6">
        <v>45485</v>
      </c>
      <c r="B389" s="7">
        <v>36.445320000000002</v>
      </c>
      <c r="C389" s="8">
        <v>88599.59</v>
      </c>
      <c r="D389" s="7">
        <v>5.9390000000000498E-2</v>
      </c>
      <c r="E389" s="7">
        <v>0.16322243240725001</v>
      </c>
      <c r="F389" s="7">
        <v>0.163224680014639</v>
      </c>
      <c r="G389" s="7">
        <v>36.716667000000001</v>
      </c>
      <c r="H389" s="7">
        <v>-8.6576319072927994</v>
      </c>
      <c r="I389" s="7">
        <v>36.395829999999997</v>
      </c>
      <c r="J389" s="7">
        <v>36.861046000000002</v>
      </c>
      <c r="K389" s="7">
        <v>36.227559999999997</v>
      </c>
      <c r="L389" s="7">
        <v>-9.3326789521362699</v>
      </c>
    </row>
    <row r="390" spans="1:12" ht="15" customHeight="1" x14ac:dyDescent="0.2">
      <c r="A390" s="3">
        <v>45484</v>
      </c>
      <c r="B390" s="4">
        <v>36.385930000000002</v>
      </c>
      <c r="C390" s="5">
        <v>244066.62</v>
      </c>
      <c r="D390" s="4">
        <v>0.12867400000000301</v>
      </c>
      <c r="E390" s="4">
        <v>0.35489172153568799</v>
      </c>
      <c r="F390" s="4">
        <v>0.35488893031312402</v>
      </c>
      <c r="G390" s="4">
        <v>36.656834000000003</v>
      </c>
      <c r="H390" s="4">
        <v>-8.8064822348590504</v>
      </c>
      <c r="I390" s="4">
        <v>36.514606000000001</v>
      </c>
      <c r="J390" s="4">
        <v>36.643284000000001</v>
      </c>
      <c r="K390" s="4">
        <v>36.069183000000002</v>
      </c>
      <c r="L390" s="4">
        <v>-9.4804272006639998</v>
      </c>
    </row>
    <row r="391" spans="1:12" ht="15" customHeight="1" x14ac:dyDescent="0.2">
      <c r="A391" s="6">
        <v>45483</v>
      </c>
      <c r="B391" s="7">
        <v>36.257255999999998</v>
      </c>
      <c r="C391" s="8">
        <v>158773.68</v>
      </c>
      <c r="D391" s="7">
        <v>-0.33653999999999901</v>
      </c>
      <c r="E391" s="7">
        <v>-0.91966408732233595</v>
      </c>
      <c r="F391" s="7">
        <v>-0.91966771776353895</v>
      </c>
      <c r="G391" s="7">
        <v>36.527203</v>
      </c>
      <c r="H391" s="7">
        <v>-9.1289734489506191</v>
      </c>
      <c r="I391" s="7">
        <v>36.633384999999997</v>
      </c>
      <c r="J391" s="7">
        <v>37.415348000000002</v>
      </c>
      <c r="K391" s="7">
        <v>36.009799999999998</v>
      </c>
      <c r="L391" s="7">
        <v>-9.8005376255007999</v>
      </c>
    </row>
    <row r="392" spans="1:12" ht="15" customHeight="1" x14ac:dyDescent="0.2">
      <c r="A392" s="3">
        <v>45482</v>
      </c>
      <c r="B392" s="4">
        <v>36.593795999999998</v>
      </c>
      <c r="C392" s="5">
        <v>179875.40999999901</v>
      </c>
      <c r="D392" s="4">
        <v>-0.23755400000000201</v>
      </c>
      <c r="E392" s="4">
        <v>-0.64497771599466502</v>
      </c>
      <c r="F392" s="4">
        <v>-0.64497055293854999</v>
      </c>
      <c r="G392" s="4">
        <v>36.866250000000001</v>
      </c>
      <c r="H392" s="4">
        <v>-8.2855048444956392</v>
      </c>
      <c r="I392" s="4">
        <v>37.148094</v>
      </c>
      <c r="J392" s="4">
        <v>37.603416000000003</v>
      </c>
      <c r="K392" s="4">
        <v>36.336436999999997</v>
      </c>
      <c r="L392" s="4">
        <v>-8.9633058430538899</v>
      </c>
    </row>
    <row r="393" spans="1:12" ht="15" customHeight="1" x14ac:dyDescent="0.2">
      <c r="A393" s="6">
        <v>45481</v>
      </c>
      <c r="B393" s="7">
        <v>36.83135</v>
      </c>
      <c r="C393" s="8">
        <v>927013.299999999</v>
      </c>
      <c r="D393" s="7">
        <v>1.0888040000000001</v>
      </c>
      <c r="E393" s="7">
        <v>3.0462407462523902</v>
      </c>
      <c r="F393" s="7">
        <v>3.0462308472825002</v>
      </c>
      <c r="G393" s="7">
        <v>37.10557</v>
      </c>
      <c r="H393" s="7">
        <v>-7.6901333873874398</v>
      </c>
      <c r="I393" s="7">
        <v>35.742545999999997</v>
      </c>
      <c r="J393" s="7">
        <v>37.316364</v>
      </c>
      <c r="K393" s="7">
        <v>35.544580000000003</v>
      </c>
      <c r="L393" s="7">
        <v>-8.3723277755213701</v>
      </c>
    </row>
    <row r="394" spans="1:12" ht="15" customHeight="1" x14ac:dyDescent="0.2">
      <c r="A394" s="3">
        <v>45478</v>
      </c>
      <c r="B394" s="4">
        <v>35.742545999999997</v>
      </c>
      <c r="C394" s="5">
        <v>812854.6</v>
      </c>
      <c r="D394" s="4">
        <v>-0.46521800000000002</v>
      </c>
      <c r="E394" s="4">
        <v>-1.28485702679679</v>
      </c>
      <c r="F394" s="4">
        <v>-1.28485776582698</v>
      </c>
      <c r="G394" s="4">
        <v>36.008662999999999</v>
      </c>
      <c r="H394" s="4">
        <v>-10.4189781095259</v>
      </c>
      <c r="I394" s="4">
        <v>36.019694999999999</v>
      </c>
      <c r="J394" s="4">
        <v>36.019694999999999</v>
      </c>
      <c r="K394" s="4">
        <v>35.198143000000002</v>
      </c>
      <c r="L394" s="4">
        <v>-11.0810141535309</v>
      </c>
    </row>
    <row r="395" spans="1:12" ht="15" customHeight="1" x14ac:dyDescent="0.2">
      <c r="A395" s="6">
        <v>45477</v>
      </c>
      <c r="B395" s="7">
        <v>36.207763999999997</v>
      </c>
      <c r="C395" s="8">
        <v>230828.92</v>
      </c>
      <c r="D395" s="7">
        <v>-9.8980000000004495E-2</v>
      </c>
      <c r="E395" s="7">
        <v>-0.27262152728431099</v>
      </c>
      <c r="F395" s="7">
        <v>-0.27261622448606598</v>
      </c>
      <c r="G395" s="7">
        <v>36.477345</v>
      </c>
      <c r="H395" s="7">
        <v>-9.2530083399271401</v>
      </c>
      <c r="I395" s="7">
        <v>36.306744000000002</v>
      </c>
      <c r="J395" s="7">
        <v>36.583893000000003</v>
      </c>
      <c r="K395" s="7">
        <v>35.534683000000001</v>
      </c>
      <c r="L395" s="7">
        <v>-9.9236619951949301</v>
      </c>
    </row>
    <row r="396" spans="1:12" ht="15" customHeight="1" x14ac:dyDescent="0.2">
      <c r="A396" s="3">
        <v>45476</v>
      </c>
      <c r="B396" s="4">
        <v>36.306744000000002</v>
      </c>
      <c r="C396" s="5">
        <v>420644.47</v>
      </c>
      <c r="D396" s="4">
        <v>0.82155600000000095</v>
      </c>
      <c r="E396" s="4">
        <v>2.3152082497069002</v>
      </c>
      <c r="F396" s="4">
        <v>2.3152117913297801</v>
      </c>
      <c r="G396" s="4">
        <v>36.577060000000003</v>
      </c>
      <c r="H396" s="4">
        <v>-9.0049410457371604</v>
      </c>
      <c r="I396" s="4">
        <v>35.356513999999997</v>
      </c>
      <c r="J396" s="4">
        <v>37.316364</v>
      </c>
      <c r="K396" s="4">
        <v>35.356513999999997</v>
      </c>
      <c r="L396" s="4">
        <v>-9.6774232068589292</v>
      </c>
    </row>
    <row r="397" spans="1:12" ht="15" customHeight="1" x14ac:dyDescent="0.2">
      <c r="A397" s="6">
        <v>45475</v>
      </c>
      <c r="B397" s="7">
        <v>35.485188000000001</v>
      </c>
      <c r="C397" s="8">
        <v>1073316.2</v>
      </c>
      <c r="D397" s="7">
        <v>-0.44542199999999998</v>
      </c>
      <c r="E397" s="7">
        <v>-1.23967280266046</v>
      </c>
      <c r="F397" s="7">
        <v>-1.2396828918887599</v>
      </c>
      <c r="G397" s="7">
        <v>35.749386000000001</v>
      </c>
      <c r="H397" s="7">
        <v>-11.063997854155</v>
      </c>
      <c r="I397" s="7">
        <v>35.930610000000001</v>
      </c>
      <c r="J397" s="7">
        <v>36.108780000000003</v>
      </c>
      <c r="K397" s="7">
        <v>34.218215999999998</v>
      </c>
      <c r="L397" s="7">
        <v>-11.721259880835101</v>
      </c>
    </row>
    <row r="398" spans="1:12" ht="15" customHeight="1" x14ac:dyDescent="0.2">
      <c r="A398" s="3">
        <v>45474</v>
      </c>
      <c r="B398" s="4">
        <v>35.930610000000001</v>
      </c>
      <c r="C398" s="5">
        <v>166212.37</v>
      </c>
      <c r="D398" s="4">
        <v>0.63348700000000202</v>
      </c>
      <c r="E398" s="4">
        <v>1.79472700933729</v>
      </c>
      <c r="F398" s="4">
        <v>1.79473969570234</v>
      </c>
      <c r="G398" s="4">
        <v>36.198127999999997</v>
      </c>
      <c r="H398" s="4">
        <v>-9.94763408010507</v>
      </c>
      <c r="I398" s="4">
        <v>35.297122999999999</v>
      </c>
      <c r="J398" s="4">
        <v>36.514606000000001</v>
      </c>
      <c r="K398" s="4">
        <v>35.237732000000001</v>
      </c>
      <c r="L398" s="4">
        <v>-10.6131554801663</v>
      </c>
    </row>
    <row r="399" spans="1:12" ht="15" customHeight="1" x14ac:dyDescent="0.2">
      <c r="A399" s="6">
        <v>45471</v>
      </c>
      <c r="B399" s="7">
        <v>35.297122999999999</v>
      </c>
      <c r="C399" s="8">
        <v>531294.43000000005</v>
      </c>
      <c r="D399" s="7">
        <v>-1.1679919999999899</v>
      </c>
      <c r="E399" s="7">
        <v>-3.2030393980657799</v>
      </c>
      <c r="F399" s="7">
        <v>-3.2030445923017901</v>
      </c>
      <c r="G399" s="7">
        <v>35.559919999999998</v>
      </c>
      <c r="H399" s="7">
        <v>-11.535344371339001</v>
      </c>
      <c r="I399" s="7">
        <v>36.108780000000003</v>
      </c>
      <c r="J399" s="7">
        <v>36.306744000000002</v>
      </c>
      <c r="K399" s="7">
        <v>35.089260000000003</v>
      </c>
      <c r="L399" s="7">
        <v>-12.1891210419627</v>
      </c>
    </row>
    <row r="400" spans="1:12" ht="15" customHeight="1" x14ac:dyDescent="0.2">
      <c r="A400" s="3">
        <v>45470</v>
      </c>
      <c r="B400" s="4">
        <v>36.465114999999997</v>
      </c>
      <c r="C400" s="5">
        <v>233743.58</v>
      </c>
      <c r="D400" s="4">
        <v>-0.682979000000003</v>
      </c>
      <c r="E400" s="4">
        <v>-1.8385303967412201</v>
      </c>
      <c r="F400" s="4">
        <v>-1.8385329999525799</v>
      </c>
      <c r="G400" s="4">
        <v>36.736609999999999</v>
      </c>
      <c r="H400" s="4">
        <v>-8.6080184484548106</v>
      </c>
      <c r="I400" s="4">
        <v>37.009518</v>
      </c>
      <c r="J400" s="4">
        <v>37.316364</v>
      </c>
      <c r="K400" s="4">
        <v>36.207763999999997</v>
      </c>
      <c r="L400" s="4">
        <v>-9.2834336822321504</v>
      </c>
    </row>
    <row r="401" spans="1:12" ht="15" customHeight="1" x14ac:dyDescent="0.2">
      <c r="A401" s="6">
        <v>45469</v>
      </c>
      <c r="B401" s="7">
        <v>37.148094</v>
      </c>
      <c r="C401" s="8">
        <v>593298.46</v>
      </c>
      <c r="D401" s="7">
        <v>-1.108606</v>
      </c>
      <c r="E401" s="7">
        <v>-2.8978087498398999</v>
      </c>
      <c r="F401" s="7">
        <v>-2.8978062990435101</v>
      </c>
      <c r="G401" s="7">
        <v>37.424675000000001</v>
      </c>
      <c r="H401" s="7">
        <v>-6.89627575400739</v>
      </c>
      <c r="I401" s="7">
        <v>38.048831999999997</v>
      </c>
      <c r="J401" s="7">
        <v>38.048831999999997</v>
      </c>
      <c r="K401" s="7">
        <v>36.781860000000002</v>
      </c>
      <c r="L401" s="7">
        <v>-7.5843437507416596</v>
      </c>
    </row>
    <row r="402" spans="1:12" ht="15" customHeight="1" x14ac:dyDescent="0.2">
      <c r="A402" s="3">
        <v>45468</v>
      </c>
      <c r="B402" s="4">
        <v>38.256700000000002</v>
      </c>
      <c r="C402" s="5">
        <v>459107.88</v>
      </c>
      <c r="D402" s="4">
        <v>1.01952</v>
      </c>
      <c r="E402" s="4">
        <v>2.7379087245596998</v>
      </c>
      <c r="F402" s="4">
        <v>2.7379096301174601</v>
      </c>
      <c r="G402" s="4">
        <v>38.541533999999999</v>
      </c>
      <c r="H402" s="4">
        <v>-4.11779518316329</v>
      </c>
      <c r="I402" s="4">
        <v>37.276769999999999</v>
      </c>
      <c r="J402" s="4">
        <v>38.603133999999997</v>
      </c>
      <c r="K402" s="4">
        <v>35.693053999999997</v>
      </c>
      <c r="L402" s="4">
        <v>-4.8263946884865199</v>
      </c>
    </row>
    <row r="403" spans="1:12" ht="15" customHeight="1" x14ac:dyDescent="0.2">
      <c r="A403" s="6">
        <v>45467</v>
      </c>
      <c r="B403" s="7">
        <v>37.237180000000002</v>
      </c>
      <c r="C403" s="8">
        <v>376718.5</v>
      </c>
      <c r="D403" s="7">
        <v>-1.1679899999999901</v>
      </c>
      <c r="E403" s="7">
        <v>-3.0412311675745598</v>
      </c>
      <c r="F403" s="7">
        <v>-3.04123350299332</v>
      </c>
      <c r="G403" s="7">
        <v>37.514423000000001</v>
      </c>
      <c r="H403" s="7">
        <v>-6.6730039943026203</v>
      </c>
      <c r="I403" s="7">
        <v>38.157715000000003</v>
      </c>
      <c r="J403" s="7">
        <v>38.741709999999998</v>
      </c>
      <c r="K403" s="7">
        <v>37.118400000000001</v>
      </c>
      <c r="L403" s="7">
        <v>-7.36271889018699</v>
      </c>
    </row>
    <row r="404" spans="1:12" ht="15" customHeight="1" x14ac:dyDescent="0.2">
      <c r="A404" s="3">
        <v>45464</v>
      </c>
      <c r="B404" s="4">
        <v>38.405169999999998</v>
      </c>
      <c r="C404" s="5">
        <v>749739.4</v>
      </c>
      <c r="D404" s="4">
        <v>2.0687329999999999</v>
      </c>
      <c r="E404" s="4">
        <v>5.6932742194838903</v>
      </c>
      <c r="F404" s="4">
        <v>5.6932700477635603</v>
      </c>
      <c r="G404" s="4">
        <v>38.691110000000002</v>
      </c>
      <c r="H404" s="4">
        <v>-3.7456855347075901</v>
      </c>
      <c r="I404" s="4">
        <v>36.514606000000001</v>
      </c>
      <c r="J404" s="4">
        <v>38.603133999999997</v>
      </c>
      <c r="K404" s="4">
        <v>35.346615</v>
      </c>
      <c r="L404" s="4">
        <v>-4.4570365059825399</v>
      </c>
    </row>
    <row r="405" spans="1:12" ht="15" customHeight="1" x14ac:dyDescent="0.2">
      <c r="A405" s="6">
        <v>45463</v>
      </c>
      <c r="B405" s="7">
        <v>36.336436999999997</v>
      </c>
      <c r="C405" s="8">
        <v>462309.48</v>
      </c>
      <c r="D405" s="7">
        <v>0.118776999999994</v>
      </c>
      <c r="E405" s="7">
        <v>0.32795326920622703</v>
      </c>
      <c r="F405" s="7">
        <v>0.32796057983115401</v>
      </c>
      <c r="G405" s="7">
        <v>36.606976000000003</v>
      </c>
      <c r="H405" s="7">
        <v>-8.9305171258355696</v>
      </c>
      <c r="I405" s="7">
        <v>36.197865</v>
      </c>
      <c r="J405" s="7">
        <v>37.039209999999997</v>
      </c>
      <c r="K405" s="7">
        <v>35.148646999999997</v>
      </c>
      <c r="L405" s="7">
        <v>-9.60355405812121</v>
      </c>
    </row>
    <row r="406" spans="1:12" ht="15" customHeight="1" x14ac:dyDescent="0.2">
      <c r="A406" s="3">
        <v>45462</v>
      </c>
      <c r="B406" s="4">
        <v>36.217660000000002</v>
      </c>
      <c r="C406" s="5">
        <v>370976.07</v>
      </c>
      <c r="D406" s="4">
        <v>0.60379000000000305</v>
      </c>
      <c r="E406" s="4">
        <v>1.6953787948347201</v>
      </c>
      <c r="F406" s="4">
        <v>1.69538330542706</v>
      </c>
      <c r="G406" s="4">
        <v>36.487312000000003</v>
      </c>
      <c r="H406" s="4">
        <v>-9.2282128054419399</v>
      </c>
      <c r="I406" s="4">
        <v>36.524506000000002</v>
      </c>
      <c r="J406" s="4">
        <v>36.870944999999999</v>
      </c>
      <c r="K406" s="4">
        <v>35.336716000000003</v>
      </c>
      <c r="L406" s="4">
        <v>-9.8990430918874601</v>
      </c>
    </row>
    <row r="407" spans="1:12" ht="15" customHeight="1" x14ac:dyDescent="0.2">
      <c r="A407" s="6">
        <v>45461</v>
      </c>
      <c r="B407" s="7">
        <v>35.613869999999999</v>
      </c>
      <c r="C407" s="8">
        <v>868194.76</v>
      </c>
      <c r="D407" s="7">
        <v>0.89084400000000097</v>
      </c>
      <c r="E407" s="7">
        <v>2.5655713301023999</v>
      </c>
      <c r="F407" s="7">
        <v>2.56556084189745</v>
      </c>
      <c r="G407" s="7">
        <v>35.879024999999999</v>
      </c>
      <c r="H407" s="7">
        <v>-10.741486737958899</v>
      </c>
      <c r="I407" s="7">
        <v>34.653736000000002</v>
      </c>
      <c r="J407" s="7">
        <v>36.653182999999999</v>
      </c>
      <c r="K407" s="7">
        <v>34.604244000000001</v>
      </c>
      <c r="L407" s="7">
        <v>-11.401129553893799</v>
      </c>
    </row>
    <row r="408" spans="1:12" ht="15" customHeight="1" x14ac:dyDescent="0.2">
      <c r="A408" s="3">
        <v>45460</v>
      </c>
      <c r="B408" s="4">
        <v>34.723025999999997</v>
      </c>
      <c r="C408" s="5">
        <v>378372.3</v>
      </c>
      <c r="D408" s="4">
        <v>-0.60379100000000097</v>
      </c>
      <c r="E408" s="4">
        <v>-1.7091576634260599</v>
      </c>
      <c r="F408" s="4">
        <v>-1.7091508935303801</v>
      </c>
      <c r="G408" s="4">
        <v>34.981552000000001</v>
      </c>
      <c r="H408" s="4">
        <v>-12.974186920665201</v>
      </c>
      <c r="I408" s="4">
        <v>35.376311999999999</v>
      </c>
      <c r="J408" s="4">
        <v>35.386208000000003</v>
      </c>
      <c r="K408" s="4">
        <v>34.307299999999998</v>
      </c>
      <c r="L408" s="4">
        <v>-13.617338355231301</v>
      </c>
    </row>
    <row r="409" spans="1:12" ht="15" customHeight="1" x14ac:dyDescent="0.2">
      <c r="A409" s="6">
        <v>45457</v>
      </c>
      <c r="B409" s="7">
        <v>35.326816999999998</v>
      </c>
      <c r="C409" s="8">
        <v>696397.6</v>
      </c>
      <c r="D409" s="7">
        <v>-0.26725300000000302</v>
      </c>
      <c r="E409" s="7">
        <v>-0.75083574314486201</v>
      </c>
      <c r="F409" s="7">
        <v>-0.75083911801417902</v>
      </c>
      <c r="G409" s="7">
        <v>35.589835999999998</v>
      </c>
      <c r="H409" s="7">
        <v>-11.460920451437399</v>
      </c>
      <c r="I409" s="7">
        <v>35.702950000000001</v>
      </c>
      <c r="J409" s="7">
        <v>35.851424999999999</v>
      </c>
      <c r="K409" s="7">
        <v>34.90119</v>
      </c>
      <c r="L409" s="7">
        <v>-12.115249405461901</v>
      </c>
    </row>
    <row r="410" spans="1:12" ht="15" customHeight="1" x14ac:dyDescent="0.2">
      <c r="A410" s="3">
        <v>45456</v>
      </c>
      <c r="B410" s="4">
        <v>35.594070000000002</v>
      </c>
      <c r="C410" s="5">
        <v>421598.18</v>
      </c>
      <c r="D410" s="4">
        <v>0.14847000000000299</v>
      </c>
      <c r="E410" s="4">
        <v>0.41886722188368902</v>
      </c>
      <c r="F410" s="4">
        <v>0.418871693621714</v>
      </c>
      <c r="G410" s="4">
        <v>35.859079999999999</v>
      </c>
      <c r="H410" s="4">
        <v>-10.7911051723231</v>
      </c>
      <c r="I410" s="4">
        <v>35.544580000000003</v>
      </c>
      <c r="J410" s="4">
        <v>36.336436999999997</v>
      </c>
      <c r="K410" s="4">
        <v>34.653736000000002</v>
      </c>
      <c r="L410" s="4">
        <v>-11.4503872626132</v>
      </c>
    </row>
    <row r="411" spans="1:12" ht="15" customHeight="1" x14ac:dyDescent="0.2">
      <c r="A411" s="6">
        <v>45455</v>
      </c>
      <c r="B411" s="7">
        <v>35.445599999999999</v>
      </c>
      <c r="C411" s="8">
        <v>601958.56000000006</v>
      </c>
      <c r="D411" s="7">
        <v>9.9000000000017893E-3</v>
      </c>
      <c r="E411" s="7">
        <v>2.7937927005816598E-2</v>
      </c>
      <c r="F411" s="7">
        <v>2.7935942013779198E-2</v>
      </c>
      <c r="G411" s="7">
        <v>35.709502999999998</v>
      </c>
      <c r="H411" s="7">
        <v>-11.1632173085418</v>
      </c>
      <c r="I411" s="7">
        <v>35.277329999999999</v>
      </c>
      <c r="J411" s="7">
        <v>36.069183000000002</v>
      </c>
      <c r="K411" s="7">
        <v>35.099159999999998</v>
      </c>
      <c r="L411" s="7">
        <v>-11.819745445117199</v>
      </c>
    </row>
    <row r="412" spans="1:12" ht="15" customHeight="1" x14ac:dyDescent="0.2">
      <c r="A412" s="3">
        <v>45454</v>
      </c>
      <c r="B412" s="4">
        <v>35.435699999999997</v>
      </c>
      <c r="C412" s="5">
        <v>768742.74</v>
      </c>
      <c r="D412" s="4">
        <v>-0.17817000000000099</v>
      </c>
      <c r="E412" s="4">
        <v>-0.50028261461054702</v>
      </c>
      <c r="F412" s="4">
        <v>-0.500278365981221</v>
      </c>
      <c r="G412" s="4">
        <v>35.699530000000003</v>
      </c>
      <c r="H412" s="4">
        <v>-11.1880277696054</v>
      </c>
      <c r="I412" s="4">
        <v>35.930610000000001</v>
      </c>
      <c r="J412" s="4">
        <v>36.277050000000003</v>
      </c>
      <c r="K412" s="4">
        <v>34.693330000000003</v>
      </c>
      <c r="L412" s="4">
        <v>-11.844374299477</v>
      </c>
    </row>
    <row r="413" spans="1:12" ht="15" customHeight="1" x14ac:dyDescent="0.2">
      <c r="A413" s="6">
        <v>45453</v>
      </c>
      <c r="B413" s="7">
        <v>35.613869999999999</v>
      </c>
      <c r="C413" s="8">
        <v>579498</v>
      </c>
      <c r="D413" s="7">
        <v>0.85124999999999995</v>
      </c>
      <c r="E413" s="7">
        <v>2.44875098597285</v>
      </c>
      <c r="F413" s="7">
        <v>2.4487428272509599</v>
      </c>
      <c r="G413" s="7">
        <v>35.879024999999999</v>
      </c>
      <c r="H413" s="7">
        <v>-10.741486737958899</v>
      </c>
      <c r="I413" s="7">
        <v>34.792316</v>
      </c>
      <c r="J413" s="7">
        <v>36.623489999999997</v>
      </c>
      <c r="K413" s="7">
        <v>34.584449999999997</v>
      </c>
      <c r="L413" s="7">
        <v>-11.401129553893799</v>
      </c>
    </row>
    <row r="414" spans="1:12" ht="15" customHeight="1" x14ac:dyDescent="0.2">
      <c r="A414" s="3">
        <v>45450</v>
      </c>
      <c r="B414" s="4">
        <v>34.762619999999998</v>
      </c>
      <c r="C414" s="5">
        <v>702476.4</v>
      </c>
      <c r="D414" s="4">
        <v>-0.45532</v>
      </c>
      <c r="E414" s="4">
        <v>-1.2928638074799299</v>
      </c>
      <c r="F414" s="4">
        <v>-1.29286932028926</v>
      </c>
      <c r="G414" s="4">
        <v>35.021439999999998</v>
      </c>
      <c r="H414" s="4">
        <v>-12.8749550274631</v>
      </c>
      <c r="I414" s="4">
        <v>35.217939999999999</v>
      </c>
      <c r="J414" s="4">
        <v>35.603969999999997</v>
      </c>
      <c r="K414" s="4">
        <v>34.198417999999997</v>
      </c>
      <c r="L414" s="4">
        <v>-13.5188378643708</v>
      </c>
    </row>
    <row r="415" spans="1:12" ht="15" customHeight="1" x14ac:dyDescent="0.2">
      <c r="A415" s="6">
        <v>45449</v>
      </c>
      <c r="B415" s="7">
        <v>35.217939999999999</v>
      </c>
      <c r="C415" s="8">
        <v>526061.15999999898</v>
      </c>
      <c r="D415" s="7">
        <v>-5.9390000000000498E-2</v>
      </c>
      <c r="E415" s="7">
        <v>-0.168351743173311</v>
      </c>
      <c r="F415" s="7">
        <v>-0.16833999343838199</v>
      </c>
      <c r="G415" s="7">
        <v>35.480151999999997</v>
      </c>
      <c r="H415" s="7">
        <v>-11.7337882556387</v>
      </c>
      <c r="I415" s="7">
        <v>35.277329999999999</v>
      </c>
      <c r="J415" s="7">
        <v>36.118679999999998</v>
      </c>
      <c r="K415" s="7">
        <v>34.950687000000002</v>
      </c>
      <c r="L415" s="7">
        <v>-12.3861095848684</v>
      </c>
    </row>
    <row r="416" spans="1:12" ht="15" customHeight="1" x14ac:dyDescent="0.2">
      <c r="A416" s="3">
        <v>45448</v>
      </c>
      <c r="B416" s="4">
        <v>35.277329999999999</v>
      </c>
      <c r="C416" s="5">
        <v>473412.44999999902</v>
      </c>
      <c r="D416" s="4">
        <v>7.9186999999997398E-2</v>
      </c>
      <c r="E416" s="4">
        <v>0.22497493688799999</v>
      </c>
      <c r="F416" s="4">
        <v>0.224970498619492</v>
      </c>
      <c r="G416" s="4">
        <v>35.53998</v>
      </c>
      <c r="H416" s="4">
        <v>-11.584950366887799</v>
      </c>
      <c r="I416" s="4">
        <v>35.336716000000003</v>
      </c>
      <c r="J416" s="4">
        <v>35.633662999999999</v>
      </c>
      <c r="K416" s="4">
        <v>34.188521999999999</v>
      </c>
      <c r="L416" s="4">
        <v>-12.2383613363407</v>
      </c>
    </row>
    <row r="417" spans="1:12" ht="15" customHeight="1" x14ac:dyDescent="0.2">
      <c r="A417" s="6">
        <v>45447</v>
      </c>
      <c r="B417" s="7">
        <v>35.198143000000002</v>
      </c>
      <c r="C417" s="8">
        <v>654336.5</v>
      </c>
      <c r="D417" s="7">
        <v>0.47511700000000401</v>
      </c>
      <c r="E417" s="7">
        <v>1.36830528537461</v>
      </c>
      <c r="F417" s="7">
        <v>1.36830121202169</v>
      </c>
      <c r="G417" s="7">
        <v>35.460205000000002</v>
      </c>
      <c r="H417" s="7">
        <v>-11.783411665529</v>
      </c>
      <c r="I417" s="7">
        <v>35.910812</v>
      </c>
      <c r="J417" s="7">
        <v>35.910812</v>
      </c>
      <c r="K417" s="7">
        <v>34.435977999999999</v>
      </c>
      <c r="L417" s="7">
        <v>-12.435359830298699</v>
      </c>
    </row>
    <row r="418" spans="1:12" ht="15" customHeight="1" x14ac:dyDescent="0.2">
      <c r="A418" s="3">
        <v>45446</v>
      </c>
      <c r="B418" s="4">
        <v>34.723025999999997</v>
      </c>
      <c r="C418" s="5">
        <v>712557</v>
      </c>
      <c r="D418" s="4">
        <v>-2.8506939999999998</v>
      </c>
      <c r="E418" s="4">
        <v>-7.58693576254894</v>
      </c>
      <c r="F418" s="4">
        <v>-7.5869345663686802</v>
      </c>
      <c r="G418" s="4">
        <v>34.981552000000001</v>
      </c>
      <c r="H418" s="4">
        <v>-12.974186920665201</v>
      </c>
      <c r="I418" s="4">
        <v>37.504429999999999</v>
      </c>
      <c r="J418" s="4">
        <v>37.504429999999999</v>
      </c>
      <c r="K418" s="4">
        <v>34.079639999999998</v>
      </c>
      <c r="L418" s="4">
        <v>-13.617338355231301</v>
      </c>
    </row>
    <row r="419" spans="1:12" ht="15" customHeight="1" x14ac:dyDescent="0.2">
      <c r="A419" s="6">
        <v>45443</v>
      </c>
      <c r="B419" s="7">
        <v>37.573720000000002</v>
      </c>
      <c r="C419" s="8">
        <v>4420078.5999999996</v>
      </c>
      <c r="D419" s="7">
        <v>1.3758550000000001</v>
      </c>
      <c r="E419" s="7">
        <v>3.80092859067793</v>
      </c>
      <c r="F419" s="7">
        <v>3.8009321758053698</v>
      </c>
      <c r="G419" s="7">
        <v>37.853470000000002</v>
      </c>
      <c r="H419" s="7">
        <v>-5.8295353898476403</v>
      </c>
      <c r="I419" s="7">
        <v>35.871223000000001</v>
      </c>
      <c r="J419" s="7">
        <v>38.108223000000002</v>
      </c>
      <c r="K419" s="7">
        <v>34.238010000000003</v>
      </c>
      <c r="L419" s="7">
        <v>-6.52548710774008</v>
      </c>
    </row>
    <row r="420" spans="1:12" ht="15" customHeight="1" x14ac:dyDescent="0.2">
      <c r="A420" s="3">
        <v>45442</v>
      </c>
      <c r="B420" s="4">
        <v>36.197865</v>
      </c>
      <c r="C420" s="5">
        <v>660089.05000000005</v>
      </c>
      <c r="D420" s="4">
        <v>1.4253450000000001</v>
      </c>
      <c r="E420" s="4">
        <v>4.0990558061365601</v>
      </c>
      <c r="F420" s="4">
        <v>4.0990642397779702</v>
      </c>
      <c r="G420" s="4">
        <v>36.467370000000003</v>
      </c>
      <c r="H420" s="4">
        <v>-9.2778237765168701</v>
      </c>
      <c r="I420" s="4">
        <v>34.861603000000002</v>
      </c>
      <c r="J420" s="4">
        <v>36.861046000000002</v>
      </c>
      <c r="K420" s="4">
        <v>34.643839999999997</v>
      </c>
      <c r="L420" s="4">
        <v>-9.9482883617915903</v>
      </c>
    </row>
    <row r="421" spans="1:12" ht="15" customHeight="1" x14ac:dyDescent="0.2">
      <c r="A421" s="6">
        <v>45441</v>
      </c>
      <c r="B421" s="7">
        <v>34.77252</v>
      </c>
      <c r="C421" s="8">
        <v>505488.83</v>
      </c>
      <c r="D421" s="7">
        <v>0.65328399999999898</v>
      </c>
      <c r="E421" s="7">
        <v>1.9147087584258899</v>
      </c>
      <c r="F421" s="7">
        <v>1.91470324144953</v>
      </c>
      <c r="G421" s="7">
        <v>35.031410000000001</v>
      </c>
      <c r="H421" s="7">
        <v>-12.850152029688701</v>
      </c>
      <c r="I421" s="7">
        <v>34.14893</v>
      </c>
      <c r="J421" s="7">
        <v>35.435699999999997</v>
      </c>
      <c r="K421" s="7">
        <v>33.941066999999997</v>
      </c>
      <c r="L421" s="7">
        <v>-13.494209010011099</v>
      </c>
    </row>
    <row r="422" spans="1:12" ht="15" customHeight="1" x14ac:dyDescent="0.2">
      <c r="A422" s="3">
        <v>45440</v>
      </c>
      <c r="B422" s="4">
        <v>34.119236000000001</v>
      </c>
      <c r="C422" s="5">
        <v>492556.24</v>
      </c>
      <c r="D422" s="4">
        <v>0.36623600000000001</v>
      </c>
      <c r="E422" s="4">
        <v>1.0850472550588</v>
      </c>
      <c r="F422" s="4">
        <v>1.0850510082548199</v>
      </c>
      <c r="G422" s="4">
        <v>34.373263999999999</v>
      </c>
      <c r="H422" s="4">
        <v>-14.4874633409453</v>
      </c>
      <c r="I422" s="4">
        <v>33.792589999999997</v>
      </c>
      <c r="J422" s="4">
        <v>34.416179999999997</v>
      </c>
      <c r="K422" s="4">
        <v>33.168999999999997</v>
      </c>
      <c r="L422" s="4">
        <v>-15.1194248172377</v>
      </c>
    </row>
    <row r="423" spans="1:12" ht="15" customHeight="1" x14ac:dyDescent="0.2">
      <c r="A423" s="6">
        <v>45439</v>
      </c>
      <c r="B423" s="7">
        <v>33.753</v>
      </c>
      <c r="C423" s="8">
        <v>172292.25</v>
      </c>
      <c r="D423" s="7">
        <v>-0.31674000000000202</v>
      </c>
      <c r="E423" s="7">
        <v>-0.929681294896889</v>
      </c>
      <c r="F423" s="7">
        <v>-0.92969222572983901</v>
      </c>
      <c r="G423" s="7">
        <v>34.004300000000001</v>
      </c>
      <c r="H423" s="7">
        <v>-15.405358353064999</v>
      </c>
      <c r="I423" s="7">
        <v>33.851982</v>
      </c>
      <c r="J423" s="7">
        <v>34.109332999999999</v>
      </c>
      <c r="K423" s="7">
        <v>33.456049999999998</v>
      </c>
      <c r="L423" s="7">
        <v>-16.0305332117115</v>
      </c>
    </row>
    <row r="424" spans="1:12" ht="15" customHeight="1" x14ac:dyDescent="0.2">
      <c r="A424" s="3">
        <v>45436</v>
      </c>
      <c r="B424" s="4">
        <v>34.069740000000003</v>
      </c>
      <c r="C424" s="5">
        <v>299317.87</v>
      </c>
      <c r="D424" s="4">
        <v>-0.36623799999999501</v>
      </c>
      <c r="E424" s="4">
        <v>-1.0635330293218099</v>
      </c>
      <c r="F424" s="4">
        <v>-1.0635251031033599</v>
      </c>
      <c r="G424" s="4">
        <v>34.323402000000002</v>
      </c>
      <c r="H424" s="4">
        <v>-14.6115081829741</v>
      </c>
      <c r="I424" s="4">
        <v>34.445872999999999</v>
      </c>
      <c r="J424" s="4">
        <v>34.554755999999998</v>
      </c>
      <c r="K424" s="4">
        <v>33.812390000000001</v>
      </c>
      <c r="L424" s="4">
        <v>-15.242559137984101</v>
      </c>
    </row>
    <row r="425" spans="1:12" ht="15" customHeight="1" x14ac:dyDescent="0.2">
      <c r="A425" s="6">
        <v>45435</v>
      </c>
      <c r="B425" s="7">
        <v>34.435977999999999</v>
      </c>
      <c r="C425" s="8">
        <v>341127.32</v>
      </c>
      <c r="D425" s="7">
        <v>-0.49491199999999902</v>
      </c>
      <c r="E425" s="7">
        <v>-1.41683192154565</v>
      </c>
      <c r="F425" s="7">
        <v>-1.4168297767381099</v>
      </c>
      <c r="G425" s="7">
        <v>34.692363999999998</v>
      </c>
      <c r="H425" s="7">
        <v>-13.693618146380601</v>
      </c>
      <c r="I425" s="7">
        <v>34.930889999999998</v>
      </c>
      <c r="J425" s="7">
        <v>35.257530000000003</v>
      </c>
      <c r="K425" s="7">
        <v>34.238010000000003</v>
      </c>
      <c r="L425" s="7">
        <v>-14.3314457679841</v>
      </c>
    </row>
    <row r="426" spans="1:12" ht="15" customHeight="1" x14ac:dyDescent="0.2">
      <c r="A426" s="3">
        <v>45434</v>
      </c>
      <c r="B426" s="4">
        <v>34.930889999999998</v>
      </c>
      <c r="C426" s="5">
        <v>418547.12</v>
      </c>
      <c r="D426" s="4">
        <v>-0.10888200000000101</v>
      </c>
      <c r="E426" s="4">
        <v>-0.31073832329730999</v>
      </c>
      <c r="F426" s="4">
        <v>-0.31074494226806998</v>
      </c>
      <c r="G426" s="4">
        <v>35.190959999999997</v>
      </c>
      <c r="H426" s="4">
        <v>-12.453229432406401</v>
      </c>
      <c r="I426" s="4">
        <v>35.208039999999997</v>
      </c>
      <c r="J426" s="4">
        <v>35.465397000000003</v>
      </c>
      <c r="K426" s="4">
        <v>34.633940000000003</v>
      </c>
      <c r="L426" s="4">
        <v>-13.100221973147301</v>
      </c>
    </row>
    <row r="427" spans="1:12" ht="15" customHeight="1" x14ac:dyDescent="0.2">
      <c r="A427" s="6">
        <v>45433</v>
      </c>
      <c r="B427" s="7">
        <v>35.039771999999999</v>
      </c>
      <c r="C427" s="8">
        <v>519336.8</v>
      </c>
      <c r="D427" s="7">
        <v>-0.83145100000000105</v>
      </c>
      <c r="E427" s="7">
        <v>-2.3178774807873199</v>
      </c>
      <c r="F427" s="7">
        <v>-2.3178817109759802</v>
      </c>
      <c r="G427" s="7">
        <v>35.300654999999999</v>
      </c>
      <c r="H427" s="7">
        <v>-12.1803342628113</v>
      </c>
      <c r="I427" s="7">
        <v>35.841526000000002</v>
      </c>
      <c r="J427" s="7">
        <v>35.851424999999999</v>
      </c>
      <c r="K427" s="7">
        <v>34.841805000000001</v>
      </c>
      <c r="L427" s="7">
        <v>-12.829349354925499</v>
      </c>
    </row>
    <row r="428" spans="1:12" ht="15" customHeight="1" x14ac:dyDescent="0.2">
      <c r="A428" s="3">
        <v>45432</v>
      </c>
      <c r="B428" s="4">
        <v>35.871223000000001</v>
      </c>
      <c r="C428" s="5">
        <v>380963.68</v>
      </c>
      <c r="D428" s="4">
        <v>-0.18806500000000101</v>
      </c>
      <c r="E428" s="4">
        <v>-0.52154385300120498</v>
      </c>
      <c r="F428" s="4">
        <v>-0.52154326155452402</v>
      </c>
      <c r="G428" s="4">
        <v>36.138297999999999</v>
      </c>
      <c r="H428" s="4">
        <v>-10.096476944382101</v>
      </c>
      <c r="I428" s="4">
        <v>36.207763999999997</v>
      </c>
      <c r="J428" s="4">
        <v>36.207763999999997</v>
      </c>
      <c r="K428" s="4">
        <v>35.683154999999999</v>
      </c>
      <c r="L428" s="4">
        <v>-10.760896265404901</v>
      </c>
    </row>
    <row r="429" spans="1:12" ht="15" customHeight="1" x14ac:dyDescent="0.2">
      <c r="A429" s="6">
        <v>45429</v>
      </c>
      <c r="B429" s="7">
        <v>36.059288000000002</v>
      </c>
      <c r="C429" s="8">
        <v>552134.5</v>
      </c>
      <c r="D429" s="7">
        <v>-0.27714899999999398</v>
      </c>
      <c r="E429" s="7">
        <v>-0.762730258885846</v>
      </c>
      <c r="F429" s="7">
        <v>-0.76273167169013101</v>
      </c>
      <c r="G429" s="7">
        <v>36.327762999999997</v>
      </c>
      <c r="H429" s="7">
        <v>-9.6251329149612399</v>
      </c>
      <c r="I429" s="7">
        <v>36.138474000000002</v>
      </c>
      <c r="J429" s="7">
        <v>36.356236000000003</v>
      </c>
      <c r="K429" s="7">
        <v>35.881120000000003</v>
      </c>
      <c r="L429" s="7">
        <v>-10.293035104277299</v>
      </c>
    </row>
    <row r="430" spans="1:12" ht="15" customHeight="1" x14ac:dyDescent="0.2">
      <c r="A430" s="3">
        <v>45428</v>
      </c>
      <c r="B430" s="4">
        <v>36.336436999999997</v>
      </c>
      <c r="C430" s="5">
        <v>429192.47</v>
      </c>
      <c r="D430" s="4">
        <v>-0.50481300000000495</v>
      </c>
      <c r="E430" s="4">
        <v>-1.3702385233943</v>
      </c>
      <c r="F430" s="4">
        <v>-1.37023711384342</v>
      </c>
      <c r="G430" s="4">
        <v>36.606976000000003</v>
      </c>
      <c r="H430" s="4">
        <v>-8.9305171258355696</v>
      </c>
      <c r="I430" s="4">
        <v>36.930335999999997</v>
      </c>
      <c r="J430" s="4">
        <v>36.999622000000002</v>
      </c>
      <c r="K430" s="4">
        <v>35.75244</v>
      </c>
      <c r="L430" s="4">
        <v>-9.60355405812121</v>
      </c>
    </row>
    <row r="431" spans="1:12" ht="15" customHeight="1" x14ac:dyDescent="0.2">
      <c r="A431" s="6">
        <v>45427</v>
      </c>
      <c r="B431" s="7">
        <v>36.841250000000002</v>
      </c>
      <c r="C431" s="8">
        <v>604806.5</v>
      </c>
      <c r="D431" s="7">
        <v>-9.8979999999997403E-2</v>
      </c>
      <c r="E431" s="7">
        <v>-0.26794635550454399</v>
      </c>
      <c r="F431" s="7">
        <v>-0.26794382724098997</v>
      </c>
      <c r="G431" s="7">
        <v>37.115546999999999</v>
      </c>
      <c r="H431" s="7">
        <v>-7.6653129752715801</v>
      </c>
      <c r="I431" s="7">
        <v>36.752167</v>
      </c>
      <c r="J431" s="7">
        <v>37.79148</v>
      </c>
      <c r="K431" s="7">
        <v>36.732370000000003</v>
      </c>
      <c r="L431" s="7">
        <v>-8.3476989211616299</v>
      </c>
    </row>
    <row r="432" spans="1:12" ht="15" customHeight="1" x14ac:dyDescent="0.2">
      <c r="A432" s="3">
        <v>45426</v>
      </c>
      <c r="B432" s="4">
        <v>36.94023</v>
      </c>
      <c r="C432" s="5">
        <v>168509.75</v>
      </c>
      <c r="D432" s="4">
        <v>-0.55430400000000102</v>
      </c>
      <c r="E432" s="4">
        <v>-1.47835948567863</v>
      </c>
      <c r="F432" s="4">
        <v>-1.4783569083382899</v>
      </c>
      <c r="G432" s="4">
        <v>37.215263</v>
      </c>
      <c r="H432" s="4">
        <v>-7.4172431933185399</v>
      </c>
      <c r="I432" s="4">
        <v>37.56382</v>
      </c>
      <c r="J432" s="4">
        <v>37.603416000000003</v>
      </c>
      <c r="K432" s="4">
        <v>36.633384999999997</v>
      </c>
      <c r="L432" s="4">
        <v>-8.1014601328256397</v>
      </c>
    </row>
    <row r="433" spans="1:12" ht="15" customHeight="1" x14ac:dyDescent="0.2">
      <c r="A433" s="6">
        <v>45425</v>
      </c>
      <c r="B433" s="7">
        <v>37.494534000000002</v>
      </c>
      <c r="C433" s="8">
        <v>111642.07</v>
      </c>
      <c r="D433" s="7">
        <v>0.10887999999999901</v>
      </c>
      <c r="E433" s="7">
        <v>0.291234707302434</v>
      </c>
      <c r="F433" s="7">
        <v>0.29124097281223399</v>
      </c>
      <c r="G433" s="7">
        <v>37.773693000000002</v>
      </c>
      <c r="H433" s="7">
        <v>-6.0280016640149503</v>
      </c>
      <c r="I433" s="7">
        <v>37.405450000000002</v>
      </c>
      <c r="J433" s="7">
        <v>38.009242999999998</v>
      </c>
      <c r="K433" s="7">
        <v>37.266876000000003</v>
      </c>
      <c r="L433" s="7">
        <v>-6.7224831139350103</v>
      </c>
    </row>
    <row r="434" spans="1:12" ht="15" customHeight="1" x14ac:dyDescent="0.2">
      <c r="A434" s="3">
        <v>45422</v>
      </c>
      <c r="B434" s="4">
        <v>37.385654000000002</v>
      </c>
      <c r="C434" s="5">
        <v>230900.63</v>
      </c>
      <c r="D434" s="4">
        <v>-0.17816599999999699</v>
      </c>
      <c r="E434" s="4">
        <v>-0.47430213434096402</v>
      </c>
      <c r="F434" s="4">
        <v>-0.47430609869162299</v>
      </c>
      <c r="G434" s="4">
        <v>37.664000000000001</v>
      </c>
      <c r="H434" s="4">
        <v>-6.3008918580838502</v>
      </c>
      <c r="I434" s="4">
        <v>37.56382</v>
      </c>
      <c r="J434" s="4">
        <v>37.692500000000003</v>
      </c>
      <c r="K434" s="4">
        <v>37.217379999999999</v>
      </c>
      <c r="L434" s="4">
        <v>-6.99335075663073</v>
      </c>
    </row>
    <row r="435" spans="1:12" ht="15" customHeight="1" x14ac:dyDescent="0.2">
      <c r="A435" s="6">
        <v>45421</v>
      </c>
      <c r="B435" s="7">
        <v>37.56382</v>
      </c>
      <c r="C435" s="8">
        <v>159612.21</v>
      </c>
      <c r="D435" s="7">
        <v>0.38602999999999799</v>
      </c>
      <c r="E435" s="7">
        <v>1.0383349844087</v>
      </c>
      <c r="F435" s="7">
        <v>1.0383238969297</v>
      </c>
      <c r="G435" s="7">
        <v>37.843494</v>
      </c>
      <c r="H435" s="7">
        <v>-5.8543533142004396</v>
      </c>
      <c r="I435" s="7">
        <v>37.247078000000002</v>
      </c>
      <c r="J435" s="7">
        <v>37.613309999999998</v>
      </c>
      <c r="K435" s="7">
        <v>37.177790000000002</v>
      </c>
      <c r="L435" s="7">
        <v>-6.5501159620998202</v>
      </c>
    </row>
    <row r="436" spans="1:12" ht="15" customHeight="1" x14ac:dyDescent="0.2">
      <c r="A436" s="3">
        <v>45420</v>
      </c>
      <c r="B436" s="4">
        <v>37.177790000000002</v>
      </c>
      <c r="C436" s="5">
        <v>452292.54</v>
      </c>
      <c r="D436" s="4">
        <v>0.60379300000000302</v>
      </c>
      <c r="E436" s="4">
        <v>1.65088054226067</v>
      </c>
      <c r="F436" s="4">
        <v>1.6508902304497</v>
      </c>
      <c r="G436" s="4">
        <v>37.454594</v>
      </c>
      <c r="H436" s="4">
        <v>-6.8218443708166001</v>
      </c>
      <c r="I436" s="4">
        <v>36.484912999999999</v>
      </c>
      <c r="J436" s="4">
        <v>37.237180000000002</v>
      </c>
      <c r="K436" s="4">
        <v>36.128574</v>
      </c>
      <c r="L436" s="4">
        <v>-7.5104671387147199</v>
      </c>
    </row>
    <row r="437" spans="1:12" ht="15" customHeight="1" x14ac:dyDescent="0.2">
      <c r="A437" s="6">
        <v>45419</v>
      </c>
      <c r="B437" s="7">
        <v>36.573996999999999</v>
      </c>
      <c r="C437" s="8">
        <v>155705.46</v>
      </c>
      <c r="D437" s="7">
        <v>0.11877700000000101</v>
      </c>
      <c r="E437" s="7">
        <v>0.325816165695891</v>
      </c>
      <c r="F437" s="7">
        <v>0.32581798933961598</v>
      </c>
      <c r="G437" s="7">
        <v>36.846302000000001</v>
      </c>
      <c r="H437" s="7">
        <v>-8.3351307421489693</v>
      </c>
      <c r="I437" s="7">
        <v>36.613590000000002</v>
      </c>
      <c r="J437" s="7">
        <v>36.643284000000001</v>
      </c>
      <c r="K437" s="7">
        <v>35.891018000000003</v>
      </c>
      <c r="L437" s="7">
        <v>-9.0125610640102902</v>
      </c>
    </row>
    <row r="438" spans="1:12" ht="15" customHeight="1" x14ac:dyDescent="0.2">
      <c r="A438" s="3">
        <v>45418</v>
      </c>
      <c r="B438" s="4">
        <v>36.455219999999997</v>
      </c>
      <c r="C438" s="5">
        <v>140159.26999999999</v>
      </c>
      <c r="D438" s="4">
        <v>0.168269999999999</v>
      </c>
      <c r="E438" s="4">
        <v>0.46372042841848998</v>
      </c>
      <c r="F438" s="4">
        <v>0.46372092197535197</v>
      </c>
      <c r="G438" s="4">
        <v>36.726640000000003</v>
      </c>
      <c r="H438" s="4">
        <v>-8.6328214462291992</v>
      </c>
      <c r="I438" s="4">
        <v>36.663082000000003</v>
      </c>
      <c r="J438" s="4">
        <v>36.712573999999996</v>
      </c>
      <c r="K438" s="4">
        <v>36.118679999999998</v>
      </c>
      <c r="L438" s="4">
        <v>-9.3080500977765492</v>
      </c>
    </row>
    <row r="439" spans="1:12" ht="15" customHeight="1" x14ac:dyDescent="0.2">
      <c r="A439" s="6">
        <v>45415</v>
      </c>
      <c r="B439" s="7">
        <v>36.286949999999997</v>
      </c>
      <c r="C439" s="8">
        <v>126624.534999999</v>
      </c>
      <c r="D439" s="7">
        <v>0.178169999999994</v>
      </c>
      <c r="E439" s="7">
        <v>0.49342569868047098</v>
      </c>
      <c r="F439" s="7">
        <v>0.493427002646118</v>
      </c>
      <c r="G439" s="7">
        <v>36.557116999999998</v>
      </c>
      <c r="H439" s="7">
        <v>-9.0545545045751705</v>
      </c>
      <c r="I439" s="7">
        <v>36.60369</v>
      </c>
      <c r="J439" s="7">
        <v>36.742268000000003</v>
      </c>
      <c r="K439" s="7">
        <v>35.910812</v>
      </c>
      <c r="L439" s="7">
        <v>-9.7266659890000096</v>
      </c>
    </row>
    <row r="440" spans="1:12" ht="15" customHeight="1" x14ac:dyDescent="0.2">
      <c r="A440" s="3">
        <v>45414</v>
      </c>
      <c r="B440" s="4">
        <v>36.108780000000003</v>
      </c>
      <c r="C440" s="5">
        <v>229693.36</v>
      </c>
      <c r="D440" s="4">
        <v>-0.207862999999996</v>
      </c>
      <c r="E440" s="4">
        <v>-0.57236292462383698</v>
      </c>
      <c r="F440" s="4">
        <v>-0.57236673365579305</v>
      </c>
      <c r="G440" s="4">
        <v>36.37762</v>
      </c>
      <c r="H440" s="4">
        <v>-9.5011005117477794</v>
      </c>
      <c r="I440" s="4">
        <v>36.178066000000001</v>
      </c>
      <c r="J440" s="4">
        <v>37.247078000000002</v>
      </c>
      <c r="K440" s="4">
        <v>35.544580000000003</v>
      </c>
      <c r="L440" s="4">
        <v>-10.1699107345831</v>
      </c>
    </row>
    <row r="441" spans="1:12" ht="15" customHeight="1" x14ac:dyDescent="0.2">
      <c r="A441" s="6">
        <v>45412</v>
      </c>
      <c r="B441" s="7">
        <v>36.316642999999999</v>
      </c>
      <c r="C441" s="8">
        <v>299283.5</v>
      </c>
      <c r="D441" s="7">
        <v>-0.37613300000000199</v>
      </c>
      <c r="E441" s="7">
        <v>-1.0250873359922399</v>
      </c>
      <c r="F441" s="7">
        <v>-1.02508618400736</v>
      </c>
      <c r="G441" s="7">
        <v>36.587032000000001</v>
      </c>
      <c r="H441" s="7">
        <v>-8.9801330724366402</v>
      </c>
      <c r="I441" s="7">
        <v>36.732370000000003</v>
      </c>
      <c r="J441" s="7">
        <v>37.049114000000003</v>
      </c>
      <c r="K441" s="7">
        <v>36.059288000000002</v>
      </c>
      <c r="L441" s="7">
        <v>-9.6527968402622708</v>
      </c>
    </row>
    <row r="442" spans="1:12" ht="15" customHeight="1" x14ac:dyDescent="0.2">
      <c r="A442" s="3">
        <v>45411</v>
      </c>
      <c r="B442" s="4">
        <v>36.692776000000002</v>
      </c>
      <c r="C442" s="5">
        <v>171170.81999999899</v>
      </c>
      <c r="D442" s="4">
        <v>-0.35633799999999999</v>
      </c>
      <c r="E442" s="4">
        <v>-0.96179897851268403</v>
      </c>
      <c r="F442" s="4">
        <v>-0.224429118601876</v>
      </c>
      <c r="G442" s="4">
        <v>36.965964999999997</v>
      </c>
      <c r="H442" s="4">
        <v>-8.0374375503056807</v>
      </c>
      <c r="I442" s="4">
        <v>37.247078000000002</v>
      </c>
      <c r="J442" s="4">
        <v>37.247078000000002</v>
      </c>
      <c r="K442" s="4">
        <v>36.376033999999997</v>
      </c>
      <c r="L442" s="4">
        <v>-8.7170670547178908</v>
      </c>
    </row>
    <row r="443" spans="1:12" ht="15" customHeight="1" x14ac:dyDescent="0.2">
      <c r="A443" s="6">
        <v>45408</v>
      </c>
      <c r="B443" s="7">
        <v>37.049114000000003</v>
      </c>
      <c r="C443" s="8">
        <v>322242.12999999902</v>
      </c>
      <c r="D443" s="7">
        <v>0.30684600000000001</v>
      </c>
      <c r="E443" s="7">
        <v>0.83513080901811398</v>
      </c>
      <c r="F443" s="7">
        <v>0.83513080901811398</v>
      </c>
      <c r="G443" s="7">
        <v>37.049114000000003</v>
      </c>
      <c r="H443" s="7">
        <v>-7.83058253907764</v>
      </c>
      <c r="I443" s="7">
        <v>37.148094</v>
      </c>
      <c r="J443" s="7">
        <v>37.207484999999998</v>
      </c>
      <c r="K443" s="7">
        <v>36.762062</v>
      </c>
      <c r="L443" s="7">
        <v>-7.83058253907764</v>
      </c>
    </row>
    <row r="444" spans="1:12" ht="15" customHeight="1" x14ac:dyDescent="0.2">
      <c r="A444" s="3">
        <v>45407</v>
      </c>
      <c r="B444" s="4">
        <v>36.742268000000003</v>
      </c>
      <c r="C444" s="5">
        <v>416388.15</v>
      </c>
      <c r="D444" s="4">
        <v>1.2867740000000001</v>
      </c>
      <c r="E444" s="4">
        <v>3.6292654672925999</v>
      </c>
      <c r="F444" s="4">
        <v>3.6292654672925999</v>
      </c>
      <c r="G444" s="4">
        <v>36.742268000000003</v>
      </c>
      <c r="H444" s="4">
        <v>-8.5939426850237606</v>
      </c>
      <c r="I444" s="4">
        <v>35.623767999999998</v>
      </c>
      <c r="J444" s="4">
        <v>37.128295999999999</v>
      </c>
      <c r="K444" s="4">
        <v>35.623767999999998</v>
      </c>
      <c r="L444" s="4">
        <v>-8.5939426850237606</v>
      </c>
    </row>
    <row r="445" spans="1:12" ht="15" customHeight="1" x14ac:dyDescent="0.2">
      <c r="A445" s="6">
        <v>45406</v>
      </c>
      <c r="B445" s="7">
        <v>35.455494000000002</v>
      </c>
      <c r="C445" s="8">
        <v>354512.54</v>
      </c>
      <c r="D445" s="7">
        <v>-0.59389599999999998</v>
      </c>
      <c r="E445" s="7">
        <v>-1.64745090000135</v>
      </c>
      <c r="F445" s="7">
        <v>-1.64745090000135</v>
      </c>
      <c r="G445" s="7">
        <v>35.455494000000002</v>
      </c>
      <c r="H445" s="7">
        <v>-11.7951315173359</v>
      </c>
      <c r="I445" s="7">
        <v>36.128574</v>
      </c>
      <c r="J445" s="7">
        <v>36.128574</v>
      </c>
      <c r="K445" s="7">
        <v>35.247635000000002</v>
      </c>
      <c r="L445" s="7">
        <v>-11.7951315173359</v>
      </c>
    </row>
    <row r="446" spans="1:12" ht="15" customHeight="1" x14ac:dyDescent="0.2">
      <c r="A446" s="3">
        <v>45405</v>
      </c>
      <c r="B446" s="4">
        <v>36.049390000000002</v>
      </c>
      <c r="C446" s="5">
        <v>543240</v>
      </c>
      <c r="D446" s="4">
        <v>1.039315</v>
      </c>
      <c r="E446" s="4">
        <v>2.96861689099494</v>
      </c>
      <c r="F446" s="4">
        <v>2.96861689099494</v>
      </c>
      <c r="G446" s="4">
        <v>36.049390000000002</v>
      </c>
      <c r="H446" s="4">
        <v>-10.317658983110899</v>
      </c>
      <c r="I446" s="4">
        <v>35.128856999999996</v>
      </c>
      <c r="J446" s="4">
        <v>36.554200000000002</v>
      </c>
      <c r="K446" s="4">
        <v>35.128856999999996</v>
      </c>
      <c r="L446" s="4">
        <v>-10.317658983110899</v>
      </c>
    </row>
    <row r="447" spans="1:12" ht="15" customHeight="1" x14ac:dyDescent="0.2">
      <c r="A447" s="6">
        <v>45404</v>
      </c>
      <c r="B447" s="7">
        <v>35.010075000000001</v>
      </c>
      <c r="C447" s="8">
        <v>218119.58</v>
      </c>
      <c r="D447" s="7">
        <v>0.108885</v>
      </c>
      <c r="E447" s="7">
        <v>0.311980766271857</v>
      </c>
      <c r="F447" s="7">
        <v>0.311980766271857</v>
      </c>
      <c r="G447" s="7">
        <v>35.010075000000001</v>
      </c>
      <c r="H447" s="7">
        <v>-12.903228454715499</v>
      </c>
      <c r="I447" s="7">
        <v>35.178345</v>
      </c>
      <c r="J447" s="7">
        <v>35.574272000000001</v>
      </c>
      <c r="K447" s="7">
        <v>34.911095000000003</v>
      </c>
      <c r="L447" s="7">
        <v>-12.903228454715499</v>
      </c>
    </row>
    <row r="448" spans="1:12" ht="15" customHeight="1" x14ac:dyDescent="0.2">
      <c r="A448" s="3">
        <v>45401</v>
      </c>
      <c r="B448" s="4">
        <v>34.90119</v>
      </c>
      <c r="C448" s="5">
        <v>112913</v>
      </c>
      <c r="D448" s="4">
        <v>-9.9050000000033799E-3</v>
      </c>
      <c r="E448" s="4">
        <v>-2.8372069108695198E-2</v>
      </c>
      <c r="F448" s="4">
        <v>-2.8372069108695198E-2</v>
      </c>
      <c r="G448" s="4">
        <v>34.90119</v>
      </c>
      <c r="H448" s="4">
        <v>-13.1741085362265</v>
      </c>
      <c r="I448" s="4">
        <v>34.911095000000003</v>
      </c>
      <c r="J448" s="4">
        <v>35.079360000000001</v>
      </c>
      <c r="K448" s="4">
        <v>34.663634999999999</v>
      </c>
      <c r="L448" s="4">
        <v>-13.1741085362265</v>
      </c>
    </row>
    <row r="449" spans="1:12" ht="15" customHeight="1" x14ac:dyDescent="0.2">
      <c r="A449" s="6">
        <v>45400</v>
      </c>
      <c r="B449" s="7">
        <v>34.911095000000003</v>
      </c>
      <c r="C449" s="8">
        <v>348533.7</v>
      </c>
      <c r="D449" s="7">
        <v>1.0690120000000001</v>
      </c>
      <c r="E449" s="7">
        <v>3.1588244730680501</v>
      </c>
      <c r="F449" s="7">
        <v>3.1588244730680501</v>
      </c>
      <c r="G449" s="7">
        <v>34.911095000000003</v>
      </c>
      <c r="H449" s="7">
        <v>-13.1494672430515</v>
      </c>
      <c r="I449" s="7">
        <v>33.911369999999998</v>
      </c>
      <c r="J449" s="7">
        <v>34.990276000000001</v>
      </c>
      <c r="K449" s="7">
        <v>33.911369999999998</v>
      </c>
      <c r="L449" s="7">
        <v>-13.1494672430515</v>
      </c>
    </row>
    <row r="450" spans="1:12" ht="15" customHeight="1" x14ac:dyDescent="0.2">
      <c r="A450" s="3">
        <v>45399</v>
      </c>
      <c r="B450" s="4">
        <v>33.842083000000002</v>
      </c>
      <c r="C450" s="5">
        <v>376394.2</v>
      </c>
      <c r="D450" s="4">
        <v>-1.3164669999999901</v>
      </c>
      <c r="E450" s="4">
        <v>-3.7443722792890899</v>
      </c>
      <c r="F450" s="4">
        <v>-3.7443722792890899</v>
      </c>
      <c r="G450" s="4">
        <v>33.842083000000002</v>
      </c>
      <c r="H450" s="4">
        <v>-15.808915814446101</v>
      </c>
      <c r="I450" s="4">
        <v>35.346615</v>
      </c>
      <c r="J450" s="4">
        <v>35.435699999999997</v>
      </c>
      <c r="K450" s="4">
        <v>33.723305000000003</v>
      </c>
      <c r="L450" s="4">
        <v>-15.808915814446101</v>
      </c>
    </row>
    <row r="451" spans="1:12" ht="15" customHeight="1" x14ac:dyDescent="0.2">
      <c r="A451" s="6">
        <v>45398</v>
      </c>
      <c r="B451" s="7">
        <v>35.158549999999998</v>
      </c>
      <c r="C451" s="8">
        <v>323401.95</v>
      </c>
      <c r="D451" s="7">
        <v>-0.30684700000000398</v>
      </c>
      <c r="E451" s="7">
        <v>-0.86520108600505097</v>
      </c>
      <c r="F451" s="7">
        <v>-0.86520108600505097</v>
      </c>
      <c r="G451" s="7">
        <v>35.158549999999998</v>
      </c>
      <c r="H451" s="7">
        <v>-12.533857833396199</v>
      </c>
      <c r="I451" s="7">
        <v>35.277329999999999</v>
      </c>
      <c r="J451" s="7">
        <v>35.554478000000003</v>
      </c>
      <c r="K451" s="7">
        <v>34.950687000000002</v>
      </c>
      <c r="L451" s="7">
        <v>-12.533857833396199</v>
      </c>
    </row>
    <row r="452" spans="1:12" ht="15" customHeight="1" x14ac:dyDescent="0.2">
      <c r="A452" s="3">
        <v>45397</v>
      </c>
      <c r="B452" s="4">
        <v>35.465397000000003</v>
      </c>
      <c r="C452" s="5">
        <v>263842.86</v>
      </c>
      <c r="D452" s="4">
        <v>-0.46521299999999799</v>
      </c>
      <c r="E452" s="4">
        <v>-1.2947539716136101</v>
      </c>
      <c r="F452" s="4">
        <v>-1.2947539716136101</v>
      </c>
      <c r="G452" s="4">
        <v>35.465397000000003</v>
      </c>
      <c r="H452" s="4">
        <v>-11.770495199687</v>
      </c>
      <c r="I452" s="4">
        <v>36.029594000000003</v>
      </c>
      <c r="J452" s="4">
        <v>36.118679999999998</v>
      </c>
      <c r="K452" s="4">
        <v>35.237732000000001</v>
      </c>
      <c r="L452" s="4">
        <v>-11.770495199687</v>
      </c>
    </row>
    <row r="453" spans="1:12" ht="15" customHeight="1" x14ac:dyDescent="0.2">
      <c r="A453" s="6">
        <v>45394</v>
      </c>
      <c r="B453" s="7">
        <v>35.930610000000001</v>
      </c>
      <c r="C453" s="8">
        <v>153467.68</v>
      </c>
      <c r="D453" s="7">
        <v>-0.70277499999999504</v>
      </c>
      <c r="E453" s="7">
        <v>-1.9184003880613101</v>
      </c>
      <c r="F453" s="7">
        <v>-1.9184003880613101</v>
      </c>
      <c r="G453" s="7">
        <v>35.930610000000001</v>
      </c>
      <c r="H453" s="7">
        <v>-10.6131554801663</v>
      </c>
      <c r="I453" s="7">
        <v>36.742268000000003</v>
      </c>
      <c r="J453" s="7">
        <v>36.742268000000003</v>
      </c>
      <c r="K453" s="7">
        <v>35.891018000000003</v>
      </c>
      <c r="L453" s="7">
        <v>-10.6131554801663</v>
      </c>
    </row>
    <row r="454" spans="1:12" ht="15" customHeight="1" x14ac:dyDescent="0.2">
      <c r="A454" s="3">
        <v>45393</v>
      </c>
      <c r="B454" s="4">
        <v>36.633384999999997</v>
      </c>
      <c r="C454" s="5">
        <v>187205</v>
      </c>
      <c r="D454" s="4">
        <v>0.36623499999999598</v>
      </c>
      <c r="E454" s="4">
        <v>1.0098256962568</v>
      </c>
      <c r="F454" s="4">
        <v>1.0098256962568</v>
      </c>
      <c r="G454" s="4">
        <v>36.633384999999997</v>
      </c>
      <c r="H454" s="4">
        <v>-8.8648177910087007</v>
      </c>
      <c r="I454" s="4">
        <v>36.247352999999997</v>
      </c>
      <c r="J454" s="4">
        <v>36.752167</v>
      </c>
      <c r="K454" s="4">
        <v>36.098880000000001</v>
      </c>
      <c r="L454" s="4">
        <v>-8.8648177910087007</v>
      </c>
    </row>
    <row r="455" spans="1:12" ht="15" customHeight="1" x14ac:dyDescent="0.2">
      <c r="A455" s="6">
        <v>45392</v>
      </c>
      <c r="B455" s="7">
        <v>36.267150000000001</v>
      </c>
      <c r="C455" s="8">
        <v>268217.38</v>
      </c>
      <c r="D455" s="7">
        <v>-1.43524599999999</v>
      </c>
      <c r="E455" s="7">
        <v>-3.8067766303234301</v>
      </c>
      <c r="F455" s="7">
        <v>-3.8067766303234301</v>
      </c>
      <c r="G455" s="7">
        <v>36.267150000000001</v>
      </c>
      <c r="H455" s="7">
        <v>-9.7759236977194597</v>
      </c>
      <c r="I455" s="7">
        <v>37.514330000000001</v>
      </c>
      <c r="J455" s="7">
        <v>37.603416000000003</v>
      </c>
      <c r="K455" s="7">
        <v>36.128574</v>
      </c>
      <c r="L455" s="7">
        <v>-9.7759236977194597</v>
      </c>
    </row>
    <row r="456" spans="1:12" ht="15" customHeight="1" x14ac:dyDescent="0.2">
      <c r="A456" s="3">
        <v>45391</v>
      </c>
      <c r="B456" s="4">
        <v>37.702396</v>
      </c>
      <c r="C456" s="5">
        <v>176930.44</v>
      </c>
      <c r="D456" s="4">
        <v>-0.29694799999999999</v>
      </c>
      <c r="E456" s="4">
        <v>-0.78145559565448997</v>
      </c>
      <c r="F456" s="4">
        <v>-0.78145559565448997</v>
      </c>
      <c r="G456" s="4">
        <v>37.702396</v>
      </c>
      <c r="H456" s="4">
        <v>-6.2053717073771599</v>
      </c>
      <c r="I456" s="4">
        <v>38.276493000000002</v>
      </c>
      <c r="J456" s="4">
        <v>38.553646000000001</v>
      </c>
      <c r="K456" s="4">
        <v>37.425246999999999</v>
      </c>
      <c r="L456" s="4">
        <v>-6.2053717073771599</v>
      </c>
    </row>
    <row r="457" spans="1:12" ht="15" customHeight="1" x14ac:dyDescent="0.2">
      <c r="A457" s="6">
        <v>45390</v>
      </c>
      <c r="B457" s="7">
        <v>37.999344000000001</v>
      </c>
      <c r="C457" s="8">
        <v>228792.19</v>
      </c>
      <c r="D457" s="7">
        <v>-0.72256800000000199</v>
      </c>
      <c r="E457" s="7">
        <v>-1.8660442180644401</v>
      </c>
      <c r="F457" s="7">
        <v>-1.8660442180644401</v>
      </c>
      <c r="G457" s="7">
        <v>37.999344000000001</v>
      </c>
      <c r="H457" s="7">
        <v>-5.46663544026464</v>
      </c>
      <c r="I457" s="7">
        <v>38.731814999999997</v>
      </c>
      <c r="J457" s="7">
        <v>38.731814999999997</v>
      </c>
      <c r="K457" s="7">
        <v>37.781579999999998</v>
      </c>
      <c r="L457" s="7">
        <v>-5.46663544026464</v>
      </c>
    </row>
    <row r="458" spans="1:12" ht="15" customHeight="1" x14ac:dyDescent="0.2">
      <c r="A458" s="3">
        <v>45387</v>
      </c>
      <c r="B458" s="4">
        <v>38.721912000000003</v>
      </c>
      <c r="C458" s="5">
        <v>590456.5</v>
      </c>
      <c r="D458" s="4">
        <v>0.38602800000000298</v>
      </c>
      <c r="E458" s="4">
        <v>1.0069625628040799</v>
      </c>
      <c r="F458" s="4">
        <v>1.0069625628040799</v>
      </c>
      <c r="G458" s="4">
        <v>38.721912000000003</v>
      </c>
      <c r="H458" s="4">
        <v>-3.6690574567289498</v>
      </c>
      <c r="I458" s="4">
        <v>38.514052999999997</v>
      </c>
      <c r="J458" s="4">
        <v>39.345505000000003</v>
      </c>
      <c r="K458" s="4">
        <v>37.514330000000001</v>
      </c>
      <c r="L458" s="4">
        <v>-3.6690574567289498</v>
      </c>
    </row>
    <row r="459" spans="1:12" ht="15" customHeight="1" x14ac:dyDescent="0.2">
      <c r="A459" s="6">
        <v>45386</v>
      </c>
      <c r="B459" s="7">
        <v>38.335884</v>
      </c>
      <c r="C459" s="8">
        <v>212127.61</v>
      </c>
      <c r="D459" s="7">
        <v>0.91063700000000103</v>
      </c>
      <c r="E459" s="7">
        <v>2.4332157380283901</v>
      </c>
      <c r="F459" s="7">
        <v>2.4332157380283901</v>
      </c>
      <c r="G459" s="7">
        <v>38.335884</v>
      </c>
      <c r="H459" s="7">
        <v>-4.6294036578177398</v>
      </c>
      <c r="I459" s="7">
        <v>37.474735000000003</v>
      </c>
      <c r="J459" s="7">
        <v>38.781303000000001</v>
      </c>
      <c r="K459" s="7">
        <v>37.326262999999997</v>
      </c>
      <c r="L459" s="7">
        <v>-4.6294036578177398</v>
      </c>
    </row>
    <row r="460" spans="1:12" ht="15" customHeight="1" x14ac:dyDescent="0.2">
      <c r="A460" s="3">
        <v>45385</v>
      </c>
      <c r="B460" s="4">
        <v>37.425246999999999</v>
      </c>
      <c r="C460" s="5">
        <v>112552.34</v>
      </c>
      <c r="D460" s="4">
        <v>-0.24745599999999901</v>
      </c>
      <c r="E460" s="4">
        <v>-0.656857566073765</v>
      </c>
      <c r="F460" s="4">
        <v>-0.656857566073765</v>
      </c>
      <c r="G460" s="4">
        <v>37.425246999999999</v>
      </c>
      <c r="H460" s="4">
        <v>-6.8948527535332804</v>
      </c>
      <c r="I460" s="4">
        <v>37.781579999999998</v>
      </c>
      <c r="J460" s="4">
        <v>37.989445000000003</v>
      </c>
      <c r="K460" s="4">
        <v>37.365856000000001</v>
      </c>
      <c r="L460" s="4">
        <v>-6.8948527535332804</v>
      </c>
    </row>
    <row r="461" spans="1:12" ht="15" customHeight="1" x14ac:dyDescent="0.2">
      <c r="A461" s="6">
        <v>45384</v>
      </c>
      <c r="B461" s="7">
        <v>37.672702999999998</v>
      </c>
      <c r="C461" s="8">
        <v>91823.395000000004</v>
      </c>
      <c r="D461" s="7"/>
      <c r="E461" s="7"/>
      <c r="F461" s="7"/>
      <c r="G461" s="7">
        <v>37.672702999999998</v>
      </c>
      <c r="H461" s="7">
        <v>-6.2792408561148996</v>
      </c>
      <c r="I461" s="7">
        <v>37.672702999999998</v>
      </c>
      <c r="J461" s="7">
        <v>37.949852</v>
      </c>
      <c r="K461" s="7">
        <v>37.474735000000003</v>
      </c>
      <c r="L461" s="7">
        <v>-6.2792408561148996</v>
      </c>
    </row>
    <row r="462" spans="1:12" ht="15" customHeight="1" x14ac:dyDescent="0.2">
      <c r="A462" s="3">
        <v>45383</v>
      </c>
      <c r="B462" s="4">
        <v>37.672702999999998</v>
      </c>
      <c r="C462" s="5">
        <v>185389.53</v>
      </c>
      <c r="D462" s="4">
        <v>-0.91063700000000103</v>
      </c>
      <c r="E462" s="4">
        <v>-2.3601818816100399</v>
      </c>
      <c r="F462" s="4">
        <v>-2.3601818816100399</v>
      </c>
      <c r="G462" s="4">
        <v>37.672702999999998</v>
      </c>
      <c r="H462" s="4">
        <v>-6.2792408561148996</v>
      </c>
      <c r="I462" s="4">
        <v>38.603133999999997</v>
      </c>
      <c r="J462" s="4">
        <v>38.682322999999997</v>
      </c>
      <c r="K462" s="4">
        <v>37.56382</v>
      </c>
      <c r="L462" s="4">
        <v>-6.2792408561148996</v>
      </c>
    </row>
    <row r="463" spans="1:12" ht="15" customHeight="1" x14ac:dyDescent="0.2">
      <c r="A463" s="6">
        <v>45378</v>
      </c>
      <c r="B463" s="7">
        <v>38.58334</v>
      </c>
      <c r="C463" s="8">
        <v>304675.38</v>
      </c>
      <c r="D463" s="7">
        <v>-3.9591999999998899E-2</v>
      </c>
      <c r="E463" s="7">
        <v>-0.10250904825143101</v>
      </c>
      <c r="F463" s="7">
        <v>-0.10250904825143101</v>
      </c>
      <c r="G463" s="7">
        <v>38.58334</v>
      </c>
      <c r="H463" s="7">
        <v>-4.01379176039935</v>
      </c>
      <c r="I463" s="7">
        <v>38.721912000000003</v>
      </c>
      <c r="J463" s="7">
        <v>38.721912000000003</v>
      </c>
      <c r="K463" s="7">
        <v>37.702396</v>
      </c>
      <c r="L463" s="7">
        <v>-4.01379176039935</v>
      </c>
    </row>
    <row r="464" spans="1:12" ht="15" customHeight="1" x14ac:dyDescent="0.2">
      <c r="A464" s="3">
        <v>45377</v>
      </c>
      <c r="B464" s="4">
        <v>38.622931999999999</v>
      </c>
      <c r="C464" s="5">
        <v>55389.644999999997</v>
      </c>
      <c r="D464" s="4">
        <v>0.15837199999999901</v>
      </c>
      <c r="E464" s="4">
        <v>0.411734854109857</v>
      </c>
      <c r="F464" s="4">
        <v>0.411734854109857</v>
      </c>
      <c r="G464" s="4">
        <v>38.622931999999999</v>
      </c>
      <c r="H464" s="4">
        <v>-3.91529624506496</v>
      </c>
      <c r="I464" s="4">
        <v>38.365577999999999</v>
      </c>
      <c r="J464" s="4">
        <v>38.702117999999999</v>
      </c>
      <c r="K464" s="4">
        <v>38.147820000000003</v>
      </c>
      <c r="L464" s="4">
        <v>-3.91529624506496</v>
      </c>
    </row>
    <row r="465" spans="1:12" ht="15" customHeight="1" x14ac:dyDescent="0.2">
      <c r="A465" s="6">
        <v>45376</v>
      </c>
      <c r="B465" s="7">
        <v>38.464559999999999</v>
      </c>
      <c r="C465" s="8">
        <v>105773.349999999</v>
      </c>
      <c r="D465" s="7">
        <v>-0.35634000000000299</v>
      </c>
      <c r="E465" s="7">
        <v>-0.91790762192530595</v>
      </c>
      <c r="F465" s="7">
        <v>-0.91790762192530595</v>
      </c>
      <c r="G465" s="7">
        <v>38.464559999999999</v>
      </c>
      <c r="H465" s="7">
        <v>-4.3092882574548099</v>
      </c>
      <c r="I465" s="7">
        <v>39.028759999999998</v>
      </c>
      <c r="J465" s="7">
        <v>39.028759999999998</v>
      </c>
      <c r="K465" s="7">
        <v>38.2468</v>
      </c>
      <c r="L465" s="7">
        <v>-4.3092882574548099</v>
      </c>
    </row>
    <row r="466" spans="1:12" ht="15" customHeight="1" x14ac:dyDescent="0.2">
      <c r="A466" s="3">
        <v>45373</v>
      </c>
      <c r="B466" s="4">
        <v>38.820900000000002</v>
      </c>
      <c r="C466" s="5">
        <v>86137.54</v>
      </c>
      <c r="D466" s="4">
        <v>0.35634000000000299</v>
      </c>
      <c r="E466" s="4">
        <v>0.92641122113448204</v>
      </c>
      <c r="F466" s="4">
        <v>0.92641122113448204</v>
      </c>
      <c r="G466" s="4">
        <v>38.820900000000002</v>
      </c>
      <c r="H466" s="4">
        <v>-3.4227987662884298</v>
      </c>
      <c r="I466" s="4">
        <v>38.157715000000003</v>
      </c>
      <c r="J466" s="4">
        <v>38.880287000000003</v>
      </c>
      <c r="K466" s="4">
        <v>38.157715000000003</v>
      </c>
      <c r="L466" s="4">
        <v>-3.4227987662884298</v>
      </c>
    </row>
    <row r="467" spans="1:12" ht="15" customHeight="1" x14ac:dyDescent="0.2">
      <c r="A467" s="6">
        <v>45372</v>
      </c>
      <c r="B467" s="7">
        <v>38.464559999999999</v>
      </c>
      <c r="C467" s="8">
        <v>172454.91</v>
      </c>
      <c r="D467" s="7">
        <v>-0.23755799999999899</v>
      </c>
      <c r="E467" s="7">
        <v>-0.61381136815302695</v>
      </c>
      <c r="F467" s="7">
        <v>-0.61381136815302695</v>
      </c>
      <c r="G467" s="7">
        <v>38.464559999999999</v>
      </c>
      <c r="H467" s="7">
        <v>-4.3092882574548099</v>
      </c>
      <c r="I467" s="7">
        <v>38.702117999999999</v>
      </c>
      <c r="J467" s="7">
        <v>39.365299999999998</v>
      </c>
      <c r="K467" s="7">
        <v>38.395274999999998</v>
      </c>
      <c r="L467" s="7">
        <v>-4.3092882574548099</v>
      </c>
    </row>
    <row r="468" spans="1:12" ht="15" customHeight="1" x14ac:dyDescent="0.2">
      <c r="A468" s="3">
        <v>45371</v>
      </c>
      <c r="B468" s="4">
        <v>38.702117999999999</v>
      </c>
      <c r="C468" s="5">
        <v>337246.83</v>
      </c>
      <c r="D468" s="4">
        <v>0.60378999999999605</v>
      </c>
      <c r="E468" s="4">
        <v>1.5848202052331299</v>
      </c>
      <c r="F468" s="4">
        <v>1.5848202052331299</v>
      </c>
      <c r="G468" s="4">
        <v>38.702117999999999</v>
      </c>
      <c r="H468" s="4">
        <v>-3.7183002388700301</v>
      </c>
      <c r="I468" s="4">
        <v>38.64273</v>
      </c>
      <c r="J468" s="4">
        <v>39.266314999999999</v>
      </c>
      <c r="K468" s="4">
        <v>37.850872000000003</v>
      </c>
      <c r="L468" s="4">
        <v>-3.7183002388700301</v>
      </c>
    </row>
    <row r="469" spans="1:12" ht="15" customHeight="1" x14ac:dyDescent="0.2">
      <c r="A469" s="6">
        <v>45370</v>
      </c>
      <c r="B469" s="7">
        <v>38.098328000000002</v>
      </c>
      <c r="C469" s="8">
        <v>222025.33</v>
      </c>
      <c r="D469" s="7">
        <v>-6.9285999999998099E-2</v>
      </c>
      <c r="E469" s="7">
        <v>-0.181530865408563</v>
      </c>
      <c r="F469" s="7">
        <v>-0.181530865408563</v>
      </c>
      <c r="G469" s="7">
        <v>38.098328000000002</v>
      </c>
      <c r="H469" s="7">
        <v>-5.2203867008763796</v>
      </c>
      <c r="I469" s="7">
        <v>37.910260000000001</v>
      </c>
      <c r="J469" s="7">
        <v>39.197029999999998</v>
      </c>
      <c r="K469" s="7">
        <v>37.831074000000001</v>
      </c>
      <c r="L469" s="7">
        <v>-5.2203867008763796</v>
      </c>
    </row>
    <row r="470" spans="1:12" ht="15" customHeight="1" x14ac:dyDescent="0.2">
      <c r="A470" s="3">
        <v>45366</v>
      </c>
      <c r="B470" s="4">
        <v>38.167614</v>
      </c>
      <c r="C470" s="5">
        <v>499439.27</v>
      </c>
      <c r="D470" s="4">
        <v>-8.9086000000001705E-2</v>
      </c>
      <c r="E470" s="4">
        <v>-0.23286378595122001</v>
      </c>
      <c r="F470" s="4">
        <v>-0.23286378595122001</v>
      </c>
      <c r="G470" s="4">
        <v>38.167614</v>
      </c>
      <c r="H470" s="4">
        <v>-5.0480195490411903</v>
      </c>
      <c r="I470" s="4">
        <v>38.662525000000002</v>
      </c>
      <c r="J470" s="4">
        <v>39.127743000000002</v>
      </c>
      <c r="K470" s="4">
        <v>37.821174999999997</v>
      </c>
      <c r="L470" s="4">
        <v>-5.0480195490411903</v>
      </c>
    </row>
    <row r="471" spans="1:12" ht="15" customHeight="1" x14ac:dyDescent="0.2">
      <c r="A471" s="6">
        <v>45365</v>
      </c>
      <c r="B471" s="7">
        <v>38.256700000000002</v>
      </c>
      <c r="C471" s="8">
        <v>344645.1</v>
      </c>
      <c r="D471" s="7">
        <v>-0.61368799999999601</v>
      </c>
      <c r="E471" s="7">
        <v>-1.5788059537764101</v>
      </c>
      <c r="F471" s="7">
        <v>-1.5788059537764101</v>
      </c>
      <c r="G471" s="7">
        <v>38.256700000000002</v>
      </c>
      <c r="H471" s="7">
        <v>-4.8263946884865199</v>
      </c>
      <c r="I471" s="7">
        <v>38.989165999999997</v>
      </c>
      <c r="J471" s="7">
        <v>39.068356000000001</v>
      </c>
      <c r="K471" s="7">
        <v>38.147820000000003</v>
      </c>
      <c r="L471" s="7">
        <v>-4.8263946884865199</v>
      </c>
    </row>
    <row r="472" spans="1:12" ht="15" customHeight="1" x14ac:dyDescent="0.2">
      <c r="A472" s="3">
        <v>45364</v>
      </c>
      <c r="B472" s="4">
        <v>38.870387999999998</v>
      </c>
      <c r="C472" s="5">
        <v>251807.389999999</v>
      </c>
      <c r="D472" s="4">
        <v>6.9288000000000197E-2</v>
      </c>
      <c r="E472" s="4">
        <v>0.17857225697208701</v>
      </c>
      <c r="F472" s="4">
        <v>0.17857225697208701</v>
      </c>
      <c r="G472" s="4">
        <v>38.870387999999998</v>
      </c>
      <c r="H472" s="4">
        <v>-3.2996843476465698</v>
      </c>
      <c r="I472" s="4">
        <v>38.959473000000003</v>
      </c>
      <c r="J472" s="4">
        <v>39.296013000000002</v>
      </c>
      <c r="K472" s="4">
        <v>38.64273</v>
      </c>
      <c r="L472" s="4">
        <v>-3.2996843476465698</v>
      </c>
    </row>
    <row r="473" spans="1:12" ht="15" customHeight="1" x14ac:dyDescent="0.2">
      <c r="A473" s="6">
        <v>45363</v>
      </c>
      <c r="B473" s="7">
        <v>38.801099999999998</v>
      </c>
      <c r="C473" s="8">
        <v>332424.74</v>
      </c>
      <c r="D473" s="7">
        <v>-0.26725600000000299</v>
      </c>
      <c r="E473" s="7">
        <v>-0.68407280818266702</v>
      </c>
      <c r="F473" s="7">
        <v>-0.68407280818266702</v>
      </c>
      <c r="G473" s="7">
        <v>38.801099999999998</v>
      </c>
      <c r="H473" s="7">
        <v>-3.4720564750078999</v>
      </c>
      <c r="I473" s="7">
        <v>39.355400000000003</v>
      </c>
      <c r="J473" s="7">
        <v>39.355400000000003</v>
      </c>
      <c r="K473" s="7">
        <v>38.603133999999997</v>
      </c>
      <c r="L473" s="7">
        <v>-3.4720564750078999</v>
      </c>
    </row>
    <row r="474" spans="1:12" ht="15" customHeight="1" x14ac:dyDescent="0.2">
      <c r="A474" s="3">
        <v>45362</v>
      </c>
      <c r="B474" s="4">
        <v>39.068356000000001</v>
      </c>
      <c r="C474" s="5">
        <v>159599.07999999999</v>
      </c>
      <c r="D474" s="4">
        <v>-0.108879000000001</v>
      </c>
      <c r="E474" s="4">
        <v>-0.27791394670910702</v>
      </c>
      <c r="F474" s="4">
        <v>-0.27791394670910702</v>
      </c>
      <c r="G474" s="4">
        <v>39.068356000000001</v>
      </c>
      <c r="H474" s="4">
        <v>-2.8071868688700499</v>
      </c>
      <c r="I474" s="4">
        <v>39.177235000000003</v>
      </c>
      <c r="J474" s="4">
        <v>39.592959999999998</v>
      </c>
      <c r="K474" s="4">
        <v>38.939673999999997</v>
      </c>
      <c r="L474" s="4">
        <v>-2.8071868688700499</v>
      </c>
    </row>
    <row r="475" spans="1:12" ht="15" customHeight="1" x14ac:dyDescent="0.2">
      <c r="A475" s="6">
        <v>45359</v>
      </c>
      <c r="B475" s="7">
        <v>39.177235000000003</v>
      </c>
      <c r="C475" s="8">
        <v>210351.53</v>
      </c>
      <c r="D475" s="7">
        <v>-0.168269999999999</v>
      </c>
      <c r="E475" s="7">
        <v>-0.42767274177825099</v>
      </c>
      <c r="F475" s="7">
        <v>-0.42767274177825099</v>
      </c>
      <c r="G475" s="7">
        <v>39.177235000000003</v>
      </c>
      <c r="H475" s="7">
        <v>-2.5363217139373799</v>
      </c>
      <c r="I475" s="7">
        <v>39.484076999999999</v>
      </c>
      <c r="J475" s="7">
        <v>39.493980000000001</v>
      </c>
      <c r="K475" s="7">
        <v>38.375476999999997</v>
      </c>
      <c r="L475" s="7">
        <v>-2.5363217139373799</v>
      </c>
    </row>
    <row r="476" spans="1:12" ht="15" customHeight="1" x14ac:dyDescent="0.2">
      <c r="A476" s="3">
        <v>45358</v>
      </c>
      <c r="B476" s="4">
        <v>39.345505000000003</v>
      </c>
      <c r="C476" s="5">
        <v>208313.8</v>
      </c>
      <c r="D476" s="4">
        <v>0.36623500000000297</v>
      </c>
      <c r="E476" s="4">
        <v>0.93956351671029503</v>
      </c>
      <c r="F476" s="4">
        <v>0.93956351671029503</v>
      </c>
      <c r="G476" s="4">
        <v>39.345505000000003</v>
      </c>
      <c r="H476" s="4">
        <v>-2.1177058227139298</v>
      </c>
      <c r="I476" s="4">
        <v>39.236620000000002</v>
      </c>
      <c r="J476" s="4">
        <v>39.484076999999999</v>
      </c>
      <c r="K476" s="4">
        <v>38.989165999999997</v>
      </c>
      <c r="L476" s="4">
        <v>-2.1177058227139298</v>
      </c>
    </row>
    <row r="477" spans="1:12" ht="15" customHeight="1" x14ac:dyDescent="0.2">
      <c r="A477" s="6">
        <v>45357</v>
      </c>
      <c r="B477" s="7">
        <v>38.97927</v>
      </c>
      <c r="C477" s="8">
        <v>5615159</v>
      </c>
      <c r="D477" s="7">
        <v>-0.168267</v>
      </c>
      <c r="E477" s="7">
        <v>-0.42982780755785799</v>
      </c>
      <c r="F477" s="7">
        <v>-0.42982780755785799</v>
      </c>
      <c r="G477" s="7">
        <v>38.97927</v>
      </c>
      <c r="H477" s="7">
        <v>-3.0288117294247101</v>
      </c>
      <c r="I477" s="7">
        <v>39.107944000000003</v>
      </c>
      <c r="J477" s="7">
        <v>39.820618000000003</v>
      </c>
      <c r="K477" s="7">
        <v>38.870387999999998</v>
      </c>
      <c r="L477" s="7">
        <v>-3.0288117294247101</v>
      </c>
    </row>
    <row r="478" spans="1:12" ht="15" customHeight="1" x14ac:dyDescent="0.2">
      <c r="A478" s="3">
        <v>45356</v>
      </c>
      <c r="B478" s="4">
        <v>39.147537</v>
      </c>
      <c r="C478" s="5">
        <v>9217633</v>
      </c>
      <c r="D478" s="4">
        <v>6.9287000000002694E-2</v>
      </c>
      <c r="E478" s="4">
        <v>0.17730323133713299</v>
      </c>
      <c r="F478" s="4">
        <v>0.17730323133713299</v>
      </c>
      <c r="G478" s="4">
        <v>39.147537</v>
      </c>
      <c r="H478" s="4">
        <v>-2.61020330149046</v>
      </c>
      <c r="I478" s="4">
        <v>39.048557000000002</v>
      </c>
      <c r="J478" s="4">
        <v>39.820618000000003</v>
      </c>
      <c r="K478" s="4">
        <v>38.781303000000001</v>
      </c>
      <c r="L478" s="4">
        <v>-2.61020330149046</v>
      </c>
    </row>
    <row r="479" spans="1:12" ht="15" customHeight="1" x14ac:dyDescent="0.2">
      <c r="A479" s="6">
        <v>45355</v>
      </c>
      <c r="B479" s="7">
        <v>39.078249999999997</v>
      </c>
      <c r="C479" s="8">
        <v>379156.27999999898</v>
      </c>
      <c r="D479" s="7">
        <v>-0.30684800000000201</v>
      </c>
      <c r="E479" s="7">
        <v>-0.77909670302204104</v>
      </c>
      <c r="F479" s="7">
        <v>-0.77909670302204104</v>
      </c>
      <c r="G479" s="7">
        <v>39.078249999999997</v>
      </c>
      <c r="H479" s="7">
        <v>-2.7825729410887199</v>
      </c>
      <c r="I479" s="7">
        <v>39.137639999999998</v>
      </c>
      <c r="J479" s="7">
        <v>42.047719999999998</v>
      </c>
      <c r="K479" s="7">
        <v>38.731814999999997</v>
      </c>
      <c r="L479" s="7">
        <v>-2.7825729410887199</v>
      </c>
    </row>
    <row r="480" spans="1:12" ht="15" customHeight="1" x14ac:dyDescent="0.2">
      <c r="A480" s="3">
        <v>45352</v>
      </c>
      <c r="B480" s="4">
        <v>39.385097999999999</v>
      </c>
      <c r="C480" s="5">
        <v>140317.87</v>
      </c>
      <c r="D480" s="4">
        <v>-5.9387000000000897E-2</v>
      </c>
      <c r="E480" s="4">
        <v>-0.150558436749781</v>
      </c>
      <c r="F480" s="4">
        <v>-0.150558436749781</v>
      </c>
      <c r="G480" s="4">
        <v>39.385097999999999</v>
      </c>
      <c r="H480" s="4">
        <v>-2.01920781961647</v>
      </c>
      <c r="I480" s="4">
        <v>39.256419999999999</v>
      </c>
      <c r="J480" s="4">
        <v>39.721637999999999</v>
      </c>
      <c r="K480" s="4">
        <v>38.870387999999998</v>
      </c>
      <c r="L480" s="4">
        <v>-2.01920781961647</v>
      </c>
    </row>
    <row r="481" spans="1:12" ht="15" customHeight="1" x14ac:dyDescent="0.2">
      <c r="A481" s="6">
        <v>45351</v>
      </c>
      <c r="B481" s="7">
        <v>39.444485</v>
      </c>
      <c r="C481" s="8">
        <v>683071.96</v>
      </c>
      <c r="D481" s="7">
        <v>-9.8989999999972104E-3</v>
      </c>
      <c r="E481" s="7">
        <v>-2.50897340077549E-2</v>
      </c>
      <c r="F481" s="7">
        <v>-2.50897340077549E-2</v>
      </c>
      <c r="G481" s="7">
        <v>39.444485</v>
      </c>
      <c r="H481" s="7">
        <v>-1.87146703437794</v>
      </c>
      <c r="I481" s="7">
        <v>39.642449999999997</v>
      </c>
      <c r="J481" s="7">
        <v>39.731532999999999</v>
      </c>
      <c r="K481" s="7">
        <v>38.236899999999999</v>
      </c>
      <c r="L481" s="7">
        <v>-1.87146703437794</v>
      </c>
    </row>
    <row r="482" spans="1:12" ht="15" customHeight="1" x14ac:dyDescent="0.2">
      <c r="A482" s="3">
        <v>45350</v>
      </c>
      <c r="B482" s="4">
        <v>39.454383999999997</v>
      </c>
      <c r="C482" s="5">
        <v>276429.93</v>
      </c>
      <c r="D482" s="4">
        <v>-1.5738219999999901</v>
      </c>
      <c r="E482" s="4">
        <v>-3.8359512965300002</v>
      </c>
      <c r="F482" s="4">
        <v>-3.8359512965300002</v>
      </c>
      <c r="G482" s="4">
        <v>39.454383999999997</v>
      </c>
      <c r="H482" s="4">
        <v>-1.8468406677812801</v>
      </c>
      <c r="I482" s="4">
        <v>41.335050000000003</v>
      </c>
      <c r="J482" s="4">
        <v>41.335050000000003</v>
      </c>
      <c r="K482" s="4">
        <v>39.127743000000002</v>
      </c>
      <c r="L482" s="4">
        <v>-1.8468406677812801</v>
      </c>
    </row>
    <row r="483" spans="1:12" ht="15" customHeight="1" x14ac:dyDescent="0.2">
      <c r="A483" s="6">
        <v>45349</v>
      </c>
      <c r="B483" s="7">
        <v>41.028205999999997</v>
      </c>
      <c r="C483" s="8">
        <v>363759.6</v>
      </c>
      <c r="D483" s="7">
        <v>-0.41572400000000398</v>
      </c>
      <c r="E483" s="7">
        <v>-1.00309985081049</v>
      </c>
      <c r="F483" s="7">
        <v>-1.00309985081049</v>
      </c>
      <c r="G483" s="7">
        <v>41.028205999999997</v>
      </c>
      <c r="H483" s="7">
        <v>2.0684555772836699</v>
      </c>
      <c r="I483" s="7">
        <v>41.285556999999997</v>
      </c>
      <c r="J483" s="7">
        <v>41.810164999999998</v>
      </c>
      <c r="K483" s="7">
        <v>40.859932000000001</v>
      </c>
      <c r="L483" s="7">
        <v>2.0684555772836699</v>
      </c>
    </row>
    <row r="484" spans="1:12" ht="15" customHeight="1" x14ac:dyDescent="0.2">
      <c r="A484" s="3">
        <v>45348</v>
      </c>
      <c r="B484" s="4">
        <v>41.443930000000002</v>
      </c>
      <c r="C484" s="5">
        <v>1096535.3999999999</v>
      </c>
      <c r="D484" s="4">
        <v>-0.41572699999999602</v>
      </c>
      <c r="E484" s="4">
        <v>-0.99314478377114901</v>
      </c>
      <c r="F484" s="4">
        <v>-0.99314478377114901</v>
      </c>
      <c r="G484" s="4">
        <v>41.443930000000002</v>
      </c>
      <c r="H484" s="4">
        <v>3.1026783903993902</v>
      </c>
      <c r="I484" s="4">
        <v>41.622096999999997</v>
      </c>
      <c r="J484" s="4">
        <v>43.057343000000003</v>
      </c>
      <c r="K484" s="4">
        <v>41.335050000000003</v>
      </c>
      <c r="L484" s="4">
        <v>3.1026783903993902</v>
      </c>
    </row>
    <row r="485" spans="1:12" ht="15" customHeight="1" x14ac:dyDescent="0.2">
      <c r="A485" s="6">
        <v>45345</v>
      </c>
      <c r="B485" s="7">
        <v>41.859656999999999</v>
      </c>
      <c r="C485" s="8">
        <v>183094.18</v>
      </c>
      <c r="D485" s="7">
        <v>0.138571999999996</v>
      </c>
      <c r="E485" s="7">
        <v>0.33213901316324601</v>
      </c>
      <c r="F485" s="7">
        <v>0.33213901316324601</v>
      </c>
      <c r="G485" s="7">
        <v>41.859656999999999</v>
      </c>
      <c r="H485" s="7">
        <v>4.13690866680429</v>
      </c>
      <c r="I485" s="7">
        <v>41.572609999999997</v>
      </c>
      <c r="J485" s="7">
        <v>42.997950000000003</v>
      </c>
      <c r="K485" s="7">
        <v>40.820343000000001</v>
      </c>
      <c r="L485" s="7">
        <v>4.13690866680429</v>
      </c>
    </row>
    <row r="486" spans="1:12" ht="15" customHeight="1" x14ac:dyDescent="0.2">
      <c r="A486" s="3">
        <v>45344</v>
      </c>
      <c r="B486" s="4">
        <v>41.721085000000002</v>
      </c>
      <c r="C486" s="5">
        <v>294096.7</v>
      </c>
      <c r="D486" s="4">
        <v>0.56420200000000098</v>
      </c>
      <c r="E486" s="4">
        <v>1.370856971846</v>
      </c>
      <c r="F486" s="4">
        <v>1.370856971846</v>
      </c>
      <c r="G486" s="4">
        <v>41.721085000000002</v>
      </c>
      <c r="H486" s="4">
        <v>3.7921743631339</v>
      </c>
      <c r="I486" s="4">
        <v>41.344948000000002</v>
      </c>
      <c r="J486" s="4">
        <v>42.265484000000001</v>
      </c>
      <c r="K486" s="4">
        <v>40.117564999999999</v>
      </c>
      <c r="L486" s="4">
        <v>3.7921743631339</v>
      </c>
    </row>
    <row r="487" spans="1:12" ht="15" customHeight="1" x14ac:dyDescent="0.2">
      <c r="A487" s="6">
        <v>45343</v>
      </c>
      <c r="B487" s="7">
        <v>41.156883000000001</v>
      </c>
      <c r="C487" s="8">
        <v>162184.39000000001</v>
      </c>
      <c r="D487" s="7">
        <v>-0.88094399999999895</v>
      </c>
      <c r="E487" s="7">
        <v>-2.0955983286195901</v>
      </c>
      <c r="F487" s="7">
        <v>-2.0955983286195901</v>
      </c>
      <c r="G487" s="7">
        <v>41.156883000000001</v>
      </c>
      <c r="H487" s="7">
        <v>2.38857346540967</v>
      </c>
      <c r="I487" s="7">
        <v>41.988329999999998</v>
      </c>
      <c r="J487" s="7">
        <v>42.324869999999997</v>
      </c>
      <c r="K487" s="7">
        <v>40.850037</v>
      </c>
      <c r="L487" s="7">
        <v>2.38857346540967</v>
      </c>
    </row>
    <row r="488" spans="1:12" ht="15" customHeight="1" x14ac:dyDescent="0.2">
      <c r="A488" s="3">
        <v>45342</v>
      </c>
      <c r="B488" s="4">
        <v>42.037827</v>
      </c>
      <c r="C488" s="5">
        <v>184156.98</v>
      </c>
      <c r="D488" s="4">
        <v>-0.24745500000000201</v>
      </c>
      <c r="E488" s="4">
        <v>-0.58520361765590501</v>
      </c>
      <c r="F488" s="4">
        <v>-0.58520361765590501</v>
      </c>
      <c r="G488" s="4">
        <v>42.037827</v>
      </c>
      <c r="H488" s="4">
        <v>4.5801534123874799</v>
      </c>
      <c r="I488" s="4">
        <v>42.413955999999999</v>
      </c>
      <c r="J488" s="4">
        <v>42.978157000000003</v>
      </c>
      <c r="K488" s="4">
        <v>41.899250000000002</v>
      </c>
      <c r="L488" s="4">
        <v>4.5801534123874799</v>
      </c>
    </row>
    <row r="489" spans="1:12" ht="15" customHeight="1" x14ac:dyDescent="0.2">
      <c r="A489" s="6">
        <v>45341</v>
      </c>
      <c r="B489" s="7">
        <v>42.285282000000002</v>
      </c>
      <c r="C489" s="8">
        <v>35750.799999999901</v>
      </c>
      <c r="D489" s="7">
        <v>0.29695200000000399</v>
      </c>
      <c r="E489" s="7">
        <v>0.70722507896838704</v>
      </c>
      <c r="F489" s="7">
        <v>0.70722507896838704</v>
      </c>
      <c r="G489" s="7">
        <v>42.285282000000002</v>
      </c>
      <c r="H489" s="7">
        <v>5.1957628220428003</v>
      </c>
      <c r="I489" s="7">
        <v>42.443652999999998</v>
      </c>
      <c r="J489" s="7">
        <v>42.631717999999999</v>
      </c>
      <c r="K489" s="7">
        <v>41.988329999999998</v>
      </c>
      <c r="L489" s="7">
        <v>5.1957628220428003</v>
      </c>
    </row>
    <row r="490" spans="1:12" ht="15" customHeight="1" x14ac:dyDescent="0.2">
      <c r="A490" s="3">
        <v>45338</v>
      </c>
      <c r="B490" s="4">
        <v>41.988329999999998</v>
      </c>
      <c r="C490" s="5">
        <v>147805.07</v>
      </c>
      <c r="D490" s="4">
        <v>-0.23756000000000199</v>
      </c>
      <c r="E490" s="4">
        <v>-0.562593233677255</v>
      </c>
      <c r="F490" s="4">
        <v>-0.562593233677255</v>
      </c>
      <c r="G490" s="4">
        <v>41.988329999999998</v>
      </c>
      <c r="H490" s="4">
        <v>4.4570166038780101</v>
      </c>
      <c r="I490" s="4">
        <v>42.295177000000002</v>
      </c>
      <c r="J490" s="4">
        <v>42.770294</v>
      </c>
      <c r="K490" s="4">
        <v>41.879455999999998</v>
      </c>
      <c r="L490" s="4">
        <v>4.4570166038780101</v>
      </c>
    </row>
    <row r="491" spans="1:12" ht="15" customHeight="1" x14ac:dyDescent="0.2">
      <c r="A491" s="6">
        <v>45337</v>
      </c>
      <c r="B491" s="7">
        <v>42.22589</v>
      </c>
      <c r="C491" s="8">
        <v>165934.54</v>
      </c>
      <c r="D491" s="7">
        <v>0.21775999999999801</v>
      </c>
      <c r="E491" s="7">
        <v>0.51837584772280698</v>
      </c>
      <c r="F491" s="7">
        <v>0.51837584772280698</v>
      </c>
      <c r="G491" s="7">
        <v>42.22589</v>
      </c>
      <c r="H491" s="7">
        <v>5.0480095979889299</v>
      </c>
      <c r="I491" s="7">
        <v>42.404060000000001</v>
      </c>
      <c r="J491" s="7">
        <v>42.968257999999999</v>
      </c>
      <c r="K491" s="7">
        <v>41.087592999999998</v>
      </c>
      <c r="L491" s="7">
        <v>5.0480095979889299</v>
      </c>
    </row>
    <row r="492" spans="1:12" ht="15" customHeight="1" x14ac:dyDescent="0.2">
      <c r="A492" s="3">
        <v>45336</v>
      </c>
      <c r="B492" s="4">
        <v>42.008130000000001</v>
      </c>
      <c r="C492" s="5">
        <v>165228.35999999999</v>
      </c>
      <c r="D492" s="4">
        <v>0.14847300000000199</v>
      </c>
      <c r="E492" s="4">
        <v>0.35469234733576099</v>
      </c>
      <c r="F492" s="4">
        <v>0.35469234733576099</v>
      </c>
      <c r="G492" s="4">
        <v>42.008130000000001</v>
      </c>
      <c r="H492" s="4">
        <v>4.5062743125974798</v>
      </c>
      <c r="I492" s="4">
        <v>41.622096999999997</v>
      </c>
      <c r="J492" s="4">
        <v>42.067520000000002</v>
      </c>
      <c r="K492" s="4">
        <v>41.404339999999998</v>
      </c>
      <c r="L492" s="4">
        <v>4.5062743125974798</v>
      </c>
    </row>
    <row r="493" spans="1:12" ht="15" customHeight="1" x14ac:dyDescent="0.2">
      <c r="A493" s="6">
        <v>45335</v>
      </c>
      <c r="B493" s="7">
        <v>41.859656999999999</v>
      </c>
      <c r="C493" s="8">
        <v>237077.5</v>
      </c>
      <c r="D493" s="7">
        <v>-0.68297600000000303</v>
      </c>
      <c r="E493" s="7">
        <v>-1.60539193707169</v>
      </c>
      <c r="F493" s="7">
        <v>-1.60539193707169</v>
      </c>
      <c r="G493" s="7">
        <v>41.859656999999999</v>
      </c>
      <c r="H493" s="7">
        <v>4.13690866680429</v>
      </c>
      <c r="I493" s="7">
        <v>42.126910000000002</v>
      </c>
      <c r="J493" s="7">
        <v>42.423859999999998</v>
      </c>
      <c r="K493" s="7">
        <v>41.453830000000004</v>
      </c>
      <c r="L493" s="7">
        <v>4.13690866680429</v>
      </c>
    </row>
    <row r="494" spans="1:12" ht="15" customHeight="1" x14ac:dyDescent="0.2">
      <c r="A494" s="3">
        <v>45334</v>
      </c>
      <c r="B494" s="4">
        <v>42.542633000000002</v>
      </c>
      <c r="C494" s="5">
        <v>203702.88</v>
      </c>
      <c r="D494" s="4">
        <v>0.36623300000000097</v>
      </c>
      <c r="E494" s="4">
        <v>0.86833632078604495</v>
      </c>
      <c r="F494" s="4">
        <v>0.86833632078604495</v>
      </c>
      <c r="G494" s="4">
        <v>42.542633000000002</v>
      </c>
      <c r="H494" s="4">
        <v>5.83599113500558</v>
      </c>
      <c r="I494" s="4">
        <v>42.384262</v>
      </c>
      <c r="J494" s="4">
        <v>42.879176999999999</v>
      </c>
      <c r="K494" s="4">
        <v>42.166499999999999</v>
      </c>
      <c r="L494" s="4">
        <v>5.83599113500558</v>
      </c>
    </row>
    <row r="495" spans="1:12" ht="15" customHeight="1" x14ac:dyDescent="0.2">
      <c r="A495" s="6">
        <v>45331</v>
      </c>
      <c r="B495" s="7">
        <v>42.176400000000001</v>
      </c>
      <c r="C495" s="8">
        <v>188136.49</v>
      </c>
      <c r="D495" s="7">
        <v>-0.28705000000000003</v>
      </c>
      <c r="E495" s="7">
        <v>-0.67599311878804302</v>
      </c>
      <c r="F495" s="7">
        <v>-0.67599311878804302</v>
      </c>
      <c r="G495" s="7">
        <v>42.176400000000001</v>
      </c>
      <c r="H495" s="7">
        <v>4.9248902038209401</v>
      </c>
      <c r="I495" s="7">
        <v>42.136806</v>
      </c>
      <c r="J495" s="7">
        <v>42.443652999999998</v>
      </c>
      <c r="K495" s="7">
        <v>41.869553000000003</v>
      </c>
      <c r="L495" s="7">
        <v>4.9248902038209401</v>
      </c>
    </row>
    <row r="496" spans="1:12" ht="15" customHeight="1" x14ac:dyDescent="0.2">
      <c r="A496" s="3">
        <v>45330</v>
      </c>
      <c r="B496" s="4">
        <v>42.463450000000002</v>
      </c>
      <c r="C496" s="5">
        <v>348479.13</v>
      </c>
      <c r="D496" s="4">
        <v>0.29695000000000199</v>
      </c>
      <c r="E496" s="4">
        <v>0.70423203253768796</v>
      </c>
      <c r="F496" s="4">
        <v>0.70423203253768796</v>
      </c>
      <c r="G496" s="4">
        <v>42.463450000000002</v>
      </c>
      <c r="H496" s="4">
        <v>5.6390025920998497</v>
      </c>
      <c r="I496" s="4">
        <v>42.265484000000001</v>
      </c>
      <c r="J496" s="4">
        <v>42.641620000000003</v>
      </c>
      <c r="K496" s="4">
        <v>41.859656999999999</v>
      </c>
      <c r="L496" s="4">
        <v>5.6390025920998497</v>
      </c>
    </row>
    <row r="497" spans="1:12" ht="15" customHeight="1" x14ac:dyDescent="0.2">
      <c r="A497" s="6">
        <v>45329</v>
      </c>
      <c r="B497" s="7">
        <v>42.166499999999999</v>
      </c>
      <c r="C497" s="8">
        <v>447928.13</v>
      </c>
      <c r="D497" s="7">
        <v>1.5441199999999899</v>
      </c>
      <c r="E497" s="7">
        <v>3.8011559145475902</v>
      </c>
      <c r="F497" s="7">
        <v>3.8011559145475902</v>
      </c>
      <c r="G497" s="7">
        <v>42.166499999999999</v>
      </c>
      <c r="H497" s="7">
        <v>4.9002613494612</v>
      </c>
      <c r="I497" s="7">
        <v>41.028205999999997</v>
      </c>
      <c r="J497" s="7">
        <v>42.404060000000001</v>
      </c>
      <c r="K497" s="7">
        <v>40.800545</v>
      </c>
      <c r="L497" s="7">
        <v>4.9002613494612</v>
      </c>
    </row>
    <row r="498" spans="1:12" ht="15" customHeight="1" x14ac:dyDescent="0.2">
      <c r="A498" s="3">
        <v>45328</v>
      </c>
      <c r="B498" s="4">
        <v>40.62238</v>
      </c>
      <c r="C498" s="5">
        <v>331772.13</v>
      </c>
      <c r="D498" s="4">
        <v>0.49491599999999603</v>
      </c>
      <c r="E498" s="4">
        <v>1.2333597757386101</v>
      </c>
      <c r="F498" s="4">
        <v>1.2333597757386101</v>
      </c>
      <c r="G498" s="4">
        <v>40.62238</v>
      </c>
      <c r="H498" s="4">
        <v>1.05885664300157</v>
      </c>
      <c r="I498" s="4">
        <v>39.909702000000003</v>
      </c>
      <c r="J498" s="4">
        <v>40.869835000000002</v>
      </c>
      <c r="K498" s="4">
        <v>39.909702000000003</v>
      </c>
      <c r="L498" s="4">
        <v>1.05885664300157</v>
      </c>
    </row>
    <row r="499" spans="1:12" ht="15" customHeight="1" x14ac:dyDescent="0.2">
      <c r="A499" s="6">
        <v>45324</v>
      </c>
      <c r="B499" s="7">
        <v>40.127464000000003</v>
      </c>
      <c r="C499" s="8">
        <v>92601.31</v>
      </c>
      <c r="D499" s="7">
        <v>-4.9491999999993597E-2</v>
      </c>
      <c r="E499" s="7">
        <v>-0.123185041694029</v>
      </c>
      <c r="F499" s="7">
        <v>-0.123185041694029</v>
      </c>
      <c r="G499" s="7">
        <v>40.127464000000003</v>
      </c>
      <c r="H499" s="7">
        <v>-0.17237710288745001</v>
      </c>
      <c r="I499" s="7">
        <v>40.18685</v>
      </c>
      <c r="J499" s="7">
        <v>40.384819999999998</v>
      </c>
      <c r="K499" s="7">
        <v>39.870109999999997</v>
      </c>
      <c r="L499" s="7">
        <v>-0.17237710288745001</v>
      </c>
    </row>
    <row r="500" spans="1:12" ht="15" customHeight="1" x14ac:dyDescent="0.2">
      <c r="A500" s="3">
        <v>45323</v>
      </c>
      <c r="B500" s="4">
        <v>40.176955999999997</v>
      </c>
      <c r="C500" s="5">
        <v>217170.94</v>
      </c>
      <c r="D500" s="4">
        <v>0.178168999999996</v>
      </c>
      <c r="E500" s="4">
        <v>0.445436007846922</v>
      </c>
      <c r="F500" s="4">
        <v>0.445436007846922</v>
      </c>
      <c r="G500" s="4">
        <v>40.176955999999997</v>
      </c>
      <c r="H500" s="4">
        <v>-4.9252733193335799E-2</v>
      </c>
      <c r="I500" s="4">
        <v>40.226447999999998</v>
      </c>
      <c r="J500" s="4">
        <v>40.582782999999999</v>
      </c>
      <c r="K500" s="4">
        <v>39.919604999999997</v>
      </c>
      <c r="L500" s="4">
        <v>-4.9252733193335799E-2</v>
      </c>
    </row>
    <row r="501" spans="1:12" ht="15" customHeight="1" x14ac:dyDescent="0.2">
      <c r="A501" s="6">
        <v>45322</v>
      </c>
      <c r="B501" s="7">
        <v>39.998787</v>
      </c>
      <c r="C501" s="8">
        <v>242341.06</v>
      </c>
      <c r="D501" s="7">
        <v>-0.21776299999999699</v>
      </c>
      <c r="E501" s="7">
        <v>-0.54147608385104395</v>
      </c>
      <c r="F501" s="7">
        <v>-0.54147608385104395</v>
      </c>
      <c r="G501" s="7">
        <v>39.998787</v>
      </c>
      <c r="H501" s="7">
        <v>-0.49249499101344901</v>
      </c>
      <c r="I501" s="7">
        <v>40.087870000000002</v>
      </c>
      <c r="J501" s="7">
        <v>40.681767000000001</v>
      </c>
      <c r="K501" s="7">
        <v>39.711739999999999</v>
      </c>
      <c r="L501" s="7">
        <v>-0.49249499101344901</v>
      </c>
    </row>
    <row r="502" spans="1:12" ht="15" customHeight="1" x14ac:dyDescent="0.2">
      <c r="A502" s="3">
        <v>45321</v>
      </c>
      <c r="B502" s="4">
        <v>40.216549999999998</v>
      </c>
      <c r="C502" s="5">
        <v>110005.42</v>
      </c>
      <c r="D502" s="4">
        <v>-5.9386000000003401E-2</v>
      </c>
      <c r="E502" s="4">
        <v>-0.14744784578067899</v>
      </c>
      <c r="F502" s="4">
        <v>-0.14744784578067899</v>
      </c>
      <c r="G502" s="4">
        <v>40.216549999999998</v>
      </c>
      <c r="H502" s="4">
        <v>4.9247757667197398E-2</v>
      </c>
      <c r="I502" s="4">
        <v>40.275936000000002</v>
      </c>
      <c r="J502" s="4">
        <v>40.335326999999999</v>
      </c>
      <c r="K502" s="4">
        <v>39.899807000000003</v>
      </c>
      <c r="L502" s="4">
        <v>4.9247757667197398E-2</v>
      </c>
    </row>
    <row r="503" spans="1:12" ht="15" customHeight="1" x14ac:dyDescent="0.2">
      <c r="A503" s="6">
        <v>45320</v>
      </c>
      <c r="B503" s="7">
        <v>40.275936000000002</v>
      </c>
      <c r="C503" s="8">
        <v>115832.71</v>
      </c>
      <c r="D503" s="7">
        <v>7.9182000000002903E-2</v>
      </c>
      <c r="E503" s="7">
        <v>0.19698605514266701</v>
      </c>
      <c r="F503" s="7">
        <v>0.19698605514266701</v>
      </c>
      <c r="G503" s="7">
        <v>40.275936000000002</v>
      </c>
      <c r="H503" s="7">
        <v>0.19698605514266801</v>
      </c>
      <c r="I503" s="7">
        <v>40.513496000000004</v>
      </c>
      <c r="J503" s="7">
        <v>40.513496000000004</v>
      </c>
      <c r="K503" s="7">
        <v>39.870109999999997</v>
      </c>
      <c r="L503" s="7">
        <v>0.19698605514266801</v>
      </c>
    </row>
    <row r="504" spans="1:12" ht="15" customHeight="1" x14ac:dyDescent="0.2">
      <c r="A504" s="3">
        <v>45317</v>
      </c>
      <c r="B504" s="4">
        <v>40.196753999999999</v>
      </c>
      <c r="C504" s="5">
        <v>411330.69999999902</v>
      </c>
      <c r="D504" s="4"/>
      <c r="E504" s="4"/>
      <c r="F504" s="4"/>
      <c r="G504" s="4">
        <v>40.196753999999999</v>
      </c>
      <c r="H504" s="4"/>
      <c r="I504" s="4">
        <v>40.533295000000003</v>
      </c>
      <c r="J504" s="4">
        <v>40.949016999999998</v>
      </c>
      <c r="K504" s="4">
        <v>39.731532999999999</v>
      </c>
      <c r="L504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D8B3-E3DB-4039-AB0C-41A63F8BBFCB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B4" sqref="B4:B504"/>
    </sheetView>
  </sheetViews>
  <sheetFormatPr baseColWidth="10" defaultColWidth="9.140625" defaultRowHeight="15" customHeight="1" x14ac:dyDescent="0.2"/>
  <cols>
    <col min="1" max="2" width="8.42578125" customWidth="1"/>
    <col min="3" max="3" width="9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11" width="8.42578125" customWidth="1"/>
    <col min="12" max="12" width="21.140625" customWidth="1"/>
  </cols>
  <sheetData>
    <row r="1" spans="1:12" ht="15" customHeight="1" x14ac:dyDescent="0.2">
      <c r="A1" s="1" t="s">
        <v>16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1109.2</v>
      </c>
      <c r="C4" s="5">
        <v>686590</v>
      </c>
      <c r="D4" s="4">
        <v>34.729999999999997</v>
      </c>
      <c r="E4" s="4">
        <v>3.2322912691838699</v>
      </c>
      <c r="F4" s="4">
        <v>3.2713803084311199</v>
      </c>
      <c r="G4" s="4">
        <v>1109.6199999999999</v>
      </c>
      <c r="H4" s="4">
        <v>398.48158131176899</v>
      </c>
      <c r="I4" s="4">
        <v>1101</v>
      </c>
      <c r="J4" s="4">
        <v>1109.6199999999999</v>
      </c>
      <c r="K4" s="4">
        <v>1109.2</v>
      </c>
      <c r="L4" s="4">
        <v>398.48158131176899</v>
      </c>
    </row>
    <row r="5" spans="1:12" ht="15" customHeight="1" x14ac:dyDescent="0.2">
      <c r="A5" s="6">
        <v>46045</v>
      </c>
      <c r="B5" s="7">
        <v>1074.47</v>
      </c>
      <c r="C5" s="8">
        <v>635722</v>
      </c>
      <c r="D5" s="7">
        <v>3.3600000000001198</v>
      </c>
      <c r="E5" s="7">
        <v>0.31369327146606402</v>
      </c>
      <c r="F5" s="7">
        <v>0.31369327146606402</v>
      </c>
      <c r="G5" s="7">
        <v>1074.47</v>
      </c>
      <c r="H5" s="7">
        <v>382.69092542677402</v>
      </c>
      <c r="I5" s="7">
        <v>1080</v>
      </c>
      <c r="J5" s="7">
        <v>1118.5</v>
      </c>
      <c r="K5" s="7">
        <v>1042.69</v>
      </c>
      <c r="L5" s="7">
        <v>382.69092542677402</v>
      </c>
    </row>
    <row r="6" spans="1:12" ht="15" customHeight="1" x14ac:dyDescent="0.2">
      <c r="A6" s="3">
        <v>46044</v>
      </c>
      <c r="B6" s="4">
        <v>1071.1099999999999</v>
      </c>
      <c r="C6" s="5">
        <v>830978</v>
      </c>
      <c r="D6" s="4">
        <v>-19.940000000000001</v>
      </c>
      <c r="E6" s="4">
        <v>-1.8275972686861299</v>
      </c>
      <c r="F6" s="4">
        <v>-1.8275972686861299</v>
      </c>
      <c r="G6" s="4">
        <v>1071.1099999999999</v>
      </c>
      <c r="H6" s="4">
        <v>381.18149146450997</v>
      </c>
      <c r="I6" s="4">
        <v>1073.3900000000001</v>
      </c>
      <c r="J6" s="4">
        <v>1128.5</v>
      </c>
      <c r="K6" s="4">
        <v>1050.03</v>
      </c>
      <c r="L6" s="4">
        <v>381.18149146450997</v>
      </c>
    </row>
    <row r="7" spans="1:12" ht="15" customHeight="1" x14ac:dyDescent="0.2">
      <c r="A7" s="6">
        <v>46043</v>
      </c>
      <c r="B7" s="7">
        <v>1091.05</v>
      </c>
      <c r="C7" s="8">
        <v>804684</v>
      </c>
      <c r="D7" s="7">
        <v>-28.47</v>
      </c>
      <c r="E7" s="7">
        <v>-2.5430541660711699</v>
      </c>
      <c r="F7" s="7">
        <v>-2.5430541660711699</v>
      </c>
      <c r="G7" s="7">
        <v>1091.05</v>
      </c>
      <c r="H7" s="7">
        <v>390.13926325247002</v>
      </c>
      <c r="I7" s="7">
        <v>1115</v>
      </c>
      <c r="J7" s="7">
        <v>1199.69</v>
      </c>
      <c r="K7" s="7">
        <v>1085</v>
      </c>
      <c r="L7" s="7">
        <v>390.13926325247002</v>
      </c>
    </row>
    <row r="8" spans="1:12" ht="15" customHeight="1" x14ac:dyDescent="0.2">
      <c r="A8" s="3">
        <v>46042</v>
      </c>
      <c r="B8" s="4">
        <v>1119.52</v>
      </c>
      <c r="C8" s="5">
        <v>538831</v>
      </c>
      <c r="D8" s="4">
        <v>34.3599999999999</v>
      </c>
      <c r="E8" s="4">
        <v>3.16635334881492</v>
      </c>
      <c r="F8" s="4">
        <v>3.16635334881492</v>
      </c>
      <c r="G8" s="4">
        <v>1119.52</v>
      </c>
      <c r="H8" s="4">
        <v>402.92902066486897</v>
      </c>
      <c r="I8" s="4">
        <v>1090</v>
      </c>
      <c r="J8" s="4">
        <v>1180</v>
      </c>
      <c r="K8" s="4">
        <v>1070</v>
      </c>
      <c r="L8" s="4">
        <v>402.92902066486897</v>
      </c>
    </row>
    <row r="9" spans="1:12" ht="15" customHeight="1" x14ac:dyDescent="0.2">
      <c r="A9" s="6">
        <v>46041</v>
      </c>
      <c r="B9" s="7">
        <v>1085.1600000000001</v>
      </c>
      <c r="C9" s="8">
        <v>175120</v>
      </c>
      <c r="D9" s="7">
        <v>19.610000000000099</v>
      </c>
      <c r="E9" s="7">
        <v>1.84036413119985</v>
      </c>
      <c r="F9" s="7">
        <v>1.84036413119985</v>
      </c>
      <c r="G9" s="7">
        <v>1085.1600000000001</v>
      </c>
      <c r="H9" s="7">
        <v>387.49326145552499</v>
      </c>
      <c r="I9" s="7">
        <v>1071</v>
      </c>
      <c r="J9" s="7">
        <v>1096</v>
      </c>
      <c r="K9" s="7">
        <v>1071</v>
      </c>
      <c r="L9" s="7">
        <v>387.49326145552499</v>
      </c>
    </row>
    <row r="10" spans="1:12" ht="15" customHeight="1" x14ac:dyDescent="0.2">
      <c r="A10" s="3">
        <v>46038</v>
      </c>
      <c r="B10" s="4">
        <v>1065.55</v>
      </c>
      <c r="C10" s="5">
        <v>505893</v>
      </c>
      <c r="D10" s="4">
        <v>17.639999999999802</v>
      </c>
      <c r="E10" s="4">
        <v>1.6833506694277001</v>
      </c>
      <c r="F10" s="4">
        <v>1.6833506694277001</v>
      </c>
      <c r="G10" s="4">
        <v>1065.55</v>
      </c>
      <c r="H10" s="4">
        <v>378.68373764600102</v>
      </c>
      <c r="I10" s="4">
        <v>1043.93</v>
      </c>
      <c r="J10" s="4">
        <v>1087.98</v>
      </c>
      <c r="K10" s="4">
        <v>1030.02</v>
      </c>
      <c r="L10" s="4">
        <v>378.68373764600102</v>
      </c>
    </row>
    <row r="11" spans="1:12" ht="15" customHeight="1" x14ac:dyDescent="0.2">
      <c r="A11" s="6">
        <v>46037</v>
      </c>
      <c r="B11" s="7">
        <v>1047.9100000000001</v>
      </c>
      <c r="C11" s="8">
        <v>764483</v>
      </c>
      <c r="D11" s="7">
        <v>-19.47</v>
      </c>
      <c r="E11" s="7">
        <v>-1.8240926380483</v>
      </c>
      <c r="F11" s="7">
        <v>-1.8240926380483</v>
      </c>
      <c r="G11" s="7">
        <v>1047.9100000000001</v>
      </c>
      <c r="H11" s="7">
        <v>370.75920934411499</v>
      </c>
      <c r="I11" s="7">
        <v>1062.04</v>
      </c>
      <c r="J11" s="7">
        <v>1062.04</v>
      </c>
      <c r="K11" s="7">
        <v>1030.01</v>
      </c>
      <c r="L11" s="7">
        <v>370.75920934411499</v>
      </c>
    </row>
    <row r="12" spans="1:12" ht="15" customHeight="1" x14ac:dyDescent="0.2">
      <c r="A12" s="3">
        <v>46036</v>
      </c>
      <c r="B12" s="4">
        <v>1067.3800000000001</v>
      </c>
      <c r="C12" s="5">
        <v>760333</v>
      </c>
      <c r="D12" s="4">
        <v>4.7000000000000401</v>
      </c>
      <c r="E12" s="4">
        <v>0.44227801407761203</v>
      </c>
      <c r="F12" s="4">
        <v>0.44227801407761203</v>
      </c>
      <c r="G12" s="4">
        <v>1067.3800000000001</v>
      </c>
      <c r="H12" s="4">
        <v>379.505840071877</v>
      </c>
      <c r="I12" s="4">
        <v>1090.01</v>
      </c>
      <c r="J12" s="4">
        <v>1092.93</v>
      </c>
      <c r="K12" s="4">
        <v>1057.3599999999999</v>
      </c>
      <c r="L12" s="4">
        <v>379.505840071877</v>
      </c>
    </row>
    <row r="13" spans="1:12" ht="15" customHeight="1" x14ac:dyDescent="0.2">
      <c r="A13" s="6">
        <v>46035</v>
      </c>
      <c r="B13" s="7">
        <v>1062.68</v>
      </c>
      <c r="C13" s="8">
        <v>544309</v>
      </c>
      <c r="D13" s="7">
        <v>-11.3999999999998</v>
      </c>
      <c r="E13" s="7">
        <v>-1.0613734544912701</v>
      </c>
      <c r="F13" s="7">
        <v>-1.0613734544912701</v>
      </c>
      <c r="G13" s="7">
        <v>1062.68</v>
      </c>
      <c r="H13" s="7">
        <v>377.39442946990101</v>
      </c>
      <c r="I13" s="7">
        <v>1079.45</v>
      </c>
      <c r="J13" s="7">
        <v>1096.99</v>
      </c>
      <c r="K13" s="7">
        <v>1057.5</v>
      </c>
      <c r="L13" s="7">
        <v>377.39442946990101</v>
      </c>
    </row>
    <row r="14" spans="1:12" ht="15" customHeight="1" x14ac:dyDescent="0.2">
      <c r="A14" s="3">
        <v>46034</v>
      </c>
      <c r="B14" s="4">
        <v>1074.08</v>
      </c>
      <c r="C14" s="5">
        <v>504710</v>
      </c>
      <c r="D14" s="4">
        <v>86.779999999999902</v>
      </c>
      <c r="E14" s="4">
        <v>8.7896282791451306</v>
      </c>
      <c r="F14" s="4">
        <v>8.7896282791451306</v>
      </c>
      <c r="G14" s="4">
        <v>1074.08</v>
      </c>
      <c r="H14" s="4">
        <v>382.51572327043999</v>
      </c>
      <c r="I14" s="4">
        <v>1000.17</v>
      </c>
      <c r="J14" s="4">
        <v>1109.95</v>
      </c>
      <c r="K14" s="4">
        <v>1000.17</v>
      </c>
      <c r="L14" s="4">
        <v>382.51572327043999</v>
      </c>
    </row>
    <row r="15" spans="1:12" ht="15" customHeight="1" x14ac:dyDescent="0.2">
      <c r="A15" s="6">
        <v>46031</v>
      </c>
      <c r="B15" s="7">
        <v>987.3</v>
      </c>
      <c r="C15" s="8">
        <v>294818</v>
      </c>
      <c r="D15" s="7">
        <v>27.419999999999899</v>
      </c>
      <c r="E15" s="7">
        <v>2.8566070758844799</v>
      </c>
      <c r="F15" s="7">
        <v>2.8566070758844799</v>
      </c>
      <c r="G15" s="7">
        <v>987.3</v>
      </c>
      <c r="H15" s="7">
        <v>343.530997304582</v>
      </c>
      <c r="I15" s="7">
        <v>960.36</v>
      </c>
      <c r="J15" s="7">
        <v>993.49</v>
      </c>
      <c r="K15" s="7">
        <v>960.36</v>
      </c>
      <c r="L15" s="7">
        <v>343.530997304582</v>
      </c>
    </row>
    <row r="16" spans="1:12" ht="15" customHeight="1" x14ac:dyDescent="0.2">
      <c r="A16" s="3">
        <v>46030</v>
      </c>
      <c r="B16" s="4">
        <v>959.88</v>
      </c>
      <c r="C16" s="5">
        <v>481506</v>
      </c>
      <c r="D16" s="4">
        <v>8.3699999999999992</v>
      </c>
      <c r="E16" s="4">
        <v>0.87965444398903003</v>
      </c>
      <c r="F16" s="4">
        <v>0.87965444398903003</v>
      </c>
      <c r="G16" s="4">
        <v>959.88</v>
      </c>
      <c r="H16" s="4">
        <v>331.21293800539001</v>
      </c>
      <c r="I16" s="4">
        <v>947.52</v>
      </c>
      <c r="J16" s="4">
        <v>962.02</v>
      </c>
      <c r="K16" s="4">
        <v>916.43</v>
      </c>
      <c r="L16" s="4">
        <v>331.21293800539001</v>
      </c>
    </row>
    <row r="17" spans="1:12" ht="15" customHeight="1" x14ac:dyDescent="0.2">
      <c r="A17" s="6">
        <v>46029</v>
      </c>
      <c r="B17" s="7">
        <v>951.51</v>
      </c>
      <c r="C17" s="8">
        <v>274997</v>
      </c>
      <c r="D17" s="7">
        <v>-19</v>
      </c>
      <c r="E17" s="7">
        <v>-1.95773356276597</v>
      </c>
      <c r="F17" s="7">
        <v>-1.95773356276597</v>
      </c>
      <c r="G17" s="7">
        <v>951.51</v>
      </c>
      <c r="H17" s="7">
        <v>327.452830188679</v>
      </c>
      <c r="I17" s="7">
        <v>960</v>
      </c>
      <c r="J17" s="7">
        <v>965.64</v>
      </c>
      <c r="K17" s="7">
        <v>931.25</v>
      </c>
      <c r="L17" s="7">
        <v>327.452830188679</v>
      </c>
    </row>
    <row r="18" spans="1:12" ht="15" customHeight="1" x14ac:dyDescent="0.2">
      <c r="A18" s="3">
        <v>46028</v>
      </c>
      <c r="B18" s="4">
        <v>970.51</v>
      </c>
      <c r="C18" s="5">
        <v>325012</v>
      </c>
      <c r="D18" s="4">
        <v>21.86</v>
      </c>
      <c r="E18" s="4">
        <v>2.3043272018130998</v>
      </c>
      <c r="F18" s="4">
        <v>2.3043272018130998</v>
      </c>
      <c r="G18" s="4">
        <v>970.51</v>
      </c>
      <c r="H18" s="4">
        <v>335.988319856244</v>
      </c>
      <c r="I18" s="4">
        <v>960.2</v>
      </c>
      <c r="J18" s="4">
        <v>992</v>
      </c>
      <c r="K18" s="4">
        <v>954.03</v>
      </c>
      <c r="L18" s="4">
        <v>335.988319856244</v>
      </c>
    </row>
    <row r="19" spans="1:12" ht="15" customHeight="1" x14ac:dyDescent="0.2">
      <c r="A19" s="6">
        <v>46027</v>
      </c>
      <c r="B19" s="7">
        <v>948.65</v>
      </c>
      <c r="C19" s="8">
        <v>405600</v>
      </c>
      <c r="D19" s="7">
        <v>41.169999999999902</v>
      </c>
      <c r="E19" s="7">
        <v>4.5367391016881902</v>
      </c>
      <c r="F19" s="7">
        <v>4.5367391016881902</v>
      </c>
      <c r="G19" s="7">
        <v>948.65</v>
      </c>
      <c r="H19" s="7">
        <v>326.16801437556097</v>
      </c>
      <c r="I19" s="7">
        <v>920</v>
      </c>
      <c r="J19" s="7">
        <v>994.16</v>
      </c>
      <c r="K19" s="7">
        <v>920</v>
      </c>
      <c r="L19" s="7">
        <v>326.16801437556097</v>
      </c>
    </row>
    <row r="20" spans="1:12" ht="15" customHeight="1" x14ac:dyDescent="0.2">
      <c r="A20" s="3">
        <v>46024</v>
      </c>
      <c r="B20" s="4">
        <v>907.48</v>
      </c>
      <c r="C20" s="5">
        <v>295718</v>
      </c>
      <c r="D20" s="4">
        <v>-39.259999999999899</v>
      </c>
      <c r="E20" s="4">
        <v>-4.1468618628134397</v>
      </c>
      <c r="F20" s="4">
        <v>-4.1468618628134397</v>
      </c>
      <c r="G20" s="4">
        <v>907.48</v>
      </c>
      <c r="H20" s="4">
        <v>307.67295597484201</v>
      </c>
      <c r="I20" s="4">
        <v>952</v>
      </c>
      <c r="J20" s="4">
        <v>960</v>
      </c>
      <c r="K20" s="4">
        <v>891.02</v>
      </c>
      <c r="L20" s="4">
        <v>307.67295597484201</v>
      </c>
    </row>
    <row r="21" spans="1:12" ht="15" customHeight="1" x14ac:dyDescent="0.2">
      <c r="A21" s="6">
        <v>46022</v>
      </c>
      <c r="B21" s="7">
        <v>946.74</v>
      </c>
      <c r="C21" s="8">
        <v>175824</v>
      </c>
      <c r="D21" s="7">
        <v>-8.9399999999999409</v>
      </c>
      <c r="E21" s="7">
        <v>-0.93545956805625097</v>
      </c>
      <c r="F21" s="7">
        <v>-0.93545956805625097</v>
      </c>
      <c r="G21" s="7">
        <v>946.74</v>
      </c>
      <c r="H21" s="7">
        <v>325.30997304582201</v>
      </c>
      <c r="I21" s="7">
        <v>955</v>
      </c>
      <c r="J21" s="7">
        <v>959.82</v>
      </c>
      <c r="K21" s="7">
        <v>938</v>
      </c>
      <c r="L21" s="7">
        <v>325.30997304582201</v>
      </c>
    </row>
    <row r="22" spans="1:12" ht="15" customHeight="1" x14ac:dyDescent="0.2">
      <c r="A22" s="3">
        <v>46021</v>
      </c>
      <c r="B22" s="4">
        <v>955.68</v>
      </c>
      <c r="C22" s="5">
        <v>428438</v>
      </c>
      <c r="D22" s="4">
        <v>-26.29</v>
      </c>
      <c r="E22" s="4">
        <v>-2.67727119973115</v>
      </c>
      <c r="F22" s="4">
        <v>-2.67727119973115</v>
      </c>
      <c r="G22" s="4">
        <v>955.68</v>
      </c>
      <c r="H22" s="4">
        <v>329.32614555255998</v>
      </c>
      <c r="I22" s="4">
        <v>990</v>
      </c>
      <c r="J22" s="4">
        <v>1024.8399999999999</v>
      </c>
      <c r="K22" s="4">
        <v>950</v>
      </c>
      <c r="L22" s="4">
        <v>329.32614555255998</v>
      </c>
    </row>
    <row r="23" spans="1:12" ht="15" customHeight="1" x14ac:dyDescent="0.2">
      <c r="A23" s="6">
        <v>46020</v>
      </c>
      <c r="B23" s="7">
        <v>981.97</v>
      </c>
      <c r="C23" s="8">
        <v>650933</v>
      </c>
      <c r="D23" s="7">
        <v>2.6100000000000101</v>
      </c>
      <c r="E23" s="7">
        <v>0.26650057180199699</v>
      </c>
      <c r="F23" s="7">
        <v>0.26650057180199699</v>
      </c>
      <c r="G23" s="7">
        <v>981.97</v>
      </c>
      <c r="H23" s="7">
        <v>341.13656783468099</v>
      </c>
      <c r="I23" s="7">
        <v>967.89</v>
      </c>
      <c r="J23" s="7">
        <v>989.98</v>
      </c>
      <c r="K23" s="7">
        <v>950</v>
      </c>
      <c r="L23" s="7">
        <v>341.13656783468099</v>
      </c>
    </row>
    <row r="24" spans="1:12" ht="15" customHeight="1" x14ac:dyDescent="0.2">
      <c r="A24" s="3">
        <v>46017</v>
      </c>
      <c r="B24" s="4">
        <v>979.36</v>
      </c>
      <c r="C24" s="5">
        <v>138051</v>
      </c>
      <c r="D24" s="4">
        <v>23.159999999999901</v>
      </c>
      <c r="E24" s="4">
        <v>2.4220874294080499</v>
      </c>
      <c r="F24" s="4">
        <v>2.4220874294080499</v>
      </c>
      <c r="G24" s="4">
        <v>979.36</v>
      </c>
      <c r="H24" s="4">
        <v>339.96406109613599</v>
      </c>
      <c r="I24" s="4">
        <v>965</v>
      </c>
      <c r="J24" s="4">
        <v>993.97</v>
      </c>
      <c r="K24" s="4">
        <v>965</v>
      </c>
      <c r="L24" s="4">
        <v>339.96406109613599</v>
      </c>
    </row>
    <row r="25" spans="1:12" ht="15" customHeight="1" x14ac:dyDescent="0.2">
      <c r="A25" s="6">
        <v>46015</v>
      </c>
      <c r="B25" s="7">
        <v>956.2</v>
      </c>
      <c r="C25" s="8">
        <v>99512</v>
      </c>
      <c r="D25" s="7">
        <v>-3.25999999999999</v>
      </c>
      <c r="E25" s="7">
        <v>-0.33977445646509102</v>
      </c>
      <c r="F25" s="7">
        <v>-0.33977445646509102</v>
      </c>
      <c r="G25" s="7">
        <v>956.2</v>
      </c>
      <c r="H25" s="7">
        <v>329.55974842767199</v>
      </c>
      <c r="I25" s="7">
        <v>953</v>
      </c>
      <c r="J25" s="7">
        <v>959.98</v>
      </c>
      <c r="K25" s="7">
        <v>930.37</v>
      </c>
      <c r="L25" s="7">
        <v>329.55974842767199</v>
      </c>
    </row>
    <row r="26" spans="1:12" ht="15" customHeight="1" x14ac:dyDescent="0.2">
      <c r="A26" s="3">
        <v>46014</v>
      </c>
      <c r="B26" s="4">
        <v>959.46</v>
      </c>
      <c r="C26" s="5">
        <v>460890</v>
      </c>
      <c r="D26" s="4">
        <v>22.6299999999999</v>
      </c>
      <c r="E26" s="4">
        <v>2.4155930104714698</v>
      </c>
      <c r="F26" s="4">
        <v>2.4155930104714698</v>
      </c>
      <c r="G26" s="4">
        <v>959.46</v>
      </c>
      <c r="H26" s="4">
        <v>331.02425876010699</v>
      </c>
      <c r="I26" s="4">
        <v>945.32</v>
      </c>
      <c r="J26" s="4">
        <v>964.92</v>
      </c>
      <c r="K26" s="4">
        <v>925.81</v>
      </c>
      <c r="L26" s="4">
        <v>331.02425876010699</v>
      </c>
    </row>
    <row r="27" spans="1:12" ht="15" customHeight="1" x14ac:dyDescent="0.2">
      <c r="A27" s="6">
        <v>46013</v>
      </c>
      <c r="B27" s="7">
        <v>936.83</v>
      </c>
      <c r="C27" s="8">
        <v>518217.99999999901</v>
      </c>
      <c r="D27" s="7">
        <v>66.84</v>
      </c>
      <c r="E27" s="7">
        <v>7.6828469292750503</v>
      </c>
      <c r="F27" s="7">
        <v>7.6828469292750503</v>
      </c>
      <c r="G27" s="7">
        <v>936.83</v>
      </c>
      <c r="H27" s="7">
        <v>320.85804132973902</v>
      </c>
      <c r="I27" s="7">
        <v>870.01</v>
      </c>
      <c r="J27" s="7">
        <v>948.26</v>
      </c>
      <c r="K27" s="7">
        <v>860.19</v>
      </c>
      <c r="L27" s="7">
        <v>320.85804132973902</v>
      </c>
    </row>
    <row r="28" spans="1:12" ht="15" customHeight="1" x14ac:dyDescent="0.2">
      <c r="A28" s="3">
        <v>46010</v>
      </c>
      <c r="B28" s="4">
        <v>869.99</v>
      </c>
      <c r="C28" s="5">
        <v>3450913</v>
      </c>
      <c r="D28" s="4">
        <v>66.769999999999897</v>
      </c>
      <c r="E28" s="4">
        <v>8.3127910161599594</v>
      </c>
      <c r="F28" s="4">
        <v>8.3127910161599594</v>
      </c>
      <c r="G28" s="4">
        <v>869.99</v>
      </c>
      <c r="H28" s="4">
        <v>290.83108715184102</v>
      </c>
      <c r="I28" s="4">
        <v>792.1</v>
      </c>
      <c r="J28" s="4">
        <v>875.54</v>
      </c>
      <c r="K28" s="4">
        <v>792.1</v>
      </c>
      <c r="L28" s="4">
        <v>290.83108715184102</v>
      </c>
    </row>
    <row r="29" spans="1:12" ht="15" customHeight="1" x14ac:dyDescent="0.2">
      <c r="A29" s="6">
        <v>46009</v>
      </c>
      <c r="B29" s="7">
        <v>803.22</v>
      </c>
      <c r="C29" s="8">
        <v>538073</v>
      </c>
      <c r="D29" s="7">
        <v>8.6199999999999992</v>
      </c>
      <c r="E29" s="7">
        <v>1.0848225522275201</v>
      </c>
      <c r="F29" s="7">
        <v>1.0848225522275201</v>
      </c>
      <c r="G29" s="7">
        <v>803.22</v>
      </c>
      <c r="H29" s="7">
        <v>260.83557951482402</v>
      </c>
      <c r="I29" s="7">
        <v>792.01</v>
      </c>
      <c r="J29" s="7">
        <v>807.7</v>
      </c>
      <c r="K29" s="7">
        <v>792.01</v>
      </c>
      <c r="L29" s="7">
        <v>260.83557951482402</v>
      </c>
    </row>
    <row r="30" spans="1:12" ht="15" customHeight="1" x14ac:dyDescent="0.2">
      <c r="A30" s="3">
        <v>46008</v>
      </c>
      <c r="B30" s="4">
        <v>794.6</v>
      </c>
      <c r="C30" s="5">
        <v>463074</v>
      </c>
      <c r="D30" s="4">
        <v>9.0800000000000392</v>
      </c>
      <c r="E30" s="4">
        <v>1.1559221916692199</v>
      </c>
      <c r="F30" s="4">
        <v>1.1559221916692199</v>
      </c>
      <c r="G30" s="4">
        <v>794.6</v>
      </c>
      <c r="H30" s="4">
        <v>256.96316262353997</v>
      </c>
      <c r="I30" s="4">
        <v>793.36</v>
      </c>
      <c r="J30" s="4">
        <v>803.45</v>
      </c>
      <c r="K30" s="4">
        <v>781.96</v>
      </c>
      <c r="L30" s="4">
        <v>256.96316262353997</v>
      </c>
    </row>
    <row r="31" spans="1:12" ht="15" customHeight="1" x14ac:dyDescent="0.2">
      <c r="A31" s="6">
        <v>46007</v>
      </c>
      <c r="B31" s="7">
        <v>785.52</v>
      </c>
      <c r="C31" s="8">
        <v>799935</v>
      </c>
      <c r="D31" s="7">
        <v>1.62</v>
      </c>
      <c r="E31" s="7">
        <v>0.20665901262917299</v>
      </c>
      <c r="F31" s="7">
        <v>0.20665901262917299</v>
      </c>
      <c r="G31" s="7">
        <v>785.52</v>
      </c>
      <c r="H31" s="7">
        <v>252.88409703504001</v>
      </c>
      <c r="I31" s="7">
        <v>789.98</v>
      </c>
      <c r="J31" s="7">
        <v>816.52</v>
      </c>
      <c r="K31" s="7">
        <v>775.1</v>
      </c>
      <c r="L31" s="7">
        <v>252.88409703504001</v>
      </c>
    </row>
    <row r="32" spans="1:12" ht="15" customHeight="1" x14ac:dyDescent="0.2">
      <c r="A32" s="3">
        <v>46006</v>
      </c>
      <c r="B32" s="4">
        <v>783.9</v>
      </c>
      <c r="C32" s="5">
        <v>628948</v>
      </c>
      <c r="D32" s="4">
        <v>-18.659999999999901</v>
      </c>
      <c r="E32" s="4">
        <v>-2.3250598086124299</v>
      </c>
      <c r="F32" s="4">
        <v>-2.3250598086124299</v>
      </c>
      <c r="G32" s="4">
        <v>783.9</v>
      </c>
      <c r="H32" s="4">
        <v>252.156334231805</v>
      </c>
      <c r="I32" s="4">
        <v>802.58</v>
      </c>
      <c r="J32" s="4">
        <v>805.15</v>
      </c>
      <c r="K32" s="4">
        <v>778.57</v>
      </c>
      <c r="L32" s="4">
        <v>252.156334231805</v>
      </c>
    </row>
    <row r="33" spans="1:12" ht="15" customHeight="1" x14ac:dyDescent="0.2">
      <c r="A33" s="6">
        <v>46002</v>
      </c>
      <c r="B33" s="7">
        <v>802.56</v>
      </c>
      <c r="C33" s="8">
        <v>348937</v>
      </c>
      <c r="D33" s="7">
        <v>18.979999999999901</v>
      </c>
      <c r="E33" s="7">
        <v>2.4222159830521202</v>
      </c>
      <c r="F33" s="7">
        <v>2.4222159830521202</v>
      </c>
      <c r="G33" s="7">
        <v>802.56</v>
      </c>
      <c r="H33" s="7">
        <v>260.53908355795102</v>
      </c>
      <c r="I33" s="7">
        <v>787.78</v>
      </c>
      <c r="J33" s="7">
        <v>808.05</v>
      </c>
      <c r="K33" s="7">
        <v>783.63</v>
      </c>
      <c r="L33" s="7">
        <v>260.53908355795102</v>
      </c>
    </row>
    <row r="34" spans="1:12" ht="15" customHeight="1" x14ac:dyDescent="0.2">
      <c r="A34" s="3">
        <v>46001</v>
      </c>
      <c r="B34" s="4">
        <v>783.58</v>
      </c>
      <c r="C34" s="5">
        <v>415284</v>
      </c>
      <c r="D34" s="4">
        <v>2.3400000000000301</v>
      </c>
      <c r="E34" s="4">
        <v>0.29952383390507897</v>
      </c>
      <c r="F34" s="4">
        <v>0.29952383390507897</v>
      </c>
      <c r="G34" s="4">
        <v>783.58</v>
      </c>
      <c r="H34" s="4">
        <v>252.01257861635199</v>
      </c>
      <c r="I34" s="4">
        <v>780</v>
      </c>
      <c r="J34" s="4">
        <v>787.94</v>
      </c>
      <c r="K34" s="4">
        <v>774.35</v>
      </c>
      <c r="L34" s="4">
        <v>252.01257861635199</v>
      </c>
    </row>
    <row r="35" spans="1:12" ht="15" customHeight="1" x14ac:dyDescent="0.2">
      <c r="A35" s="6">
        <v>46000</v>
      </c>
      <c r="B35" s="7">
        <v>781.24</v>
      </c>
      <c r="C35" s="8">
        <v>372439</v>
      </c>
      <c r="D35" s="7">
        <v>6.08000000000004</v>
      </c>
      <c r="E35" s="7">
        <v>0.78435419784303995</v>
      </c>
      <c r="F35" s="7">
        <v>0.78435419784303995</v>
      </c>
      <c r="G35" s="7">
        <v>781.24</v>
      </c>
      <c r="H35" s="7">
        <v>250.961365678346</v>
      </c>
      <c r="I35" s="7">
        <v>788.65</v>
      </c>
      <c r="J35" s="7">
        <v>789.99</v>
      </c>
      <c r="K35" s="7">
        <v>771.02</v>
      </c>
      <c r="L35" s="7">
        <v>250.961365678346</v>
      </c>
    </row>
    <row r="36" spans="1:12" ht="15" customHeight="1" x14ac:dyDescent="0.2">
      <c r="A36" s="3">
        <v>45999</v>
      </c>
      <c r="B36" s="4">
        <v>775.16</v>
      </c>
      <c r="C36" s="5">
        <v>670166</v>
      </c>
      <c r="D36" s="4">
        <v>-12.42</v>
      </c>
      <c r="E36" s="4">
        <v>-1.57698265573021</v>
      </c>
      <c r="F36" s="4">
        <v>-1.57698265573021</v>
      </c>
      <c r="G36" s="4">
        <v>775.16</v>
      </c>
      <c r="H36" s="4">
        <v>248.230008984725</v>
      </c>
      <c r="I36" s="4">
        <v>788</v>
      </c>
      <c r="J36" s="4">
        <v>791.69</v>
      </c>
      <c r="K36" s="4">
        <v>770.47</v>
      </c>
      <c r="L36" s="4">
        <v>248.230008984725</v>
      </c>
    </row>
    <row r="37" spans="1:12" ht="15" customHeight="1" x14ac:dyDescent="0.2">
      <c r="A37" s="6">
        <v>45996</v>
      </c>
      <c r="B37" s="7">
        <v>787.58</v>
      </c>
      <c r="C37" s="8">
        <v>150961</v>
      </c>
      <c r="D37" s="7">
        <v>-5.67999999999995</v>
      </c>
      <c r="E37" s="7">
        <v>-0.71603257443965096</v>
      </c>
      <c r="F37" s="7">
        <v>-0.71603257443965096</v>
      </c>
      <c r="G37" s="7">
        <v>787.58</v>
      </c>
      <c r="H37" s="7">
        <v>253.809523809523</v>
      </c>
      <c r="I37" s="7">
        <v>781.37</v>
      </c>
      <c r="J37" s="7">
        <v>806.74</v>
      </c>
      <c r="K37" s="7">
        <v>781.37</v>
      </c>
      <c r="L37" s="7">
        <v>253.809523809523</v>
      </c>
    </row>
    <row r="38" spans="1:12" ht="15" customHeight="1" x14ac:dyDescent="0.2">
      <c r="A38" s="3">
        <v>45995</v>
      </c>
      <c r="B38" s="4">
        <v>793.26</v>
      </c>
      <c r="C38" s="5">
        <v>283249</v>
      </c>
      <c r="D38" s="4">
        <v>8.7799999999999692</v>
      </c>
      <c r="E38" s="4">
        <v>1.1192127269018901</v>
      </c>
      <c r="F38" s="4">
        <v>1.1192127269018901</v>
      </c>
      <c r="G38" s="4">
        <v>793.26</v>
      </c>
      <c r="H38" s="4">
        <v>256.361185983827</v>
      </c>
      <c r="I38" s="4">
        <v>784.5</v>
      </c>
      <c r="J38" s="4">
        <v>794.99</v>
      </c>
      <c r="K38" s="4">
        <v>772.08</v>
      </c>
      <c r="L38" s="4">
        <v>256.361185983827</v>
      </c>
    </row>
    <row r="39" spans="1:12" ht="15" customHeight="1" x14ac:dyDescent="0.2">
      <c r="A39" s="6">
        <v>45994</v>
      </c>
      <c r="B39" s="7">
        <v>784.48</v>
      </c>
      <c r="C39" s="8">
        <v>286903</v>
      </c>
      <c r="D39" s="7">
        <v>-3.8799999999999901</v>
      </c>
      <c r="E39" s="7">
        <v>-0.492160941701758</v>
      </c>
      <c r="F39" s="7">
        <v>-0.492160941701758</v>
      </c>
      <c r="G39" s="7">
        <v>784.48</v>
      </c>
      <c r="H39" s="7">
        <v>252.41689128481499</v>
      </c>
      <c r="I39" s="7">
        <v>785.01</v>
      </c>
      <c r="J39" s="7">
        <v>806.95</v>
      </c>
      <c r="K39" s="7">
        <v>781.16</v>
      </c>
      <c r="L39" s="7">
        <v>252.41689128481499</v>
      </c>
    </row>
    <row r="40" spans="1:12" ht="15" customHeight="1" x14ac:dyDescent="0.2">
      <c r="A40" s="3">
        <v>45993</v>
      </c>
      <c r="B40" s="4">
        <v>788.36</v>
      </c>
      <c r="C40" s="5">
        <v>446664</v>
      </c>
      <c r="D40" s="4">
        <v>-32.879999999999903</v>
      </c>
      <c r="E40" s="4">
        <v>-4.0037017193512199</v>
      </c>
      <c r="F40" s="4">
        <v>-4.0037017193512199</v>
      </c>
      <c r="G40" s="4">
        <v>788.36</v>
      </c>
      <c r="H40" s="4">
        <v>254.15992812219201</v>
      </c>
      <c r="I40" s="4">
        <v>821.24</v>
      </c>
      <c r="J40" s="4">
        <v>821.24</v>
      </c>
      <c r="K40" s="4">
        <v>784.01</v>
      </c>
      <c r="L40" s="4">
        <v>254.15992812219201</v>
      </c>
    </row>
    <row r="41" spans="1:12" ht="15" customHeight="1" x14ac:dyDescent="0.2">
      <c r="A41" s="6">
        <v>45992</v>
      </c>
      <c r="B41" s="7">
        <v>821.24</v>
      </c>
      <c r="C41" s="8">
        <v>525727</v>
      </c>
      <c r="D41" s="7">
        <v>48.46</v>
      </c>
      <c r="E41" s="7">
        <v>6.2708662232459504</v>
      </c>
      <c r="F41" s="7">
        <v>6.2708662232459504</v>
      </c>
      <c r="G41" s="7">
        <v>821.24</v>
      </c>
      <c r="H41" s="7">
        <v>268.93081761006198</v>
      </c>
      <c r="I41" s="7">
        <v>776.68</v>
      </c>
      <c r="J41" s="7">
        <v>825.51</v>
      </c>
      <c r="K41" s="7">
        <v>776.68</v>
      </c>
      <c r="L41" s="7">
        <v>268.93081761006198</v>
      </c>
    </row>
    <row r="42" spans="1:12" ht="15" customHeight="1" x14ac:dyDescent="0.2">
      <c r="A42" s="3">
        <v>45989</v>
      </c>
      <c r="B42" s="4">
        <v>772.78</v>
      </c>
      <c r="C42" s="5">
        <v>246461</v>
      </c>
      <c r="D42" s="4">
        <v>12.1999999999999</v>
      </c>
      <c r="E42" s="4">
        <v>1.60403902285097</v>
      </c>
      <c r="F42" s="4">
        <v>1.60403902285097</v>
      </c>
      <c r="G42" s="4">
        <v>772.78</v>
      </c>
      <c r="H42" s="4">
        <v>247.16082659478801</v>
      </c>
      <c r="I42" s="4">
        <v>774.41</v>
      </c>
      <c r="J42" s="4">
        <v>786.09</v>
      </c>
      <c r="K42" s="4">
        <v>757.61</v>
      </c>
      <c r="L42" s="4">
        <v>247.16082659478801</v>
      </c>
    </row>
    <row r="43" spans="1:12" ht="15" customHeight="1" x14ac:dyDescent="0.2">
      <c r="A43" s="6">
        <v>45988</v>
      </c>
      <c r="B43" s="7">
        <v>760.58</v>
      </c>
      <c r="C43" s="8">
        <v>66771</v>
      </c>
      <c r="D43" s="7">
        <v>-18.459999999999901</v>
      </c>
      <c r="E43" s="7">
        <v>-2.36958307660709</v>
      </c>
      <c r="F43" s="7">
        <v>-2.36958307660709</v>
      </c>
      <c r="G43" s="7">
        <v>760.58</v>
      </c>
      <c r="H43" s="7">
        <v>241.68014375561501</v>
      </c>
      <c r="I43" s="7">
        <v>774.74</v>
      </c>
      <c r="J43" s="7">
        <v>782.96</v>
      </c>
      <c r="K43" s="7">
        <v>750.44</v>
      </c>
      <c r="L43" s="7">
        <v>241.68014375561501</v>
      </c>
    </row>
    <row r="44" spans="1:12" ht="15" customHeight="1" x14ac:dyDescent="0.2">
      <c r="A44" s="3">
        <v>45987</v>
      </c>
      <c r="B44" s="4">
        <v>779.04</v>
      </c>
      <c r="C44" s="5">
        <v>249701</v>
      </c>
      <c r="D44" s="4">
        <v>28.309999999999899</v>
      </c>
      <c r="E44" s="4">
        <v>3.7709962303358102</v>
      </c>
      <c r="F44" s="4">
        <v>3.7709962303358102</v>
      </c>
      <c r="G44" s="4">
        <v>779.04</v>
      </c>
      <c r="H44" s="4">
        <v>249.97304582210199</v>
      </c>
      <c r="I44" s="4">
        <v>760</v>
      </c>
      <c r="J44" s="4">
        <v>784.8</v>
      </c>
      <c r="K44" s="4">
        <v>760</v>
      </c>
      <c r="L44" s="4">
        <v>249.97304582210199</v>
      </c>
    </row>
    <row r="45" spans="1:12" ht="15" customHeight="1" x14ac:dyDescent="0.2">
      <c r="A45" s="6">
        <v>45986</v>
      </c>
      <c r="B45" s="7">
        <v>750.73</v>
      </c>
      <c r="C45" s="8">
        <v>500389</v>
      </c>
      <c r="D45" s="7">
        <v>-11.49</v>
      </c>
      <c r="E45" s="7">
        <v>-1.5074387971976499</v>
      </c>
      <c r="F45" s="7">
        <v>-1.5074387971976499</v>
      </c>
      <c r="G45" s="7">
        <v>750.73</v>
      </c>
      <c r="H45" s="7">
        <v>237.25516621743</v>
      </c>
      <c r="I45" s="7">
        <v>759.4</v>
      </c>
      <c r="J45" s="7">
        <v>764.86</v>
      </c>
      <c r="K45" s="7">
        <v>746.5</v>
      </c>
      <c r="L45" s="7">
        <v>237.25516621743</v>
      </c>
    </row>
    <row r="46" spans="1:12" ht="15" customHeight="1" x14ac:dyDescent="0.2">
      <c r="A46" s="3">
        <v>45985</v>
      </c>
      <c r="B46" s="4">
        <v>762.22</v>
      </c>
      <c r="C46" s="5">
        <v>1605692</v>
      </c>
      <c r="D46" s="4">
        <v>33.389999999999901</v>
      </c>
      <c r="E46" s="4">
        <v>4.5813152587023103</v>
      </c>
      <c r="F46" s="4">
        <v>4.5813152587023103</v>
      </c>
      <c r="G46" s="4">
        <v>762.22</v>
      </c>
      <c r="H46" s="4">
        <v>242.41689128481499</v>
      </c>
      <c r="I46" s="4">
        <v>732.47</v>
      </c>
      <c r="J46" s="4">
        <v>779.97</v>
      </c>
      <c r="K46" s="4">
        <v>732.47</v>
      </c>
      <c r="L46" s="4">
        <v>242.41689128481499</v>
      </c>
    </row>
    <row r="47" spans="1:12" ht="15" customHeight="1" x14ac:dyDescent="0.2">
      <c r="A47" s="6">
        <v>45982</v>
      </c>
      <c r="B47" s="7">
        <v>728.83</v>
      </c>
      <c r="C47" s="8">
        <v>615622</v>
      </c>
      <c r="D47" s="7">
        <v>8.8600000000000101</v>
      </c>
      <c r="E47" s="7">
        <v>1.2306068308401701</v>
      </c>
      <c r="F47" s="7">
        <v>1.2306068308401701</v>
      </c>
      <c r="G47" s="7">
        <v>728.83</v>
      </c>
      <c r="H47" s="7">
        <v>227.41689128481499</v>
      </c>
      <c r="I47" s="7">
        <v>720</v>
      </c>
      <c r="J47" s="7">
        <v>743.57</v>
      </c>
      <c r="K47" s="7">
        <v>710.1</v>
      </c>
      <c r="L47" s="7">
        <v>227.41689128481499</v>
      </c>
    </row>
    <row r="48" spans="1:12" ht="15" customHeight="1" x14ac:dyDescent="0.2">
      <c r="A48" s="3">
        <v>45981</v>
      </c>
      <c r="B48" s="4">
        <v>719.97</v>
      </c>
      <c r="C48" s="5">
        <v>158692</v>
      </c>
      <c r="D48" s="4">
        <v>-9.6499999999999702</v>
      </c>
      <c r="E48" s="4">
        <v>-1.32260628820481</v>
      </c>
      <c r="F48" s="4">
        <v>-1.32260628820481</v>
      </c>
      <c r="G48" s="4">
        <v>719.97</v>
      </c>
      <c r="H48" s="4">
        <v>223.43665768194001</v>
      </c>
      <c r="I48" s="4">
        <v>722.27</v>
      </c>
      <c r="J48" s="4">
        <v>738.87</v>
      </c>
      <c r="K48" s="4">
        <v>711.69</v>
      </c>
      <c r="L48" s="4">
        <v>223.43665768194001</v>
      </c>
    </row>
    <row r="49" spans="1:12" ht="15" customHeight="1" x14ac:dyDescent="0.2">
      <c r="A49" s="6">
        <v>45980</v>
      </c>
      <c r="B49" s="7">
        <v>729.62</v>
      </c>
      <c r="C49" s="8">
        <v>335241</v>
      </c>
      <c r="D49" s="7">
        <v>13.45</v>
      </c>
      <c r="E49" s="7">
        <v>1.8780457154027701</v>
      </c>
      <c r="F49" s="7">
        <v>1.8780457154027701</v>
      </c>
      <c r="G49" s="7">
        <v>729.62</v>
      </c>
      <c r="H49" s="7">
        <v>227.77178796046701</v>
      </c>
      <c r="I49" s="7">
        <v>720.11</v>
      </c>
      <c r="J49" s="7">
        <v>737.99</v>
      </c>
      <c r="K49" s="7">
        <v>716.73</v>
      </c>
      <c r="L49" s="7">
        <v>227.77178796046701</v>
      </c>
    </row>
    <row r="50" spans="1:12" ht="15" customHeight="1" x14ac:dyDescent="0.2">
      <c r="A50" s="3">
        <v>45979</v>
      </c>
      <c r="B50" s="4">
        <v>716.17</v>
      </c>
      <c r="C50" s="5">
        <v>677358</v>
      </c>
      <c r="D50" s="4">
        <v>-9.9000000000000892</v>
      </c>
      <c r="E50" s="4">
        <v>-1.3635048962221401</v>
      </c>
      <c r="F50" s="4">
        <v>-1.3635048962221401</v>
      </c>
      <c r="G50" s="4">
        <v>716.17</v>
      </c>
      <c r="H50" s="4">
        <v>221.72955974842699</v>
      </c>
      <c r="I50" s="4">
        <v>709</v>
      </c>
      <c r="J50" s="4">
        <v>739.99</v>
      </c>
      <c r="K50" s="4">
        <v>709</v>
      </c>
      <c r="L50" s="4">
        <v>221.72955974842699</v>
      </c>
    </row>
    <row r="51" spans="1:12" ht="15" customHeight="1" x14ac:dyDescent="0.2">
      <c r="A51" s="6">
        <v>45975</v>
      </c>
      <c r="B51" s="7">
        <v>726.07</v>
      </c>
      <c r="C51" s="8">
        <v>383757</v>
      </c>
      <c r="D51" s="7">
        <v>-22.259999999999899</v>
      </c>
      <c r="E51" s="7">
        <v>-2.9746234949821502</v>
      </c>
      <c r="F51" s="7">
        <v>-2.9746234949821502</v>
      </c>
      <c r="G51" s="7">
        <v>726.07</v>
      </c>
      <c r="H51" s="7">
        <v>226.176999101527</v>
      </c>
      <c r="I51" s="7">
        <v>736</v>
      </c>
      <c r="J51" s="7">
        <v>740</v>
      </c>
      <c r="K51" s="7">
        <v>707.01</v>
      </c>
      <c r="L51" s="7">
        <v>226.176999101527</v>
      </c>
    </row>
    <row r="52" spans="1:12" ht="15" customHeight="1" x14ac:dyDescent="0.2">
      <c r="A52" s="3">
        <v>45974</v>
      </c>
      <c r="B52" s="4">
        <v>748.33</v>
      </c>
      <c r="C52" s="5">
        <v>320771</v>
      </c>
      <c r="D52" s="4">
        <v>7.4500000000000401</v>
      </c>
      <c r="E52" s="4">
        <v>1.0055609545405599</v>
      </c>
      <c r="F52" s="4">
        <v>1.0055609545405599</v>
      </c>
      <c r="G52" s="4">
        <v>748.33</v>
      </c>
      <c r="H52" s="4">
        <v>236.176999101527</v>
      </c>
      <c r="I52" s="4">
        <v>748.81</v>
      </c>
      <c r="J52" s="4">
        <v>766.47</v>
      </c>
      <c r="K52" s="4">
        <v>744</v>
      </c>
      <c r="L52" s="4">
        <v>236.176999101527</v>
      </c>
    </row>
    <row r="53" spans="1:12" ht="15" customHeight="1" x14ac:dyDescent="0.2">
      <c r="A53" s="6">
        <v>45973</v>
      </c>
      <c r="B53" s="7">
        <v>740.88</v>
      </c>
      <c r="C53" s="8">
        <v>272135</v>
      </c>
      <c r="D53" s="7">
        <v>-18.7699999999999</v>
      </c>
      <c r="E53" s="7">
        <v>-2.4708747449483202</v>
      </c>
      <c r="F53" s="7">
        <v>-2.4708747449483202</v>
      </c>
      <c r="G53" s="7">
        <v>740.88</v>
      </c>
      <c r="H53" s="7">
        <v>232.830188679245</v>
      </c>
      <c r="I53" s="7">
        <v>746.11</v>
      </c>
      <c r="J53" s="7">
        <v>757.59</v>
      </c>
      <c r="K53" s="7">
        <v>735.05</v>
      </c>
      <c r="L53" s="7">
        <v>232.830188679245</v>
      </c>
    </row>
    <row r="54" spans="1:12" ht="15" customHeight="1" x14ac:dyDescent="0.2">
      <c r="A54" s="3">
        <v>45972</v>
      </c>
      <c r="B54" s="4">
        <v>759.65</v>
      </c>
      <c r="C54" s="5">
        <v>327691</v>
      </c>
      <c r="D54" s="4">
        <v>8.94999999999993</v>
      </c>
      <c r="E54" s="4">
        <v>1.19222059411214</v>
      </c>
      <c r="F54" s="4">
        <v>1.19222059411214</v>
      </c>
      <c r="G54" s="4">
        <v>759.65</v>
      </c>
      <c r="H54" s="4">
        <v>241.262353998203</v>
      </c>
      <c r="I54" s="4">
        <v>748.2</v>
      </c>
      <c r="J54" s="4">
        <v>761.03</v>
      </c>
      <c r="K54" s="4">
        <v>746</v>
      </c>
      <c r="L54" s="4">
        <v>241.262353998203</v>
      </c>
    </row>
    <row r="55" spans="1:12" ht="15" customHeight="1" x14ac:dyDescent="0.2">
      <c r="A55" s="6">
        <v>45971</v>
      </c>
      <c r="B55" s="7">
        <v>750.7</v>
      </c>
      <c r="C55" s="8">
        <v>204504</v>
      </c>
      <c r="D55" s="7">
        <v>24.06</v>
      </c>
      <c r="E55" s="7">
        <v>3.31113068369481</v>
      </c>
      <c r="F55" s="7">
        <v>3.31113068369481</v>
      </c>
      <c r="G55" s="7">
        <v>750.7</v>
      </c>
      <c r="H55" s="7">
        <v>237.241689128481</v>
      </c>
      <c r="I55" s="7">
        <v>736.02</v>
      </c>
      <c r="J55" s="7">
        <v>757.99</v>
      </c>
      <c r="K55" s="7">
        <v>730.3</v>
      </c>
      <c r="L55" s="7">
        <v>237.241689128481</v>
      </c>
    </row>
    <row r="56" spans="1:12" ht="15" customHeight="1" x14ac:dyDescent="0.2">
      <c r="A56" s="3">
        <v>45968</v>
      </c>
      <c r="B56" s="4">
        <v>726.64</v>
      </c>
      <c r="C56" s="5">
        <v>252492</v>
      </c>
      <c r="D56" s="4">
        <v>4.2100000000000302</v>
      </c>
      <c r="E56" s="4">
        <v>0.582755422670722</v>
      </c>
      <c r="F56" s="4">
        <v>0.582755422670722</v>
      </c>
      <c r="G56" s="4">
        <v>726.64</v>
      </c>
      <c r="H56" s="4">
        <v>226.43306379155399</v>
      </c>
      <c r="I56" s="4">
        <v>722.3</v>
      </c>
      <c r="J56" s="4">
        <v>732.86</v>
      </c>
      <c r="K56" s="4">
        <v>721.64</v>
      </c>
      <c r="L56" s="4">
        <v>226.43306379155399</v>
      </c>
    </row>
    <row r="57" spans="1:12" ht="15" customHeight="1" x14ac:dyDescent="0.2">
      <c r="A57" s="6">
        <v>45967</v>
      </c>
      <c r="B57" s="7">
        <v>722.43</v>
      </c>
      <c r="C57" s="8">
        <v>229710</v>
      </c>
      <c r="D57" s="7">
        <v>-4.5400000000000702</v>
      </c>
      <c r="E57" s="7">
        <v>-0.62450995226763695</v>
      </c>
      <c r="F57" s="7">
        <v>-0.62450995226763695</v>
      </c>
      <c r="G57" s="7">
        <v>722.43</v>
      </c>
      <c r="H57" s="7">
        <v>224.54177897574101</v>
      </c>
      <c r="I57" s="7">
        <v>723.33</v>
      </c>
      <c r="J57" s="7">
        <v>737.19</v>
      </c>
      <c r="K57" s="7">
        <v>720.01</v>
      </c>
      <c r="L57" s="7">
        <v>224.54177897574101</v>
      </c>
    </row>
    <row r="58" spans="1:12" ht="15" customHeight="1" x14ac:dyDescent="0.2">
      <c r="A58" s="3">
        <v>45966</v>
      </c>
      <c r="B58" s="4">
        <v>726.97</v>
      </c>
      <c r="C58" s="5">
        <v>521337.99999999901</v>
      </c>
      <c r="D58" s="4">
        <v>8.4200000000000692</v>
      </c>
      <c r="E58" s="4">
        <v>1.1718043281608801</v>
      </c>
      <c r="F58" s="4">
        <v>1.1718043281608801</v>
      </c>
      <c r="G58" s="4">
        <v>726.97</v>
      </c>
      <c r="H58" s="4">
        <v>226.581311769991</v>
      </c>
      <c r="I58" s="4">
        <v>722.14</v>
      </c>
      <c r="J58" s="4">
        <v>741.93</v>
      </c>
      <c r="K58" s="4">
        <v>719.72</v>
      </c>
      <c r="L58" s="4">
        <v>226.581311769991</v>
      </c>
    </row>
    <row r="59" spans="1:12" ht="15" customHeight="1" x14ac:dyDescent="0.2">
      <c r="A59" s="6">
        <v>45965</v>
      </c>
      <c r="B59" s="7">
        <v>718.55</v>
      </c>
      <c r="C59" s="8">
        <v>303640</v>
      </c>
      <c r="D59" s="7">
        <v>-18.77</v>
      </c>
      <c r="E59" s="7">
        <v>-2.5457060706341998</v>
      </c>
      <c r="F59" s="7">
        <v>-2.5457060706341998</v>
      </c>
      <c r="G59" s="7">
        <v>718.55</v>
      </c>
      <c r="H59" s="7">
        <v>222.79874213836399</v>
      </c>
      <c r="I59" s="7">
        <v>733.99</v>
      </c>
      <c r="J59" s="7">
        <v>747.98</v>
      </c>
      <c r="K59" s="7">
        <v>714.77</v>
      </c>
      <c r="L59" s="7">
        <v>222.79874213836399</v>
      </c>
    </row>
    <row r="60" spans="1:12" ht="15" customHeight="1" x14ac:dyDescent="0.2">
      <c r="A60" s="3">
        <v>45964</v>
      </c>
      <c r="B60" s="4">
        <v>737.32</v>
      </c>
      <c r="C60" s="5">
        <v>259374</v>
      </c>
      <c r="D60" s="4">
        <v>-31.7699999999999</v>
      </c>
      <c r="E60" s="4">
        <v>-4.1308559466382304</v>
      </c>
      <c r="F60" s="4">
        <v>-4.1308559466382304</v>
      </c>
      <c r="G60" s="4">
        <v>737.32</v>
      </c>
      <c r="H60" s="4">
        <v>231.23090745732199</v>
      </c>
      <c r="I60" s="4">
        <v>769.41</v>
      </c>
      <c r="J60" s="4">
        <v>772.88</v>
      </c>
      <c r="K60" s="4">
        <v>735.06</v>
      </c>
      <c r="L60" s="4">
        <v>231.23090745732199</v>
      </c>
    </row>
    <row r="61" spans="1:12" ht="15" customHeight="1" x14ac:dyDescent="0.2">
      <c r="A61" s="6">
        <v>45961</v>
      </c>
      <c r="B61" s="7">
        <v>769.09</v>
      </c>
      <c r="C61" s="8">
        <v>1590925</v>
      </c>
      <c r="D61" s="7">
        <v>14</v>
      </c>
      <c r="E61" s="7">
        <v>1.85408361917123</v>
      </c>
      <c r="F61" s="7">
        <v>1.85408361917123</v>
      </c>
      <c r="G61" s="7">
        <v>769.09</v>
      </c>
      <c r="H61" s="7">
        <v>245.503144654088</v>
      </c>
      <c r="I61" s="7">
        <v>767</v>
      </c>
      <c r="J61" s="7">
        <v>785</v>
      </c>
      <c r="K61" s="7">
        <v>737.88</v>
      </c>
      <c r="L61" s="7">
        <v>245.503144654088</v>
      </c>
    </row>
    <row r="62" spans="1:12" ht="15" customHeight="1" x14ac:dyDescent="0.2">
      <c r="A62" s="3">
        <v>45960</v>
      </c>
      <c r="B62" s="4">
        <v>755.09</v>
      </c>
      <c r="C62" s="5">
        <v>340234</v>
      </c>
      <c r="D62" s="4">
        <v>8.82000000000005</v>
      </c>
      <c r="E62" s="4">
        <v>1.18187787261982</v>
      </c>
      <c r="F62" s="4">
        <v>1.18187787261982</v>
      </c>
      <c r="G62" s="4">
        <v>755.09</v>
      </c>
      <c r="H62" s="4">
        <v>239.213836477987</v>
      </c>
      <c r="I62" s="4">
        <v>751.05</v>
      </c>
      <c r="J62" s="4">
        <v>762.73</v>
      </c>
      <c r="K62" s="4">
        <v>742.07</v>
      </c>
      <c r="L62" s="4">
        <v>239.213836477987</v>
      </c>
    </row>
    <row r="63" spans="1:12" ht="15" customHeight="1" x14ac:dyDescent="0.2">
      <c r="A63" s="6">
        <v>45959</v>
      </c>
      <c r="B63" s="7">
        <v>746.27</v>
      </c>
      <c r="C63" s="8">
        <v>391939</v>
      </c>
      <c r="D63" s="7">
        <v>-0.57000000000005002</v>
      </c>
      <c r="E63" s="7">
        <v>-7.6321568207382506E-2</v>
      </c>
      <c r="F63" s="7">
        <v>-7.6321568207382506E-2</v>
      </c>
      <c r="G63" s="7">
        <v>746.27</v>
      </c>
      <c r="H63" s="7">
        <v>235.25157232704399</v>
      </c>
      <c r="I63" s="7">
        <v>746.7</v>
      </c>
      <c r="J63" s="7">
        <v>779.86</v>
      </c>
      <c r="K63" s="7">
        <v>745.14</v>
      </c>
      <c r="L63" s="7">
        <v>235.25157232704399</v>
      </c>
    </row>
    <row r="64" spans="1:12" ht="15" customHeight="1" x14ac:dyDescent="0.2">
      <c r="A64" s="3">
        <v>45958</v>
      </c>
      <c r="B64" s="4">
        <v>746.84</v>
      </c>
      <c r="C64" s="5">
        <v>267158</v>
      </c>
      <c r="D64" s="4">
        <v>-10.11</v>
      </c>
      <c r="E64" s="4">
        <v>-1.3356232247836699</v>
      </c>
      <c r="F64" s="4">
        <v>-1.3356232247836699</v>
      </c>
      <c r="G64" s="4">
        <v>746.84</v>
      </c>
      <c r="H64" s="4">
        <v>235.50763701707001</v>
      </c>
      <c r="I64" s="4">
        <v>754</v>
      </c>
      <c r="J64" s="4">
        <v>768.02</v>
      </c>
      <c r="K64" s="4">
        <v>730</v>
      </c>
      <c r="L64" s="4">
        <v>235.50763701707001</v>
      </c>
    </row>
    <row r="65" spans="1:12" ht="15" customHeight="1" x14ac:dyDescent="0.2">
      <c r="A65" s="6">
        <v>45957</v>
      </c>
      <c r="B65" s="7">
        <v>756.95</v>
      </c>
      <c r="C65" s="8">
        <v>475805</v>
      </c>
      <c r="D65" s="7">
        <v>22.7</v>
      </c>
      <c r="E65" s="7">
        <v>3.0915900578821902</v>
      </c>
      <c r="F65" s="7">
        <v>3.0915900578821902</v>
      </c>
      <c r="G65" s="7">
        <v>756.95</v>
      </c>
      <c r="H65" s="7">
        <v>240.04941599281199</v>
      </c>
      <c r="I65" s="7">
        <v>731</v>
      </c>
      <c r="J65" s="7">
        <v>774.97</v>
      </c>
      <c r="K65" s="7">
        <v>713.31</v>
      </c>
      <c r="L65" s="7">
        <v>240.04941599281199</v>
      </c>
    </row>
    <row r="66" spans="1:12" ht="15" customHeight="1" x14ac:dyDescent="0.2">
      <c r="A66" s="3">
        <v>45954</v>
      </c>
      <c r="B66" s="4">
        <v>734.25</v>
      </c>
      <c r="C66" s="5">
        <v>359738</v>
      </c>
      <c r="D66" s="4">
        <v>-29.509999999999899</v>
      </c>
      <c r="E66" s="4">
        <v>-3.8637791976537099</v>
      </c>
      <c r="F66" s="4">
        <v>-3.8637791976537099</v>
      </c>
      <c r="G66" s="4">
        <v>734.25</v>
      </c>
      <c r="H66" s="4">
        <v>229.85175202156299</v>
      </c>
      <c r="I66" s="4">
        <v>761.86</v>
      </c>
      <c r="J66" s="4">
        <v>773.57</v>
      </c>
      <c r="K66" s="4">
        <v>728.53</v>
      </c>
      <c r="L66" s="4">
        <v>229.85175202156299</v>
      </c>
    </row>
    <row r="67" spans="1:12" ht="15" customHeight="1" x14ac:dyDescent="0.2">
      <c r="A67" s="6">
        <v>45953</v>
      </c>
      <c r="B67" s="7">
        <v>763.76</v>
      </c>
      <c r="C67" s="8">
        <v>399267</v>
      </c>
      <c r="D67" s="7">
        <v>0.819999999999936</v>
      </c>
      <c r="E67" s="7">
        <v>0.10747896295906199</v>
      </c>
      <c r="F67" s="7">
        <v>0.10747896295906199</v>
      </c>
      <c r="G67" s="7">
        <v>763.76</v>
      </c>
      <c r="H67" s="7">
        <v>243.108715184186</v>
      </c>
      <c r="I67" s="7">
        <v>762.1</v>
      </c>
      <c r="J67" s="7">
        <v>799.78</v>
      </c>
      <c r="K67" s="7">
        <v>755.02</v>
      </c>
      <c r="L67" s="7">
        <v>243.108715184186</v>
      </c>
    </row>
    <row r="68" spans="1:12" ht="15" customHeight="1" x14ac:dyDescent="0.2">
      <c r="A68" s="3">
        <v>45952</v>
      </c>
      <c r="B68" s="4">
        <v>762.94</v>
      </c>
      <c r="C68" s="5">
        <v>390560</v>
      </c>
      <c r="D68" s="4">
        <v>1.9100000000000801</v>
      </c>
      <c r="E68" s="4">
        <v>0.25097565141980399</v>
      </c>
      <c r="F68" s="4">
        <v>0.25097565141980399</v>
      </c>
      <c r="G68" s="4">
        <v>762.94</v>
      </c>
      <c r="H68" s="4">
        <v>242.740341419586</v>
      </c>
      <c r="I68" s="4">
        <v>757</v>
      </c>
      <c r="J68" s="4">
        <v>769.79</v>
      </c>
      <c r="K68" s="4">
        <v>742.33</v>
      </c>
      <c r="L68" s="4">
        <v>242.740341419586</v>
      </c>
    </row>
    <row r="69" spans="1:12" ht="15" customHeight="1" x14ac:dyDescent="0.2">
      <c r="A69" s="6">
        <v>45951</v>
      </c>
      <c r="B69" s="7">
        <v>761.03</v>
      </c>
      <c r="C69" s="8">
        <v>527323</v>
      </c>
      <c r="D69" s="7">
        <v>-32.18</v>
      </c>
      <c r="E69" s="7">
        <v>-4.05693322071079</v>
      </c>
      <c r="F69" s="7">
        <v>-4.05693322071079</v>
      </c>
      <c r="G69" s="7">
        <v>761.03</v>
      </c>
      <c r="H69" s="7">
        <v>241.88230008984701</v>
      </c>
      <c r="I69" s="7">
        <v>783.94</v>
      </c>
      <c r="J69" s="7">
        <v>785.1</v>
      </c>
      <c r="K69" s="7">
        <v>712.07</v>
      </c>
      <c r="L69" s="7">
        <v>241.88230008984701</v>
      </c>
    </row>
    <row r="70" spans="1:12" ht="15" customHeight="1" x14ac:dyDescent="0.2">
      <c r="A70" s="3">
        <v>45950</v>
      </c>
      <c r="B70" s="4">
        <v>793.21</v>
      </c>
      <c r="C70" s="5">
        <v>441562</v>
      </c>
      <c r="D70" s="4">
        <v>-0.24000000000000901</v>
      </c>
      <c r="E70" s="4">
        <v>-3.0247652656123499E-2</v>
      </c>
      <c r="F70" s="4">
        <v>-3.0247652656123499E-2</v>
      </c>
      <c r="G70" s="4">
        <v>793.21</v>
      </c>
      <c r="H70" s="4">
        <v>256.33872416891199</v>
      </c>
      <c r="I70" s="4">
        <v>797.61</v>
      </c>
      <c r="J70" s="4">
        <v>808.4</v>
      </c>
      <c r="K70" s="4">
        <v>786.01</v>
      </c>
      <c r="L70" s="4">
        <v>256.33872416891199</v>
      </c>
    </row>
    <row r="71" spans="1:12" ht="15" customHeight="1" x14ac:dyDescent="0.2">
      <c r="A71" s="6">
        <v>45947</v>
      </c>
      <c r="B71" s="7">
        <v>793.45</v>
      </c>
      <c r="C71" s="8">
        <v>588283</v>
      </c>
      <c r="D71" s="7">
        <v>-36.149999999999899</v>
      </c>
      <c r="E71" s="7">
        <v>-4.3575216972034703</v>
      </c>
      <c r="F71" s="7">
        <v>-4.3575216972034703</v>
      </c>
      <c r="G71" s="7">
        <v>793.45</v>
      </c>
      <c r="H71" s="7">
        <v>256.44654088050299</v>
      </c>
      <c r="I71" s="7">
        <v>824.93</v>
      </c>
      <c r="J71" s="7">
        <v>830.06</v>
      </c>
      <c r="K71" s="7">
        <v>787.55</v>
      </c>
      <c r="L71" s="7">
        <v>256.44654088050299</v>
      </c>
    </row>
    <row r="72" spans="1:12" ht="15" customHeight="1" x14ac:dyDescent="0.2">
      <c r="A72" s="3">
        <v>45946</v>
      </c>
      <c r="B72" s="4">
        <v>829.6</v>
      </c>
      <c r="C72" s="5">
        <v>410812</v>
      </c>
      <c r="D72" s="4">
        <v>22.149999999999899</v>
      </c>
      <c r="E72" s="4">
        <v>2.7432039135550199</v>
      </c>
      <c r="F72" s="4">
        <v>2.7432039135550199</v>
      </c>
      <c r="G72" s="4">
        <v>829.6</v>
      </c>
      <c r="H72" s="4">
        <v>272.68643306379101</v>
      </c>
      <c r="I72" s="4">
        <v>803.41</v>
      </c>
      <c r="J72" s="4">
        <v>833.18</v>
      </c>
      <c r="K72" s="4">
        <v>803.41</v>
      </c>
      <c r="L72" s="4">
        <v>272.68643306379101</v>
      </c>
    </row>
    <row r="73" spans="1:12" ht="15" customHeight="1" x14ac:dyDescent="0.2">
      <c r="A73" s="6">
        <v>45945</v>
      </c>
      <c r="B73" s="7">
        <v>807.45</v>
      </c>
      <c r="C73" s="8">
        <v>343121</v>
      </c>
      <c r="D73" s="7">
        <v>1.8400000000000301</v>
      </c>
      <c r="E73" s="7">
        <v>0.228398356524883</v>
      </c>
      <c r="F73" s="7">
        <v>0.228398356524883</v>
      </c>
      <c r="G73" s="7">
        <v>807.45</v>
      </c>
      <c r="H73" s="7">
        <v>262.735849056603</v>
      </c>
      <c r="I73" s="7">
        <v>826.89</v>
      </c>
      <c r="J73" s="7">
        <v>826.89</v>
      </c>
      <c r="K73" s="7">
        <v>796</v>
      </c>
      <c r="L73" s="7">
        <v>262.735849056603</v>
      </c>
    </row>
    <row r="74" spans="1:12" ht="15" customHeight="1" x14ac:dyDescent="0.2">
      <c r="A74" s="3">
        <v>45944</v>
      </c>
      <c r="B74" s="4">
        <v>805.61</v>
      </c>
      <c r="C74" s="5">
        <v>373833</v>
      </c>
      <c r="D74" s="4">
        <v>-18.11</v>
      </c>
      <c r="E74" s="4">
        <v>-2.1985626183654601</v>
      </c>
      <c r="F74" s="4">
        <v>-2.1985626183654601</v>
      </c>
      <c r="G74" s="4">
        <v>805.61</v>
      </c>
      <c r="H74" s="4">
        <v>261.90925426774402</v>
      </c>
      <c r="I74" s="4">
        <v>820.17</v>
      </c>
      <c r="J74" s="4">
        <v>825.05</v>
      </c>
      <c r="K74" s="4">
        <v>802.58</v>
      </c>
      <c r="L74" s="4">
        <v>261.90925426774402</v>
      </c>
    </row>
    <row r="75" spans="1:12" ht="15" customHeight="1" x14ac:dyDescent="0.2">
      <c r="A75" s="6">
        <v>45943</v>
      </c>
      <c r="B75" s="7">
        <v>823.72</v>
      </c>
      <c r="C75" s="8">
        <v>371192</v>
      </c>
      <c r="D75" s="7">
        <v>41.09</v>
      </c>
      <c r="E75" s="7">
        <v>5.2502459655265001</v>
      </c>
      <c r="F75" s="7">
        <v>5.2502459655265001</v>
      </c>
      <c r="G75" s="7">
        <v>823.72</v>
      </c>
      <c r="H75" s="7">
        <v>270.04492362982899</v>
      </c>
      <c r="I75" s="7">
        <v>800</v>
      </c>
      <c r="J75" s="7">
        <v>827.8</v>
      </c>
      <c r="K75" s="7">
        <v>790.17</v>
      </c>
      <c r="L75" s="7">
        <v>270.04492362982899</v>
      </c>
    </row>
    <row r="76" spans="1:12" ht="15" customHeight="1" x14ac:dyDescent="0.2">
      <c r="A76" s="3">
        <v>45940</v>
      </c>
      <c r="B76" s="4">
        <v>782.63</v>
      </c>
      <c r="C76" s="5">
        <v>444396</v>
      </c>
      <c r="D76" s="4">
        <v>-11.62</v>
      </c>
      <c r="E76" s="4">
        <v>-1.4630154233553601</v>
      </c>
      <c r="F76" s="4">
        <v>-1.4630154233553601</v>
      </c>
      <c r="G76" s="4">
        <v>782.63</v>
      </c>
      <c r="H76" s="4">
        <v>251.58580413297301</v>
      </c>
      <c r="I76" s="4">
        <v>797.01</v>
      </c>
      <c r="J76" s="4">
        <v>808.99</v>
      </c>
      <c r="K76" s="4">
        <v>778.1</v>
      </c>
      <c r="L76" s="4">
        <v>251.58580413297301</v>
      </c>
    </row>
    <row r="77" spans="1:12" ht="15" customHeight="1" x14ac:dyDescent="0.2">
      <c r="A77" s="6">
        <v>45939</v>
      </c>
      <c r="B77" s="7">
        <v>794.25</v>
      </c>
      <c r="C77" s="8">
        <v>354164</v>
      </c>
      <c r="D77" s="7">
        <v>-3.0399999999999601</v>
      </c>
      <c r="E77" s="7">
        <v>-0.381291625380975</v>
      </c>
      <c r="F77" s="7">
        <v>-0.381291625380975</v>
      </c>
      <c r="G77" s="7">
        <v>794.25</v>
      </c>
      <c r="H77" s="7">
        <v>256.80592991913699</v>
      </c>
      <c r="I77" s="7">
        <v>800.11</v>
      </c>
      <c r="J77" s="7">
        <v>808.68</v>
      </c>
      <c r="K77" s="7">
        <v>781.51</v>
      </c>
      <c r="L77" s="7">
        <v>256.80592991913699</v>
      </c>
    </row>
    <row r="78" spans="1:12" ht="15" customHeight="1" x14ac:dyDescent="0.2">
      <c r="A78" s="3">
        <v>45938</v>
      </c>
      <c r="B78" s="4">
        <v>797.29</v>
      </c>
      <c r="C78" s="5">
        <v>478165</v>
      </c>
      <c r="D78" s="4">
        <v>38.389999999999901</v>
      </c>
      <c r="E78" s="4">
        <v>5.0586375016471203</v>
      </c>
      <c r="F78" s="4">
        <v>5.0586375016471203</v>
      </c>
      <c r="G78" s="4">
        <v>797.29</v>
      </c>
      <c r="H78" s="4">
        <v>258.17160826594699</v>
      </c>
      <c r="I78" s="4">
        <v>758.91</v>
      </c>
      <c r="J78" s="4">
        <v>799.05</v>
      </c>
      <c r="K78" s="4">
        <v>758.91</v>
      </c>
      <c r="L78" s="4">
        <v>258.17160826594699</v>
      </c>
    </row>
    <row r="79" spans="1:12" ht="15" customHeight="1" x14ac:dyDescent="0.2">
      <c r="A79" s="6">
        <v>45937</v>
      </c>
      <c r="B79" s="7">
        <v>758.9</v>
      </c>
      <c r="C79" s="8">
        <v>369501</v>
      </c>
      <c r="D79" s="7">
        <v>-22.97</v>
      </c>
      <c r="E79" s="7">
        <v>-2.93782853927123</v>
      </c>
      <c r="F79" s="7">
        <v>-2.93782853927123</v>
      </c>
      <c r="G79" s="7">
        <v>758.9</v>
      </c>
      <c r="H79" s="7">
        <v>240.92542677448299</v>
      </c>
      <c r="I79" s="7">
        <v>782.47</v>
      </c>
      <c r="J79" s="7">
        <v>782.48</v>
      </c>
      <c r="K79" s="7">
        <v>753.13</v>
      </c>
      <c r="L79" s="7">
        <v>240.92542677448299</v>
      </c>
    </row>
    <row r="80" spans="1:12" ht="15" customHeight="1" x14ac:dyDescent="0.2">
      <c r="A80" s="3">
        <v>45936</v>
      </c>
      <c r="B80" s="4">
        <v>781.87</v>
      </c>
      <c r="C80" s="5">
        <v>240264</v>
      </c>
      <c r="D80" s="4">
        <v>-16.23</v>
      </c>
      <c r="E80" s="4">
        <v>-2.0335797519107799</v>
      </c>
      <c r="F80" s="4">
        <v>-2.0335797519107799</v>
      </c>
      <c r="G80" s="4">
        <v>781.87</v>
      </c>
      <c r="H80" s="4">
        <v>251.24438454627099</v>
      </c>
      <c r="I80" s="4">
        <v>802.09</v>
      </c>
      <c r="J80" s="4">
        <v>817.8</v>
      </c>
      <c r="K80" s="4">
        <v>776.58</v>
      </c>
      <c r="L80" s="4">
        <v>251.24438454627099</v>
      </c>
    </row>
    <row r="81" spans="1:12" ht="15" customHeight="1" x14ac:dyDescent="0.2">
      <c r="A81" s="6">
        <v>45933</v>
      </c>
      <c r="B81" s="7">
        <v>798.1</v>
      </c>
      <c r="C81" s="8">
        <v>372909</v>
      </c>
      <c r="D81" s="7">
        <v>-1.8299999999999199</v>
      </c>
      <c r="E81" s="7">
        <v>-0.22877001737651101</v>
      </c>
      <c r="F81" s="7">
        <v>-0.22877001737651101</v>
      </c>
      <c r="G81" s="7">
        <v>798.1</v>
      </c>
      <c r="H81" s="7">
        <v>258.535489667565</v>
      </c>
      <c r="I81" s="7">
        <v>800.12</v>
      </c>
      <c r="J81" s="7">
        <v>808</v>
      </c>
      <c r="K81" s="7">
        <v>779.31</v>
      </c>
      <c r="L81" s="7">
        <v>258.535489667565</v>
      </c>
    </row>
    <row r="82" spans="1:12" ht="15" customHeight="1" x14ac:dyDescent="0.2">
      <c r="A82" s="3">
        <v>45932</v>
      </c>
      <c r="B82" s="4">
        <v>799.93</v>
      </c>
      <c r="C82" s="5">
        <v>488723</v>
      </c>
      <c r="D82" s="4">
        <v>-2.1700000000000701</v>
      </c>
      <c r="E82" s="4">
        <v>-0.270539832938543</v>
      </c>
      <c r="F82" s="4">
        <v>-0.270539832938543</v>
      </c>
      <c r="G82" s="4">
        <v>799.93</v>
      </c>
      <c r="H82" s="4">
        <v>259.35759209344099</v>
      </c>
      <c r="I82" s="4">
        <v>804.24</v>
      </c>
      <c r="J82" s="4">
        <v>808.02</v>
      </c>
      <c r="K82" s="4">
        <v>770.01</v>
      </c>
      <c r="L82" s="4">
        <v>259.35759209344099</v>
      </c>
    </row>
    <row r="83" spans="1:12" ht="15" customHeight="1" x14ac:dyDescent="0.2">
      <c r="A83" s="6">
        <v>45931</v>
      </c>
      <c r="B83" s="7">
        <v>802.1</v>
      </c>
      <c r="C83" s="8">
        <v>393040</v>
      </c>
      <c r="D83" s="7">
        <v>-16.399999999999899</v>
      </c>
      <c r="E83" s="7">
        <v>-2.0036652412950402</v>
      </c>
      <c r="F83" s="7">
        <v>-2.0036652412950402</v>
      </c>
      <c r="G83" s="7">
        <v>802.1</v>
      </c>
      <c r="H83" s="7">
        <v>260.33243486073599</v>
      </c>
      <c r="I83" s="7">
        <v>818.54</v>
      </c>
      <c r="J83" s="7">
        <v>840</v>
      </c>
      <c r="K83" s="7">
        <v>797.85</v>
      </c>
      <c r="L83" s="7">
        <v>260.33243486073599</v>
      </c>
    </row>
    <row r="84" spans="1:12" ht="15" customHeight="1" x14ac:dyDescent="0.2">
      <c r="A84" s="3">
        <v>45930</v>
      </c>
      <c r="B84" s="4">
        <v>818.5</v>
      </c>
      <c r="C84" s="5">
        <v>883755</v>
      </c>
      <c r="D84" s="4">
        <v>16.809999999999899</v>
      </c>
      <c r="E84" s="4">
        <v>2.0968204667639601</v>
      </c>
      <c r="F84" s="4">
        <v>2.0968204667639601</v>
      </c>
      <c r="G84" s="4">
        <v>818.5</v>
      </c>
      <c r="H84" s="4">
        <v>267.69991015274002</v>
      </c>
      <c r="I84" s="4">
        <v>797.68</v>
      </c>
      <c r="J84" s="4">
        <v>820</v>
      </c>
      <c r="K84" s="4">
        <v>790.05</v>
      </c>
      <c r="L84" s="4">
        <v>267.69991015274002</v>
      </c>
    </row>
    <row r="85" spans="1:12" ht="15" customHeight="1" x14ac:dyDescent="0.2">
      <c r="A85" s="6">
        <v>45929</v>
      </c>
      <c r="B85" s="7">
        <v>801.69</v>
      </c>
      <c r="C85" s="8">
        <v>448748</v>
      </c>
      <c r="D85" s="7">
        <v>-4.11999999999989</v>
      </c>
      <c r="E85" s="7">
        <v>-0.51128677976196502</v>
      </c>
      <c r="F85" s="7">
        <v>-0.51128677976196502</v>
      </c>
      <c r="G85" s="7">
        <v>801.69</v>
      </c>
      <c r="H85" s="7">
        <v>260.14824797843602</v>
      </c>
      <c r="I85" s="7">
        <v>816</v>
      </c>
      <c r="J85" s="7">
        <v>817.56</v>
      </c>
      <c r="K85" s="7">
        <v>799.51</v>
      </c>
      <c r="L85" s="7">
        <v>260.14824797843602</v>
      </c>
    </row>
    <row r="86" spans="1:12" ht="15" customHeight="1" x14ac:dyDescent="0.2">
      <c r="A86" s="3">
        <v>45926</v>
      </c>
      <c r="B86" s="4">
        <v>805.81</v>
      </c>
      <c r="C86" s="5">
        <v>400827</v>
      </c>
      <c r="D86" s="4">
        <v>3.9099999999999602</v>
      </c>
      <c r="E86" s="4">
        <v>0.48759196907344199</v>
      </c>
      <c r="F86" s="4">
        <v>0.48759196907344199</v>
      </c>
      <c r="G86" s="4">
        <v>805.81</v>
      </c>
      <c r="H86" s="4">
        <v>261.99910152740301</v>
      </c>
      <c r="I86" s="4">
        <v>795.1</v>
      </c>
      <c r="J86" s="4">
        <v>824.98</v>
      </c>
      <c r="K86" s="4">
        <v>795.1</v>
      </c>
      <c r="L86" s="4">
        <v>261.99910152740301</v>
      </c>
    </row>
    <row r="87" spans="1:12" ht="15" customHeight="1" x14ac:dyDescent="0.2">
      <c r="A87" s="6">
        <v>45925</v>
      </c>
      <c r="B87" s="7">
        <v>801.9</v>
      </c>
      <c r="C87" s="8">
        <v>434084</v>
      </c>
      <c r="D87" s="7">
        <v>17.87</v>
      </c>
      <c r="E87" s="7">
        <v>2.2792495185133199</v>
      </c>
      <c r="F87" s="7">
        <v>2.2792495185133199</v>
      </c>
      <c r="G87" s="7">
        <v>801.9</v>
      </c>
      <c r="H87" s="7">
        <v>260.24258760107801</v>
      </c>
      <c r="I87" s="7">
        <v>784.1</v>
      </c>
      <c r="J87" s="7">
        <v>803</v>
      </c>
      <c r="K87" s="7">
        <v>770.57</v>
      </c>
      <c r="L87" s="7">
        <v>260.24258760107801</v>
      </c>
    </row>
    <row r="88" spans="1:12" ht="15" customHeight="1" x14ac:dyDescent="0.2">
      <c r="A88" s="3">
        <v>45924</v>
      </c>
      <c r="B88" s="4">
        <v>784.03</v>
      </c>
      <c r="C88" s="5">
        <v>440279</v>
      </c>
      <c r="D88" s="4">
        <v>8.3899999999999793</v>
      </c>
      <c r="E88" s="4">
        <v>1.08168738074363</v>
      </c>
      <c r="F88" s="4">
        <v>1.08168738074363</v>
      </c>
      <c r="G88" s="4">
        <v>784.03</v>
      </c>
      <c r="H88" s="4">
        <v>252.21473495058399</v>
      </c>
      <c r="I88" s="4">
        <v>777.38</v>
      </c>
      <c r="J88" s="4">
        <v>790</v>
      </c>
      <c r="K88" s="4">
        <v>768.55</v>
      </c>
      <c r="L88" s="4">
        <v>252.21473495058399</v>
      </c>
    </row>
    <row r="89" spans="1:12" ht="15" customHeight="1" x14ac:dyDescent="0.2">
      <c r="A89" s="6">
        <v>45923</v>
      </c>
      <c r="B89" s="7">
        <v>775.64</v>
      </c>
      <c r="C89" s="8">
        <v>475361</v>
      </c>
      <c r="D89" s="7">
        <v>-6</v>
      </c>
      <c r="E89" s="7">
        <v>-0.76761680569059598</v>
      </c>
      <c r="F89" s="7">
        <v>-0.76761680569059598</v>
      </c>
      <c r="G89" s="7">
        <v>775.64</v>
      </c>
      <c r="H89" s="7">
        <v>248.44564240790601</v>
      </c>
      <c r="I89" s="7">
        <v>778</v>
      </c>
      <c r="J89" s="7">
        <v>786.06</v>
      </c>
      <c r="K89" s="7">
        <v>762.19</v>
      </c>
      <c r="L89" s="7">
        <v>248.44564240790601</v>
      </c>
    </row>
    <row r="90" spans="1:12" ht="15" customHeight="1" x14ac:dyDescent="0.2">
      <c r="A90" s="3">
        <v>45922</v>
      </c>
      <c r="B90" s="4">
        <v>781.64</v>
      </c>
      <c r="C90" s="5">
        <v>518578.99999999901</v>
      </c>
      <c r="D90" s="4">
        <v>43.86</v>
      </c>
      <c r="E90" s="4">
        <v>5.9448616118626001</v>
      </c>
      <c r="F90" s="4">
        <v>5.9448616118626001</v>
      </c>
      <c r="G90" s="4">
        <v>781.64</v>
      </c>
      <c r="H90" s="4">
        <v>251.14106019766399</v>
      </c>
      <c r="I90" s="4">
        <v>738.78</v>
      </c>
      <c r="J90" s="4">
        <v>786.16</v>
      </c>
      <c r="K90" s="4">
        <v>738.78</v>
      </c>
      <c r="L90" s="4">
        <v>251.14106019766399</v>
      </c>
    </row>
    <row r="91" spans="1:12" ht="15" customHeight="1" x14ac:dyDescent="0.2">
      <c r="A91" s="6">
        <v>45919</v>
      </c>
      <c r="B91" s="7">
        <v>737.78</v>
      </c>
      <c r="C91" s="8">
        <v>14308300</v>
      </c>
      <c r="D91" s="7">
        <v>23.9299999999999</v>
      </c>
      <c r="E91" s="7">
        <v>3.3522448693703102</v>
      </c>
      <c r="F91" s="7">
        <v>3.3522448693703102</v>
      </c>
      <c r="G91" s="7">
        <v>737.78</v>
      </c>
      <c r="H91" s="7">
        <v>231.43755615453699</v>
      </c>
      <c r="I91" s="7">
        <v>711.09</v>
      </c>
      <c r="J91" s="7">
        <v>791.98</v>
      </c>
      <c r="K91" s="7">
        <v>711.09</v>
      </c>
      <c r="L91" s="7">
        <v>231.43755615453699</v>
      </c>
    </row>
    <row r="92" spans="1:12" ht="15" customHeight="1" x14ac:dyDescent="0.2">
      <c r="A92" s="3">
        <v>45918</v>
      </c>
      <c r="B92" s="4">
        <v>713.85</v>
      </c>
      <c r="C92" s="5">
        <v>760843</v>
      </c>
      <c r="D92" s="4">
        <v>-23.1799999999999</v>
      </c>
      <c r="E92" s="4">
        <v>-3.1450551537929101</v>
      </c>
      <c r="F92" s="4">
        <v>-3.1450551537929101</v>
      </c>
      <c r="G92" s="4">
        <v>713.85</v>
      </c>
      <c r="H92" s="4">
        <v>220.687331536388</v>
      </c>
      <c r="I92" s="4">
        <v>735.85</v>
      </c>
      <c r="J92" s="4">
        <v>735.85</v>
      </c>
      <c r="K92" s="4">
        <v>700</v>
      </c>
      <c r="L92" s="4">
        <v>220.687331536388</v>
      </c>
    </row>
    <row r="93" spans="1:12" ht="15" customHeight="1" x14ac:dyDescent="0.2">
      <c r="A93" s="6">
        <v>45917</v>
      </c>
      <c r="B93" s="7">
        <v>737.03</v>
      </c>
      <c r="C93" s="8">
        <v>2321841</v>
      </c>
      <c r="D93" s="7">
        <v>-36.31</v>
      </c>
      <c r="E93" s="7">
        <v>-4.6952181446711698</v>
      </c>
      <c r="F93" s="7">
        <v>-4.6952181446711698</v>
      </c>
      <c r="G93" s="7">
        <v>737.03</v>
      </c>
      <c r="H93" s="7">
        <v>231.10062893081701</v>
      </c>
      <c r="I93" s="7">
        <v>771.2</v>
      </c>
      <c r="J93" s="7">
        <v>797</v>
      </c>
      <c r="K93" s="7">
        <v>726.82</v>
      </c>
      <c r="L93" s="7">
        <v>231.10062893081701</v>
      </c>
    </row>
    <row r="94" spans="1:12" ht="15" customHeight="1" x14ac:dyDescent="0.2">
      <c r="A94" s="3">
        <v>45915</v>
      </c>
      <c r="B94" s="4">
        <v>773.34</v>
      </c>
      <c r="C94" s="5">
        <v>589752</v>
      </c>
      <c r="D94" s="4">
        <v>-12.559999999999899</v>
      </c>
      <c r="E94" s="4">
        <v>-1.5981677058149699</v>
      </c>
      <c r="F94" s="4">
        <v>-1.5981677058149699</v>
      </c>
      <c r="G94" s="4">
        <v>773.34</v>
      </c>
      <c r="H94" s="4">
        <v>247.41239892183199</v>
      </c>
      <c r="I94" s="4">
        <v>785</v>
      </c>
      <c r="J94" s="4">
        <v>799.79</v>
      </c>
      <c r="K94" s="4">
        <v>770.96</v>
      </c>
      <c r="L94" s="4">
        <v>247.41239892183199</v>
      </c>
    </row>
    <row r="95" spans="1:12" ht="15" customHeight="1" x14ac:dyDescent="0.2">
      <c r="A95" s="6">
        <v>45912</v>
      </c>
      <c r="B95" s="7">
        <v>785.9</v>
      </c>
      <c r="C95" s="8">
        <v>617653</v>
      </c>
      <c r="D95" s="7">
        <v>-12.639999999999899</v>
      </c>
      <c r="E95" s="7">
        <v>-1.58288877200891</v>
      </c>
      <c r="F95" s="7">
        <v>-1.58288877200891</v>
      </c>
      <c r="G95" s="7">
        <v>785.9</v>
      </c>
      <c r="H95" s="7">
        <v>253.05480682839101</v>
      </c>
      <c r="I95" s="7">
        <v>795.97</v>
      </c>
      <c r="J95" s="7">
        <v>804.99</v>
      </c>
      <c r="K95" s="7">
        <v>783.64</v>
      </c>
      <c r="L95" s="7">
        <v>253.05480682839101</v>
      </c>
    </row>
    <row r="96" spans="1:12" ht="15" customHeight="1" x14ac:dyDescent="0.2">
      <c r="A96" s="3">
        <v>45911</v>
      </c>
      <c r="B96" s="4">
        <v>798.54</v>
      </c>
      <c r="C96" s="5">
        <v>689250</v>
      </c>
      <c r="D96" s="4">
        <v>21.529999999999902</v>
      </c>
      <c r="E96" s="4">
        <v>2.7708781096768398</v>
      </c>
      <c r="F96" s="4">
        <v>2.7708781096768398</v>
      </c>
      <c r="G96" s="4">
        <v>798.54</v>
      </c>
      <c r="H96" s="4">
        <v>258.73315363881397</v>
      </c>
      <c r="I96" s="4">
        <v>789</v>
      </c>
      <c r="J96" s="4">
        <v>810.04</v>
      </c>
      <c r="K96" s="4">
        <v>770</v>
      </c>
      <c r="L96" s="4">
        <v>258.73315363881397</v>
      </c>
    </row>
    <row r="97" spans="1:12" ht="15" customHeight="1" x14ac:dyDescent="0.2">
      <c r="A97" s="6">
        <v>45910</v>
      </c>
      <c r="B97" s="7">
        <v>777.01</v>
      </c>
      <c r="C97" s="8">
        <v>625939</v>
      </c>
      <c r="D97" s="7">
        <v>36.409999999999897</v>
      </c>
      <c r="E97" s="7">
        <v>4.9162840939778398</v>
      </c>
      <c r="F97" s="7">
        <v>4.9162840939778398</v>
      </c>
      <c r="G97" s="7">
        <v>777.01</v>
      </c>
      <c r="H97" s="7">
        <v>249.06109613656699</v>
      </c>
      <c r="I97" s="7">
        <v>740</v>
      </c>
      <c r="J97" s="7">
        <v>783.41</v>
      </c>
      <c r="K97" s="7">
        <v>738</v>
      </c>
      <c r="L97" s="7">
        <v>249.06109613656699</v>
      </c>
    </row>
    <row r="98" spans="1:12" ht="15" customHeight="1" x14ac:dyDescent="0.2">
      <c r="A98" s="3">
        <v>45909</v>
      </c>
      <c r="B98" s="4">
        <v>740.6</v>
      </c>
      <c r="C98" s="5">
        <v>518380</v>
      </c>
      <c r="D98" s="4">
        <v>-2.1699999999999502</v>
      </c>
      <c r="E98" s="4">
        <v>-0.292149656017337</v>
      </c>
      <c r="F98" s="4">
        <v>-0.292149656017337</v>
      </c>
      <c r="G98" s="4">
        <v>740.6</v>
      </c>
      <c r="H98" s="4">
        <v>232.70440251572299</v>
      </c>
      <c r="I98" s="4">
        <v>740</v>
      </c>
      <c r="J98" s="4">
        <v>748</v>
      </c>
      <c r="K98" s="4">
        <v>717.3</v>
      </c>
      <c r="L98" s="4">
        <v>232.70440251572299</v>
      </c>
    </row>
    <row r="99" spans="1:12" ht="15" customHeight="1" x14ac:dyDescent="0.2">
      <c r="A99" s="6">
        <v>45908</v>
      </c>
      <c r="B99" s="7">
        <v>742.77</v>
      </c>
      <c r="C99" s="8">
        <v>334597</v>
      </c>
      <c r="D99" s="7">
        <v>21.689999999999898</v>
      </c>
      <c r="E99" s="7">
        <v>3.0079880179730401</v>
      </c>
      <c r="F99" s="7">
        <v>3.0079880179730401</v>
      </c>
      <c r="G99" s="7">
        <v>742.77</v>
      </c>
      <c r="H99" s="7">
        <v>233.67924528301799</v>
      </c>
      <c r="I99" s="7">
        <v>723.64</v>
      </c>
      <c r="J99" s="7">
        <v>751.81</v>
      </c>
      <c r="K99" s="7">
        <v>711</v>
      </c>
      <c r="L99" s="7">
        <v>233.67924528301799</v>
      </c>
    </row>
    <row r="100" spans="1:12" ht="15" customHeight="1" x14ac:dyDescent="0.2">
      <c r="A100" s="3">
        <v>45905</v>
      </c>
      <c r="B100" s="4">
        <v>721.08</v>
      </c>
      <c r="C100" s="5">
        <v>453297</v>
      </c>
      <c r="D100" s="4">
        <v>28.48</v>
      </c>
      <c r="E100" s="4">
        <v>4.1120415824429601</v>
      </c>
      <c r="F100" s="4">
        <v>4.1120415824429601</v>
      </c>
      <c r="G100" s="4">
        <v>721.08</v>
      </c>
      <c r="H100" s="4">
        <v>223.93530997304501</v>
      </c>
      <c r="I100" s="4">
        <v>693.08</v>
      </c>
      <c r="J100" s="4">
        <v>725.33</v>
      </c>
      <c r="K100" s="4">
        <v>693.08</v>
      </c>
      <c r="L100" s="4">
        <v>223.93530997304501</v>
      </c>
    </row>
    <row r="101" spans="1:12" ht="15" customHeight="1" x14ac:dyDescent="0.2">
      <c r="A101" s="6">
        <v>45904</v>
      </c>
      <c r="B101" s="7">
        <v>692.6</v>
      </c>
      <c r="C101" s="8">
        <v>566711</v>
      </c>
      <c r="D101" s="7">
        <v>-28.919999999999899</v>
      </c>
      <c r="E101" s="7">
        <v>-4.0082049007650404</v>
      </c>
      <c r="F101" s="7">
        <v>-4.0082049007650404</v>
      </c>
      <c r="G101" s="7">
        <v>692.6</v>
      </c>
      <c r="H101" s="7">
        <v>211.14106019766399</v>
      </c>
      <c r="I101" s="7">
        <v>721.59</v>
      </c>
      <c r="J101" s="7">
        <v>721.59</v>
      </c>
      <c r="K101" s="7">
        <v>673.42</v>
      </c>
      <c r="L101" s="7">
        <v>211.14106019766399</v>
      </c>
    </row>
    <row r="102" spans="1:12" ht="15" customHeight="1" x14ac:dyDescent="0.2">
      <c r="A102" s="3">
        <v>45903</v>
      </c>
      <c r="B102" s="4">
        <v>721.52</v>
      </c>
      <c r="C102" s="5">
        <v>832773</v>
      </c>
      <c r="D102" s="4">
        <v>63.2899999999999</v>
      </c>
      <c r="E102" s="4">
        <v>9.61518010421889</v>
      </c>
      <c r="F102" s="4">
        <v>9.61518010421889</v>
      </c>
      <c r="G102" s="4">
        <v>721.52</v>
      </c>
      <c r="H102" s="4">
        <v>224.13297394429401</v>
      </c>
      <c r="I102" s="4">
        <v>660.01</v>
      </c>
      <c r="J102" s="4">
        <v>725.21</v>
      </c>
      <c r="K102" s="4">
        <v>660.01</v>
      </c>
      <c r="L102" s="4">
        <v>224.13297394429401</v>
      </c>
    </row>
    <row r="103" spans="1:12" ht="15" customHeight="1" x14ac:dyDescent="0.2">
      <c r="A103" s="6">
        <v>45902</v>
      </c>
      <c r="B103" s="7">
        <v>658.23</v>
      </c>
      <c r="C103" s="8">
        <v>372350</v>
      </c>
      <c r="D103" s="7">
        <v>44.529999999999902</v>
      </c>
      <c r="E103" s="7">
        <v>7.2559882678833096</v>
      </c>
      <c r="F103" s="7">
        <v>7.2559882678833096</v>
      </c>
      <c r="G103" s="7">
        <v>658.23</v>
      </c>
      <c r="H103" s="7">
        <v>195.70080862533601</v>
      </c>
      <c r="I103" s="7">
        <v>615.99</v>
      </c>
      <c r="J103" s="7">
        <v>679.99</v>
      </c>
      <c r="K103" s="7">
        <v>612.07000000000005</v>
      </c>
      <c r="L103" s="7">
        <v>195.70080862533601</v>
      </c>
    </row>
    <row r="104" spans="1:12" ht="15" customHeight="1" x14ac:dyDescent="0.2">
      <c r="A104" s="3">
        <v>45901</v>
      </c>
      <c r="B104" s="4">
        <v>613.70000000000005</v>
      </c>
      <c r="C104" s="5">
        <v>85126</v>
      </c>
      <c r="D104" s="4">
        <v>5.2200000000000202</v>
      </c>
      <c r="E104" s="4">
        <v>0.857875361556659</v>
      </c>
      <c r="F104" s="4">
        <v>0.857875361556659</v>
      </c>
      <c r="G104" s="4">
        <v>613.70000000000005</v>
      </c>
      <c r="H104" s="4">
        <v>175.696316262354</v>
      </c>
      <c r="I104" s="4">
        <v>618.45000000000005</v>
      </c>
      <c r="J104" s="4">
        <v>638</v>
      </c>
      <c r="K104" s="4">
        <v>604.41</v>
      </c>
      <c r="L104" s="4">
        <v>175.696316262354</v>
      </c>
    </row>
    <row r="105" spans="1:12" ht="15" customHeight="1" x14ac:dyDescent="0.2">
      <c r="A105" s="6">
        <v>45898</v>
      </c>
      <c r="B105" s="7">
        <v>608.48</v>
      </c>
      <c r="C105" s="8">
        <v>557315</v>
      </c>
      <c r="D105" s="7">
        <v>-9.3699999999999992</v>
      </c>
      <c r="E105" s="7">
        <v>-1.51654932426964</v>
      </c>
      <c r="F105" s="7">
        <v>-1.51654932426964</v>
      </c>
      <c r="G105" s="7">
        <v>608.48</v>
      </c>
      <c r="H105" s="7">
        <v>173.35130278526501</v>
      </c>
      <c r="I105" s="7">
        <v>620.92999999999995</v>
      </c>
      <c r="J105" s="7">
        <v>620.92999999999995</v>
      </c>
      <c r="K105" s="7">
        <v>602.1</v>
      </c>
      <c r="L105" s="7">
        <v>173.35130278526501</v>
      </c>
    </row>
    <row r="106" spans="1:12" ht="15" customHeight="1" x14ac:dyDescent="0.2">
      <c r="A106" s="3">
        <v>45897</v>
      </c>
      <c r="B106" s="4">
        <v>617.85</v>
      </c>
      <c r="C106" s="5">
        <v>676215</v>
      </c>
      <c r="D106" s="4">
        <v>47.22</v>
      </c>
      <c r="E106" s="4">
        <v>8.2750644025024904</v>
      </c>
      <c r="F106" s="4">
        <v>8.2750644025024904</v>
      </c>
      <c r="G106" s="4">
        <v>617.85</v>
      </c>
      <c r="H106" s="4">
        <v>177.56064690026901</v>
      </c>
      <c r="I106" s="4">
        <v>566.92999999999995</v>
      </c>
      <c r="J106" s="4">
        <v>625.95000000000005</v>
      </c>
      <c r="K106" s="4">
        <v>566.88</v>
      </c>
      <c r="L106" s="4">
        <v>177.56064690026901</v>
      </c>
    </row>
    <row r="107" spans="1:12" ht="15" customHeight="1" x14ac:dyDescent="0.2">
      <c r="A107" s="6">
        <v>45896</v>
      </c>
      <c r="B107" s="7">
        <v>570.63</v>
      </c>
      <c r="C107" s="8">
        <v>489592</v>
      </c>
      <c r="D107" s="7">
        <v>36.200000000000003</v>
      </c>
      <c r="E107" s="7">
        <v>6.7735718428980398</v>
      </c>
      <c r="F107" s="7">
        <v>6.7735718428980398</v>
      </c>
      <c r="G107" s="7">
        <v>570.63</v>
      </c>
      <c r="H107" s="7">
        <v>156.347708894878</v>
      </c>
      <c r="I107" s="7">
        <v>542.89</v>
      </c>
      <c r="J107" s="7">
        <v>571.71</v>
      </c>
      <c r="K107" s="7">
        <v>526</v>
      </c>
      <c r="L107" s="7">
        <v>156.347708894878</v>
      </c>
    </row>
    <row r="108" spans="1:12" ht="15" customHeight="1" x14ac:dyDescent="0.2">
      <c r="A108" s="3">
        <v>45895</v>
      </c>
      <c r="B108" s="4">
        <v>534.42999999999995</v>
      </c>
      <c r="C108" s="5">
        <v>1830533</v>
      </c>
      <c r="D108" s="4">
        <v>3.4199999999999502</v>
      </c>
      <c r="E108" s="4">
        <v>0.64405566750154097</v>
      </c>
      <c r="F108" s="4">
        <v>0.64405566750154097</v>
      </c>
      <c r="G108" s="4">
        <v>534.42999999999995</v>
      </c>
      <c r="H108" s="4">
        <v>140.085354896675</v>
      </c>
      <c r="I108" s="4">
        <v>531.95000000000005</v>
      </c>
      <c r="J108" s="4">
        <v>553</v>
      </c>
      <c r="K108" s="4">
        <v>531.9</v>
      </c>
      <c r="L108" s="4">
        <v>140.085354896675</v>
      </c>
    </row>
    <row r="109" spans="1:12" ht="15" customHeight="1" x14ac:dyDescent="0.2">
      <c r="A109" s="6">
        <v>45894</v>
      </c>
      <c r="B109" s="7">
        <v>531.01</v>
      </c>
      <c r="C109" s="8">
        <v>302878</v>
      </c>
      <c r="D109" s="7">
        <v>-36.97</v>
      </c>
      <c r="E109" s="7">
        <v>-6.5090320081693003</v>
      </c>
      <c r="F109" s="7">
        <v>-6.5090320081693003</v>
      </c>
      <c r="G109" s="7">
        <v>531.01</v>
      </c>
      <c r="H109" s="7">
        <v>138.54896675651301</v>
      </c>
      <c r="I109" s="7">
        <v>571.65</v>
      </c>
      <c r="J109" s="7">
        <v>571.72</v>
      </c>
      <c r="K109" s="7">
        <v>528.27</v>
      </c>
      <c r="L109" s="7">
        <v>138.54896675651301</v>
      </c>
    </row>
    <row r="110" spans="1:12" ht="15" customHeight="1" x14ac:dyDescent="0.2">
      <c r="A110" s="3">
        <v>45891</v>
      </c>
      <c r="B110" s="4">
        <v>567.98</v>
      </c>
      <c r="C110" s="5">
        <v>274409</v>
      </c>
      <c r="D110" s="4">
        <v>17.59</v>
      </c>
      <c r="E110" s="4">
        <v>3.1959156234669899</v>
      </c>
      <c r="F110" s="4">
        <v>3.1959156234669899</v>
      </c>
      <c r="G110" s="4">
        <v>567.98</v>
      </c>
      <c r="H110" s="4">
        <v>155.15723270440199</v>
      </c>
      <c r="I110" s="4">
        <v>549.12</v>
      </c>
      <c r="J110" s="4">
        <v>572.96</v>
      </c>
      <c r="K110" s="4">
        <v>540.86</v>
      </c>
      <c r="L110" s="4">
        <v>155.15723270440199</v>
      </c>
    </row>
    <row r="111" spans="1:12" ht="15" customHeight="1" x14ac:dyDescent="0.2">
      <c r="A111" s="6">
        <v>45890</v>
      </c>
      <c r="B111" s="7">
        <v>550.39</v>
      </c>
      <c r="C111" s="8">
        <v>228822</v>
      </c>
      <c r="D111" s="7">
        <v>14.9499999999999</v>
      </c>
      <c r="E111" s="7">
        <v>2.7920962199312598</v>
      </c>
      <c r="F111" s="7">
        <v>2.7920962199312598</v>
      </c>
      <c r="G111" s="7">
        <v>550.39</v>
      </c>
      <c r="H111" s="7">
        <v>147.25516621743</v>
      </c>
      <c r="I111" s="7">
        <v>534.07000000000005</v>
      </c>
      <c r="J111" s="7">
        <v>552</v>
      </c>
      <c r="K111" s="7">
        <v>533.65</v>
      </c>
      <c r="L111" s="7">
        <v>147.25516621743</v>
      </c>
    </row>
    <row r="112" spans="1:12" ht="15" customHeight="1" x14ac:dyDescent="0.2">
      <c r="A112" s="3">
        <v>45889</v>
      </c>
      <c r="B112" s="4">
        <v>535.44000000000005</v>
      </c>
      <c r="C112" s="5">
        <v>574507</v>
      </c>
      <c r="D112" s="4">
        <v>8.0600000000000591</v>
      </c>
      <c r="E112" s="4">
        <v>1.52830975766999</v>
      </c>
      <c r="F112" s="4">
        <v>1.52830975766999</v>
      </c>
      <c r="G112" s="4">
        <v>535.44000000000005</v>
      </c>
      <c r="H112" s="4">
        <v>140.53908355795099</v>
      </c>
      <c r="I112" s="4">
        <v>529.49</v>
      </c>
      <c r="J112" s="4">
        <v>552.23</v>
      </c>
      <c r="K112" s="4">
        <v>527.95000000000005</v>
      </c>
      <c r="L112" s="4">
        <v>140.53908355795099</v>
      </c>
    </row>
    <row r="113" spans="1:12" ht="15" customHeight="1" x14ac:dyDescent="0.2">
      <c r="A113" s="6">
        <v>45888</v>
      </c>
      <c r="B113" s="7">
        <v>527.38</v>
      </c>
      <c r="C113" s="8">
        <v>293267</v>
      </c>
      <c r="D113" s="7">
        <v>-4.37</v>
      </c>
      <c r="E113" s="7">
        <v>-0.82181476257639996</v>
      </c>
      <c r="F113" s="7">
        <v>-0.82181476257639996</v>
      </c>
      <c r="G113" s="7">
        <v>527.38</v>
      </c>
      <c r="H113" s="7">
        <v>136.91823899370999</v>
      </c>
      <c r="I113" s="7">
        <v>527.48</v>
      </c>
      <c r="J113" s="7">
        <v>532.78</v>
      </c>
      <c r="K113" s="7">
        <v>520.57000000000005</v>
      </c>
      <c r="L113" s="7">
        <v>136.91823899370999</v>
      </c>
    </row>
    <row r="114" spans="1:12" ht="15" customHeight="1" x14ac:dyDescent="0.2">
      <c r="A114" s="3">
        <v>45887</v>
      </c>
      <c r="B114" s="4">
        <v>531.75</v>
      </c>
      <c r="C114" s="5">
        <v>392432</v>
      </c>
      <c r="D114" s="4">
        <v>9.1000000000000192</v>
      </c>
      <c r="E114" s="4">
        <v>1.7411269492011801</v>
      </c>
      <c r="F114" s="4">
        <v>1.7411269492011801</v>
      </c>
      <c r="G114" s="4">
        <v>531.75</v>
      </c>
      <c r="H114" s="4">
        <v>138.88140161724999</v>
      </c>
      <c r="I114" s="4">
        <v>530.99</v>
      </c>
      <c r="J114" s="4">
        <v>545.08000000000004</v>
      </c>
      <c r="K114" s="4">
        <v>525.27</v>
      </c>
      <c r="L114" s="4">
        <v>138.88140161724999</v>
      </c>
    </row>
    <row r="115" spans="1:12" ht="15" customHeight="1" x14ac:dyDescent="0.2">
      <c r="A115" s="6">
        <v>45884</v>
      </c>
      <c r="B115" s="7">
        <v>522.65</v>
      </c>
      <c r="C115" s="8">
        <v>2430226</v>
      </c>
      <c r="D115" s="7">
        <v>-26.75</v>
      </c>
      <c r="E115" s="7">
        <v>-4.8689479432107703</v>
      </c>
      <c r="F115" s="7">
        <v>-4.8689479432107703</v>
      </c>
      <c r="G115" s="7">
        <v>522.65</v>
      </c>
      <c r="H115" s="7">
        <v>134.793351302785</v>
      </c>
      <c r="I115" s="7">
        <v>553.04</v>
      </c>
      <c r="J115" s="7">
        <v>553.04999999999995</v>
      </c>
      <c r="K115" s="7">
        <v>518.64</v>
      </c>
      <c r="L115" s="7">
        <v>134.793351302785</v>
      </c>
    </row>
    <row r="116" spans="1:12" ht="15" customHeight="1" x14ac:dyDescent="0.2">
      <c r="A116" s="3">
        <v>45883</v>
      </c>
      <c r="B116" s="4">
        <v>549.4</v>
      </c>
      <c r="C116" s="5">
        <v>787844</v>
      </c>
      <c r="D116" s="4">
        <v>-17.48</v>
      </c>
      <c r="E116" s="4">
        <v>-3.08354501834603</v>
      </c>
      <c r="F116" s="4">
        <v>-3.08354501834603</v>
      </c>
      <c r="G116" s="4">
        <v>549.4</v>
      </c>
      <c r="H116" s="4">
        <v>146.81042228211999</v>
      </c>
      <c r="I116" s="4">
        <v>572.14</v>
      </c>
      <c r="J116" s="4">
        <v>572.14</v>
      </c>
      <c r="K116" s="4">
        <v>547.01</v>
      </c>
      <c r="L116" s="4">
        <v>146.81042228211999</v>
      </c>
    </row>
    <row r="117" spans="1:12" ht="15" customHeight="1" x14ac:dyDescent="0.2">
      <c r="A117" s="6">
        <v>45882</v>
      </c>
      <c r="B117" s="7">
        <v>566.88</v>
      </c>
      <c r="C117" s="8">
        <v>407476</v>
      </c>
      <c r="D117" s="7">
        <v>-19.22</v>
      </c>
      <c r="E117" s="7">
        <v>-3.2793038730592099</v>
      </c>
      <c r="F117" s="7">
        <v>-3.2793038730592099</v>
      </c>
      <c r="G117" s="7">
        <v>566.88</v>
      </c>
      <c r="H117" s="7">
        <v>154.66307277627999</v>
      </c>
      <c r="I117" s="7">
        <v>590.04</v>
      </c>
      <c r="J117" s="7">
        <v>590.04</v>
      </c>
      <c r="K117" s="7">
        <v>563.77</v>
      </c>
      <c r="L117" s="7">
        <v>154.66307277627999</v>
      </c>
    </row>
    <row r="118" spans="1:12" ht="15" customHeight="1" x14ac:dyDescent="0.2">
      <c r="A118" s="3">
        <v>45881</v>
      </c>
      <c r="B118" s="4">
        <v>586.1</v>
      </c>
      <c r="C118" s="5">
        <v>511363</v>
      </c>
      <c r="D118" s="4">
        <v>5.1399999999999801</v>
      </c>
      <c r="E118" s="4">
        <v>0.88474249518037895</v>
      </c>
      <c r="F118" s="4">
        <v>0.88474249518037895</v>
      </c>
      <c r="G118" s="4">
        <v>586.1</v>
      </c>
      <c r="H118" s="4">
        <v>163.29739442946899</v>
      </c>
      <c r="I118" s="4">
        <v>575.57000000000005</v>
      </c>
      <c r="J118" s="4">
        <v>587.9</v>
      </c>
      <c r="K118" s="4">
        <v>562.16999999999996</v>
      </c>
      <c r="L118" s="4">
        <v>163.29739442946899</v>
      </c>
    </row>
    <row r="119" spans="1:12" ht="15" customHeight="1" x14ac:dyDescent="0.2">
      <c r="A119" s="6">
        <v>45880</v>
      </c>
      <c r="B119" s="7">
        <v>580.96</v>
      </c>
      <c r="C119" s="8">
        <v>331110</v>
      </c>
      <c r="D119" s="7">
        <v>-1.93999999999994</v>
      </c>
      <c r="E119" s="7">
        <v>-0.33281866529421</v>
      </c>
      <c r="F119" s="7">
        <v>-0.33281866529421</v>
      </c>
      <c r="G119" s="7">
        <v>580.96</v>
      </c>
      <c r="H119" s="7">
        <v>160.988319856244</v>
      </c>
      <c r="I119" s="7">
        <v>579.97</v>
      </c>
      <c r="J119" s="7">
        <v>592</v>
      </c>
      <c r="K119" s="7">
        <v>575</v>
      </c>
      <c r="L119" s="7">
        <v>160.988319856244</v>
      </c>
    </row>
    <row r="120" spans="1:12" ht="15" customHeight="1" x14ac:dyDescent="0.2">
      <c r="A120" s="3">
        <v>45877</v>
      </c>
      <c r="B120" s="4">
        <v>582.9</v>
      </c>
      <c r="C120" s="5">
        <v>305484</v>
      </c>
      <c r="D120" s="4">
        <v>5.76999999999998</v>
      </c>
      <c r="E120" s="4">
        <v>0.99977474745724904</v>
      </c>
      <c r="F120" s="4">
        <v>0.99977474745724904</v>
      </c>
      <c r="G120" s="4">
        <v>582.9</v>
      </c>
      <c r="H120" s="4">
        <v>161.859838274932</v>
      </c>
      <c r="I120" s="4">
        <v>574.24</v>
      </c>
      <c r="J120" s="4">
        <v>600</v>
      </c>
      <c r="K120" s="4">
        <v>574.24</v>
      </c>
      <c r="L120" s="4">
        <v>161.859838274932</v>
      </c>
    </row>
    <row r="121" spans="1:12" ht="15" customHeight="1" x14ac:dyDescent="0.2">
      <c r="A121" s="6">
        <v>45876</v>
      </c>
      <c r="B121" s="7">
        <v>577.13</v>
      </c>
      <c r="C121" s="8">
        <v>497303</v>
      </c>
      <c r="D121" s="7">
        <v>28.779999999999902</v>
      </c>
      <c r="E121" s="7">
        <v>5.2484726907996597</v>
      </c>
      <c r="F121" s="7">
        <v>5.2484726907996597</v>
      </c>
      <c r="G121" s="7">
        <v>577.13</v>
      </c>
      <c r="H121" s="7">
        <v>159.26774483378199</v>
      </c>
      <c r="I121" s="7">
        <v>544.27</v>
      </c>
      <c r="J121" s="7">
        <v>587.85</v>
      </c>
      <c r="K121" s="7">
        <v>541.76</v>
      </c>
      <c r="L121" s="7">
        <v>159.26774483378199</v>
      </c>
    </row>
    <row r="122" spans="1:12" ht="15" customHeight="1" x14ac:dyDescent="0.2">
      <c r="A122" s="3">
        <v>45875</v>
      </c>
      <c r="B122" s="4">
        <v>548.35</v>
      </c>
      <c r="C122" s="5">
        <v>578645</v>
      </c>
      <c r="D122" s="4">
        <v>35.279999999999902</v>
      </c>
      <c r="E122" s="4">
        <v>6.8762547020874303</v>
      </c>
      <c r="F122" s="4">
        <v>6.8762547020874303</v>
      </c>
      <c r="G122" s="4">
        <v>548.35</v>
      </c>
      <c r="H122" s="4">
        <v>146.33872416891199</v>
      </c>
      <c r="I122" s="4">
        <v>508.38</v>
      </c>
      <c r="J122" s="4">
        <v>550.99</v>
      </c>
      <c r="K122" s="4">
        <v>508</v>
      </c>
      <c r="L122" s="4">
        <v>146.33872416891199</v>
      </c>
    </row>
    <row r="123" spans="1:12" ht="15" customHeight="1" x14ac:dyDescent="0.2">
      <c r="A123" s="6">
        <v>45874</v>
      </c>
      <c r="B123" s="7">
        <v>513.07000000000005</v>
      </c>
      <c r="C123" s="8">
        <v>284682</v>
      </c>
      <c r="D123" s="7">
        <v>13.9</v>
      </c>
      <c r="E123" s="7">
        <v>2.7846224733056801</v>
      </c>
      <c r="F123" s="7">
        <v>2.7846224733056801</v>
      </c>
      <c r="G123" s="7">
        <v>513.07000000000005</v>
      </c>
      <c r="H123" s="7">
        <v>130.489667565139</v>
      </c>
      <c r="I123" s="7">
        <v>496.86</v>
      </c>
      <c r="J123" s="7">
        <v>516.02</v>
      </c>
      <c r="K123" s="7">
        <v>495.01</v>
      </c>
      <c r="L123" s="7">
        <v>130.489667565139</v>
      </c>
    </row>
    <row r="124" spans="1:12" ht="15" customHeight="1" x14ac:dyDescent="0.2">
      <c r="A124" s="3">
        <v>45873</v>
      </c>
      <c r="B124" s="4">
        <v>499.17</v>
      </c>
      <c r="C124" s="5">
        <v>232155</v>
      </c>
      <c r="D124" s="4">
        <v>6.58000000000004</v>
      </c>
      <c r="E124" s="4">
        <v>1.33579650419213</v>
      </c>
      <c r="F124" s="4">
        <v>1.33579650419213</v>
      </c>
      <c r="G124" s="4">
        <v>499.17</v>
      </c>
      <c r="H124" s="4">
        <v>124.245283018867</v>
      </c>
      <c r="I124" s="4">
        <v>492.59</v>
      </c>
      <c r="J124" s="4">
        <v>500.31</v>
      </c>
      <c r="K124" s="4">
        <v>488.02</v>
      </c>
      <c r="L124" s="4">
        <v>124.245283018867</v>
      </c>
    </row>
    <row r="125" spans="1:12" ht="15" customHeight="1" x14ac:dyDescent="0.2">
      <c r="A125" s="6">
        <v>45870</v>
      </c>
      <c r="B125" s="7">
        <v>492.59</v>
      </c>
      <c r="C125" s="8">
        <v>223280</v>
      </c>
      <c r="D125" s="7">
        <v>-4.6600000000000197</v>
      </c>
      <c r="E125" s="7">
        <v>-0.93715434891905502</v>
      </c>
      <c r="F125" s="7">
        <v>-0.93715434891905502</v>
      </c>
      <c r="G125" s="7">
        <v>492.59</v>
      </c>
      <c r="H125" s="7">
        <v>121.28930817609999</v>
      </c>
      <c r="I125" s="7">
        <v>499.73</v>
      </c>
      <c r="J125" s="7">
        <v>500.99</v>
      </c>
      <c r="K125" s="7">
        <v>485.67</v>
      </c>
      <c r="L125" s="7">
        <v>121.28930817609999</v>
      </c>
    </row>
    <row r="126" spans="1:12" ht="15" customHeight="1" x14ac:dyDescent="0.2">
      <c r="A126" s="3">
        <v>45869</v>
      </c>
      <c r="B126" s="4">
        <v>497.25</v>
      </c>
      <c r="C126" s="5">
        <v>249796</v>
      </c>
      <c r="D126" s="4">
        <v>-8.25</v>
      </c>
      <c r="E126" s="4">
        <v>-1.6320474777448</v>
      </c>
      <c r="F126" s="4">
        <v>-1.6320474777448</v>
      </c>
      <c r="G126" s="4">
        <v>497.25</v>
      </c>
      <c r="H126" s="4">
        <v>123.382749326145</v>
      </c>
      <c r="I126" s="4">
        <v>504.95</v>
      </c>
      <c r="J126" s="4">
        <v>511.59</v>
      </c>
      <c r="K126" s="4">
        <v>494.74</v>
      </c>
      <c r="L126" s="4">
        <v>123.382749326145</v>
      </c>
    </row>
    <row r="127" spans="1:12" ht="15" customHeight="1" x14ac:dyDescent="0.2">
      <c r="A127" s="6">
        <v>45868</v>
      </c>
      <c r="B127" s="7">
        <v>505.5</v>
      </c>
      <c r="C127" s="8">
        <v>239879</v>
      </c>
      <c r="D127" s="7">
        <v>-5.0799999999999796</v>
      </c>
      <c r="E127" s="7">
        <v>-0.99494692310705402</v>
      </c>
      <c r="F127" s="7">
        <v>-0.99494692310705402</v>
      </c>
      <c r="G127" s="7">
        <v>505.5</v>
      </c>
      <c r="H127" s="7">
        <v>127.088948787061</v>
      </c>
      <c r="I127" s="7">
        <v>504.01</v>
      </c>
      <c r="J127" s="7">
        <v>510</v>
      </c>
      <c r="K127" s="7">
        <v>501.1</v>
      </c>
      <c r="L127" s="7">
        <v>127.088948787061</v>
      </c>
    </row>
    <row r="128" spans="1:12" ht="15" customHeight="1" x14ac:dyDescent="0.2">
      <c r="A128" s="3">
        <v>45867</v>
      </c>
      <c r="B128" s="4">
        <v>510.58</v>
      </c>
      <c r="C128" s="5">
        <v>282065</v>
      </c>
      <c r="D128" s="4">
        <v>1.8499999999999599</v>
      </c>
      <c r="E128" s="4">
        <v>0.363650659485381</v>
      </c>
      <c r="F128" s="4">
        <v>0.363650659485381</v>
      </c>
      <c r="G128" s="4">
        <v>510.58</v>
      </c>
      <c r="H128" s="4">
        <v>129.37106918238899</v>
      </c>
      <c r="I128" s="4">
        <v>509.23</v>
      </c>
      <c r="J128" s="4">
        <v>511</v>
      </c>
      <c r="K128" s="4">
        <v>500.19</v>
      </c>
      <c r="L128" s="4">
        <v>129.37106918238899</v>
      </c>
    </row>
    <row r="129" spans="1:12" ht="15" customHeight="1" x14ac:dyDescent="0.2">
      <c r="A129" s="6">
        <v>45866</v>
      </c>
      <c r="B129" s="7">
        <v>508.73</v>
      </c>
      <c r="C129" s="8">
        <v>166167</v>
      </c>
      <c r="D129" s="7">
        <v>0.24000000000000901</v>
      </c>
      <c r="E129" s="7">
        <v>4.7198568310102801E-2</v>
      </c>
      <c r="F129" s="7">
        <v>4.7198568310102801E-2</v>
      </c>
      <c r="G129" s="7">
        <v>508.73</v>
      </c>
      <c r="H129" s="7">
        <v>128.539982030548</v>
      </c>
      <c r="I129" s="7">
        <v>501.95</v>
      </c>
      <c r="J129" s="7">
        <v>509.97</v>
      </c>
      <c r="K129" s="7">
        <v>493</v>
      </c>
      <c r="L129" s="7">
        <v>128.539982030548</v>
      </c>
    </row>
    <row r="130" spans="1:12" ht="15" customHeight="1" x14ac:dyDescent="0.2">
      <c r="A130" s="3">
        <v>45863</v>
      </c>
      <c r="B130" s="4">
        <v>508.49</v>
      </c>
      <c r="C130" s="5">
        <v>132317</v>
      </c>
      <c r="D130" s="4">
        <v>-1.76999999999998</v>
      </c>
      <c r="E130" s="4">
        <v>-0.346881981734803</v>
      </c>
      <c r="F130" s="4">
        <v>-0.346881981734803</v>
      </c>
      <c r="G130" s="4">
        <v>508.49</v>
      </c>
      <c r="H130" s="4">
        <v>128.432165318957</v>
      </c>
      <c r="I130" s="4">
        <v>507.7</v>
      </c>
      <c r="J130" s="4">
        <v>513.95000000000005</v>
      </c>
      <c r="K130" s="4">
        <v>501</v>
      </c>
      <c r="L130" s="4">
        <v>128.432165318957</v>
      </c>
    </row>
    <row r="131" spans="1:12" ht="15" customHeight="1" x14ac:dyDescent="0.2">
      <c r="A131" s="6">
        <v>45862</v>
      </c>
      <c r="B131" s="7">
        <v>510.26</v>
      </c>
      <c r="C131" s="8">
        <v>228728</v>
      </c>
      <c r="D131" s="7">
        <v>4.3499999999999597</v>
      </c>
      <c r="E131" s="7">
        <v>0.85983672985312498</v>
      </c>
      <c r="F131" s="7">
        <v>0.85983672985312498</v>
      </c>
      <c r="G131" s="7">
        <v>510.26</v>
      </c>
      <c r="H131" s="7">
        <v>129.227313566936</v>
      </c>
      <c r="I131" s="7">
        <v>503.72</v>
      </c>
      <c r="J131" s="7">
        <v>514.29999999999995</v>
      </c>
      <c r="K131" s="7">
        <v>503.72</v>
      </c>
      <c r="L131" s="7">
        <v>129.227313566936</v>
      </c>
    </row>
    <row r="132" spans="1:12" ht="15" customHeight="1" x14ac:dyDescent="0.2">
      <c r="A132" s="3">
        <v>45861</v>
      </c>
      <c r="B132" s="4">
        <v>505.91</v>
      </c>
      <c r="C132" s="5">
        <v>286688</v>
      </c>
      <c r="D132" s="4">
        <v>-4.5999999999999597</v>
      </c>
      <c r="E132" s="4">
        <v>-0.90105972458912598</v>
      </c>
      <c r="F132" s="4">
        <v>-0.90105972458912598</v>
      </c>
      <c r="G132" s="4">
        <v>505.91</v>
      </c>
      <c r="H132" s="4">
        <v>127.27313566936201</v>
      </c>
      <c r="I132" s="4">
        <v>512.79999999999995</v>
      </c>
      <c r="J132" s="4">
        <v>514.45000000000005</v>
      </c>
      <c r="K132" s="4">
        <v>497.48</v>
      </c>
      <c r="L132" s="4">
        <v>127.27313566936201</v>
      </c>
    </row>
    <row r="133" spans="1:12" ht="15" customHeight="1" x14ac:dyDescent="0.2">
      <c r="A133" s="6">
        <v>45860</v>
      </c>
      <c r="B133" s="7">
        <v>510.51</v>
      </c>
      <c r="C133" s="8">
        <v>208745</v>
      </c>
      <c r="D133" s="7">
        <v>2.8499999999999601</v>
      </c>
      <c r="E133" s="7">
        <v>0.56139936177756999</v>
      </c>
      <c r="F133" s="7">
        <v>0.56139936177756999</v>
      </c>
      <c r="G133" s="7">
        <v>510.51</v>
      </c>
      <c r="H133" s="7">
        <v>129.33962264150901</v>
      </c>
      <c r="I133" s="7">
        <v>511.99</v>
      </c>
      <c r="J133" s="7">
        <v>512.88</v>
      </c>
      <c r="K133" s="7">
        <v>505.24</v>
      </c>
      <c r="L133" s="7">
        <v>129.33962264150901</v>
      </c>
    </row>
    <row r="134" spans="1:12" ht="15" customHeight="1" x14ac:dyDescent="0.2">
      <c r="A134" s="3">
        <v>45859</v>
      </c>
      <c r="B134" s="4">
        <v>507.66</v>
      </c>
      <c r="C134" s="5">
        <v>277995</v>
      </c>
      <c r="D134" s="4">
        <v>2.37</v>
      </c>
      <c r="E134" s="4">
        <v>0.46903758237843901</v>
      </c>
      <c r="F134" s="4">
        <v>0.46903758237843901</v>
      </c>
      <c r="G134" s="4">
        <v>507.66</v>
      </c>
      <c r="H134" s="4">
        <v>128.05929919137401</v>
      </c>
      <c r="I134" s="4">
        <v>504</v>
      </c>
      <c r="J134" s="4">
        <v>513.23</v>
      </c>
      <c r="K134" s="4">
        <v>495.56</v>
      </c>
      <c r="L134" s="4">
        <v>128.05929919137401</v>
      </c>
    </row>
    <row r="135" spans="1:12" ht="15" customHeight="1" x14ac:dyDescent="0.2">
      <c r="A135" s="6">
        <v>45856</v>
      </c>
      <c r="B135" s="7">
        <v>505.29</v>
      </c>
      <c r="C135" s="8">
        <v>138116</v>
      </c>
      <c r="D135" s="7">
        <v>-4.0499999999999501</v>
      </c>
      <c r="E135" s="7">
        <v>-0.79514666038401605</v>
      </c>
      <c r="F135" s="7">
        <v>-0.79514666038401605</v>
      </c>
      <c r="G135" s="7">
        <v>505.29</v>
      </c>
      <c r="H135" s="7">
        <v>126.99460916442</v>
      </c>
      <c r="I135" s="7">
        <v>515</v>
      </c>
      <c r="J135" s="7">
        <v>515.04999999999995</v>
      </c>
      <c r="K135" s="7">
        <v>504.22</v>
      </c>
      <c r="L135" s="7">
        <v>126.99460916442</v>
      </c>
    </row>
    <row r="136" spans="1:12" ht="15" customHeight="1" x14ac:dyDescent="0.2">
      <c r="A136" s="3">
        <v>45855</v>
      </c>
      <c r="B136" s="4">
        <v>509.34</v>
      </c>
      <c r="C136" s="5">
        <v>239644</v>
      </c>
      <c r="D136" s="4">
        <v>-3.7300000000000701</v>
      </c>
      <c r="E136" s="4">
        <v>-0.72699631629213801</v>
      </c>
      <c r="F136" s="4">
        <v>-0.72699631629213801</v>
      </c>
      <c r="G136" s="4">
        <v>509.34</v>
      </c>
      <c r="H136" s="4">
        <v>128.814016172506</v>
      </c>
      <c r="I136" s="4">
        <v>512.99</v>
      </c>
      <c r="J136" s="4">
        <v>513.70000000000005</v>
      </c>
      <c r="K136" s="4">
        <v>502.11</v>
      </c>
      <c r="L136" s="4">
        <v>128.814016172506</v>
      </c>
    </row>
    <row r="137" spans="1:12" ht="15" customHeight="1" x14ac:dyDescent="0.2">
      <c r="A137" s="6">
        <v>45854</v>
      </c>
      <c r="B137" s="7">
        <v>513.07000000000005</v>
      </c>
      <c r="C137" s="8">
        <v>256176</v>
      </c>
      <c r="D137" s="7">
        <v>9.8900000000000396</v>
      </c>
      <c r="E137" s="7">
        <v>1.9654994236654999</v>
      </c>
      <c r="F137" s="7">
        <v>1.9654994236654999</v>
      </c>
      <c r="G137" s="7">
        <v>513.07000000000005</v>
      </c>
      <c r="H137" s="7">
        <v>130.489667565139</v>
      </c>
      <c r="I137" s="7">
        <v>502.5</v>
      </c>
      <c r="J137" s="7">
        <v>517</v>
      </c>
      <c r="K137" s="7">
        <v>502.5</v>
      </c>
      <c r="L137" s="7">
        <v>130.489667565139</v>
      </c>
    </row>
    <row r="138" spans="1:12" ht="15" customHeight="1" x14ac:dyDescent="0.2">
      <c r="A138" s="3">
        <v>45853</v>
      </c>
      <c r="B138" s="4">
        <v>503.18</v>
      </c>
      <c r="C138" s="5">
        <v>331337</v>
      </c>
      <c r="D138" s="4">
        <v>-14.91</v>
      </c>
      <c r="E138" s="4">
        <v>-2.87787836090255</v>
      </c>
      <c r="F138" s="4">
        <v>-2.87787836090255</v>
      </c>
      <c r="G138" s="4">
        <v>503.18</v>
      </c>
      <c r="H138" s="4">
        <v>126.04672057502199</v>
      </c>
      <c r="I138" s="4">
        <v>511.15</v>
      </c>
      <c r="J138" s="4">
        <v>525</v>
      </c>
      <c r="K138" s="4">
        <v>500.55</v>
      </c>
      <c r="L138" s="4">
        <v>126.04672057502199</v>
      </c>
    </row>
    <row r="139" spans="1:12" ht="15" customHeight="1" x14ac:dyDescent="0.2">
      <c r="A139" s="6">
        <v>45852</v>
      </c>
      <c r="B139" s="7">
        <v>518.09</v>
      </c>
      <c r="C139" s="8">
        <v>381790</v>
      </c>
      <c r="D139" s="7">
        <v>4.07000000000005</v>
      </c>
      <c r="E139" s="7">
        <v>0.79179798451423</v>
      </c>
      <c r="F139" s="7">
        <v>0.79179798451423</v>
      </c>
      <c r="G139" s="7">
        <v>518.09</v>
      </c>
      <c r="H139" s="7">
        <v>132.744833782569</v>
      </c>
      <c r="I139" s="7">
        <v>512.48</v>
      </c>
      <c r="J139" s="7">
        <v>526</v>
      </c>
      <c r="K139" s="7">
        <v>510.01</v>
      </c>
      <c r="L139" s="7">
        <v>132.744833782569</v>
      </c>
    </row>
    <row r="140" spans="1:12" ht="15" customHeight="1" x14ac:dyDescent="0.2">
      <c r="A140" s="3">
        <v>45849</v>
      </c>
      <c r="B140" s="4">
        <v>514.02</v>
      </c>
      <c r="C140" s="5">
        <v>294376</v>
      </c>
      <c r="D140" s="4">
        <v>8.81</v>
      </c>
      <c r="E140" s="4">
        <v>1.74382929870746</v>
      </c>
      <c r="F140" s="4">
        <v>1.74382929870746</v>
      </c>
      <c r="G140" s="4">
        <v>514.02</v>
      </c>
      <c r="H140" s="4">
        <v>130.91644204851701</v>
      </c>
      <c r="I140" s="4">
        <v>508.3</v>
      </c>
      <c r="J140" s="4">
        <v>527.98</v>
      </c>
      <c r="K140" s="4">
        <v>508.3</v>
      </c>
      <c r="L140" s="4">
        <v>130.91644204851701</v>
      </c>
    </row>
    <row r="141" spans="1:12" ht="15" customHeight="1" x14ac:dyDescent="0.2">
      <c r="A141" s="6">
        <v>45848</v>
      </c>
      <c r="B141" s="7">
        <v>505.21</v>
      </c>
      <c r="C141" s="8">
        <v>373456</v>
      </c>
      <c r="D141" s="7">
        <v>5.25999999999999</v>
      </c>
      <c r="E141" s="7">
        <v>1.05210521052105</v>
      </c>
      <c r="F141" s="7">
        <v>1.05210521052105</v>
      </c>
      <c r="G141" s="7">
        <v>505.21</v>
      </c>
      <c r="H141" s="7">
        <v>126.958670260557</v>
      </c>
      <c r="I141" s="7">
        <v>498.1</v>
      </c>
      <c r="J141" s="7">
        <v>507.39</v>
      </c>
      <c r="K141" s="7">
        <v>493.05</v>
      </c>
      <c r="L141" s="7">
        <v>126.958670260557</v>
      </c>
    </row>
    <row r="142" spans="1:12" ht="15" customHeight="1" x14ac:dyDescent="0.2">
      <c r="A142" s="3">
        <v>45847</v>
      </c>
      <c r="B142" s="4">
        <v>499.95</v>
      </c>
      <c r="C142" s="5">
        <v>337362</v>
      </c>
      <c r="D142" s="4">
        <v>-1.50999999999999</v>
      </c>
      <c r="E142" s="4">
        <v>-0.30112072747576701</v>
      </c>
      <c r="F142" s="4">
        <v>-0.30112072747576701</v>
      </c>
      <c r="G142" s="4">
        <v>499.95</v>
      </c>
      <c r="H142" s="4">
        <v>124.595687331536</v>
      </c>
      <c r="I142" s="4">
        <v>499</v>
      </c>
      <c r="J142" s="4">
        <v>505.99</v>
      </c>
      <c r="K142" s="4">
        <v>498</v>
      </c>
      <c r="L142" s="4">
        <v>124.595687331536</v>
      </c>
    </row>
    <row r="143" spans="1:12" ht="15" customHeight="1" x14ac:dyDescent="0.2">
      <c r="A143" s="6">
        <v>45846</v>
      </c>
      <c r="B143" s="7">
        <v>501.46</v>
      </c>
      <c r="C143" s="8">
        <v>357498</v>
      </c>
      <c r="D143" s="7">
        <v>4.0399999999999601</v>
      </c>
      <c r="E143" s="7">
        <v>0.812190905070164</v>
      </c>
      <c r="F143" s="7">
        <v>0.812190905070164</v>
      </c>
      <c r="G143" s="7">
        <v>501.46</v>
      </c>
      <c r="H143" s="7">
        <v>125.274034141958</v>
      </c>
      <c r="I143" s="7">
        <v>494.92</v>
      </c>
      <c r="J143" s="7">
        <v>504.14</v>
      </c>
      <c r="K143" s="7">
        <v>494.92</v>
      </c>
      <c r="L143" s="7">
        <v>125.274034141958</v>
      </c>
    </row>
    <row r="144" spans="1:12" ht="15" customHeight="1" x14ac:dyDescent="0.2">
      <c r="A144" s="3">
        <v>45845</v>
      </c>
      <c r="B144" s="4">
        <v>497.42</v>
      </c>
      <c r="C144" s="5">
        <v>289827</v>
      </c>
      <c r="D144" s="4">
        <v>-7.5399999999999601</v>
      </c>
      <c r="E144" s="4">
        <v>-1.49318757921418</v>
      </c>
      <c r="F144" s="4">
        <v>-1.49318757921418</v>
      </c>
      <c r="G144" s="4">
        <v>497.42</v>
      </c>
      <c r="H144" s="4">
        <v>123.459119496855</v>
      </c>
      <c r="I144" s="4">
        <v>504.75</v>
      </c>
      <c r="J144" s="4">
        <v>505.09</v>
      </c>
      <c r="K144" s="4">
        <v>493.15</v>
      </c>
      <c r="L144" s="4">
        <v>123.459119496855</v>
      </c>
    </row>
    <row r="145" spans="1:12" ht="15" customHeight="1" x14ac:dyDescent="0.2">
      <c r="A145" s="6">
        <v>45842</v>
      </c>
      <c r="B145" s="7">
        <v>504.96</v>
      </c>
      <c r="C145" s="8">
        <v>28342</v>
      </c>
      <c r="D145" s="7">
        <v>-0.5</v>
      </c>
      <c r="E145" s="7">
        <v>-9.8919795829543994E-2</v>
      </c>
      <c r="F145" s="7">
        <v>-9.8919795829543994E-2</v>
      </c>
      <c r="G145" s="7">
        <v>504.96</v>
      </c>
      <c r="H145" s="7">
        <v>126.846361185983</v>
      </c>
      <c r="I145" s="7">
        <v>502.93</v>
      </c>
      <c r="J145" s="7">
        <v>509.39</v>
      </c>
      <c r="K145" s="7">
        <v>502.93</v>
      </c>
      <c r="L145" s="7">
        <v>126.846361185983</v>
      </c>
    </row>
    <row r="146" spans="1:12" ht="15" customHeight="1" x14ac:dyDescent="0.2">
      <c r="A146" s="3">
        <v>45841</v>
      </c>
      <c r="B146" s="4">
        <v>505.46</v>
      </c>
      <c r="C146" s="5">
        <v>297308</v>
      </c>
      <c r="D146" s="4">
        <v>-3.4800000000000102</v>
      </c>
      <c r="E146" s="4">
        <v>-0.68377411875662997</v>
      </c>
      <c r="F146" s="4">
        <v>-0.68377411875662997</v>
      </c>
      <c r="G146" s="4">
        <v>505.46</v>
      </c>
      <c r="H146" s="4">
        <v>127.07097933513</v>
      </c>
      <c r="I146" s="4">
        <v>511.48</v>
      </c>
      <c r="J146" s="4">
        <v>513.66</v>
      </c>
      <c r="K146" s="4">
        <v>500.1</v>
      </c>
      <c r="L146" s="4">
        <v>127.07097933513</v>
      </c>
    </row>
    <row r="147" spans="1:12" ht="15" customHeight="1" x14ac:dyDescent="0.2">
      <c r="A147" s="6">
        <v>45840</v>
      </c>
      <c r="B147" s="7">
        <v>508.94</v>
      </c>
      <c r="C147" s="8">
        <v>263610</v>
      </c>
      <c r="D147" s="7">
        <v>-8.4899999999999505</v>
      </c>
      <c r="E147" s="7">
        <v>-1.6408016543300401</v>
      </c>
      <c r="F147" s="7">
        <v>-1.6408016543300401</v>
      </c>
      <c r="G147" s="7">
        <v>508.94</v>
      </c>
      <c r="H147" s="7">
        <v>128.63432165318901</v>
      </c>
      <c r="I147" s="7">
        <v>513.26</v>
      </c>
      <c r="J147" s="7">
        <v>522.44000000000005</v>
      </c>
      <c r="K147" s="7">
        <v>507.21</v>
      </c>
      <c r="L147" s="7">
        <v>128.63432165318901</v>
      </c>
    </row>
    <row r="148" spans="1:12" ht="15" customHeight="1" x14ac:dyDescent="0.2">
      <c r="A148" s="3">
        <v>45839</v>
      </c>
      <c r="B148" s="4">
        <v>517.42999999999995</v>
      </c>
      <c r="C148" s="5">
        <v>303541</v>
      </c>
      <c r="D148" s="4">
        <v>-4.32000000000005</v>
      </c>
      <c r="E148" s="4">
        <v>-0.82798275035937896</v>
      </c>
      <c r="F148" s="4">
        <v>-0.82798275035937896</v>
      </c>
      <c r="G148" s="4">
        <v>517.42999999999995</v>
      </c>
      <c r="H148" s="4">
        <v>132.448337825696</v>
      </c>
      <c r="I148" s="4">
        <v>528.45000000000005</v>
      </c>
      <c r="J148" s="4">
        <v>528.99</v>
      </c>
      <c r="K148" s="4">
        <v>515.02</v>
      </c>
      <c r="L148" s="4">
        <v>132.448337825696</v>
      </c>
    </row>
    <row r="149" spans="1:12" ht="15" customHeight="1" x14ac:dyDescent="0.2">
      <c r="A149" s="6">
        <v>45838</v>
      </c>
      <c r="B149" s="7">
        <v>521.75</v>
      </c>
      <c r="C149" s="8">
        <v>1068968</v>
      </c>
      <c r="D149" s="7">
        <v>25.98</v>
      </c>
      <c r="E149" s="7">
        <v>5.2403332190330296</v>
      </c>
      <c r="F149" s="7">
        <v>5.2403332190330296</v>
      </c>
      <c r="G149" s="7">
        <v>521.75</v>
      </c>
      <c r="H149" s="7">
        <v>134.389038634321</v>
      </c>
      <c r="I149" s="7">
        <v>496</v>
      </c>
      <c r="J149" s="7">
        <v>525.72</v>
      </c>
      <c r="K149" s="7">
        <v>494.21</v>
      </c>
      <c r="L149" s="7">
        <v>134.389038634321</v>
      </c>
    </row>
    <row r="150" spans="1:12" ht="15" customHeight="1" x14ac:dyDescent="0.2">
      <c r="A150" s="3">
        <v>45835</v>
      </c>
      <c r="B150" s="4">
        <v>495.77</v>
      </c>
      <c r="C150" s="5">
        <v>431452</v>
      </c>
      <c r="D150" s="4">
        <v>-3.5900000000000301</v>
      </c>
      <c r="E150" s="4">
        <v>-0.71892021787889304</v>
      </c>
      <c r="F150" s="4">
        <v>-0.71892021787889304</v>
      </c>
      <c r="G150" s="4">
        <v>495.77</v>
      </c>
      <c r="H150" s="4">
        <v>122.71787960467201</v>
      </c>
      <c r="I150" s="4">
        <v>492.01</v>
      </c>
      <c r="J150" s="4">
        <v>506.15</v>
      </c>
      <c r="K150" s="4">
        <v>491.15</v>
      </c>
      <c r="L150" s="4">
        <v>122.71787960467201</v>
      </c>
    </row>
    <row r="151" spans="1:12" ht="15" customHeight="1" x14ac:dyDescent="0.2">
      <c r="A151" s="6">
        <v>45834</v>
      </c>
      <c r="B151" s="7">
        <v>499.36</v>
      </c>
      <c r="C151" s="8">
        <v>255677</v>
      </c>
      <c r="D151" s="7">
        <v>13.59</v>
      </c>
      <c r="E151" s="7">
        <v>2.7976202729686999</v>
      </c>
      <c r="F151" s="7">
        <v>2.7976202729686999</v>
      </c>
      <c r="G151" s="7">
        <v>499.36</v>
      </c>
      <c r="H151" s="7">
        <v>124.33063791554299</v>
      </c>
      <c r="I151" s="7">
        <v>485.77</v>
      </c>
      <c r="J151" s="7">
        <v>501</v>
      </c>
      <c r="K151" s="7">
        <v>482</v>
      </c>
      <c r="L151" s="7">
        <v>124.33063791554299</v>
      </c>
    </row>
    <row r="152" spans="1:12" ht="15" customHeight="1" x14ac:dyDescent="0.2">
      <c r="A152" s="3">
        <v>45833</v>
      </c>
      <c r="B152" s="4">
        <v>485.77</v>
      </c>
      <c r="C152" s="5">
        <v>1242497</v>
      </c>
      <c r="D152" s="4">
        <v>4.2999999999999501</v>
      </c>
      <c r="E152" s="4">
        <v>0.89309822003447104</v>
      </c>
      <c r="F152" s="4">
        <v>0.89309822003447104</v>
      </c>
      <c r="G152" s="4">
        <v>485.77</v>
      </c>
      <c r="H152" s="4">
        <v>118.225516621743</v>
      </c>
      <c r="I152" s="4">
        <v>474.4</v>
      </c>
      <c r="J152" s="4">
        <v>487.99</v>
      </c>
      <c r="K152" s="4">
        <v>474.4</v>
      </c>
      <c r="L152" s="4">
        <v>118.225516621743</v>
      </c>
    </row>
    <row r="153" spans="1:12" ht="15" customHeight="1" x14ac:dyDescent="0.2">
      <c r="A153" s="6">
        <v>45832</v>
      </c>
      <c r="B153" s="7">
        <v>481.47</v>
      </c>
      <c r="C153" s="8">
        <v>216061</v>
      </c>
      <c r="D153" s="7">
        <v>0.84000000000003106</v>
      </c>
      <c r="E153" s="7">
        <v>0.174770613569696</v>
      </c>
      <c r="F153" s="7">
        <v>0.174770613569696</v>
      </c>
      <c r="G153" s="7">
        <v>481.47</v>
      </c>
      <c r="H153" s="7">
        <v>116.29380053908299</v>
      </c>
      <c r="I153" s="7">
        <v>480.86</v>
      </c>
      <c r="J153" s="7">
        <v>482.6</v>
      </c>
      <c r="K153" s="7">
        <v>470.08</v>
      </c>
      <c r="L153" s="7">
        <v>116.29380053908299</v>
      </c>
    </row>
    <row r="154" spans="1:12" ht="15" customHeight="1" x14ac:dyDescent="0.2">
      <c r="A154" s="3">
        <v>45831</v>
      </c>
      <c r="B154" s="4">
        <v>480.63</v>
      </c>
      <c r="C154" s="5">
        <v>231637</v>
      </c>
      <c r="D154" s="4">
        <v>-5.9399999999999897</v>
      </c>
      <c r="E154" s="4">
        <v>-1.22079043097601</v>
      </c>
      <c r="F154" s="4">
        <v>-1.22079043097601</v>
      </c>
      <c r="G154" s="4">
        <v>480.63</v>
      </c>
      <c r="H154" s="4">
        <v>115.916442048517</v>
      </c>
      <c r="I154" s="4">
        <v>487.99</v>
      </c>
      <c r="J154" s="4">
        <v>487.99</v>
      </c>
      <c r="K154" s="4">
        <v>473.64</v>
      </c>
      <c r="L154" s="4">
        <v>115.916442048517</v>
      </c>
    </row>
    <row r="155" spans="1:12" ht="15" customHeight="1" x14ac:dyDescent="0.2">
      <c r="A155" s="6">
        <v>45828</v>
      </c>
      <c r="B155" s="7">
        <v>486.57</v>
      </c>
      <c r="C155" s="8">
        <v>1682565</v>
      </c>
      <c r="D155" s="7">
        <v>-3.93</v>
      </c>
      <c r="E155" s="7">
        <v>-0.80122324159022096</v>
      </c>
      <c r="F155" s="7">
        <v>-0.80122324159022096</v>
      </c>
      <c r="G155" s="7">
        <v>486.57</v>
      </c>
      <c r="H155" s="7">
        <v>118.584905660377</v>
      </c>
      <c r="I155" s="7">
        <v>488.53</v>
      </c>
      <c r="J155" s="7">
        <v>488.56</v>
      </c>
      <c r="K155" s="7">
        <v>472.44</v>
      </c>
      <c r="L155" s="7">
        <v>118.584905660377</v>
      </c>
    </row>
    <row r="156" spans="1:12" ht="15" customHeight="1" x14ac:dyDescent="0.2">
      <c r="A156" s="3">
        <v>45827</v>
      </c>
      <c r="B156" s="4">
        <v>490.5</v>
      </c>
      <c r="C156" s="5">
        <v>82262</v>
      </c>
      <c r="D156" s="4">
        <v>-10.8799999999999</v>
      </c>
      <c r="E156" s="4">
        <v>-2.1700107702740401</v>
      </c>
      <c r="F156" s="4">
        <v>-2.1700107702740401</v>
      </c>
      <c r="G156" s="4">
        <v>490.5</v>
      </c>
      <c r="H156" s="4">
        <v>120.350404312668</v>
      </c>
      <c r="I156" s="4">
        <v>496.43</v>
      </c>
      <c r="J156" s="4">
        <v>496.43</v>
      </c>
      <c r="K156" s="4">
        <v>485</v>
      </c>
      <c r="L156" s="4">
        <v>120.350404312668</v>
      </c>
    </row>
    <row r="157" spans="1:12" ht="15" customHeight="1" x14ac:dyDescent="0.2">
      <c r="A157" s="6">
        <v>45826</v>
      </c>
      <c r="B157" s="7">
        <v>501.38</v>
      </c>
      <c r="C157" s="8">
        <v>275099</v>
      </c>
      <c r="D157" s="7">
        <v>-3.8799999999999901</v>
      </c>
      <c r="E157" s="7">
        <v>-0.76792146617582402</v>
      </c>
      <c r="F157" s="7">
        <v>-0.76792146617582402</v>
      </c>
      <c r="G157" s="7">
        <v>501.38</v>
      </c>
      <c r="H157" s="7">
        <v>125.238095238095</v>
      </c>
      <c r="I157" s="7">
        <v>501.32</v>
      </c>
      <c r="J157" s="7">
        <v>504</v>
      </c>
      <c r="K157" s="7">
        <v>488.71</v>
      </c>
      <c r="L157" s="7">
        <v>125.238095238095</v>
      </c>
    </row>
    <row r="158" spans="1:12" ht="15" customHeight="1" x14ac:dyDescent="0.2">
      <c r="A158" s="3">
        <v>45825</v>
      </c>
      <c r="B158" s="4">
        <v>505.26</v>
      </c>
      <c r="C158" s="5">
        <v>376502</v>
      </c>
      <c r="D158" s="4">
        <v>7.76999999999998</v>
      </c>
      <c r="E158" s="4">
        <v>1.5618404390038001</v>
      </c>
      <c r="F158" s="4">
        <v>1.5618404390038001</v>
      </c>
      <c r="G158" s="4">
        <v>505.26</v>
      </c>
      <c r="H158" s="4">
        <v>126.981132075471</v>
      </c>
      <c r="I158" s="4">
        <v>498.74</v>
      </c>
      <c r="J158" s="4">
        <v>511</v>
      </c>
      <c r="K158" s="4">
        <v>497.97</v>
      </c>
      <c r="L158" s="4">
        <v>126.981132075471</v>
      </c>
    </row>
    <row r="159" spans="1:12" ht="15" customHeight="1" x14ac:dyDescent="0.2">
      <c r="A159" s="6">
        <v>45824</v>
      </c>
      <c r="B159" s="7">
        <v>497.49</v>
      </c>
      <c r="C159" s="8">
        <v>461365</v>
      </c>
      <c r="D159" s="7">
        <v>-31.4299999999999</v>
      </c>
      <c r="E159" s="7">
        <v>-5.9422975119110504</v>
      </c>
      <c r="F159" s="7">
        <v>-5.9422975119110504</v>
      </c>
      <c r="G159" s="7">
        <v>497.49</v>
      </c>
      <c r="H159" s="7">
        <v>123.49056603773499</v>
      </c>
      <c r="I159" s="7">
        <v>528.91999999999996</v>
      </c>
      <c r="J159" s="7">
        <v>528.91999999999996</v>
      </c>
      <c r="K159" s="7">
        <v>495.01</v>
      </c>
      <c r="L159" s="7">
        <v>123.49056603773499</v>
      </c>
    </row>
    <row r="160" spans="1:12" ht="15" customHeight="1" x14ac:dyDescent="0.2">
      <c r="A160" s="3">
        <v>45821</v>
      </c>
      <c r="B160" s="4">
        <v>528.91999999999996</v>
      </c>
      <c r="C160" s="5">
        <v>731386</v>
      </c>
      <c r="D160" s="4">
        <v>15.7599999999999</v>
      </c>
      <c r="E160" s="4">
        <v>3.0711668875204401</v>
      </c>
      <c r="F160" s="4">
        <v>3.0711668875204401</v>
      </c>
      <c r="G160" s="4">
        <v>528.91999999999996</v>
      </c>
      <c r="H160" s="4">
        <v>137.61006289308099</v>
      </c>
      <c r="I160" s="4">
        <v>511</v>
      </c>
      <c r="J160" s="4">
        <v>530</v>
      </c>
      <c r="K160" s="4">
        <v>511</v>
      </c>
      <c r="L160" s="4">
        <v>137.61006289308099</v>
      </c>
    </row>
    <row r="161" spans="1:12" ht="15" customHeight="1" x14ac:dyDescent="0.2">
      <c r="A161" s="6">
        <v>45820</v>
      </c>
      <c r="B161" s="7">
        <v>513.16</v>
      </c>
      <c r="C161" s="8">
        <v>417632</v>
      </c>
      <c r="D161" s="7">
        <v>9.4199999999999502</v>
      </c>
      <c r="E161" s="7">
        <v>1.87001230793661</v>
      </c>
      <c r="F161" s="7">
        <v>1.87001230793661</v>
      </c>
      <c r="G161" s="7">
        <v>513.16</v>
      </c>
      <c r="H161" s="7">
        <v>130.53009883198499</v>
      </c>
      <c r="I161" s="7">
        <v>509</v>
      </c>
      <c r="J161" s="7">
        <v>521.02</v>
      </c>
      <c r="K161" s="7">
        <v>492.11</v>
      </c>
      <c r="L161" s="7">
        <v>130.53009883198499</v>
      </c>
    </row>
    <row r="162" spans="1:12" ht="15" customHeight="1" x14ac:dyDescent="0.2">
      <c r="A162" s="3">
        <v>45819</v>
      </c>
      <c r="B162" s="4">
        <v>503.74</v>
      </c>
      <c r="C162" s="5">
        <v>355105</v>
      </c>
      <c r="D162" s="4">
        <v>2.4300000000000002</v>
      </c>
      <c r="E162" s="4">
        <v>0.48473000738067301</v>
      </c>
      <c r="F162" s="4">
        <v>0.48473000738067301</v>
      </c>
      <c r="G162" s="4">
        <v>503.74</v>
      </c>
      <c r="H162" s="4">
        <v>126.298292902066</v>
      </c>
      <c r="I162" s="4">
        <v>498.8</v>
      </c>
      <c r="J162" s="4">
        <v>508</v>
      </c>
      <c r="K162" s="4">
        <v>492.04</v>
      </c>
      <c r="L162" s="4">
        <v>126.298292902066</v>
      </c>
    </row>
    <row r="163" spans="1:12" ht="15" customHeight="1" x14ac:dyDescent="0.2">
      <c r="A163" s="6">
        <v>45818</v>
      </c>
      <c r="B163" s="7">
        <v>501.31</v>
      </c>
      <c r="C163" s="8">
        <v>434751</v>
      </c>
      <c r="D163" s="7">
        <v>-3.8500000000000201</v>
      </c>
      <c r="E163" s="7">
        <v>-0.76213476918204304</v>
      </c>
      <c r="F163" s="7">
        <v>-0.76213476918204304</v>
      </c>
      <c r="G163" s="7">
        <v>501.31</v>
      </c>
      <c r="H163" s="7">
        <v>125.20664869721401</v>
      </c>
      <c r="I163" s="7">
        <v>494.88</v>
      </c>
      <c r="J163" s="7">
        <v>505.83</v>
      </c>
      <c r="K163" s="7">
        <v>475.03</v>
      </c>
      <c r="L163" s="7">
        <v>125.20664869721401</v>
      </c>
    </row>
    <row r="164" spans="1:12" ht="15" customHeight="1" x14ac:dyDescent="0.2">
      <c r="A164" s="3">
        <v>45817</v>
      </c>
      <c r="B164" s="4">
        <v>505.16</v>
      </c>
      <c r="C164" s="5">
        <v>421846</v>
      </c>
      <c r="D164" s="4">
        <v>14.28</v>
      </c>
      <c r="E164" s="4">
        <v>2.9090612777053599</v>
      </c>
      <c r="F164" s="4">
        <v>2.9090612777053599</v>
      </c>
      <c r="G164" s="4">
        <v>505.16</v>
      </c>
      <c r="H164" s="4">
        <v>126.936208445642</v>
      </c>
      <c r="I164" s="4">
        <v>492.86</v>
      </c>
      <c r="J164" s="4">
        <v>514.63</v>
      </c>
      <c r="K164" s="4">
        <v>490.43</v>
      </c>
      <c r="L164" s="4">
        <v>126.936208445642</v>
      </c>
    </row>
    <row r="165" spans="1:12" ht="15" customHeight="1" x14ac:dyDescent="0.2">
      <c r="A165" s="6">
        <v>45814</v>
      </c>
      <c r="B165" s="7">
        <v>490.88</v>
      </c>
      <c r="C165" s="8">
        <v>1342168</v>
      </c>
      <c r="D165" s="7">
        <v>24.889999999999901</v>
      </c>
      <c r="E165" s="7">
        <v>5.34131633726044</v>
      </c>
      <c r="F165" s="7">
        <v>5.34131633726044</v>
      </c>
      <c r="G165" s="7">
        <v>490.88</v>
      </c>
      <c r="H165" s="7">
        <v>120.521114106019</v>
      </c>
      <c r="I165" s="7">
        <v>470</v>
      </c>
      <c r="J165" s="7">
        <v>499</v>
      </c>
      <c r="K165" s="7">
        <v>470</v>
      </c>
      <c r="L165" s="7">
        <v>120.521114106019</v>
      </c>
    </row>
    <row r="166" spans="1:12" ht="15" customHeight="1" x14ac:dyDescent="0.2">
      <c r="A166" s="3">
        <v>45813</v>
      </c>
      <c r="B166" s="4">
        <v>465.99</v>
      </c>
      <c r="C166" s="5">
        <v>645628</v>
      </c>
      <c r="D166" s="4">
        <v>42.97</v>
      </c>
      <c r="E166" s="4">
        <v>10.1579121554536</v>
      </c>
      <c r="F166" s="4">
        <v>10.1579121554536</v>
      </c>
      <c r="G166" s="4">
        <v>465.99</v>
      </c>
      <c r="H166" s="4">
        <v>109.339622641509</v>
      </c>
      <c r="I166" s="4">
        <v>433.55</v>
      </c>
      <c r="J166" s="4">
        <v>467.95</v>
      </c>
      <c r="K166" s="4">
        <v>426.03</v>
      </c>
      <c r="L166" s="4">
        <v>109.339622641509</v>
      </c>
    </row>
    <row r="167" spans="1:12" ht="15" customHeight="1" x14ac:dyDescent="0.2">
      <c r="A167" s="6">
        <v>45812</v>
      </c>
      <c r="B167" s="7">
        <v>423.02</v>
      </c>
      <c r="C167" s="8">
        <v>315580</v>
      </c>
      <c r="D167" s="7">
        <v>1.7899999999999601</v>
      </c>
      <c r="E167" s="7">
        <v>0.42494599150106799</v>
      </c>
      <c r="F167" s="7">
        <v>0.42494599150106799</v>
      </c>
      <c r="G167" s="7">
        <v>423.02</v>
      </c>
      <c r="H167" s="7">
        <v>90.035938903863396</v>
      </c>
      <c r="I167" s="7">
        <v>421.23</v>
      </c>
      <c r="J167" s="7">
        <v>435.06</v>
      </c>
      <c r="K167" s="7">
        <v>420.1</v>
      </c>
      <c r="L167" s="7">
        <v>90.035938903863396</v>
      </c>
    </row>
    <row r="168" spans="1:12" ht="15" customHeight="1" x14ac:dyDescent="0.2">
      <c r="A168" s="3">
        <v>45811</v>
      </c>
      <c r="B168" s="4">
        <v>421.23</v>
      </c>
      <c r="C168" s="5">
        <v>425281</v>
      </c>
      <c r="D168" s="4">
        <v>-0.64999999999997704</v>
      </c>
      <c r="E168" s="4">
        <v>-0.15407224803260999</v>
      </c>
      <c r="F168" s="4">
        <v>-0.15407224803260999</v>
      </c>
      <c r="G168" s="4">
        <v>421.23</v>
      </c>
      <c r="H168" s="4">
        <v>89.231805929919105</v>
      </c>
      <c r="I168" s="4">
        <v>419</v>
      </c>
      <c r="J168" s="4">
        <v>425.5</v>
      </c>
      <c r="K168" s="4">
        <v>411.93</v>
      </c>
      <c r="L168" s="4">
        <v>89.231805929919105</v>
      </c>
    </row>
    <row r="169" spans="1:12" ht="15" customHeight="1" x14ac:dyDescent="0.2">
      <c r="A169" s="6">
        <v>45810</v>
      </c>
      <c r="B169" s="7">
        <v>421.88</v>
      </c>
      <c r="C169" s="8">
        <v>359016</v>
      </c>
      <c r="D169" s="7">
        <v>11.9399999999999</v>
      </c>
      <c r="E169" s="7">
        <v>2.9126213592232899</v>
      </c>
      <c r="F169" s="7">
        <v>2.9126213592232899</v>
      </c>
      <c r="G169" s="7">
        <v>421.88</v>
      </c>
      <c r="H169" s="7">
        <v>89.523809523809504</v>
      </c>
      <c r="I169" s="7">
        <v>412</v>
      </c>
      <c r="J169" s="7">
        <v>424.9</v>
      </c>
      <c r="K169" s="7">
        <v>412</v>
      </c>
      <c r="L169" s="7">
        <v>89.523809523809504</v>
      </c>
    </row>
    <row r="170" spans="1:12" ht="15" customHeight="1" x14ac:dyDescent="0.2">
      <c r="A170" s="3">
        <v>45807</v>
      </c>
      <c r="B170" s="4">
        <v>409.94</v>
      </c>
      <c r="C170" s="5">
        <v>1027917.99999999</v>
      </c>
      <c r="D170" s="4">
        <v>11.48</v>
      </c>
      <c r="E170" s="4">
        <v>2.88109220498922</v>
      </c>
      <c r="F170" s="4">
        <v>2.88109220498922</v>
      </c>
      <c r="G170" s="4">
        <v>409.94</v>
      </c>
      <c r="H170" s="4">
        <v>84.159928122192198</v>
      </c>
      <c r="I170" s="4">
        <v>399</v>
      </c>
      <c r="J170" s="4">
        <v>412.47</v>
      </c>
      <c r="K170" s="4">
        <v>390.44</v>
      </c>
      <c r="L170" s="4">
        <v>84.159928122192198</v>
      </c>
    </row>
    <row r="171" spans="1:12" ht="15" customHeight="1" x14ac:dyDescent="0.2">
      <c r="A171" s="6">
        <v>45806</v>
      </c>
      <c r="B171" s="7">
        <v>398.46</v>
      </c>
      <c r="C171" s="8">
        <v>469032</v>
      </c>
      <c r="D171" s="7">
        <v>6.56</v>
      </c>
      <c r="E171" s="7">
        <v>1.67389640214341</v>
      </c>
      <c r="F171" s="7">
        <v>1.67389640214341</v>
      </c>
      <c r="G171" s="7">
        <v>398.46</v>
      </c>
      <c r="H171" s="7">
        <v>79.002695417789695</v>
      </c>
      <c r="I171" s="7">
        <v>395</v>
      </c>
      <c r="J171" s="7">
        <v>407.92</v>
      </c>
      <c r="K171" s="7">
        <v>394.42</v>
      </c>
      <c r="L171" s="7">
        <v>79.002695417789695</v>
      </c>
    </row>
    <row r="172" spans="1:12" ht="15" customHeight="1" x14ac:dyDescent="0.2">
      <c r="A172" s="3">
        <v>45805</v>
      </c>
      <c r="B172" s="4">
        <v>391.9</v>
      </c>
      <c r="C172" s="5">
        <v>623914</v>
      </c>
      <c r="D172" s="4">
        <v>3.8899999999999801</v>
      </c>
      <c r="E172" s="4">
        <v>1.00255148063193</v>
      </c>
      <c r="F172" s="4">
        <v>1.00255148063193</v>
      </c>
      <c r="G172" s="4">
        <v>391.9</v>
      </c>
      <c r="H172" s="4">
        <v>76.055705300988294</v>
      </c>
      <c r="I172" s="4">
        <v>394.14</v>
      </c>
      <c r="J172" s="4">
        <v>398.99</v>
      </c>
      <c r="K172" s="4">
        <v>385.9</v>
      </c>
      <c r="L172" s="4">
        <v>76.055705300988294</v>
      </c>
    </row>
    <row r="173" spans="1:12" ht="15" customHeight="1" x14ac:dyDescent="0.2">
      <c r="A173" s="6">
        <v>45804</v>
      </c>
      <c r="B173" s="7">
        <v>388.01</v>
      </c>
      <c r="C173" s="8">
        <v>588361</v>
      </c>
      <c r="D173" s="7">
        <v>-18.8799999999999</v>
      </c>
      <c r="E173" s="7">
        <v>-4.6400747130674098</v>
      </c>
      <c r="F173" s="7">
        <v>-4.6400747130674098</v>
      </c>
      <c r="G173" s="7">
        <v>388.01</v>
      </c>
      <c r="H173" s="7">
        <v>74.308176100628899</v>
      </c>
      <c r="I173" s="7">
        <v>404.85</v>
      </c>
      <c r="J173" s="7">
        <v>418.2</v>
      </c>
      <c r="K173" s="7">
        <v>386.7</v>
      </c>
      <c r="L173" s="7">
        <v>74.308176100628899</v>
      </c>
    </row>
    <row r="174" spans="1:12" ht="15" customHeight="1" x14ac:dyDescent="0.2">
      <c r="A174" s="3">
        <v>45803</v>
      </c>
      <c r="B174" s="4">
        <v>406.89</v>
      </c>
      <c r="C174" s="5">
        <v>42830</v>
      </c>
      <c r="D174" s="4">
        <v>3.2799999999999701</v>
      </c>
      <c r="E174" s="4">
        <v>0.81266569212852202</v>
      </c>
      <c r="F174" s="4">
        <v>0.81266569212852202</v>
      </c>
      <c r="G174" s="4">
        <v>406.89</v>
      </c>
      <c r="H174" s="4">
        <v>82.789757412398899</v>
      </c>
      <c r="I174" s="4">
        <v>407.01</v>
      </c>
      <c r="J174" s="4">
        <v>409.61</v>
      </c>
      <c r="K174" s="4">
        <v>402.76</v>
      </c>
      <c r="L174" s="4">
        <v>82.789757412398899</v>
      </c>
    </row>
    <row r="175" spans="1:12" ht="15" customHeight="1" x14ac:dyDescent="0.2">
      <c r="A175" s="6">
        <v>45800</v>
      </c>
      <c r="B175" s="7">
        <v>403.61</v>
      </c>
      <c r="C175" s="8">
        <v>322039</v>
      </c>
      <c r="D175" s="7">
        <v>-0.77999999999997205</v>
      </c>
      <c r="E175" s="7">
        <v>-0.19288310789089499</v>
      </c>
      <c r="F175" s="7">
        <v>-0.19288310789089499</v>
      </c>
      <c r="G175" s="7">
        <v>403.61</v>
      </c>
      <c r="H175" s="7">
        <v>81.316262353998198</v>
      </c>
      <c r="I175" s="7">
        <v>407.56</v>
      </c>
      <c r="J175" s="7">
        <v>407.56</v>
      </c>
      <c r="K175" s="7">
        <v>398.02</v>
      </c>
      <c r="L175" s="7">
        <v>81.316262353998198</v>
      </c>
    </row>
    <row r="176" spans="1:12" ht="15" customHeight="1" x14ac:dyDescent="0.2">
      <c r="A176" s="3">
        <v>45799</v>
      </c>
      <c r="B176" s="4">
        <v>404.39</v>
      </c>
      <c r="C176" s="5">
        <v>340037</v>
      </c>
      <c r="D176" s="4">
        <v>-20.3</v>
      </c>
      <c r="E176" s="4">
        <v>-4.7799571452117897</v>
      </c>
      <c r="F176" s="4">
        <v>-4.7799571452117897</v>
      </c>
      <c r="G176" s="4">
        <v>404.39</v>
      </c>
      <c r="H176" s="4">
        <v>81.6666666666666</v>
      </c>
      <c r="I176" s="4">
        <v>417.89</v>
      </c>
      <c r="J176" s="4">
        <v>423.48</v>
      </c>
      <c r="K176" s="4">
        <v>402.24</v>
      </c>
      <c r="L176" s="4">
        <v>81.6666666666666</v>
      </c>
    </row>
    <row r="177" spans="1:12" ht="15" customHeight="1" x14ac:dyDescent="0.2">
      <c r="A177" s="6">
        <v>45798</v>
      </c>
      <c r="B177" s="7">
        <v>424.69</v>
      </c>
      <c r="C177" s="8">
        <v>260228.99999999901</v>
      </c>
      <c r="D177" s="7">
        <v>15.579999999999901</v>
      </c>
      <c r="E177" s="7">
        <v>3.8082667253305802</v>
      </c>
      <c r="F177" s="7">
        <v>3.8082667253305802</v>
      </c>
      <c r="G177" s="7">
        <v>424.69</v>
      </c>
      <c r="H177" s="7">
        <v>90.786163522012501</v>
      </c>
      <c r="I177" s="7">
        <v>411.45</v>
      </c>
      <c r="J177" s="7">
        <v>429.99</v>
      </c>
      <c r="K177" s="7">
        <v>411.45</v>
      </c>
      <c r="L177" s="7">
        <v>90.786163522012501</v>
      </c>
    </row>
    <row r="178" spans="1:12" ht="15" customHeight="1" x14ac:dyDescent="0.2">
      <c r="A178" s="3">
        <v>45797</v>
      </c>
      <c r="B178" s="4">
        <v>409.11</v>
      </c>
      <c r="C178" s="5">
        <v>304326</v>
      </c>
      <c r="D178" s="4">
        <v>10.62</v>
      </c>
      <c r="E178" s="4">
        <v>2.6650606037792599</v>
      </c>
      <c r="F178" s="4">
        <v>2.6650606037792599</v>
      </c>
      <c r="G178" s="4">
        <v>409.11</v>
      </c>
      <c r="H178" s="4">
        <v>83.787061994609104</v>
      </c>
      <c r="I178" s="4">
        <v>400.48</v>
      </c>
      <c r="J178" s="4">
        <v>414.78</v>
      </c>
      <c r="K178" s="4">
        <v>398.49</v>
      </c>
      <c r="L178" s="4">
        <v>83.787061994609104</v>
      </c>
    </row>
    <row r="179" spans="1:12" ht="15" customHeight="1" x14ac:dyDescent="0.2">
      <c r="A179" s="6">
        <v>45796</v>
      </c>
      <c r="B179" s="7">
        <v>398.49</v>
      </c>
      <c r="C179" s="8">
        <v>296091</v>
      </c>
      <c r="D179" s="7">
        <v>2.4399999999999902</v>
      </c>
      <c r="E179" s="7">
        <v>0.61608382779951798</v>
      </c>
      <c r="F179" s="7">
        <v>0.61608382779951798</v>
      </c>
      <c r="G179" s="7">
        <v>398.49</v>
      </c>
      <c r="H179" s="7">
        <v>79.016172506738499</v>
      </c>
      <c r="I179" s="7">
        <v>396.74</v>
      </c>
      <c r="J179" s="7">
        <v>404.45</v>
      </c>
      <c r="K179" s="7">
        <v>388</v>
      </c>
      <c r="L179" s="7">
        <v>79.016172506738499</v>
      </c>
    </row>
    <row r="180" spans="1:12" ht="15" customHeight="1" x14ac:dyDescent="0.2">
      <c r="A180" s="3">
        <v>45793</v>
      </c>
      <c r="B180" s="4">
        <v>396.05</v>
      </c>
      <c r="C180" s="5">
        <v>1173757</v>
      </c>
      <c r="D180" s="4">
        <v>-1.71999999999997</v>
      </c>
      <c r="E180" s="4">
        <v>-0.43241068959448598</v>
      </c>
      <c r="F180" s="4">
        <v>-0.43241068959448598</v>
      </c>
      <c r="G180" s="4">
        <v>396.05</v>
      </c>
      <c r="H180" s="4">
        <v>77.920035938903794</v>
      </c>
      <c r="I180" s="4">
        <v>395.78</v>
      </c>
      <c r="J180" s="4">
        <v>403</v>
      </c>
      <c r="K180" s="4">
        <v>388.97</v>
      </c>
      <c r="L180" s="4">
        <v>77.920035938903794</v>
      </c>
    </row>
    <row r="181" spans="1:12" ht="15" customHeight="1" x14ac:dyDescent="0.2">
      <c r="A181" s="6">
        <v>45792</v>
      </c>
      <c r="B181" s="7">
        <v>397.77</v>
      </c>
      <c r="C181" s="8">
        <v>504665</v>
      </c>
      <c r="D181" s="7">
        <v>2.0999999999999601</v>
      </c>
      <c r="E181" s="7">
        <v>0.53074531806807101</v>
      </c>
      <c r="F181" s="7">
        <v>0.53074531806807101</v>
      </c>
      <c r="G181" s="7">
        <v>397.77</v>
      </c>
      <c r="H181" s="7">
        <v>78.692722371967605</v>
      </c>
      <c r="I181" s="7">
        <v>395.5</v>
      </c>
      <c r="J181" s="7">
        <v>401.21</v>
      </c>
      <c r="K181" s="7">
        <v>391</v>
      </c>
      <c r="L181" s="7">
        <v>78.692722371967605</v>
      </c>
    </row>
    <row r="182" spans="1:12" ht="15" customHeight="1" x14ac:dyDescent="0.2">
      <c r="A182" s="3">
        <v>45791</v>
      </c>
      <c r="B182" s="4">
        <v>395.67</v>
      </c>
      <c r="C182" s="5">
        <v>341864</v>
      </c>
      <c r="D182" s="4">
        <v>-7.3199999999999896</v>
      </c>
      <c r="E182" s="4">
        <v>-1.8164222437281301</v>
      </c>
      <c r="F182" s="4">
        <v>-1.8164222437281301</v>
      </c>
      <c r="G182" s="4">
        <v>395.67</v>
      </c>
      <c r="H182" s="4">
        <v>77.749326145552502</v>
      </c>
      <c r="I182" s="4">
        <v>402.97</v>
      </c>
      <c r="J182" s="4">
        <v>402.97</v>
      </c>
      <c r="K182" s="4">
        <v>388.27</v>
      </c>
      <c r="L182" s="4">
        <v>77.749326145552502</v>
      </c>
    </row>
    <row r="183" spans="1:12" ht="15" customHeight="1" x14ac:dyDescent="0.2">
      <c r="A183" s="6">
        <v>45790</v>
      </c>
      <c r="B183" s="7">
        <v>402.99</v>
      </c>
      <c r="C183" s="8">
        <v>551919</v>
      </c>
      <c r="D183" s="7">
        <v>15.5199999999999</v>
      </c>
      <c r="E183" s="7">
        <v>4.0054713913335096</v>
      </c>
      <c r="F183" s="7">
        <v>4.0054713913335096</v>
      </c>
      <c r="G183" s="7">
        <v>402.99</v>
      </c>
      <c r="H183" s="7">
        <v>81.037735849056602</v>
      </c>
      <c r="I183" s="7">
        <v>397.09</v>
      </c>
      <c r="J183" s="7">
        <v>415.32</v>
      </c>
      <c r="K183" s="7">
        <v>391.19</v>
      </c>
      <c r="L183" s="7">
        <v>81.037735849056602</v>
      </c>
    </row>
    <row r="184" spans="1:12" ht="15" customHeight="1" x14ac:dyDescent="0.2">
      <c r="A184" s="3">
        <v>45789</v>
      </c>
      <c r="B184" s="4">
        <v>387.47</v>
      </c>
      <c r="C184" s="5">
        <v>391614</v>
      </c>
      <c r="D184" s="4">
        <v>-32.119999999999898</v>
      </c>
      <c r="E184" s="4">
        <v>-7.6550918754021602</v>
      </c>
      <c r="F184" s="4">
        <v>-7.6550918754021602</v>
      </c>
      <c r="G184" s="4">
        <v>387.47</v>
      </c>
      <c r="H184" s="4">
        <v>74.065588499550699</v>
      </c>
      <c r="I184" s="4">
        <v>427.98</v>
      </c>
      <c r="J184" s="4">
        <v>427.98</v>
      </c>
      <c r="K184" s="4">
        <v>381.17</v>
      </c>
      <c r="L184" s="4">
        <v>74.065588499550699</v>
      </c>
    </row>
    <row r="185" spans="1:12" ht="15" customHeight="1" x14ac:dyDescent="0.2">
      <c r="A185" s="6">
        <v>45786</v>
      </c>
      <c r="B185" s="7">
        <v>419.59</v>
      </c>
      <c r="C185" s="8">
        <v>299747</v>
      </c>
      <c r="D185" s="7">
        <v>2.72999999999996</v>
      </c>
      <c r="E185" s="7">
        <v>0.65489612819651299</v>
      </c>
      <c r="F185" s="7">
        <v>0.65489612819651299</v>
      </c>
      <c r="G185" s="7">
        <v>419.59</v>
      </c>
      <c r="H185" s="7">
        <v>88.495058400718705</v>
      </c>
      <c r="I185" s="7">
        <v>414.76</v>
      </c>
      <c r="J185" s="7">
        <v>429</v>
      </c>
      <c r="K185" s="7">
        <v>414.76</v>
      </c>
      <c r="L185" s="7">
        <v>88.495058400718705</v>
      </c>
    </row>
    <row r="186" spans="1:12" ht="15" customHeight="1" x14ac:dyDescent="0.2">
      <c r="A186" s="3">
        <v>45785</v>
      </c>
      <c r="B186" s="4">
        <v>416.86</v>
      </c>
      <c r="C186" s="5">
        <v>377612</v>
      </c>
      <c r="D186" s="4">
        <v>-5.81</v>
      </c>
      <c r="E186" s="4">
        <v>-1.37459483758014</v>
      </c>
      <c r="F186" s="4">
        <v>-1.37459483758014</v>
      </c>
      <c r="G186" s="4">
        <v>416.86</v>
      </c>
      <c r="H186" s="4">
        <v>87.268643306379104</v>
      </c>
      <c r="I186" s="4">
        <v>422.8</v>
      </c>
      <c r="J186" s="4">
        <v>430</v>
      </c>
      <c r="K186" s="4">
        <v>415.17</v>
      </c>
      <c r="L186" s="4">
        <v>87.268643306379104</v>
      </c>
    </row>
    <row r="187" spans="1:12" ht="15" customHeight="1" x14ac:dyDescent="0.2">
      <c r="A187" s="6">
        <v>45784</v>
      </c>
      <c r="B187" s="7">
        <v>422.67</v>
      </c>
      <c r="C187" s="8">
        <v>435268</v>
      </c>
      <c r="D187" s="7">
        <v>1.7100000000000299</v>
      </c>
      <c r="E187" s="7">
        <v>0.40621436716077303</v>
      </c>
      <c r="F187" s="7">
        <v>0.40621436716077303</v>
      </c>
      <c r="G187" s="7">
        <v>422.67</v>
      </c>
      <c r="H187" s="7">
        <v>89.878706199460893</v>
      </c>
      <c r="I187" s="7">
        <v>419</v>
      </c>
      <c r="J187" s="7">
        <v>429.98</v>
      </c>
      <c r="K187" s="7">
        <v>406.86</v>
      </c>
      <c r="L187" s="7">
        <v>89.878706199460893</v>
      </c>
    </row>
    <row r="188" spans="1:12" ht="15" customHeight="1" x14ac:dyDescent="0.2">
      <c r="A188" s="3">
        <v>45783</v>
      </c>
      <c r="B188" s="4">
        <v>420.96</v>
      </c>
      <c r="C188" s="5">
        <v>560818</v>
      </c>
      <c r="D188" s="4">
        <v>27.0399999999999</v>
      </c>
      <c r="E188" s="4">
        <v>6.8643379366368702</v>
      </c>
      <c r="F188" s="4">
        <v>6.8643379366368702</v>
      </c>
      <c r="G188" s="4">
        <v>420.96</v>
      </c>
      <c r="H188" s="4">
        <v>89.110512129379998</v>
      </c>
      <c r="I188" s="4">
        <v>397.07</v>
      </c>
      <c r="J188" s="4">
        <v>422.55</v>
      </c>
      <c r="K188" s="4">
        <v>395.62</v>
      </c>
      <c r="L188" s="4">
        <v>89.110512129379998</v>
      </c>
    </row>
    <row r="189" spans="1:12" ht="15" customHeight="1" x14ac:dyDescent="0.2">
      <c r="A189" s="6">
        <v>45782</v>
      </c>
      <c r="B189" s="7">
        <v>393.92</v>
      </c>
      <c r="C189" s="8">
        <v>288145</v>
      </c>
      <c r="D189" s="7">
        <v>4.7200000000000202</v>
      </c>
      <c r="E189" s="7">
        <v>1.21274409044194</v>
      </c>
      <c r="F189" s="7">
        <v>1.21274409044194</v>
      </c>
      <c r="G189" s="7">
        <v>393.92</v>
      </c>
      <c r="H189" s="7">
        <v>76.963162623540001</v>
      </c>
      <c r="I189" s="7">
        <v>389.2</v>
      </c>
      <c r="J189" s="7">
        <v>403.28</v>
      </c>
      <c r="K189" s="7">
        <v>389.2</v>
      </c>
      <c r="L189" s="7">
        <v>76.963162623540001</v>
      </c>
    </row>
    <row r="190" spans="1:12" ht="15" customHeight="1" x14ac:dyDescent="0.2">
      <c r="A190" s="3">
        <v>45779</v>
      </c>
      <c r="B190" s="4">
        <v>389.2</v>
      </c>
      <c r="C190" s="5">
        <v>415309</v>
      </c>
      <c r="D190" s="4">
        <v>-1.8899999999999799</v>
      </c>
      <c r="E190" s="4">
        <v>-0.48326472167531298</v>
      </c>
      <c r="F190" s="4">
        <v>-0.48326472167531298</v>
      </c>
      <c r="G190" s="4">
        <v>389.2</v>
      </c>
      <c r="H190" s="4">
        <v>74.842767295597397</v>
      </c>
      <c r="I190" s="4">
        <v>398.91</v>
      </c>
      <c r="J190" s="4">
        <v>404.27</v>
      </c>
      <c r="K190" s="4">
        <v>376.96</v>
      </c>
      <c r="L190" s="4">
        <v>74.842767295597397</v>
      </c>
    </row>
    <row r="191" spans="1:12" ht="15" customHeight="1" x14ac:dyDescent="0.2">
      <c r="A191" s="6">
        <v>45777</v>
      </c>
      <c r="B191" s="7">
        <v>391.09</v>
      </c>
      <c r="C191" s="8">
        <v>2374368</v>
      </c>
      <c r="D191" s="7">
        <v>14.5299999999999</v>
      </c>
      <c r="E191" s="7">
        <v>3.8586148289781099</v>
      </c>
      <c r="F191" s="7">
        <v>3.8586148289781099</v>
      </c>
      <c r="G191" s="7">
        <v>391.09</v>
      </c>
      <c r="H191" s="7">
        <v>75.691823899371002</v>
      </c>
      <c r="I191" s="7">
        <v>378.99</v>
      </c>
      <c r="J191" s="7">
        <v>405.05</v>
      </c>
      <c r="K191" s="7">
        <v>378.44</v>
      </c>
      <c r="L191" s="7">
        <v>75.691823899371002</v>
      </c>
    </row>
    <row r="192" spans="1:12" ht="15" customHeight="1" x14ac:dyDescent="0.2">
      <c r="A192" s="3">
        <v>45776</v>
      </c>
      <c r="B192" s="4">
        <v>376.56</v>
      </c>
      <c r="C192" s="5">
        <v>525624</v>
      </c>
      <c r="D192" s="4">
        <v>-28.99</v>
      </c>
      <c r="E192" s="4">
        <v>-7.1483171002342401</v>
      </c>
      <c r="F192" s="4">
        <v>-7.1483171002342401</v>
      </c>
      <c r="G192" s="4">
        <v>376.56</v>
      </c>
      <c r="H192" s="4">
        <v>69.164420485175199</v>
      </c>
      <c r="I192" s="4">
        <v>407.57</v>
      </c>
      <c r="J192" s="4">
        <v>409.85</v>
      </c>
      <c r="K192" s="4">
        <v>375.14</v>
      </c>
      <c r="L192" s="4">
        <v>69.164420485175199</v>
      </c>
    </row>
    <row r="193" spans="1:12" ht="15" customHeight="1" x14ac:dyDescent="0.2">
      <c r="A193" s="6">
        <v>45775</v>
      </c>
      <c r="B193" s="7">
        <v>405.55</v>
      </c>
      <c r="C193" s="8">
        <v>430474</v>
      </c>
      <c r="D193" s="7">
        <v>-17.099999999999898</v>
      </c>
      <c r="E193" s="7">
        <v>-4.0459008635987104</v>
      </c>
      <c r="F193" s="7">
        <v>-4.0459008635987104</v>
      </c>
      <c r="G193" s="7">
        <v>405.55</v>
      </c>
      <c r="H193" s="7">
        <v>82.187780772686395</v>
      </c>
      <c r="I193" s="7">
        <v>423.13</v>
      </c>
      <c r="J193" s="7">
        <v>425.03</v>
      </c>
      <c r="K193" s="7">
        <v>404.08</v>
      </c>
      <c r="L193" s="7">
        <v>82.187780772686395</v>
      </c>
    </row>
    <row r="194" spans="1:12" ht="15" customHeight="1" x14ac:dyDescent="0.2">
      <c r="A194" s="3">
        <v>45772</v>
      </c>
      <c r="B194" s="4">
        <v>422.65</v>
      </c>
      <c r="C194" s="5">
        <v>437513</v>
      </c>
      <c r="D194" s="4">
        <v>-12.73</v>
      </c>
      <c r="E194" s="4">
        <v>-2.9238825853277599</v>
      </c>
      <c r="F194" s="4">
        <v>-2.9238825853277599</v>
      </c>
      <c r="G194" s="4">
        <v>422.65</v>
      </c>
      <c r="H194" s="4">
        <v>89.869721473495005</v>
      </c>
      <c r="I194" s="4">
        <v>437.96</v>
      </c>
      <c r="J194" s="4">
        <v>437.96</v>
      </c>
      <c r="K194" s="4">
        <v>415.35</v>
      </c>
      <c r="L194" s="4">
        <v>89.869721473495005</v>
      </c>
    </row>
    <row r="195" spans="1:12" ht="15" customHeight="1" x14ac:dyDescent="0.2">
      <c r="A195" s="6">
        <v>45771</v>
      </c>
      <c r="B195" s="7">
        <v>435.38</v>
      </c>
      <c r="C195" s="8">
        <v>572294</v>
      </c>
      <c r="D195" s="7">
        <v>13.5</v>
      </c>
      <c r="E195" s="7">
        <v>3.1999620745235502</v>
      </c>
      <c r="F195" s="7">
        <v>3.1999620745235502</v>
      </c>
      <c r="G195" s="7">
        <v>435.38</v>
      </c>
      <c r="H195" s="7">
        <v>95.5884995507637</v>
      </c>
      <c r="I195" s="7">
        <v>424</v>
      </c>
      <c r="J195" s="7">
        <v>443</v>
      </c>
      <c r="K195" s="7">
        <v>423.38</v>
      </c>
      <c r="L195" s="7">
        <v>95.5884995507637</v>
      </c>
    </row>
    <row r="196" spans="1:12" ht="15" customHeight="1" x14ac:dyDescent="0.2">
      <c r="A196" s="3">
        <v>45770</v>
      </c>
      <c r="B196" s="4">
        <v>421.88</v>
      </c>
      <c r="C196" s="5">
        <v>879166</v>
      </c>
      <c r="D196" s="4">
        <v>-5.9100000000000197</v>
      </c>
      <c r="E196" s="4">
        <v>-1.38151896958789</v>
      </c>
      <c r="F196" s="4">
        <v>-1.38151896958789</v>
      </c>
      <c r="G196" s="4">
        <v>421.88</v>
      </c>
      <c r="H196" s="4">
        <v>89.523809523809504</v>
      </c>
      <c r="I196" s="4">
        <v>424</v>
      </c>
      <c r="J196" s="4">
        <v>424.89</v>
      </c>
      <c r="K196" s="4">
        <v>402.34</v>
      </c>
      <c r="L196" s="4">
        <v>89.523809523809504</v>
      </c>
    </row>
    <row r="197" spans="1:12" ht="15" customHeight="1" x14ac:dyDescent="0.2">
      <c r="A197" s="6">
        <v>45769</v>
      </c>
      <c r="B197" s="7">
        <v>427.79</v>
      </c>
      <c r="C197" s="8">
        <v>501633</v>
      </c>
      <c r="D197" s="7">
        <v>-8.9699999999999704</v>
      </c>
      <c r="E197" s="7">
        <v>-2.0537595017858599</v>
      </c>
      <c r="F197" s="7">
        <v>-2.0537595017858599</v>
      </c>
      <c r="G197" s="7">
        <v>427.79</v>
      </c>
      <c r="H197" s="7">
        <v>92.178796046720507</v>
      </c>
      <c r="I197" s="7">
        <v>438.98</v>
      </c>
      <c r="J197" s="7">
        <v>440</v>
      </c>
      <c r="K197" s="7">
        <v>422.53</v>
      </c>
      <c r="L197" s="7">
        <v>92.178796046720507</v>
      </c>
    </row>
    <row r="198" spans="1:12" ht="15" customHeight="1" x14ac:dyDescent="0.2">
      <c r="A198" s="3">
        <v>45768</v>
      </c>
      <c r="B198" s="4">
        <v>436.76</v>
      </c>
      <c r="C198" s="5">
        <v>281771</v>
      </c>
      <c r="D198" s="4">
        <v>11.319999999999901</v>
      </c>
      <c r="E198" s="4">
        <v>2.66077472734109</v>
      </c>
      <c r="F198" s="4">
        <v>2.66077472734109</v>
      </c>
      <c r="G198" s="4">
        <v>436.76</v>
      </c>
      <c r="H198" s="4">
        <v>96.208445642407895</v>
      </c>
      <c r="I198" s="4">
        <v>426.86</v>
      </c>
      <c r="J198" s="4">
        <v>439.99</v>
      </c>
      <c r="K198" s="4">
        <v>424.74</v>
      </c>
      <c r="L198" s="4">
        <v>96.208445642407895</v>
      </c>
    </row>
    <row r="199" spans="1:12" ht="15" customHeight="1" x14ac:dyDescent="0.2">
      <c r="A199" s="6">
        <v>45763</v>
      </c>
      <c r="B199" s="7">
        <v>425.44</v>
      </c>
      <c r="C199" s="8">
        <v>306863</v>
      </c>
      <c r="D199" s="7">
        <v>30.959999999999901</v>
      </c>
      <c r="E199" s="7">
        <v>7.8483066315148999</v>
      </c>
      <c r="F199" s="7">
        <v>7.8483066315148999</v>
      </c>
      <c r="G199" s="7">
        <v>425.44</v>
      </c>
      <c r="H199" s="7">
        <v>91.123090745732199</v>
      </c>
      <c r="I199" s="7">
        <v>399</v>
      </c>
      <c r="J199" s="7">
        <v>426.9</v>
      </c>
      <c r="K199" s="7">
        <v>398.95</v>
      </c>
      <c r="L199" s="7">
        <v>91.123090745732199</v>
      </c>
    </row>
    <row r="200" spans="1:12" ht="15" customHeight="1" x14ac:dyDescent="0.2">
      <c r="A200" s="3">
        <v>45762</v>
      </c>
      <c r="B200" s="4">
        <v>394.48</v>
      </c>
      <c r="C200" s="5">
        <v>380749</v>
      </c>
      <c r="D200" s="4">
        <v>4.2900000000000196</v>
      </c>
      <c r="E200" s="4">
        <v>1.0994643635152199</v>
      </c>
      <c r="F200" s="4">
        <v>1.0994643635152199</v>
      </c>
      <c r="G200" s="4">
        <v>394.48</v>
      </c>
      <c r="H200" s="4">
        <v>77.214734950584003</v>
      </c>
      <c r="I200" s="4">
        <v>395</v>
      </c>
      <c r="J200" s="4">
        <v>402.64</v>
      </c>
      <c r="K200" s="4">
        <v>388.73</v>
      </c>
      <c r="L200" s="4">
        <v>77.214734950584003</v>
      </c>
    </row>
    <row r="201" spans="1:12" ht="15" customHeight="1" x14ac:dyDescent="0.2">
      <c r="A201" s="6">
        <v>45761</v>
      </c>
      <c r="B201" s="7">
        <v>390.19</v>
      </c>
      <c r="C201" s="8">
        <v>426303</v>
      </c>
      <c r="D201" s="7">
        <v>15.0299999999999</v>
      </c>
      <c r="E201" s="7">
        <v>4.0062906493229402</v>
      </c>
      <c r="F201" s="7">
        <v>4.0062906493229402</v>
      </c>
      <c r="G201" s="7">
        <v>390.19</v>
      </c>
      <c r="H201" s="7">
        <v>75.287511230907398</v>
      </c>
      <c r="I201" s="7">
        <v>375.17</v>
      </c>
      <c r="J201" s="7">
        <v>409.21</v>
      </c>
      <c r="K201" s="7">
        <v>375.17</v>
      </c>
      <c r="L201" s="7">
        <v>75.287511230907398</v>
      </c>
    </row>
    <row r="202" spans="1:12" ht="15" customHeight="1" x14ac:dyDescent="0.2">
      <c r="A202" s="3">
        <v>45758</v>
      </c>
      <c r="B202" s="4">
        <v>375.16</v>
      </c>
      <c r="C202" s="5">
        <v>367317</v>
      </c>
      <c r="D202" s="4">
        <v>20.14</v>
      </c>
      <c r="E202" s="4">
        <v>5.6729198355022401</v>
      </c>
      <c r="F202" s="4">
        <v>5.6729198355022401</v>
      </c>
      <c r="G202" s="4">
        <v>375.16</v>
      </c>
      <c r="H202" s="4">
        <v>68.535489667565102</v>
      </c>
      <c r="I202" s="4">
        <v>360.95</v>
      </c>
      <c r="J202" s="4">
        <v>378.6</v>
      </c>
      <c r="K202" s="4">
        <v>357</v>
      </c>
      <c r="L202" s="4">
        <v>68.535489667565102</v>
      </c>
    </row>
    <row r="203" spans="1:12" ht="15" customHeight="1" x14ac:dyDescent="0.2">
      <c r="A203" s="6">
        <v>45757</v>
      </c>
      <c r="B203" s="7">
        <v>355.02</v>
      </c>
      <c r="C203" s="8">
        <v>892161</v>
      </c>
      <c r="D203" s="7">
        <v>4.2999999999999501</v>
      </c>
      <c r="E203" s="7">
        <v>1.2260492700729699</v>
      </c>
      <c r="F203" s="7">
        <v>1.2260492700729699</v>
      </c>
      <c r="G203" s="7">
        <v>355.02</v>
      </c>
      <c r="H203" s="7">
        <v>59.487870619946001</v>
      </c>
      <c r="I203" s="7">
        <v>355</v>
      </c>
      <c r="J203" s="7">
        <v>360.99</v>
      </c>
      <c r="K203" s="7">
        <v>340.04</v>
      </c>
      <c r="L203" s="7">
        <v>59.487870619946001</v>
      </c>
    </row>
    <row r="204" spans="1:12" ht="15" customHeight="1" x14ac:dyDescent="0.2">
      <c r="A204" s="3">
        <v>45756</v>
      </c>
      <c r="B204" s="4">
        <v>350.72</v>
      </c>
      <c r="C204" s="5">
        <v>873422</v>
      </c>
      <c r="D204" s="4">
        <v>22.41</v>
      </c>
      <c r="E204" s="4">
        <v>6.8258657975693797</v>
      </c>
      <c r="F204" s="4">
        <v>6.8258657975693797</v>
      </c>
      <c r="G204" s="4">
        <v>350.72</v>
      </c>
      <c r="H204" s="4">
        <v>57.556154537286602</v>
      </c>
      <c r="I204" s="4">
        <v>328.25</v>
      </c>
      <c r="J204" s="4">
        <v>352.92</v>
      </c>
      <c r="K204" s="4">
        <v>316.14999999999998</v>
      </c>
      <c r="L204" s="4">
        <v>57.556154537286602</v>
      </c>
    </row>
    <row r="205" spans="1:12" ht="15" customHeight="1" x14ac:dyDescent="0.2">
      <c r="A205" s="6">
        <v>45755</v>
      </c>
      <c r="B205" s="7">
        <v>328.31</v>
      </c>
      <c r="C205" s="8">
        <v>567489</v>
      </c>
      <c r="D205" s="7">
        <v>-7.4699999999999704</v>
      </c>
      <c r="E205" s="7">
        <v>-2.2246709154803601</v>
      </c>
      <c r="F205" s="7">
        <v>-2.2246709154803601</v>
      </c>
      <c r="G205" s="7">
        <v>328.31</v>
      </c>
      <c r="H205" s="7">
        <v>47.488769092542597</v>
      </c>
      <c r="I205" s="7">
        <v>337.51</v>
      </c>
      <c r="J205" s="7">
        <v>359.8</v>
      </c>
      <c r="K205" s="7">
        <v>326.88</v>
      </c>
      <c r="L205" s="7">
        <v>47.488769092542597</v>
      </c>
    </row>
    <row r="206" spans="1:12" ht="15" customHeight="1" x14ac:dyDescent="0.2">
      <c r="A206" s="3">
        <v>45754</v>
      </c>
      <c r="B206" s="4">
        <v>335.78</v>
      </c>
      <c r="C206" s="5">
        <v>422501</v>
      </c>
      <c r="D206" s="4">
        <v>-7.58000000000004</v>
      </c>
      <c r="E206" s="4">
        <v>-2.2075955265610498</v>
      </c>
      <c r="F206" s="4">
        <v>-2.2075955265610498</v>
      </c>
      <c r="G206" s="4">
        <v>335.78</v>
      </c>
      <c r="H206" s="4">
        <v>50.844564240790604</v>
      </c>
      <c r="I206" s="4">
        <v>335.39</v>
      </c>
      <c r="J206" s="4">
        <v>352.28</v>
      </c>
      <c r="K206" s="4">
        <v>328.29</v>
      </c>
      <c r="L206" s="4">
        <v>50.844564240790604</v>
      </c>
    </row>
    <row r="207" spans="1:12" ht="15" customHeight="1" x14ac:dyDescent="0.2">
      <c r="A207" s="6">
        <v>45751</v>
      </c>
      <c r="B207" s="7">
        <v>343.36</v>
      </c>
      <c r="C207" s="8">
        <v>337421</v>
      </c>
      <c r="D207" s="7">
        <v>-59.87</v>
      </c>
      <c r="E207" s="7">
        <v>-14.847605584901901</v>
      </c>
      <c r="F207" s="7">
        <v>-14.847605584901901</v>
      </c>
      <c r="G207" s="7">
        <v>343.36</v>
      </c>
      <c r="H207" s="7">
        <v>54.249775381850803</v>
      </c>
      <c r="I207" s="7">
        <v>401.19</v>
      </c>
      <c r="J207" s="7">
        <v>401.21</v>
      </c>
      <c r="K207" s="7">
        <v>340.21</v>
      </c>
      <c r="L207" s="7">
        <v>54.249775381850803</v>
      </c>
    </row>
    <row r="208" spans="1:12" ht="15" customHeight="1" x14ac:dyDescent="0.2">
      <c r="A208" s="3">
        <v>45750</v>
      </c>
      <c r="B208" s="4">
        <v>403.23</v>
      </c>
      <c r="C208" s="5">
        <v>531436</v>
      </c>
      <c r="D208" s="4">
        <v>2.80000000000001</v>
      </c>
      <c r="E208" s="4">
        <v>0.69924830806882199</v>
      </c>
      <c r="F208" s="4">
        <v>0.69924830806882199</v>
      </c>
      <c r="G208" s="4">
        <v>403.23</v>
      </c>
      <c r="H208" s="4">
        <v>81.145552560646905</v>
      </c>
      <c r="I208" s="4">
        <v>390.8</v>
      </c>
      <c r="J208" s="4">
        <v>413.58</v>
      </c>
      <c r="K208" s="4">
        <v>385.02</v>
      </c>
      <c r="L208" s="4">
        <v>81.145552560646905</v>
      </c>
    </row>
    <row r="209" spans="1:12" ht="15" customHeight="1" x14ac:dyDescent="0.2">
      <c r="A209" s="6">
        <v>45749</v>
      </c>
      <c r="B209" s="7">
        <v>400.43</v>
      </c>
      <c r="C209" s="8">
        <v>465699</v>
      </c>
      <c r="D209" s="7">
        <v>14.31</v>
      </c>
      <c r="E209" s="7">
        <v>3.7061017300321102</v>
      </c>
      <c r="F209" s="7">
        <v>3.7061017300321102</v>
      </c>
      <c r="G209" s="7">
        <v>400.43</v>
      </c>
      <c r="H209" s="7">
        <v>79.887690925426696</v>
      </c>
      <c r="I209" s="7">
        <v>386.12</v>
      </c>
      <c r="J209" s="7">
        <v>401.96</v>
      </c>
      <c r="K209" s="7">
        <v>380.2</v>
      </c>
      <c r="L209" s="7">
        <v>79.887690925426696</v>
      </c>
    </row>
    <row r="210" spans="1:12" ht="15" customHeight="1" x14ac:dyDescent="0.2">
      <c r="A210" s="3">
        <v>45748</v>
      </c>
      <c r="B210" s="4">
        <v>386.12</v>
      </c>
      <c r="C210" s="5">
        <v>474305</v>
      </c>
      <c r="D210" s="4">
        <v>6.4200000000000097</v>
      </c>
      <c r="E210" s="4">
        <v>1.6908085330524101</v>
      </c>
      <c r="F210" s="4">
        <v>1.6908085330524101</v>
      </c>
      <c r="G210" s="4">
        <v>386.12</v>
      </c>
      <c r="H210" s="4">
        <v>73.459119496855294</v>
      </c>
      <c r="I210" s="4">
        <v>380.25</v>
      </c>
      <c r="J210" s="4">
        <v>388</v>
      </c>
      <c r="K210" s="4">
        <v>370.61</v>
      </c>
      <c r="L210" s="4">
        <v>73.459119496855294</v>
      </c>
    </row>
    <row r="211" spans="1:12" ht="15" customHeight="1" x14ac:dyDescent="0.2">
      <c r="A211" s="6">
        <v>45747</v>
      </c>
      <c r="B211" s="7">
        <v>379.7</v>
      </c>
      <c r="C211" s="8">
        <v>639310</v>
      </c>
      <c r="D211" s="7">
        <v>10.5999999999999</v>
      </c>
      <c r="E211" s="7">
        <v>2.8718504470332999</v>
      </c>
      <c r="F211" s="7">
        <v>2.8718504470332999</v>
      </c>
      <c r="G211" s="7">
        <v>379.7</v>
      </c>
      <c r="H211" s="7">
        <v>70.575022461814896</v>
      </c>
      <c r="I211" s="7">
        <v>372</v>
      </c>
      <c r="J211" s="7">
        <v>380.8</v>
      </c>
      <c r="K211" s="7">
        <v>362.02</v>
      </c>
      <c r="L211" s="7">
        <v>70.575022461814896</v>
      </c>
    </row>
    <row r="212" spans="1:12" ht="15" customHeight="1" x14ac:dyDescent="0.2">
      <c r="A212" s="3">
        <v>45744</v>
      </c>
      <c r="B212" s="4">
        <v>369.1</v>
      </c>
      <c r="C212" s="5">
        <v>303217</v>
      </c>
      <c r="D212" s="4">
        <v>1</v>
      </c>
      <c r="E212" s="4">
        <v>0.27166530834012897</v>
      </c>
      <c r="F212" s="4">
        <v>0.27166530834012897</v>
      </c>
      <c r="G212" s="4">
        <v>369.1</v>
      </c>
      <c r="H212" s="4">
        <v>65.813117699910094</v>
      </c>
      <c r="I212" s="4">
        <v>368.5</v>
      </c>
      <c r="J212" s="4">
        <v>375</v>
      </c>
      <c r="K212" s="4">
        <v>356.11</v>
      </c>
      <c r="L212" s="4">
        <v>65.813117699910094</v>
      </c>
    </row>
    <row r="213" spans="1:12" ht="15" customHeight="1" x14ac:dyDescent="0.2">
      <c r="A213" s="6">
        <v>45743</v>
      </c>
      <c r="B213" s="7">
        <v>368.1</v>
      </c>
      <c r="C213" s="8">
        <v>866922</v>
      </c>
      <c r="D213" s="7">
        <v>11.53</v>
      </c>
      <c r="E213" s="7">
        <v>3.2335866730235301</v>
      </c>
      <c r="F213" s="7">
        <v>3.2335866730235301</v>
      </c>
      <c r="G213" s="7">
        <v>368.1</v>
      </c>
      <c r="H213" s="7">
        <v>65.363881401617206</v>
      </c>
      <c r="I213" s="7">
        <v>355.27</v>
      </c>
      <c r="J213" s="7">
        <v>369.98</v>
      </c>
      <c r="K213" s="7">
        <v>354.33</v>
      </c>
      <c r="L213" s="7">
        <v>65.363881401617206</v>
      </c>
    </row>
    <row r="214" spans="1:12" ht="15" customHeight="1" x14ac:dyDescent="0.2">
      <c r="A214" s="3">
        <v>45742</v>
      </c>
      <c r="B214" s="4">
        <v>356.57</v>
      </c>
      <c r="C214" s="5">
        <v>258488.99999999901</v>
      </c>
      <c r="D214" s="4">
        <v>1.54000000000002</v>
      </c>
      <c r="E214" s="4">
        <v>0.43376616060615197</v>
      </c>
      <c r="F214" s="4">
        <v>0.43376616060615197</v>
      </c>
      <c r="G214" s="4">
        <v>356.57</v>
      </c>
      <c r="H214" s="4">
        <v>60.184186882299997</v>
      </c>
      <c r="I214" s="4">
        <v>355</v>
      </c>
      <c r="J214" s="4">
        <v>362.5</v>
      </c>
      <c r="K214" s="4">
        <v>353.43</v>
      </c>
      <c r="L214" s="4">
        <v>60.184186882299997</v>
      </c>
    </row>
    <row r="215" spans="1:12" ht="15" customHeight="1" x14ac:dyDescent="0.2">
      <c r="A215" s="6">
        <v>45741</v>
      </c>
      <c r="B215" s="7">
        <v>355.03</v>
      </c>
      <c r="C215" s="8">
        <v>411703</v>
      </c>
      <c r="D215" s="7">
        <v>2.3399999999999701</v>
      </c>
      <c r="E215" s="7">
        <v>0.66347217102837797</v>
      </c>
      <c r="F215" s="7">
        <v>0.66347217102837797</v>
      </c>
      <c r="G215" s="7">
        <v>355.03</v>
      </c>
      <c r="H215" s="7">
        <v>59.492362982929002</v>
      </c>
      <c r="I215" s="7">
        <v>355.05</v>
      </c>
      <c r="J215" s="7">
        <v>378.77</v>
      </c>
      <c r="K215" s="7">
        <v>352.98</v>
      </c>
      <c r="L215" s="7">
        <v>59.492362982929002</v>
      </c>
    </row>
    <row r="216" spans="1:12" ht="15" customHeight="1" x14ac:dyDescent="0.2">
      <c r="A216" s="3">
        <v>45740</v>
      </c>
      <c r="B216" s="4">
        <v>352.69</v>
      </c>
      <c r="C216" s="5">
        <v>462787</v>
      </c>
      <c r="D216" s="4">
        <v>-3.00999999999999</v>
      </c>
      <c r="E216" s="4">
        <v>-0.84621872364352102</v>
      </c>
      <c r="F216" s="4">
        <v>-0.84621872364352102</v>
      </c>
      <c r="G216" s="4">
        <v>352.69</v>
      </c>
      <c r="H216" s="4">
        <v>58.441150044923603</v>
      </c>
      <c r="I216" s="4">
        <v>358.15</v>
      </c>
      <c r="J216" s="4">
        <v>368.97</v>
      </c>
      <c r="K216" s="4">
        <v>351.33</v>
      </c>
      <c r="L216" s="4">
        <v>58.441150044923603</v>
      </c>
    </row>
    <row r="217" spans="1:12" ht="15" customHeight="1" x14ac:dyDescent="0.2">
      <c r="A217" s="6">
        <v>45737</v>
      </c>
      <c r="B217" s="7">
        <v>355.7</v>
      </c>
      <c r="C217" s="8">
        <v>2224422</v>
      </c>
      <c r="D217" s="7">
        <v>10.159999999999901</v>
      </c>
      <c r="E217" s="7">
        <v>2.9403252879550701</v>
      </c>
      <c r="F217" s="7">
        <v>2.9403252879550701</v>
      </c>
      <c r="G217" s="7">
        <v>355.7</v>
      </c>
      <c r="H217" s="7">
        <v>59.793351302785197</v>
      </c>
      <c r="I217" s="7">
        <v>349.25</v>
      </c>
      <c r="J217" s="7">
        <v>358.17</v>
      </c>
      <c r="K217" s="7">
        <v>349.25</v>
      </c>
      <c r="L217" s="7">
        <v>59.793351302785197</v>
      </c>
    </row>
    <row r="218" spans="1:12" ht="15" customHeight="1" x14ac:dyDescent="0.2">
      <c r="A218" s="3">
        <v>45736</v>
      </c>
      <c r="B218" s="4">
        <v>345.54</v>
      </c>
      <c r="C218" s="5">
        <v>556073</v>
      </c>
      <c r="D218" s="4">
        <v>-5.50999999999999</v>
      </c>
      <c r="E218" s="4">
        <v>-1.5695769833357001</v>
      </c>
      <c r="F218" s="4">
        <v>-1.5695769833357001</v>
      </c>
      <c r="G218" s="4">
        <v>345.54</v>
      </c>
      <c r="H218" s="4">
        <v>55.229110512129303</v>
      </c>
      <c r="I218" s="4">
        <v>351.05</v>
      </c>
      <c r="J218" s="4">
        <v>356.14</v>
      </c>
      <c r="K218" s="4">
        <v>342.92</v>
      </c>
      <c r="L218" s="4">
        <v>55.229110512129303</v>
      </c>
    </row>
    <row r="219" spans="1:12" ht="15" customHeight="1" x14ac:dyDescent="0.2">
      <c r="A219" s="6">
        <v>45735</v>
      </c>
      <c r="B219" s="7">
        <v>351.05</v>
      </c>
      <c r="C219" s="8">
        <v>702277</v>
      </c>
      <c r="D219" s="7">
        <v>-2.1299999999999901</v>
      </c>
      <c r="E219" s="7">
        <v>-0.60309190780904998</v>
      </c>
      <c r="F219" s="7">
        <v>-0.60309190780904998</v>
      </c>
      <c r="G219" s="7">
        <v>351.05</v>
      </c>
      <c r="H219" s="7">
        <v>57.704402515723203</v>
      </c>
      <c r="I219" s="7">
        <v>355</v>
      </c>
      <c r="J219" s="7">
        <v>361.98</v>
      </c>
      <c r="K219" s="7">
        <v>348</v>
      </c>
      <c r="L219" s="7">
        <v>57.704402515723203</v>
      </c>
    </row>
    <row r="220" spans="1:12" ht="15" customHeight="1" x14ac:dyDescent="0.2">
      <c r="A220" s="3">
        <v>45734</v>
      </c>
      <c r="B220" s="4">
        <v>353.18</v>
      </c>
      <c r="C220" s="5">
        <v>1046181</v>
      </c>
      <c r="D220" s="4">
        <v>-48.25</v>
      </c>
      <c r="E220" s="4">
        <v>-12.0195301796079</v>
      </c>
      <c r="F220" s="4">
        <v>-12.0195301796079</v>
      </c>
      <c r="G220" s="4">
        <v>353.18</v>
      </c>
      <c r="H220" s="4">
        <v>58.661275831087103</v>
      </c>
      <c r="I220" s="4">
        <v>400.04</v>
      </c>
      <c r="J220" s="4">
        <v>409.97</v>
      </c>
      <c r="K220" s="4">
        <v>351.57</v>
      </c>
      <c r="L220" s="4">
        <v>58.661275831087103</v>
      </c>
    </row>
    <row r="221" spans="1:12" ht="15" customHeight="1" x14ac:dyDescent="0.2">
      <c r="A221" s="6">
        <v>45730</v>
      </c>
      <c r="B221" s="7">
        <v>401.43</v>
      </c>
      <c r="C221" s="8">
        <v>757701</v>
      </c>
      <c r="D221" s="7">
        <v>5.6100000000000101</v>
      </c>
      <c r="E221" s="7">
        <v>1.41731089889343</v>
      </c>
      <c r="F221" s="7">
        <v>1.41731089889343</v>
      </c>
      <c r="G221" s="7">
        <v>401.43</v>
      </c>
      <c r="H221" s="7">
        <v>80.336927223719599</v>
      </c>
      <c r="I221" s="7">
        <v>395.01</v>
      </c>
      <c r="J221" s="7">
        <v>409.99</v>
      </c>
      <c r="K221" s="7">
        <v>394.95</v>
      </c>
      <c r="L221" s="7">
        <v>80.336927223719599</v>
      </c>
    </row>
    <row r="222" spans="1:12" ht="15" customHeight="1" x14ac:dyDescent="0.2">
      <c r="A222" s="3">
        <v>45729</v>
      </c>
      <c r="B222" s="4">
        <v>395.82</v>
      </c>
      <c r="C222" s="5">
        <v>888546</v>
      </c>
      <c r="D222" s="4">
        <v>16.25</v>
      </c>
      <c r="E222" s="4">
        <v>4.2811602602945404</v>
      </c>
      <c r="F222" s="4">
        <v>4.2811602602945404</v>
      </c>
      <c r="G222" s="4">
        <v>395.82</v>
      </c>
      <c r="H222" s="4">
        <v>77.816711590296407</v>
      </c>
      <c r="I222" s="4">
        <v>378.3</v>
      </c>
      <c r="J222" s="4">
        <v>397.19</v>
      </c>
      <c r="K222" s="4">
        <v>376.03</v>
      </c>
      <c r="L222" s="4">
        <v>77.816711590296407</v>
      </c>
    </row>
    <row r="223" spans="1:12" ht="15" customHeight="1" x14ac:dyDescent="0.2">
      <c r="A223" s="6">
        <v>45728</v>
      </c>
      <c r="B223" s="7">
        <v>379.57</v>
      </c>
      <c r="C223" s="8">
        <v>1023067</v>
      </c>
      <c r="D223" s="7">
        <v>30.1999999999999</v>
      </c>
      <c r="E223" s="7">
        <v>8.6441308641268506</v>
      </c>
      <c r="F223" s="7">
        <v>8.6441308641268506</v>
      </c>
      <c r="G223" s="7">
        <v>379.57</v>
      </c>
      <c r="H223" s="7">
        <v>70.516621743036794</v>
      </c>
      <c r="I223" s="7">
        <v>348.24</v>
      </c>
      <c r="J223" s="7">
        <v>380.91</v>
      </c>
      <c r="K223" s="7">
        <v>348.19</v>
      </c>
      <c r="L223" s="7">
        <v>70.516621743036794</v>
      </c>
    </row>
    <row r="224" spans="1:12" ht="15" customHeight="1" x14ac:dyDescent="0.2">
      <c r="A224" s="3">
        <v>45727</v>
      </c>
      <c r="B224" s="4">
        <v>349.37</v>
      </c>
      <c r="C224" s="5">
        <v>879830</v>
      </c>
      <c r="D224" s="4">
        <v>2.3199999999999901</v>
      </c>
      <c r="E224" s="4">
        <v>0.66849157181962904</v>
      </c>
      <c r="F224" s="4">
        <v>0.66849157181962904</v>
      </c>
      <c r="G224" s="4">
        <v>349.37</v>
      </c>
      <c r="H224" s="4">
        <v>56.949685534591197</v>
      </c>
      <c r="I224" s="4">
        <v>346</v>
      </c>
      <c r="J224" s="4">
        <v>354.99</v>
      </c>
      <c r="K224" s="4">
        <v>341.86</v>
      </c>
      <c r="L224" s="4">
        <v>56.949685534591197</v>
      </c>
    </row>
    <row r="225" spans="1:12" ht="15" customHeight="1" x14ac:dyDescent="0.2">
      <c r="A225" s="6">
        <v>45726</v>
      </c>
      <c r="B225" s="7">
        <v>347.05</v>
      </c>
      <c r="C225" s="8">
        <v>690343</v>
      </c>
      <c r="D225" s="7">
        <v>-13.1299999999999</v>
      </c>
      <c r="E225" s="7">
        <v>-3.6453995224609899</v>
      </c>
      <c r="F225" s="7">
        <v>-3.6453995224609899</v>
      </c>
      <c r="G225" s="7">
        <v>347.05</v>
      </c>
      <c r="H225" s="7">
        <v>55.9074573225516</v>
      </c>
      <c r="I225" s="7">
        <v>356.11</v>
      </c>
      <c r="J225" s="7">
        <v>358.33</v>
      </c>
      <c r="K225" s="7">
        <v>341.17</v>
      </c>
      <c r="L225" s="7">
        <v>55.9074573225516</v>
      </c>
    </row>
    <row r="226" spans="1:12" ht="15" customHeight="1" x14ac:dyDescent="0.2">
      <c r="A226" s="3">
        <v>45723</v>
      </c>
      <c r="B226" s="4">
        <v>360.18</v>
      </c>
      <c r="C226" s="5">
        <v>712735</v>
      </c>
      <c r="D226" s="4">
        <v>17.920000000000002</v>
      </c>
      <c r="E226" s="4">
        <v>5.2357856600245301</v>
      </c>
      <c r="F226" s="4">
        <v>5.2357856600245301</v>
      </c>
      <c r="G226" s="4">
        <v>360.18</v>
      </c>
      <c r="H226" s="4">
        <v>61.805929919137398</v>
      </c>
      <c r="I226" s="4">
        <v>341.78</v>
      </c>
      <c r="J226" s="4">
        <v>360.84</v>
      </c>
      <c r="K226" s="4">
        <v>336.45</v>
      </c>
      <c r="L226" s="4">
        <v>61.805929919137398</v>
      </c>
    </row>
    <row r="227" spans="1:12" ht="15" customHeight="1" x14ac:dyDescent="0.2">
      <c r="A227" s="6">
        <v>45722</v>
      </c>
      <c r="B227" s="7">
        <v>342.26</v>
      </c>
      <c r="C227" s="8">
        <v>708742</v>
      </c>
      <c r="D227" s="7">
        <v>9.3799999999999901</v>
      </c>
      <c r="E227" s="7">
        <v>2.8178322518625398</v>
      </c>
      <c r="F227" s="7">
        <v>2.8178322518625398</v>
      </c>
      <c r="G227" s="7">
        <v>342.26</v>
      </c>
      <c r="H227" s="7">
        <v>53.755615453728602</v>
      </c>
      <c r="I227" s="7">
        <v>334.48</v>
      </c>
      <c r="J227" s="7">
        <v>343.44</v>
      </c>
      <c r="K227" s="7">
        <v>327.96</v>
      </c>
      <c r="L227" s="7">
        <v>53.755615453728602</v>
      </c>
    </row>
    <row r="228" spans="1:12" ht="15" customHeight="1" x14ac:dyDescent="0.2">
      <c r="A228" s="3">
        <v>45721</v>
      </c>
      <c r="B228" s="4">
        <v>332.88</v>
      </c>
      <c r="C228" s="5">
        <v>619232</v>
      </c>
      <c r="D228" s="4">
        <v>6.62</v>
      </c>
      <c r="E228" s="4">
        <v>2.0290565806412002</v>
      </c>
      <c r="F228" s="4">
        <v>2.0290565806412002</v>
      </c>
      <c r="G228" s="4">
        <v>332.88</v>
      </c>
      <c r="H228" s="4">
        <v>49.541778975741202</v>
      </c>
      <c r="I228" s="4">
        <v>329</v>
      </c>
      <c r="J228" s="4">
        <v>339.28</v>
      </c>
      <c r="K228" s="4">
        <v>321.95999999999998</v>
      </c>
      <c r="L228" s="4">
        <v>49.541778975741202</v>
      </c>
    </row>
    <row r="229" spans="1:12" ht="15" customHeight="1" x14ac:dyDescent="0.2">
      <c r="A229" s="6">
        <v>45720</v>
      </c>
      <c r="B229" s="7">
        <v>326.26</v>
      </c>
      <c r="C229" s="8">
        <v>470120</v>
      </c>
      <c r="D229" s="7">
        <v>14.48</v>
      </c>
      <c r="E229" s="7">
        <v>4.64430046827892</v>
      </c>
      <c r="F229" s="7">
        <v>4.64430046827892</v>
      </c>
      <c r="G229" s="7">
        <v>326.26</v>
      </c>
      <c r="H229" s="7">
        <v>46.5678346810422</v>
      </c>
      <c r="I229" s="7">
        <v>313.01</v>
      </c>
      <c r="J229" s="7">
        <v>329</v>
      </c>
      <c r="K229" s="7">
        <v>304.95999999999998</v>
      </c>
      <c r="L229" s="7">
        <v>46.5678346810422</v>
      </c>
    </row>
    <row r="230" spans="1:12" ht="15" customHeight="1" x14ac:dyDescent="0.2">
      <c r="A230" s="3">
        <v>45719</v>
      </c>
      <c r="B230" s="4">
        <v>311.77999999999997</v>
      </c>
      <c r="C230" s="5">
        <v>340537</v>
      </c>
      <c r="D230" s="4">
        <v>-2.6700000000000101</v>
      </c>
      <c r="E230" s="4">
        <v>-0.84910160597869699</v>
      </c>
      <c r="F230" s="4">
        <v>-0.84910160597869699</v>
      </c>
      <c r="G230" s="4">
        <v>311.77999999999997</v>
      </c>
      <c r="H230" s="4">
        <v>40.062893081760997</v>
      </c>
      <c r="I230" s="4">
        <v>313.77</v>
      </c>
      <c r="J230" s="4">
        <v>328</v>
      </c>
      <c r="K230" s="4">
        <v>310.02</v>
      </c>
      <c r="L230" s="4">
        <v>40.062893081760997</v>
      </c>
    </row>
    <row r="231" spans="1:12" ht="15" customHeight="1" x14ac:dyDescent="0.2">
      <c r="A231" s="6">
        <v>45716</v>
      </c>
      <c r="B231" s="7">
        <v>314.45</v>
      </c>
      <c r="C231" s="8">
        <v>1200323</v>
      </c>
      <c r="D231" s="7">
        <v>15.1899999999999</v>
      </c>
      <c r="E231" s="7">
        <v>5.0758537726391699</v>
      </c>
      <c r="F231" s="7">
        <v>5.0758537726391699</v>
      </c>
      <c r="G231" s="7">
        <v>314.45</v>
      </c>
      <c r="H231" s="7">
        <v>41.262353998202997</v>
      </c>
      <c r="I231" s="7">
        <v>301.08</v>
      </c>
      <c r="J231" s="7">
        <v>320.98</v>
      </c>
      <c r="K231" s="7">
        <v>300.89999999999998</v>
      </c>
      <c r="L231" s="7">
        <v>41.262353998202997</v>
      </c>
    </row>
    <row r="232" spans="1:12" ht="15" customHeight="1" x14ac:dyDescent="0.2">
      <c r="A232" s="3">
        <v>45715</v>
      </c>
      <c r="B232" s="4">
        <v>299.26</v>
      </c>
      <c r="C232" s="5">
        <v>426318</v>
      </c>
      <c r="D232" s="4">
        <v>-18.79</v>
      </c>
      <c r="E232" s="4">
        <v>-5.9078761201069003</v>
      </c>
      <c r="F232" s="4">
        <v>-5.9078761201069003</v>
      </c>
      <c r="G232" s="4">
        <v>299.26</v>
      </c>
      <c r="H232" s="4">
        <v>34.438454627133801</v>
      </c>
      <c r="I232" s="4">
        <v>313.02</v>
      </c>
      <c r="J232" s="4">
        <v>318.38</v>
      </c>
      <c r="K232" s="4">
        <v>294.94</v>
      </c>
      <c r="L232" s="4">
        <v>34.438454627133801</v>
      </c>
    </row>
    <row r="233" spans="1:12" ht="15" customHeight="1" x14ac:dyDescent="0.2">
      <c r="A233" s="6">
        <v>45714</v>
      </c>
      <c r="B233" s="7">
        <v>318.05</v>
      </c>
      <c r="C233" s="8">
        <v>345544</v>
      </c>
      <c r="D233" s="7">
        <v>-2.3199999999999901</v>
      </c>
      <c r="E233" s="7">
        <v>-0.724162686893281</v>
      </c>
      <c r="F233" s="7">
        <v>-0.724162686893281</v>
      </c>
      <c r="G233" s="7">
        <v>318.05</v>
      </c>
      <c r="H233" s="7">
        <v>42.879604672057503</v>
      </c>
      <c r="I233" s="7">
        <v>320.99</v>
      </c>
      <c r="J233" s="7">
        <v>322.48</v>
      </c>
      <c r="K233" s="7">
        <v>315.42</v>
      </c>
      <c r="L233" s="7">
        <v>42.879604672057503</v>
      </c>
    </row>
    <row r="234" spans="1:12" ht="15" customHeight="1" x14ac:dyDescent="0.2">
      <c r="A234" s="3">
        <v>45713</v>
      </c>
      <c r="B234" s="4">
        <v>320.37</v>
      </c>
      <c r="C234" s="5">
        <v>434723</v>
      </c>
      <c r="D234" s="4">
        <v>3.18</v>
      </c>
      <c r="E234" s="4">
        <v>1.0025536744538099</v>
      </c>
      <c r="F234" s="4">
        <v>1.0025536744538099</v>
      </c>
      <c r="G234" s="4">
        <v>320.37</v>
      </c>
      <c r="H234" s="4">
        <v>43.921832884097</v>
      </c>
      <c r="I234" s="4">
        <v>317.5</v>
      </c>
      <c r="J234" s="4">
        <v>322.77</v>
      </c>
      <c r="K234" s="4">
        <v>308.02</v>
      </c>
      <c r="L234" s="4">
        <v>43.921832884097</v>
      </c>
    </row>
    <row r="235" spans="1:12" ht="15" customHeight="1" x14ac:dyDescent="0.2">
      <c r="A235" s="6">
        <v>45712</v>
      </c>
      <c r="B235" s="7">
        <v>317.19</v>
      </c>
      <c r="C235" s="8">
        <v>303314</v>
      </c>
      <c r="D235" s="7">
        <v>-3.99</v>
      </c>
      <c r="E235" s="7">
        <v>-1.24229404072483</v>
      </c>
      <c r="F235" s="7">
        <v>-1.24229404072483</v>
      </c>
      <c r="G235" s="7">
        <v>317.19</v>
      </c>
      <c r="H235" s="7">
        <v>42.493261455525598</v>
      </c>
      <c r="I235" s="7">
        <v>321.5</v>
      </c>
      <c r="J235" s="7">
        <v>321.5</v>
      </c>
      <c r="K235" s="7">
        <v>310</v>
      </c>
      <c r="L235" s="7">
        <v>42.493261455525598</v>
      </c>
    </row>
    <row r="236" spans="1:12" ht="15" customHeight="1" x14ac:dyDescent="0.2">
      <c r="A236" s="3">
        <v>45709</v>
      </c>
      <c r="B236" s="4">
        <v>321.18</v>
      </c>
      <c r="C236" s="5">
        <v>474621</v>
      </c>
      <c r="D236" s="4">
        <v>-9.7799999999999692</v>
      </c>
      <c r="E236" s="4">
        <v>-2.9550398839738801</v>
      </c>
      <c r="F236" s="4">
        <v>-2.9550398839738801</v>
      </c>
      <c r="G236" s="4">
        <v>321.18</v>
      </c>
      <c r="H236" s="4">
        <v>44.285714285714199</v>
      </c>
      <c r="I236" s="4">
        <v>331.15</v>
      </c>
      <c r="J236" s="4">
        <v>332.52</v>
      </c>
      <c r="K236" s="4">
        <v>318.20999999999998</v>
      </c>
      <c r="L236" s="4">
        <v>44.285714285714199</v>
      </c>
    </row>
    <row r="237" spans="1:12" ht="15" customHeight="1" x14ac:dyDescent="0.2">
      <c r="A237" s="6">
        <v>45708</v>
      </c>
      <c r="B237" s="7">
        <v>330.96</v>
      </c>
      <c r="C237" s="8">
        <v>408726</v>
      </c>
      <c r="D237" s="7">
        <v>11.4499999999999</v>
      </c>
      <c r="E237" s="7">
        <v>3.5836124064974402</v>
      </c>
      <c r="F237" s="7">
        <v>3.5836124064974402</v>
      </c>
      <c r="G237" s="7">
        <v>330.96</v>
      </c>
      <c r="H237" s="7">
        <v>48.679245283018801</v>
      </c>
      <c r="I237" s="7">
        <v>317.91000000000003</v>
      </c>
      <c r="J237" s="7">
        <v>333.9</v>
      </c>
      <c r="K237" s="7">
        <v>317.91000000000003</v>
      </c>
      <c r="L237" s="7">
        <v>48.679245283018801</v>
      </c>
    </row>
    <row r="238" spans="1:12" ht="15" customHeight="1" x14ac:dyDescent="0.2">
      <c r="A238" s="3">
        <v>45707</v>
      </c>
      <c r="B238" s="4">
        <v>319.51</v>
      </c>
      <c r="C238" s="5">
        <v>482418</v>
      </c>
      <c r="D238" s="4">
        <v>2.68</v>
      </c>
      <c r="E238" s="4">
        <v>0.84587949373480198</v>
      </c>
      <c r="F238" s="4">
        <v>0.84587949373480198</v>
      </c>
      <c r="G238" s="4">
        <v>319.51</v>
      </c>
      <c r="H238" s="4">
        <v>43.535489667565102</v>
      </c>
      <c r="I238" s="4">
        <v>316.83</v>
      </c>
      <c r="J238" s="4">
        <v>320.45</v>
      </c>
      <c r="K238" s="4">
        <v>312.07</v>
      </c>
      <c r="L238" s="4">
        <v>43.535489667565102</v>
      </c>
    </row>
    <row r="239" spans="1:12" ht="15" customHeight="1" x14ac:dyDescent="0.2">
      <c r="A239" s="6">
        <v>45706</v>
      </c>
      <c r="B239" s="7">
        <v>316.83</v>
      </c>
      <c r="C239" s="8">
        <v>408366</v>
      </c>
      <c r="D239" s="7">
        <v>-7.1100000000000101</v>
      </c>
      <c r="E239" s="7">
        <v>-2.1948508983144999</v>
      </c>
      <c r="F239" s="7">
        <v>-2.1948508983144999</v>
      </c>
      <c r="G239" s="7">
        <v>316.83</v>
      </c>
      <c r="H239" s="7">
        <v>42.331536388140101</v>
      </c>
      <c r="I239" s="7">
        <v>322.32</v>
      </c>
      <c r="J239" s="7">
        <v>322.32</v>
      </c>
      <c r="K239" s="7">
        <v>310</v>
      </c>
      <c r="L239" s="7">
        <v>42.331536388140101</v>
      </c>
    </row>
    <row r="240" spans="1:12" ht="15" customHeight="1" x14ac:dyDescent="0.2">
      <c r="A240" s="3">
        <v>45705</v>
      </c>
      <c r="B240" s="4">
        <v>323.94</v>
      </c>
      <c r="C240" s="5">
        <v>33521</v>
      </c>
      <c r="D240" s="4">
        <v>-0.48000000000001802</v>
      </c>
      <c r="E240" s="4">
        <v>-0.14795635287591</v>
      </c>
      <c r="F240" s="4">
        <v>-0.14795635287591</v>
      </c>
      <c r="G240" s="4">
        <v>323.94</v>
      </c>
      <c r="H240" s="4">
        <v>45.525606469002597</v>
      </c>
      <c r="I240" s="4">
        <v>323.45</v>
      </c>
      <c r="J240" s="4">
        <v>325.82</v>
      </c>
      <c r="K240" s="4">
        <v>320.95999999999998</v>
      </c>
      <c r="L240" s="4">
        <v>45.525606469002597</v>
      </c>
    </row>
    <row r="241" spans="1:12" ht="15" customHeight="1" x14ac:dyDescent="0.2">
      <c r="A241" s="6">
        <v>45702</v>
      </c>
      <c r="B241" s="7">
        <v>324.42</v>
      </c>
      <c r="C241" s="8">
        <v>704327</v>
      </c>
      <c r="D241" s="7">
        <v>2.2400000000000002</v>
      </c>
      <c r="E241" s="7">
        <v>0.69526351728848002</v>
      </c>
      <c r="F241" s="7">
        <v>0.69526351728848002</v>
      </c>
      <c r="G241" s="7">
        <v>324.42</v>
      </c>
      <c r="H241" s="7">
        <v>45.741239892183202</v>
      </c>
      <c r="I241" s="7">
        <v>322.5</v>
      </c>
      <c r="J241" s="7">
        <v>327.45</v>
      </c>
      <c r="K241" s="7">
        <v>319.05</v>
      </c>
      <c r="L241" s="7">
        <v>45.741239892183202</v>
      </c>
    </row>
    <row r="242" spans="1:12" ht="15" customHeight="1" x14ac:dyDescent="0.2">
      <c r="A242" s="3">
        <v>45701</v>
      </c>
      <c r="B242" s="4">
        <v>322.18</v>
      </c>
      <c r="C242" s="5">
        <v>419590</v>
      </c>
      <c r="D242" s="4">
        <v>-2.1999999999999802</v>
      </c>
      <c r="E242" s="4">
        <v>-0.67821690609778296</v>
      </c>
      <c r="F242" s="4">
        <v>-0.67821690609778296</v>
      </c>
      <c r="G242" s="4">
        <v>322.18</v>
      </c>
      <c r="H242" s="4">
        <v>44.734950584007102</v>
      </c>
      <c r="I242" s="4">
        <v>326</v>
      </c>
      <c r="J242" s="4">
        <v>327.85</v>
      </c>
      <c r="K242" s="4">
        <v>314.01</v>
      </c>
      <c r="L242" s="4">
        <v>44.734950584007102</v>
      </c>
    </row>
    <row r="243" spans="1:12" ht="15" customHeight="1" x14ac:dyDescent="0.2">
      <c r="A243" s="6">
        <v>45700</v>
      </c>
      <c r="B243" s="7">
        <v>324.38</v>
      </c>
      <c r="C243" s="8">
        <v>778118</v>
      </c>
      <c r="D243" s="7">
        <v>18.75</v>
      </c>
      <c r="E243" s="7">
        <v>6.1348689591990304</v>
      </c>
      <c r="F243" s="7">
        <v>6.1348689591990304</v>
      </c>
      <c r="G243" s="7">
        <v>324.38</v>
      </c>
      <c r="H243" s="7">
        <v>45.723270440251497</v>
      </c>
      <c r="I243" s="7">
        <v>304.72000000000003</v>
      </c>
      <c r="J243" s="7">
        <v>326.51</v>
      </c>
      <c r="K243" s="7">
        <v>302.95999999999998</v>
      </c>
      <c r="L243" s="7">
        <v>45.723270440251497</v>
      </c>
    </row>
    <row r="244" spans="1:12" ht="15" customHeight="1" x14ac:dyDescent="0.2">
      <c r="A244" s="3">
        <v>45699</v>
      </c>
      <c r="B244" s="4">
        <v>305.63</v>
      </c>
      <c r="C244" s="5">
        <v>492244</v>
      </c>
      <c r="D244" s="4">
        <v>-16.79</v>
      </c>
      <c r="E244" s="4">
        <v>-5.2074933316791796</v>
      </c>
      <c r="F244" s="4">
        <v>-5.2074933316791796</v>
      </c>
      <c r="G244" s="4">
        <v>305.63</v>
      </c>
      <c r="H244" s="4">
        <v>37.300089847259599</v>
      </c>
      <c r="I244" s="4">
        <v>320.8</v>
      </c>
      <c r="J244" s="4">
        <v>320.8</v>
      </c>
      <c r="K244" s="4">
        <v>305.02</v>
      </c>
      <c r="L244" s="4">
        <v>37.300089847259599</v>
      </c>
    </row>
    <row r="245" spans="1:12" ht="15" customHeight="1" x14ac:dyDescent="0.2">
      <c r="A245" s="6">
        <v>45698</v>
      </c>
      <c r="B245" s="7">
        <v>322.42</v>
      </c>
      <c r="C245" s="8">
        <v>507930</v>
      </c>
      <c r="D245" s="7">
        <v>0.18000000000000599</v>
      </c>
      <c r="E245" s="7">
        <v>5.5858987090373603E-2</v>
      </c>
      <c r="F245" s="7">
        <v>5.5858987090373603E-2</v>
      </c>
      <c r="G245" s="7">
        <v>322.42</v>
      </c>
      <c r="H245" s="7">
        <v>44.842767295597497</v>
      </c>
      <c r="I245" s="7">
        <v>326.49</v>
      </c>
      <c r="J245" s="7">
        <v>330.75</v>
      </c>
      <c r="K245" s="7">
        <v>321.17</v>
      </c>
      <c r="L245" s="7">
        <v>44.842767295597497</v>
      </c>
    </row>
    <row r="246" spans="1:12" ht="15" customHeight="1" x14ac:dyDescent="0.2">
      <c r="A246" s="3">
        <v>45695</v>
      </c>
      <c r="B246" s="4">
        <v>322.24</v>
      </c>
      <c r="C246" s="5">
        <v>540057</v>
      </c>
      <c r="D246" s="4">
        <v>-0.92000000000001503</v>
      </c>
      <c r="E246" s="4">
        <v>-0.28468869909642402</v>
      </c>
      <c r="F246" s="4">
        <v>-0.28468869909642402</v>
      </c>
      <c r="G246" s="4">
        <v>322.24</v>
      </c>
      <c r="H246" s="4">
        <v>44.761904761904702</v>
      </c>
      <c r="I246" s="4">
        <v>319.8</v>
      </c>
      <c r="J246" s="4">
        <v>327.8</v>
      </c>
      <c r="K246" s="4">
        <v>319.77</v>
      </c>
      <c r="L246" s="4">
        <v>44.761904761904702</v>
      </c>
    </row>
    <row r="247" spans="1:12" ht="15" customHeight="1" x14ac:dyDescent="0.2">
      <c r="A247" s="6">
        <v>45694</v>
      </c>
      <c r="B247" s="7">
        <v>323.16000000000003</v>
      </c>
      <c r="C247" s="8">
        <v>554496</v>
      </c>
      <c r="D247" s="7">
        <v>-0.93999999999999695</v>
      </c>
      <c r="E247" s="7">
        <v>-0.29003394014193101</v>
      </c>
      <c r="F247" s="7">
        <v>-0.29003394014193101</v>
      </c>
      <c r="G247" s="7">
        <v>323.16000000000003</v>
      </c>
      <c r="H247" s="7">
        <v>45.175202156334201</v>
      </c>
      <c r="I247" s="7">
        <v>323</v>
      </c>
      <c r="J247" s="7">
        <v>323.7</v>
      </c>
      <c r="K247" s="7">
        <v>317.95</v>
      </c>
      <c r="L247" s="7">
        <v>45.175202156334201</v>
      </c>
    </row>
    <row r="248" spans="1:12" ht="15" customHeight="1" x14ac:dyDescent="0.2">
      <c r="A248" s="3">
        <v>45693</v>
      </c>
      <c r="B248" s="4">
        <v>324.10000000000002</v>
      </c>
      <c r="C248" s="5">
        <v>779586</v>
      </c>
      <c r="D248" s="4">
        <v>19.07</v>
      </c>
      <c r="E248" s="4">
        <v>6.2518440809100797</v>
      </c>
      <c r="F248" s="4">
        <v>6.2518440809100797</v>
      </c>
      <c r="G248" s="4">
        <v>324.10000000000002</v>
      </c>
      <c r="H248" s="4">
        <v>45.597484276729503</v>
      </c>
      <c r="I248" s="4">
        <v>305.52999999999997</v>
      </c>
      <c r="J248" s="4">
        <v>324.89</v>
      </c>
      <c r="K248" s="4">
        <v>305.52999999999997</v>
      </c>
      <c r="L248" s="4">
        <v>45.597484276729503</v>
      </c>
    </row>
    <row r="249" spans="1:12" ht="15" customHeight="1" x14ac:dyDescent="0.2">
      <c r="A249" s="6">
        <v>45692</v>
      </c>
      <c r="B249" s="7">
        <v>305.02999999999997</v>
      </c>
      <c r="C249" s="8">
        <v>557078</v>
      </c>
      <c r="D249" s="7">
        <v>11.8799999999999</v>
      </c>
      <c r="E249" s="7">
        <v>4.0525328330206198</v>
      </c>
      <c r="F249" s="7">
        <v>4.0525328330206198</v>
      </c>
      <c r="G249" s="7">
        <v>305.02999999999997</v>
      </c>
      <c r="H249" s="7">
        <v>37.030548068283899</v>
      </c>
      <c r="I249" s="7">
        <v>293.14999999999998</v>
      </c>
      <c r="J249" s="7">
        <v>305.74</v>
      </c>
      <c r="K249" s="7">
        <v>290.58999999999997</v>
      </c>
      <c r="L249" s="7">
        <v>37.030548068283899</v>
      </c>
    </row>
    <row r="250" spans="1:12" ht="15" customHeight="1" x14ac:dyDescent="0.2">
      <c r="A250" s="3">
        <v>45688</v>
      </c>
      <c r="B250" s="4">
        <v>293.14999999999998</v>
      </c>
      <c r="C250" s="5">
        <v>531561</v>
      </c>
      <c r="D250" s="4">
        <v>-3.9100000000000201</v>
      </c>
      <c r="E250" s="4">
        <v>-1.3162324109607599</v>
      </c>
      <c r="F250" s="4">
        <v>-1.3162324109607599</v>
      </c>
      <c r="G250" s="4">
        <v>293.14999999999998</v>
      </c>
      <c r="H250" s="4">
        <v>31.693620844564201</v>
      </c>
      <c r="I250" s="4">
        <v>297</v>
      </c>
      <c r="J250" s="4">
        <v>298.05</v>
      </c>
      <c r="K250" s="4">
        <v>289.52</v>
      </c>
      <c r="L250" s="4">
        <v>31.693620844564201</v>
      </c>
    </row>
    <row r="251" spans="1:12" ht="15" customHeight="1" x14ac:dyDescent="0.2">
      <c r="A251" s="6">
        <v>45687</v>
      </c>
      <c r="B251" s="7">
        <v>297.06</v>
      </c>
      <c r="C251" s="8">
        <v>335652</v>
      </c>
      <c r="D251" s="7">
        <v>10.23</v>
      </c>
      <c r="E251" s="7">
        <v>3.5665725342537402</v>
      </c>
      <c r="F251" s="7">
        <v>3.5665725342537402</v>
      </c>
      <c r="G251" s="7">
        <v>297.06</v>
      </c>
      <c r="H251" s="7">
        <v>33.450134770889399</v>
      </c>
      <c r="I251" s="7">
        <v>286.83</v>
      </c>
      <c r="J251" s="7">
        <v>300</v>
      </c>
      <c r="K251" s="7">
        <v>286.83</v>
      </c>
      <c r="L251" s="7">
        <v>33.450134770889399</v>
      </c>
    </row>
    <row r="252" spans="1:12" ht="15" customHeight="1" x14ac:dyDescent="0.2">
      <c r="A252" s="3">
        <v>45686</v>
      </c>
      <c r="B252" s="4">
        <v>286.83</v>
      </c>
      <c r="C252" s="5">
        <v>351839</v>
      </c>
      <c r="D252" s="4">
        <v>8.4799999999999596</v>
      </c>
      <c r="E252" s="4">
        <v>3.0465241602298998</v>
      </c>
      <c r="F252" s="4">
        <v>3.0465241602298998</v>
      </c>
      <c r="G252" s="4">
        <v>286.83</v>
      </c>
      <c r="H252" s="4">
        <v>28.854447439352999</v>
      </c>
      <c r="I252" s="4">
        <v>279.49</v>
      </c>
      <c r="J252" s="4">
        <v>287.5</v>
      </c>
      <c r="K252" s="4">
        <v>277.85000000000002</v>
      </c>
      <c r="L252" s="4">
        <v>28.854447439352999</v>
      </c>
    </row>
    <row r="253" spans="1:12" ht="15" customHeight="1" x14ac:dyDescent="0.2">
      <c r="A253" s="6">
        <v>45685</v>
      </c>
      <c r="B253" s="7">
        <v>278.35000000000002</v>
      </c>
      <c r="C253" s="8">
        <v>344340</v>
      </c>
      <c r="D253" s="7">
        <v>1.4100000000000199</v>
      </c>
      <c r="E253" s="7">
        <v>0.50913555282734402</v>
      </c>
      <c r="F253" s="7">
        <v>0.50913555282734402</v>
      </c>
      <c r="G253" s="7">
        <v>278.35000000000002</v>
      </c>
      <c r="H253" s="7">
        <v>25.044923629829299</v>
      </c>
      <c r="I253" s="7">
        <v>278.88</v>
      </c>
      <c r="J253" s="7">
        <v>283.98</v>
      </c>
      <c r="K253" s="7">
        <v>273.08</v>
      </c>
      <c r="L253" s="7">
        <v>25.044923629829299</v>
      </c>
    </row>
    <row r="254" spans="1:12" ht="15" customHeight="1" x14ac:dyDescent="0.2">
      <c r="A254" s="3">
        <v>45684</v>
      </c>
      <c r="B254" s="4">
        <v>276.94</v>
      </c>
      <c r="C254" s="5">
        <v>390856</v>
      </c>
      <c r="D254" s="4">
        <v>-17.259999999999899</v>
      </c>
      <c r="E254" s="4">
        <v>-5.8667573079537698</v>
      </c>
      <c r="F254" s="4">
        <v>-5.8667573079537698</v>
      </c>
      <c r="G254" s="4">
        <v>276.94</v>
      </c>
      <c r="H254" s="4">
        <v>24.4115004492363</v>
      </c>
      <c r="I254" s="4">
        <v>292.08</v>
      </c>
      <c r="J254" s="4">
        <v>294.39999999999998</v>
      </c>
      <c r="K254" s="4">
        <v>276.56</v>
      </c>
      <c r="L254" s="4">
        <v>24.4115004492363</v>
      </c>
    </row>
    <row r="255" spans="1:12" ht="15" customHeight="1" x14ac:dyDescent="0.2">
      <c r="A255" s="6">
        <v>45681</v>
      </c>
      <c r="B255" s="7">
        <v>294.2</v>
      </c>
      <c r="C255" s="8">
        <v>448574</v>
      </c>
      <c r="D255" s="7">
        <v>1.87</v>
      </c>
      <c r="E255" s="7">
        <v>0.63968802380871503</v>
      </c>
      <c r="F255" s="7">
        <v>0.63968802380871503</v>
      </c>
      <c r="G255" s="7">
        <v>294.2</v>
      </c>
      <c r="H255" s="7">
        <v>32.165318957771703</v>
      </c>
      <c r="I255" s="7">
        <v>292.95</v>
      </c>
      <c r="J255" s="7">
        <v>297.27999999999997</v>
      </c>
      <c r="K255" s="7">
        <v>290.97000000000003</v>
      </c>
      <c r="L255" s="7">
        <v>32.165318957771703</v>
      </c>
    </row>
    <row r="256" spans="1:12" ht="15" customHeight="1" x14ac:dyDescent="0.2">
      <c r="A256" s="3">
        <v>45680</v>
      </c>
      <c r="B256" s="4">
        <v>292.33</v>
      </c>
      <c r="C256" s="5">
        <v>780713</v>
      </c>
      <c r="D256" s="4">
        <v>1.06</v>
      </c>
      <c r="E256" s="4">
        <v>0.36392350739864399</v>
      </c>
      <c r="F256" s="4">
        <v>0.36392350739864399</v>
      </c>
      <c r="G256" s="4">
        <v>292.33</v>
      </c>
      <c r="H256" s="4">
        <v>31.325247079964001</v>
      </c>
      <c r="I256" s="4">
        <v>292.67</v>
      </c>
      <c r="J256" s="4">
        <v>295</v>
      </c>
      <c r="K256" s="4">
        <v>281.01</v>
      </c>
      <c r="L256" s="4">
        <v>31.325247079964001</v>
      </c>
    </row>
    <row r="257" spans="1:12" ht="15" customHeight="1" x14ac:dyDescent="0.2">
      <c r="A257" s="6">
        <v>45679</v>
      </c>
      <c r="B257" s="7">
        <v>291.27</v>
      </c>
      <c r="C257" s="8">
        <v>589451</v>
      </c>
      <c r="D257" s="7">
        <v>3.5499999999999501</v>
      </c>
      <c r="E257" s="7">
        <v>1.23383845405253</v>
      </c>
      <c r="F257" s="7">
        <v>1.23383845405253</v>
      </c>
      <c r="G257" s="7">
        <v>291.27</v>
      </c>
      <c r="H257" s="7">
        <v>30.849056603773501</v>
      </c>
      <c r="I257" s="7">
        <v>290.24</v>
      </c>
      <c r="J257" s="7">
        <v>295.01</v>
      </c>
      <c r="K257" s="7">
        <v>285.06</v>
      </c>
      <c r="L257" s="7">
        <v>30.849056603773501</v>
      </c>
    </row>
    <row r="258" spans="1:12" ht="15" customHeight="1" x14ac:dyDescent="0.2">
      <c r="A258" s="3">
        <v>45678</v>
      </c>
      <c r="B258" s="4">
        <v>287.72000000000003</v>
      </c>
      <c r="C258" s="5">
        <v>285267</v>
      </c>
      <c r="D258" s="4">
        <v>-3.5799999999999801</v>
      </c>
      <c r="E258" s="4">
        <v>-1.22897356676965</v>
      </c>
      <c r="F258" s="4">
        <v>-1.22897356676965</v>
      </c>
      <c r="G258" s="4">
        <v>287.72000000000003</v>
      </c>
      <c r="H258" s="4">
        <v>29.2542677448338</v>
      </c>
      <c r="I258" s="4">
        <v>293.77999999999997</v>
      </c>
      <c r="J258" s="4">
        <v>296.5</v>
      </c>
      <c r="K258" s="4">
        <v>285.06</v>
      </c>
      <c r="L258" s="4">
        <v>29.2542677448338</v>
      </c>
    </row>
    <row r="259" spans="1:12" ht="15" customHeight="1" x14ac:dyDescent="0.2">
      <c r="A259" s="6">
        <v>45677</v>
      </c>
      <c r="B259" s="7">
        <v>291.3</v>
      </c>
      <c r="C259" s="8">
        <v>51161</v>
      </c>
      <c r="D259" s="7">
        <v>1.3400000000000301</v>
      </c>
      <c r="E259" s="7">
        <v>0.46213270795973899</v>
      </c>
      <c r="F259" s="7">
        <v>0.46213270795973899</v>
      </c>
      <c r="G259" s="7">
        <v>291.3</v>
      </c>
      <c r="H259" s="7">
        <v>30.862533692722302</v>
      </c>
      <c r="I259" s="7">
        <v>288.51</v>
      </c>
      <c r="J259" s="7">
        <v>293.63</v>
      </c>
      <c r="K259" s="7">
        <v>288.51</v>
      </c>
      <c r="L259" s="7">
        <v>30.862533692722302</v>
      </c>
    </row>
    <row r="260" spans="1:12" ht="15" customHeight="1" x14ac:dyDescent="0.2">
      <c r="A260" s="3">
        <v>45674</v>
      </c>
      <c r="B260" s="4">
        <v>289.95999999999998</v>
      </c>
      <c r="C260" s="5">
        <v>387602</v>
      </c>
      <c r="D260" s="4">
        <v>-1.1500000000000301</v>
      </c>
      <c r="E260" s="4">
        <v>-0.39503967572396198</v>
      </c>
      <c r="F260" s="4">
        <v>-0.39503967572396198</v>
      </c>
      <c r="G260" s="4">
        <v>289.95999999999998</v>
      </c>
      <c r="H260" s="4">
        <v>30.260557053009801</v>
      </c>
      <c r="I260" s="4">
        <v>290</v>
      </c>
      <c r="J260" s="4">
        <v>294.99</v>
      </c>
      <c r="K260" s="4">
        <v>284.95999999999998</v>
      </c>
      <c r="L260" s="4">
        <v>30.260557053009801</v>
      </c>
    </row>
    <row r="261" spans="1:12" ht="15" customHeight="1" x14ac:dyDescent="0.2">
      <c r="A261" s="6">
        <v>45673</v>
      </c>
      <c r="B261" s="7">
        <v>291.11</v>
      </c>
      <c r="C261" s="8">
        <v>426813</v>
      </c>
      <c r="D261" s="7">
        <v>-3.0999999999999601</v>
      </c>
      <c r="E261" s="7">
        <v>-1.05366914788754</v>
      </c>
      <c r="F261" s="7">
        <v>-1.05366914788754</v>
      </c>
      <c r="G261" s="7">
        <v>291.11</v>
      </c>
      <c r="H261" s="7">
        <v>30.777178796046702</v>
      </c>
      <c r="I261" s="7">
        <v>295.95</v>
      </c>
      <c r="J261" s="7">
        <v>299.49</v>
      </c>
      <c r="K261" s="7">
        <v>290.02999999999997</v>
      </c>
      <c r="L261" s="7">
        <v>30.777178796046702</v>
      </c>
    </row>
    <row r="262" spans="1:12" ht="15" customHeight="1" x14ac:dyDescent="0.2">
      <c r="A262" s="3">
        <v>45672</v>
      </c>
      <c r="B262" s="4">
        <v>294.20999999999998</v>
      </c>
      <c r="C262" s="5">
        <v>558259</v>
      </c>
      <c r="D262" s="4">
        <v>2.8499999999999601</v>
      </c>
      <c r="E262" s="4">
        <v>0.97817133443160997</v>
      </c>
      <c r="F262" s="4">
        <v>0.97817133443160997</v>
      </c>
      <c r="G262" s="4">
        <v>294.20999999999998</v>
      </c>
      <c r="H262" s="4">
        <v>32.169811320754697</v>
      </c>
      <c r="I262" s="4">
        <v>290.42</v>
      </c>
      <c r="J262" s="4">
        <v>295.60000000000002</v>
      </c>
      <c r="K262" s="4">
        <v>288.54000000000002</v>
      </c>
      <c r="L262" s="4">
        <v>32.169811320754697</v>
      </c>
    </row>
    <row r="263" spans="1:12" ht="15" customHeight="1" x14ac:dyDescent="0.2">
      <c r="A263" s="6">
        <v>45671</v>
      </c>
      <c r="B263" s="7">
        <v>291.36</v>
      </c>
      <c r="C263" s="8">
        <v>706566</v>
      </c>
      <c r="D263" s="7">
        <v>8.4100000000000197</v>
      </c>
      <c r="E263" s="7">
        <v>2.9722565824350702</v>
      </c>
      <c r="F263" s="7">
        <v>2.9722565824350702</v>
      </c>
      <c r="G263" s="7">
        <v>291.36</v>
      </c>
      <c r="H263" s="7">
        <v>30.889487870619899</v>
      </c>
      <c r="I263" s="7">
        <v>283.94</v>
      </c>
      <c r="J263" s="7">
        <v>294.87</v>
      </c>
      <c r="K263" s="7">
        <v>282</v>
      </c>
      <c r="L263" s="7">
        <v>30.889487870619899</v>
      </c>
    </row>
    <row r="264" spans="1:12" ht="15" customHeight="1" x14ac:dyDescent="0.2">
      <c r="A264" s="3">
        <v>45670</v>
      </c>
      <c r="B264" s="4">
        <v>282.95</v>
      </c>
      <c r="C264" s="5">
        <v>427747</v>
      </c>
      <c r="D264" s="4">
        <v>4.6499999999999702</v>
      </c>
      <c r="E264" s="4">
        <v>1.6708587854832699</v>
      </c>
      <c r="F264" s="4">
        <v>1.6708587854832699</v>
      </c>
      <c r="G264" s="4">
        <v>282.95</v>
      </c>
      <c r="H264" s="4">
        <v>27.111410601976601</v>
      </c>
      <c r="I264" s="4">
        <v>276.89999999999998</v>
      </c>
      <c r="J264" s="4">
        <v>284.07</v>
      </c>
      <c r="K264" s="4">
        <v>272.54000000000002</v>
      </c>
      <c r="L264" s="4">
        <v>27.111410601976601</v>
      </c>
    </row>
    <row r="265" spans="1:12" ht="15" customHeight="1" x14ac:dyDescent="0.2">
      <c r="A265" s="6">
        <v>45667</v>
      </c>
      <c r="B265" s="7">
        <v>278.3</v>
      </c>
      <c r="C265" s="8">
        <v>448383</v>
      </c>
      <c r="D265" s="7">
        <v>-7.7799999999999701</v>
      </c>
      <c r="E265" s="7">
        <v>-2.71951901565994</v>
      </c>
      <c r="F265" s="7">
        <v>-2.71951901565994</v>
      </c>
      <c r="G265" s="7">
        <v>278.3</v>
      </c>
      <c r="H265" s="7">
        <v>25.0224618149146</v>
      </c>
      <c r="I265" s="7">
        <v>286.56</v>
      </c>
      <c r="J265" s="7">
        <v>286.56</v>
      </c>
      <c r="K265" s="7">
        <v>275.14</v>
      </c>
      <c r="L265" s="7">
        <v>25.0224618149146</v>
      </c>
    </row>
    <row r="266" spans="1:12" ht="15" customHeight="1" x14ac:dyDescent="0.2">
      <c r="A266" s="3">
        <v>45666</v>
      </c>
      <c r="B266" s="4">
        <v>286.08</v>
      </c>
      <c r="C266" s="5">
        <v>296534</v>
      </c>
      <c r="D266" s="4">
        <v>-3.4800000000000102</v>
      </c>
      <c r="E266" s="4">
        <v>-1.20182345627849</v>
      </c>
      <c r="F266" s="4">
        <v>-1.20182345627849</v>
      </c>
      <c r="G266" s="4">
        <v>286.08</v>
      </c>
      <c r="H266" s="4">
        <v>28.5175202156334</v>
      </c>
      <c r="I266" s="4">
        <v>291</v>
      </c>
      <c r="J266" s="4">
        <v>298.91000000000003</v>
      </c>
      <c r="K266" s="4">
        <v>282.77999999999997</v>
      </c>
      <c r="L266" s="4">
        <v>28.5175202156334</v>
      </c>
    </row>
    <row r="267" spans="1:12" ht="15" customHeight="1" x14ac:dyDescent="0.2">
      <c r="A267" s="6">
        <v>45665</v>
      </c>
      <c r="B267" s="7">
        <v>289.56</v>
      </c>
      <c r="C267" s="8">
        <v>459106</v>
      </c>
      <c r="D267" s="7">
        <v>5.5</v>
      </c>
      <c r="E267" s="7">
        <v>1.9362106597197799</v>
      </c>
      <c r="F267" s="7">
        <v>1.9362106597197799</v>
      </c>
      <c r="G267" s="7">
        <v>289.56</v>
      </c>
      <c r="H267" s="7">
        <v>30.080862533692699</v>
      </c>
      <c r="I267" s="7">
        <v>281.12</v>
      </c>
      <c r="J267" s="7">
        <v>291.99</v>
      </c>
      <c r="K267" s="7">
        <v>281.12</v>
      </c>
      <c r="L267" s="7">
        <v>30.080862533692699</v>
      </c>
    </row>
    <row r="268" spans="1:12" ht="15" customHeight="1" x14ac:dyDescent="0.2">
      <c r="A268" s="3">
        <v>45664</v>
      </c>
      <c r="B268" s="4">
        <v>284.06</v>
      </c>
      <c r="C268" s="5">
        <v>315958</v>
      </c>
      <c r="D268" s="4">
        <v>8.81</v>
      </c>
      <c r="E268" s="4">
        <v>3.2007266121707398</v>
      </c>
      <c r="F268" s="4">
        <v>3.2007266121707398</v>
      </c>
      <c r="G268" s="4">
        <v>284.06</v>
      </c>
      <c r="H268" s="4">
        <v>27.6100628930817</v>
      </c>
      <c r="I268" s="4">
        <v>275.25</v>
      </c>
      <c r="J268" s="4">
        <v>287.06</v>
      </c>
      <c r="K268" s="4">
        <v>275.25</v>
      </c>
      <c r="L268" s="4">
        <v>27.6100628930817</v>
      </c>
    </row>
    <row r="269" spans="1:12" ht="15" customHeight="1" x14ac:dyDescent="0.2">
      <c r="A269" s="6">
        <v>45663</v>
      </c>
      <c r="B269" s="7">
        <v>275.25</v>
      </c>
      <c r="C269" s="8">
        <v>520592.99999999901</v>
      </c>
      <c r="D269" s="7">
        <v>-1.3600000000000101</v>
      </c>
      <c r="E269" s="7">
        <v>-0.49166696793318998</v>
      </c>
      <c r="F269" s="7">
        <v>-0.49166696793318998</v>
      </c>
      <c r="G269" s="7">
        <v>275.25</v>
      </c>
      <c r="H269" s="7">
        <v>23.6522911051213</v>
      </c>
      <c r="I269" s="7">
        <v>277</v>
      </c>
      <c r="J269" s="7">
        <v>289.26</v>
      </c>
      <c r="K269" s="7">
        <v>270.39</v>
      </c>
      <c r="L269" s="7">
        <v>23.6522911051213</v>
      </c>
    </row>
    <row r="270" spans="1:12" ht="15" customHeight="1" x14ac:dyDescent="0.2">
      <c r="A270" s="3">
        <v>45660</v>
      </c>
      <c r="B270" s="4">
        <v>276.61</v>
      </c>
      <c r="C270" s="5">
        <v>308962</v>
      </c>
      <c r="D270" s="4">
        <v>4.5599999999999996</v>
      </c>
      <c r="E270" s="4">
        <v>1.67616247013415</v>
      </c>
      <c r="F270" s="4">
        <v>1.67616247013415</v>
      </c>
      <c r="G270" s="4">
        <v>276.61</v>
      </c>
      <c r="H270" s="4">
        <v>24.2632524707996</v>
      </c>
      <c r="I270" s="4">
        <v>270.25</v>
      </c>
      <c r="J270" s="4">
        <v>281.49</v>
      </c>
      <c r="K270" s="4">
        <v>270.25</v>
      </c>
      <c r="L270" s="4">
        <v>24.2632524707996</v>
      </c>
    </row>
    <row r="271" spans="1:12" ht="15" customHeight="1" x14ac:dyDescent="0.2">
      <c r="A271" s="6">
        <v>45659</v>
      </c>
      <c r="B271" s="7">
        <v>272.05</v>
      </c>
      <c r="C271" s="8">
        <v>174576</v>
      </c>
      <c r="D271" s="7">
        <v>5.8500000000000201</v>
      </c>
      <c r="E271" s="7">
        <v>2.1975957926371099</v>
      </c>
      <c r="F271" s="7">
        <v>2.1975957926371099</v>
      </c>
      <c r="G271" s="7">
        <v>272.05</v>
      </c>
      <c r="H271" s="7">
        <v>22.214734950583999</v>
      </c>
      <c r="I271" s="7">
        <v>266.3</v>
      </c>
      <c r="J271" s="7">
        <v>274.83999999999997</v>
      </c>
      <c r="K271" s="7">
        <v>266.3</v>
      </c>
      <c r="L271" s="7">
        <v>22.214734950583999</v>
      </c>
    </row>
    <row r="272" spans="1:12" ht="15" customHeight="1" x14ac:dyDescent="0.2">
      <c r="A272" s="3">
        <v>45657</v>
      </c>
      <c r="B272" s="4">
        <v>266.2</v>
      </c>
      <c r="C272" s="5">
        <v>154238</v>
      </c>
      <c r="D272" s="4">
        <v>7.5899999999999697</v>
      </c>
      <c r="E272" s="4">
        <v>2.93492131008079</v>
      </c>
      <c r="F272" s="4">
        <v>2.93492131008079</v>
      </c>
      <c r="G272" s="4">
        <v>266.2</v>
      </c>
      <c r="H272" s="4">
        <v>19.586702605570501</v>
      </c>
      <c r="I272" s="4">
        <v>259.89999999999998</v>
      </c>
      <c r="J272" s="4">
        <v>267.01</v>
      </c>
      <c r="K272" s="4">
        <v>256.02</v>
      </c>
      <c r="L272" s="4">
        <v>19.586702605570501</v>
      </c>
    </row>
    <row r="273" spans="1:12" ht="15" customHeight="1" x14ac:dyDescent="0.2">
      <c r="A273" s="6">
        <v>45656</v>
      </c>
      <c r="B273" s="7">
        <v>258.61</v>
      </c>
      <c r="C273" s="8">
        <v>527055</v>
      </c>
      <c r="D273" s="7">
        <v>-13.55</v>
      </c>
      <c r="E273" s="7">
        <v>-4.9786890064667801</v>
      </c>
      <c r="F273" s="7">
        <v>-4.9786890064667801</v>
      </c>
      <c r="G273" s="7">
        <v>258.61</v>
      </c>
      <c r="H273" s="7">
        <v>16.1769991015274</v>
      </c>
      <c r="I273" s="7">
        <v>273.52</v>
      </c>
      <c r="J273" s="7">
        <v>273.52</v>
      </c>
      <c r="K273" s="7">
        <v>254.32</v>
      </c>
      <c r="L273" s="7">
        <v>16.1769991015274</v>
      </c>
    </row>
    <row r="274" spans="1:12" ht="15" customHeight="1" x14ac:dyDescent="0.2">
      <c r="A274" s="3">
        <v>45653</v>
      </c>
      <c r="B274" s="4">
        <v>272.16000000000003</v>
      </c>
      <c r="C274" s="5">
        <v>176566</v>
      </c>
      <c r="D274" s="4">
        <v>-0.59999999999996501</v>
      </c>
      <c r="E274" s="4">
        <v>-0.219973603167611</v>
      </c>
      <c r="F274" s="4">
        <v>-0.219973603167611</v>
      </c>
      <c r="G274" s="4">
        <v>272.16000000000003</v>
      </c>
      <c r="H274" s="4">
        <v>22.264150943396199</v>
      </c>
      <c r="I274" s="4">
        <v>273</v>
      </c>
      <c r="J274" s="4">
        <v>279.06</v>
      </c>
      <c r="K274" s="4">
        <v>270.14999999999998</v>
      </c>
      <c r="L274" s="4">
        <v>22.264150943396199</v>
      </c>
    </row>
    <row r="275" spans="1:12" ht="15" customHeight="1" x14ac:dyDescent="0.2">
      <c r="A275" s="6">
        <v>45652</v>
      </c>
      <c r="B275" s="7">
        <v>272.76</v>
      </c>
      <c r="C275" s="8">
        <v>109928</v>
      </c>
      <c r="D275" s="7">
        <v>-2.4499999999999802</v>
      </c>
      <c r="E275" s="7">
        <v>-0.89022927945931996</v>
      </c>
      <c r="F275" s="7">
        <v>-0.89022927945931996</v>
      </c>
      <c r="G275" s="7">
        <v>272.76</v>
      </c>
      <c r="H275" s="7">
        <v>22.533692722371899</v>
      </c>
      <c r="I275" s="7">
        <v>276</v>
      </c>
      <c r="J275" s="7">
        <v>276.92</v>
      </c>
      <c r="K275" s="7">
        <v>272.01</v>
      </c>
      <c r="L275" s="7">
        <v>22.533692722371899</v>
      </c>
    </row>
    <row r="276" spans="1:12" ht="15" customHeight="1" x14ac:dyDescent="0.2">
      <c r="A276" s="3">
        <v>45650</v>
      </c>
      <c r="B276" s="4">
        <v>275.20999999999998</v>
      </c>
      <c r="C276" s="5">
        <v>82102</v>
      </c>
      <c r="D276" s="4">
        <v>-1.73000000000001</v>
      </c>
      <c r="E276" s="4">
        <v>-0.62468404708602099</v>
      </c>
      <c r="F276" s="4">
        <v>-0.62468404708602099</v>
      </c>
      <c r="G276" s="4">
        <v>275.20999999999998</v>
      </c>
      <c r="H276" s="4">
        <v>23.634321653189499</v>
      </c>
      <c r="I276" s="4">
        <v>278.02999999999997</v>
      </c>
      <c r="J276" s="4">
        <v>278.02999999999997</v>
      </c>
      <c r="K276" s="4">
        <v>272.02</v>
      </c>
      <c r="L276" s="4">
        <v>23.634321653189499</v>
      </c>
    </row>
    <row r="277" spans="1:12" ht="15" customHeight="1" x14ac:dyDescent="0.2">
      <c r="A277" s="6">
        <v>45649</v>
      </c>
      <c r="B277" s="7">
        <v>276.94</v>
      </c>
      <c r="C277" s="8">
        <v>165899</v>
      </c>
      <c r="D277" s="7">
        <v>-4.4800000000000102</v>
      </c>
      <c r="E277" s="7">
        <v>-1.59192665766471</v>
      </c>
      <c r="F277" s="7">
        <v>-1.59192665766471</v>
      </c>
      <c r="G277" s="7">
        <v>276.94</v>
      </c>
      <c r="H277" s="7">
        <v>24.4115004492363</v>
      </c>
      <c r="I277" s="7">
        <v>280.01</v>
      </c>
      <c r="J277" s="7">
        <v>281.95</v>
      </c>
      <c r="K277" s="7">
        <v>276.02</v>
      </c>
      <c r="L277" s="7">
        <v>24.4115004492363</v>
      </c>
    </row>
    <row r="278" spans="1:12" ht="15" customHeight="1" x14ac:dyDescent="0.2">
      <c r="A278" s="3">
        <v>45646</v>
      </c>
      <c r="B278" s="4">
        <v>281.42</v>
      </c>
      <c r="C278" s="5">
        <v>3256265</v>
      </c>
      <c r="D278" s="4">
        <v>5.2100000000000302</v>
      </c>
      <c r="E278" s="4">
        <v>1.88624597226749</v>
      </c>
      <c r="F278" s="4">
        <v>1.88624597226749</v>
      </c>
      <c r="G278" s="4">
        <v>281.42</v>
      </c>
      <c r="H278" s="4">
        <v>26.424079065588501</v>
      </c>
      <c r="I278" s="4">
        <v>280</v>
      </c>
      <c r="J278" s="4">
        <v>289.75</v>
      </c>
      <c r="K278" s="4">
        <v>276.01</v>
      </c>
      <c r="L278" s="4">
        <v>26.424079065588501</v>
      </c>
    </row>
    <row r="279" spans="1:12" ht="15" customHeight="1" x14ac:dyDescent="0.2">
      <c r="A279" s="6">
        <v>45645</v>
      </c>
      <c r="B279" s="7">
        <v>276.20999999999998</v>
      </c>
      <c r="C279" s="8">
        <v>548872</v>
      </c>
      <c r="D279" s="7">
        <v>-17.36</v>
      </c>
      <c r="E279" s="7">
        <v>-5.9134107708553403</v>
      </c>
      <c r="F279" s="7">
        <v>-5.9134107708553403</v>
      </c>
      <c r="G279" s="7">
        <v>276.20999999999998</v>
      </c>
      <c r="H279" s="7">
        <v>24.083557951482401</v>
      </c>
      <c r="I279" s="7">
        <v>296.2</v>
      </c>
      <c r="J279" s="7">
        <v>302.98</v>
      </c>
      <c r="K279" s="7">
        <v>275.3</v>
      </c>
      <c r="L279" s="7">
        <v>24.083557951482401</v>
      </c>
    </row>
    <row r="280" spans="1:12" ht="15" customHeight="1" x14ac:dyDescent="0.2">
      <c r="A280" s="3">
        <v>45644</v>
      </c>
      <c r="B280" s="4">
        <v>293.57</v>
      </c>
      <c r="C280" s="5">
        <v>327068</v>
      </c>
      <c r="D280" s="4">
        <v>-8.25</v>
      </c>
      <c r="E280" s="4">
        <v>-2.7334172685706699</v>
      </c>
      <c r="F280" s="4">
        <v>-2.7334172685706699</v>
      </c>
      <c r="G280" s="4">
        <v>293.57</v>
      </c>
      <c r="H280" s="4">
        <v>31.882300089847199</v>
      </c>
      <c r="I280" s="4">
        <v>301.3</v>
      </c>
      <c r="J280" s="4">
        <v>301.99</v>
      </c>
      <c r="K280" s="4">
        <v>292.95</v>
      </c>
      <c r="L280" s="4">
        <v>31.882300089847199</v>
      </c>
    </row>
    <row r="281" spans="1:12" ht="15" customHeight="1" x14ac:dyDescent="0.2">
      <c r="A281" s="6">
        <v>45643</v>
      </c>
      <c r="B281" s="7">
        <v>301.82</v>
      </c>
      <c r="C281" s="8">
        <v>382418</v>
      </c>
      <c r="D281" s="7">
        <v>-11.49</v>
      </c>
      <c r="E281" s="7">
        <v>-3.6672943729852299</v>
      </c>
      <c r="F281" s="7">
        <v>-3.6672943729852299</v>
      </c>
      <c r="G281" s="7">
        <v>301.82</v>
      </c>
      <c r="H281" s="7">
        <v>35.5884995507637</v>
      </c>
      <c r="I281" s="7">
        <v>311.01</v>
      </c>
      <c r="J281" s="7">
        <v>311.01</v>
      </c>
      <c r="K281" s="7">
        <v>300.04000000000002</v>
      </c>
      <c r="L281" s="7">
        <v>35.5884995507637</v>
      </c>
    </row>
    <row r="282" spans="1:12" ht="15" customHeight="1" x14ac:dyDescent="0.2">
      <c r="A282" s="3">
        <v>45642</v>
      </c>
      <c r="B282" s="4">
        <v>313.31</v>
      </c>
      <c r="C282" s="5">
        <v>281332</v>
      </c>
      <c r="D282" s="4">
        <v>-17.23</v>
      </c>
      <c r="E282" s="4">
        <v>-5.2126822774853299</v>
      </c>
      <c r="F282" s="4">
        <v>-5.2126822774853299</v>
      </c>
      <c r="G282" s="4">
        <v>313.31</v>
      </c>
      <c r="H282" s="4">
        <v>40.750224618149097</v>
      </c>
      <c r="I282" s="4">
        <v>328.88</v>
      </c>
      <c r="J282" s="4">
        <v>334.96</v>
      </c>
      <c r="K282" s="4">
        <v>312.35000000000002</v>
      </c>
      <c r="L282" s="4">
        <v>40.750224618149097</v>
      </c>
    </row>
    <row r="283" spans="1:12" ht="15" customHeight="1" x14ac:dyDescent="0.2">
      <c r="A283" s="6">
        <v>45639</v>
      </c>
      <c r="B283" s="7">
        <v>330.54</v>
      </c>
      <c r="C283" s="8">
        <v>361976</v>
      </c>
      <c r="D283" s="7">
        <v>-4.50999999999999</v>
      </c>
      <c r="E283" s="7">
        <v>-1.3460677510819199</v>
      </c>
      <c r="F283" s="7">
        <v>-1.3460677510819199</v>
      </c>
      <c r="G283" s="7">
        <v>330.54</v>
      </c>
      <c r="H283" s="7">
        <v>48.490566037735803</v>
      </c>
      <c r="I283" s="7">
        <v>335.05</v>
      </c>
      <c r="J283" s="7">
        <v>335.05</v>
      </c>
      <c r="K283" s="7">
        <v>321.2</v>
      </c>
      <c r="L283" s="7">
        <v>48.490566037735803</v>
      </c>
    </row>
    <row r="284" spans="1:12" ht="15" customHeight="1" x14ac:dyDescent="0.2">
      <c r="A284" s="3">
        <v>45637</v>
      </c>
      <c r="B284" s="4">
        <v>335.05</v>
      </c>
      <c r="C284" s="5">
        <v>458535</v>
      </c>
      <c r="D284" s="4">
        <v>2.5300000000000198</v>
      </c>
      <c r="E284" s="4">
        <v>0.76085648983521503</v>
      </c>
      <c r="F284" s="4">
        <v>0.76085648983521503</v>
      </c>
      <c r="G284" s="4">
        <v>335.05</v>
      </c>
      <c r="H284" s="4">
        <v>50.516621743036801</v>
      </c>
      <c r="I284" s="4">
        <v>333</v>
      </c>
      <c r="J284" s="4">
        <v>337.95</v>
      </c>
      <c r="K284" s="4">
        <v>331.76</v>
      </c>
      <c r="L284" s="4">
        <v>50.516621743036801</v>
      </c>
    </row>
    <row r="285" spans="1:12" ht="15" customHeight="1" x14ac:dyDescent="0.2">
      <c r="A285" s="6">
        <v>45636</v>
      </c>
      <c r="B285" s="7">
        <v>332.52</v>
      </c>
      <c r="C285" s="8">
        <v>646815</v>
      </c>
      <c r="D285" s="7">
        <v>-3.4100000000000201</v>
      </c>
      <c r="E285" s="7">
        <v>-1.01509242997053</v>
      </c>
      <c r="F285" s="7">
        <v>-1.01509242997053</v>
      </c>
      <c r="G285" s="7">
        <v>332.52</v>
      </c>
      <c r="H285" s="7">
        <v>49.380053908355698</v>
      </c>
      <c r="I285" s="7">
        <v>338.42</v>
      </c>
      <c r="J285" s="7">
        <v>339.5</v>
      </c>
      <c r="K285" s="7">
        <v>326.02</v>
      </c>
      <c r="L285" s="7">
        <v>49.380053908355698</v>
      </c>
    </row>
    <row r="286" spans="1:12" ht="15" customHeight="1" x14ac:dyDescent="0.2">
      <c r="A286" s="3">
        <v>45635</v>
      </c>
      <c r="B286" s="4">
        <v>335.93</v>
      </c>
      <c r="C286" s="5">
        <v>662722</v>
      </c>
      <c r="D286" s="4">
        <v>26.35</v>
      </c>
      <c r="E286" s="4">
        <v>8.5115317526972092</v>
      </c>
      <c r="F286" s="4">
        <v>8.5115317526972092</v>
      </c>
      <c r="G286" s="4">
        <v>335.93</v>
      </c>
      <c r="H286" s="4">
        <v>50.911949685534601</v>
      </c>
      <c r="I286" s="4">
        <v>308.02999999999997</v>
      </c>
      <c r="J286" s="4">
        <v>338.53</v>
      </c>
      <c r="K286" s="4">
        <v>308.02</v>
      </c>
      <c r="L286" s="4">
        <v>50.911949685534601</v>
      </c>
    </row>
    <row r="287" spans="1:12" ht="15" customHeight="1" x14ac:dyDescent="0.2">
      <c r="A287" s="6">
        <v>45632</v>
      </c>
      <c r="B287" s="7">
        <v>309.58</v>
      </c>
      <c r="C287" s="8">
        <v>400601</v>
      </c>
      <c r="D287" s="7">
        <v>-3</v>
      </c>
      <c r="E287" s="7">
        <v>-0.95975430289846297</v>
      </c>
      <c r="F287" s="7">
        <v>-0.95975430289846297</v>
      </c>
      <c r="G287" s="7">
        <v>309.58</v>
      </c>
      <c r="H287" s="7">
        <v>39.074573225516602</v>
      </c>
      <c r="I287" s="7">
        <v>308</v>
      </c>
      <c r="J287" s="7">
        <v>313.5</v>
      </c>
      <c r="K287" s="7">
        <v>302.12</v>
      </c>
      <c r="L287" s="7">
        <v>39.074573225516602</v>
      </c>
    </row>
    <row r="288" spans="1:12" ht="15" customHeight="1" x14ac:dyDescent="0.2">
      <c r="A288" s="3">
        <v>45631</v>
      </c>
      <c r="B288" s="4">
        <v>312.58</v>
      </c>
      <c r="C288" s="5">
        <v>412559</v>
      </c>
      <c r="D288" s="4">
        <v>10.329999999999901</v>
      </c>
      <c r="E288" s="4">
        <v>3.4177005789908899</v>
      </c>
      <c r="F288" s="4">
        <v>3.4177005789908899</v>
      </c>
      <c r="G288" s="4">
        <v>312.58</v>
      </c>
      <c r="H288" s="4">
        <v>40.422282120395302</v>
      </c>
      <c r="I288" s="4">
        <v>302.39999999999998</v>
      </c>
      <c r="J288" s="4">
        <v>315</v>
      </c>
      <c r="K288" s="4">
        <v>300.81</v>
      </c>
      <c r="L288" s="4">
        <v>40.422282120395302</v>
      </c>
    </row>
    <row r="289" spans="1:12" ht="15" customHeight="1" x14ac:dyDescent="0.2">
      <c r="A289" s="6">
        <v>45630</v>
      </c>
      <c r="B289" s="7">
        <v>302.25</v>
      </c>
      <c r="C289" s="8">
        <v>410348</v>
      </c>
      <c r="D289" s="7">
        <v>1.75999999999999</v>
      </c>
      <c r="E289" s="7">
        <v>0.58571000698857101</v>
      </c>
      <c r="F289" s="7">
        <v>0.58571000698857101</v>
      </c>
      <c r="G289" s="7">
        <v>302.25</v>
      </c>
      <c r="H289" s="7">
        <v>35.781671159029599</v>
      </c>
      <c r="I289" s="7">
        <v>300.51</v>
      </c>
      <c r="J289" s="7">
        <v>304.43</v>
      </c>
      <c r="K289" s="7">
        <v>294.89</v>
      </c>
      <c r="L289" s="7">
        <v>35.781671159029599</v>
      </c>
    </row>
    <row r="290" spans="1:12" ht="15" customHeight="1" x14ac:dyDescent="0.2">
      <c r="A290" s="3">
        <v>45629</v>
      </c>
      <c r="B290" s="4">
        <v>300.49</v>
      </c>
      <c r="C290" s="5">
        <v>406058</v>
      </c>
      <c r="D290" s="4">
        <v>1.47000000000002</v>
      </c>
      <c r="E290" s="4">
        <v>0.49160591264798498</v>
      </c>
      <c r="F290" s="4">
        <v>0.49160591264798498</v>
      </c>
      <c r="G290" s="4">
        <v>300.49</v>
      </c>
      <c r="H290" s="4">
        <v>34.991015274034098</v>
      </c>
      <c r="I290" s="4">
        <v>300.10000000000002</v>
      </c>
      <c r="J290" s="4">
        <v>307</v>
      </c>
      <c r="K290" s="4">
        <v>298.82</v>
      </c>
      <c r="L290" s="4">
        <v>34.991015274034098</v>
      </c>
    </row>
    <row r="291" spans="1:12" ht="15" customHeight="1" x14ac:dyDescent="0.2">
      <c r="A291" s="6">
        <v>45628</v>
      </c>
      <c r="B291" s="7">
        <v>299.02</v>
      </c>
      <c r="C291" s="8">
        <v>424879</v>
      </c>
      <c r="D291" s="7">
        <v>5.8999999999999702</v>
      </c>
      <c r="E291" s="7">
        <v>2.0128275109170199</v>
      </c>
      <c r="F291" s="7">
        <v>2.0128275109170199</v>
      </c>
      <c r="G291" s="7">
        <v>299.02</v>
      </c>
      <c r="H291" s="7">
        <v>34.330637915543498</v>
      </c>
      <c r="I291" s="7">
        <v>294.39999999999998</v>
      </c>
      <c r="J291" s="7">
        <v>300.07</v>
      </c>
      <c r="K291" s="7">
        <v>290.14999999999998</v>
      </c>
      <c r="L291" s="7">
        <v>34.330637915543498</v>
      </c>
    </row>
    <row r="292" spans="1:12" ht="15" customHeight="1" x14ac:dyDescent="0.2">
      <c r="A292" s="3">
        <v>45625</v>
      </c>
      <c r="B292" s="4">
        <v>293.12</v>
      </c>
      <c r="C292" s="5">
        <v>348476</v>
      </c>
      <c r="D292" s="4">
        <v>5.75</v>
      </c>
      <c r="E292" s="4">
        <v>2.0009047569335698</v>
      </c>
      <c r="F292" s="4">
        <v>2.0009047569335698</v>
      </c>
      <c r="G292" s="4">
        <v>293.12</v>
      </c>
      <c r="H292" s="4">
        <v>31.680143755615401</v>
      </c>
      <c r="I292" s="4">
        <v>288.58999999999997</v>
      </c>
      <c r="J292" s="4">
        <v>299.77</v>
      </c>
      <c r="K292" s="4">
        <v>287.33</v>
      </c>
      <c r="L292" s="4">
        <v>31.680143755615401</v>
      </c>
    </row>
    <row r="293" spans="1:12" ht="15" customHeight="1" x14ac:dyDescent="0.2">
      <c r="A293" s="6">
        <v>45624</v>
      </c>
      <c r="B293" s="7">
        <v>287.37</v>
      </c>
      <c r="C293" s="8">
        <v>143350</v>
      </c>
      <c r="D293" s="7">
        <v>4.6499999999999702</v>
      </c>
      <c r="E293" s="7">
        <v>1.6447368421052599</v>
      </c>
      <c r="F293" s="7">
        <v>1.6447368421052599</v>
      </c>
      <c r="G293" s="7">
        <v>287.37</v>
      </c>
      <c r="H293" s="7">
        <v>29.097035040431201</v>
      </c>
      <c r="I293" s="7">
        <v>284.58</v>
      </c>
      <c r="J293" s="7">
        <v>291.11</v>
      </c>
      <c r="K293" s="7">
        <v>283.24</v>
      </c>
      <c r="L293" s="7">
        <v>29.097035040431201</v>
      </c>
    </row>
    <row r="294" spans="1:12" ht="15" customHeight="1" x14ac:dyDescent="0.2">
      <c r="A294" s="3">
        <v>45623</v>
      </c>
      <c r="B294" s="4">
        <v>282.72000000000003</v>
      </c>
      <c r="C294" s="5">
        <v>508218</v>
      </c>
      <c r="D294" s="4">
        <v>5.6900000000000501</v>
      </c>
      <c r="E294" s="4">
        <v>2.05392917734543</v>
      </c>
      <c r="F294" s="4">
        <v>2.05392917734543</v>
      </c>
      <c r="G294" s="4">
        <v>282.72000000000003</v>
      </c>
      <c r="H294" s="4">
        <v>27.0080862533692</v>
      </c>
      <c r="I294" s="4">
        <v>277.57</v>
      </c>
      <c r="J294" s="4">
        <v>285.38</v>
      </c>
      <c r="K294" s="4">
        <v>268.62</v>
      </c>
      <c r="L294" s="4">
        <v>27.0080862533692</v>
      </c>
    </row>
    <row r="295" spans="1:12" ht="15" customHeight="1" x14ac:dyDescent="0.2">
      <c r="A295" s="6">
        <v>45622</v>
      </c>
      <c r="B295" s="7">
        <v>277.02999999999997</v>
      </c>
      <c r="C295" s="8">
        <v>733843</v>
      </c>
      <c r="D295" s="7">
        <v>-16.87</v>
      </c>
      <c r="E295" s="7">
        <v>-5.7400476352500798</v>
      </c>
      <c r="F295" s="7">
        <v>-5.7400476352500798</v>
      </c>
      <c r="G295" s="7">
        <v>277.02999999999997</v>
      </c>
      <c r="H295" s="7">
        <v>24.451931716082601</v>
      </c>
      <c r="I295" s="7">
        <v>292.95999999999998</v>
      </c>
      <c r="J295" s="7">
        <v>293.58999999999997</v>
      </c>
      <c r="K295" s="7">
        <v>265.62</v>
      </c>
      <c r="L295" s="7">
        <v>24.451931716082601</v>
      </c>
    </row>
    <row r="296" spans="1:12" ht="15" customHeight="1" x14ac:dyDescent="0.2">
      <c r="A296" s="3">
        <v>45621</v>
      </c>
      <c r="B296" s="4">
        <v>293.89999999999998</v>
      </c>
      <c r="C296" s="5">
        <v>959164</v>
      </c>
      <c r="D296" s="4">
        <v>-11.68</v>
      </c>
      <c r="E296" s="4">
        <v>-3.8222396753714301</v>
      </c>
      <c r="F296" s="4">
        <v>-3.8222396753714301</v>
      </c>
      <c r="G296" s="4">
        <v>293.89999999999998</v>
      </c>
      <c r="H296" s="4">
        <v>32.030548068283899</v>
      </c>
      <c r="I296" s="4">
        <v>305.60000000000002</v>
      </c>
      <c r="J296" s="4">
        <v>308.45</v>
      </c>
      <c r="K296" s="4">
        <v>292.55</v>
      </c>
      <c r="L296" s="4">
        <v>32.030548068283899</v>
      </c>
    </row>
    <row r="297" spans="1:12" ht="15" customHeight="1" x14ac:dyDescent="0.2">
      <c r="A297" s="6">
        <v>45618</v>
      </c>
      <c r="B297" s="7">
        <v>305.58</v>
      </c>
      <c r="C297" s="8">
        <v>374402</v>
      </c>
      <c r="D297" s="7">
        <v>5.0500000000000096</v>
      </c>
      <c r="E297" s="7">
        <v>1.68036468904935</v>
      </c>
      <c r="F297" s="7">
        <v>1.68036468904935</v>
      </c>
      <c r="G297" s="7">
        <v>305.58</v>
      </c>
      <c r="H297" s="7">
        <v>37.277628032345</v>
      </c>
      <c r="I297" s="7">
        <v>298.01</v>
      </c>
      <c r="J297" s="7">
        <v>306.97000000000003</v>
      </c>
      <c r="K297" s="7">
        <v>298</v>
      </c>
      <c r="L297" s="7">
        <v>37.277628032345</v>
      </c>
    </row>
    <row r="298" spans="1:12" ht="15" customHeight="1" x14ac:dyDescent="0.2">
      <c r="A298" s="3">
        <v>45617</v>
      </c>
      <c r="B298" s="4">
        <v>300.52999999999997</v>
      </c>
      <c r="C298" s="5">
        <v>471309</v>
      </c>
      <c r="D298" s="4">
        <v>-4.6100000000000101</v>
      </c>
      <c r="E298" s="4">
        <v>-1.51078193616045</v>
      </c>
      <c r="F298" s="4">
        <v>-1.51078193616045</v>
      </c>
      <c r="G298" s="4">
        <v>300.52999999999997</v>
      </c>
      <c r="H298" s="4">
        <v>35.008984725965803</v>
      </c>
      <c r="I298" s="4">
        <v>299.73</v>
      </c>
      <c r="J298" s="4">
        <v>309.98</v>
      </c>
      <c r="K298" s="4">
        <v>292.68</v>
      </c>
      <c r="L298" s="4">
        <v>35.008984725965803</v>
      </c>
    </row>
    <row r="299" spans="1:12" ht="15" customHeight="1" x14ac:dyDescent="0.2">
      <c r="A299" s="6">
        <v>45616</v>
      </c>
      <c r="B299" s="7">
        <v>305.14</v>
      </c>
      <c r="C299" s="8">
        <v>279320</v>
      </c>
      <c r="D299" s="7">
        <v>0.30000000000001098</v>
      </c>
      <c r="E299" s="7">
        <v>9.8412281852788802E-2</v>
      </c>
      <c r="F299" s="7">
        <v>9.8412281852788802E-2</v>
      </c>
      <c r="G299" s="7">
        <v>305.14</v>
      </c>
      <c r="H299" s="7">
        <v>37.079964061096099</v>
      </c>
      <c r="I299" s="7">
        <v>305</v>
      </c>
      <c r="J299" s="7">
        <v>316.48</v>
      </c>
      <c r="K299" s="7">
        <v>301.91000000000003</v>
      </c>
      <c r="L299" s="7">
        <v>37.079964061096099</v>
      </c>
    </row>
    <row r="300" spans="1:12" ht="15" customHeight="1" x14ac:dyDescent="0.2">
      <c r="A300" s="3">
        <v>45615</v>
      </c>
      <c r="B300" s="4">
        <v>304.83999999999997</v>
      </c>
      <c r="C300" s="5">
        <v>440157</v>
      </c>
      <c r="D300" s="4">
        <v>-0.100000000000022</v>
      </c>
      <c r="E300" s="4">
        <v>-3.2793336394054601E-2</v>
      </c>
      <c r="F300" s="4">
        <v>-3.2793336394054601E-2</v>
      </c>
      <c r="G300" s="4">
        <v>304.83999999999997</v>
      </c>
      <c r="H300" s="4">
        <v>36.945193171608203</v>
      </c>
      <c r="I300" s="4">
        <v>305.12</v>
      </c>
      <c r="J300" s="4">
        <v>319.89999999999998</v>
      </c>
      <c r="K300" s="4">
        <v>303.86</v>
      </c>
      <c r="L300" s="4">
        <v>36.945193171608203</v>
      </c>
    </row>
    <row r="301" spans="1:12" ht="15" customHeight="1" x14ac:dyDescent="0.2">
      <c r="A301" s="6">
        <v>45611</v>
      </c>
      <c r="B301" s="7">
        <v>304.94</v>
      </c>
      <c r="C301" s="8">
        <v>1981181</v>
      </c>
      <c r="D301" s="7">
        <v>23.1</v>
      </c>
      <c r="E301" s="7">
        <v>8.1961396537042397</v>
      </c>
      <c r="F301" s="7">
        <v>8.1961396537042397</v>
      </c>
      <c r="G301" s="7">
        <v>304.94</v>
      </c>
      <c r="H301" s="7">
        <v>36.990116801437502</v>
      </c>
      <c r="I301" s="7">
        <v>283.24</v>
      </c>
      <c r="J301" s="7">
        <v>314.47000000000003</v>
      </c>
      <c r="K301" s="7">
        <v>283.24</v>
      </c>
      <c r="L301" s="7">
        <v>36.990116801437502</v>
      </c>
    </row>
    <row r="302" spans="1:12" ht="15" customHeight="1" x14ac:dyDescent="0.2">
      <c r="A302" s="3">
        <v>45610</v>
      </c>
      <c r="B302" s="4">
        <v>281.83999999999997</v>
      </c>
      <c r="C302" s="5">
        <v>512948</v>
      </c>
      <c r="D302" s="4">
        <v>-5.4500000000000401</v>
      </c>
      <c r="E302" s="4">
        <v>-1.8970378363326299</v>
      </c>
      <c r="F302" s="4">
        <v>-1.8970378363326299</v>
      </c>
      <c r="G302" s="4">
        <v>281.83999999999997</v>
      </c>
      <c r="H302" s="4">
        <v>26.612758310871499</v>
      </c>
      <c r="I302" s="4">
        <v>286</v>
      </c>
      <c r="J302" s="4">
        <v>290.94</v>
      </c>
      <c r="K302" s="4">
        <v>278</v>
      </c>
      <c r="L302" s="4">
        <v>26.612758310871499</v>
      </c>
    </row>
    <row r="303" spans="1:12" ht="15" customHeight="1" x14ac:dyDescent="0.2">
      <c r="A303" s="6">
        <v>45609</v>
      </c>
      <c r="B303" s="7">
        <v>287.29000000000002</v>
      </c>
      <c r="C303" s="8">
        <v>296977</v>
      </c>
      <c r="D303" s="7">
        <v>4.0300000000000296</v>
      </c>
      <c r="E303" s="7">
        <v>1.4227211748923201</v>
      </c>
      <c r="F303" s="7">
        <v>1.4227211748923201</v>
      </c>
      <c r="G303" s="7">
        <v>287.29000000000002</v>
      </c>
      <c r="H303" s="7">
        <v>29.061096136567802</v>
      </c>
      <c r="I303" s="7">
        <v>287.85000000000002</v>
      </c>
      <c r="J303" s="7">
        <v>290.58999999999997</v>
      </c>
      <c r="K303" s="7">
        <v>283.39999999999998</v>
      </c>
      <c r="L303" s="7">
        <v>29.061096136567802</v>
      </c>
    </row>
    <row r="304" spans="1:12" ht="15" customHeight="1" x14ac:dyDescent="0.2">
      <c r="A304" s="3">
        <v>45608</v>
      </c>
      <c r="B304" s="4">
        <v>283.26</v>
      </c>
      <c r="C304" s="5">
        <v>524921</v>
      </c>
      <c r="D304" s="4">
        <v>-16.41</v>
      </c>
      <c r="E304" s="4">
        <v>-5.4760236259885904</v>
      </c>
      <c r="F304" s="4">
        <v>-5.4760236259885904</v>
      </c>
      <c r="G304" s="4">
        <v>283.26</v>
      </c>
      <c r="H304" s="4">
        <v>27.250673854447399</v>
      </c>
      <c r="I304" s="4">
        <v>298.12</v>
      </c>
      <c r="J304" s="4">
        <v>298.12</v>
      </c>
      <c r="K304" s="4">
        <v>281.95</v>
      </c>
      <c r="L304" s="4">
        <v>27.250673854447399</v>
      </c>
    </row>
    <row r="305" spans="1:12" ht="15" customHeight="1" x14ac:dyDescent="0.2">
      <c r="A305" s="6">
        <v>45607</v>
      </c>
      <c r="B305" s="7">
        <v>299.67</v>
      </c>
      <c r="C305" s="8">
        <v>288007</v>
      </c>
      <c r="D305" s="7">
        <v>-1.91999999999995</v>
      </c>
      <c r="E305" s="7">
        <v>-0.63662588282104005</v>
      </c>
      <c r="F305" s="7">
        <v>-0.63662588282104005</v>
      </c>
      <c r="G305" s="7">
        <v>299.67</v>
      </c>
      <c r="H305" s="7">
        <v>34.622641509433898</v>
      </c>
      <c r="I305" s="7">
        <v>301.60000000000002</v>
      </c>
      <c r="J305" s="7">
        <v>302.48</v>
      </c>
      <c r="K305" s="7">
        <v>289</v>
      </c>
      <c r="L305" s="7">
        <v>34.622641509433898</v>
      </c>
    </row>
    <row r="306" spans="1:12" ht="15" customHeight="1" x14ac:dyDescent="0.2">
      <c r="A306" s="3">
        <v>45604</v>
      </c>
      <c r="B306" s="4">
        <v>301.58999999999997</v>
      </c>
      <c r="C306" s="5">
        <v>218557</v>
      </c>
      <c r="D306" s="4">
        <v>-4.6400000000000396</v>
      </c>
      <c r="E306" s="4">
        <v>-1.5152009927179</v>
      </c>
      <c r="F306" s="4">
        <v>-1.5152009927179</v>
      </c>
      <c r="G306" s="4">
        <v>301.58999999999997</v>
      </c>
      <c r="H306" s="4">
        <v>35.485175202156299</v>
      </c>
      <c r="I306" s="4">
        <v>306.23</v>
      </c>
      <c r="J306" s="4">
        <v>306.23</v>
      </c>
      <c r="K306" s="4">
        <v>295</v>
      </c>
      <c r="L306" s="4">
        <v>35.485175202156299</v>
      </c>
    </row>
    <row r="307" spans="1:12" ht="15" customHeight="1" x14ac:dyDescent="0.2">
      <c r="A307" s="6">
        <v>45603</v>
      </c>
      <c r="B307" s="7">
        <v>306.23</v>
      </c>
      <c r="C307" s="8">
        <v>489317</v>
      </c>
      <c r="D307" s="7">
        <v>-2.00999999999999</v>
      </c>
      <c r="E307" s="7">
        <v>-0.65208928107967001</v>
      </c>
      <c r="F307" s="7">
        <v>-0.65208928107967001</v>
      </c>
      <c r="G307" s="7">
        <v>306.23</v>
      </c>
      <c r="H307" s="7">
        <v>37.569631626235399</v>
      </c>
      <c r="I307" s="7">
        <v>312.04000000000002</v>
      </c>
      <c r="J307" s="7">
        <v>313.22000000000003</v>
      </c>
      <c r="K307" s="7">
        <v>303.64</v>
      </c>
      <c r="L307" s="7">
        <v>37.569631626235399</v>
      </c>
    </row>
    <row r="308" spans="1:12" ht="15" customHeight="1" x14ac:dyDescent="0.2">
      <c r="A308" s="3">
        <v>45602</v>
      </c>
      <c r="B308" s="4">
        <v>308.24</v>
      </c>
      <c r="C308" s="5">
        <v>296992</v>
      </c>
      <c r="D308" s="4">
        <v>-2.3600000000000101</v>
      </c>
      <c r="E308" s="4">
        <v>-0.75981970379910202</v>
      </c>
      <c r="F308" s="4">
        <v>-0.75981970379910202</v>
      </c>
      <c r="G308" s="4">
        <v>308.24</v>
      </c>
      <c r="H308" s="4">
        <v>38.472596585804098</v>
      </c>
      <c r="I308" s="4">
        <v>304.55</v>
      </c>
      <c r="J308" s="4">
        <v>311.77</v>
      </c>
      <c r="K308" s="4">
        <v>289.74</v>
      </c>
      <c r="L308" s="4">
        <v>38.472596585804098</v>
      </c>
    </row>
    <row r="309" spans="1:12" ht="15" customHeight="1" x14ac:dyDescent="0.2">
      <c r="A309" s="6">
        <v>45601</v>
      </c>
      <c r="B309" s="7">
        <v>310.60000000000002</v>
      </c>
      <c r="C309" s="8">
        <v>376827</v>
      </c>
      <c r="D309" s="7">
        <v>-6.2099999999999698</v>
      </c>
      <c r="E309" s="7">
        <v>-1.96016539881948</v>
      </c>
      <c r="F309" s="7">
        <v>-1.96016539881948</v>
      </c>
      <c r="G309" s="7">
        <v>310.60000000000002</v>
      </c>
      <c r="H309" s="7">
        <v>39.532794249775399</v>
      </c>
      <c r="I309" s="7">
        <v>315.41000000000003</v>
      </c>
      <c r="J309" s="7">
        <v>317.01</v>
      </c>
      <c r="K309" s="7">
        <v>304.99</v>
      </c>
      <c r="L309" s="7">
        <v>39.532794249775399</v>
      </c>
    </row>
    <row r="310" spans="1:12" ht="15" customHeight="1" x14ac:dyDescent="0.2">
      <c r="A310" s="3">
        <v>45600</v>
      </c>
      <c r="B310" s="4">
        <v>316.81</v>
      </c>
      <c r="C310" s="5">
        <v>252962</v>
      </c>
      <c r="D310" s="4">
        <v>2.1399999999999801</v>
      </c>
      <c r="E310" s="4">
        <v>0.68007754155146005</v>
      </c>
      <c r="F310" s="4">
        <v>0.68007754155146005</v>
      </c>
      <c r="G310" s="4">
        <v>316.81</v>
      </c>
      <c r="H310" s="4">
        <v>42.322551662174298</v>
      </c>
      <c r="I310" s="4">
        <v>316.24</v>
      </c>
      <c r="J310" s="4">
        <v>323.45999999999998</v>
      </c>
      <c r="K310" s="4">
        <v>313.48</v>
      </c>
      <c r="L310" s="4">
        <v>42.322551662174298</v>
      </c>
    </row>
    <row r="311" spans="1:12" ht="15" customHeight="1" x14ac:dyDescent="0.2">
      <c r="A311" s="6">
        <v>45597</v>
      </c>
      <c r="B311" s="7">
        <v>314.67</v>
      </c>
      <c r="C311" s="8">
        <v>367562</v>
      </c>
      <c r="D311" s="7">
        <v>0.36000000000001298</v>
      </c>
      <c r="E311" s="7">
        <v>0.114536603989701</v>
      </c>
      <c r="F311" s="7">
        <v>0.114536603989701</v>
      </c>
      <c r="G311" s="7">
        <v>314.67</v>
      </c>
      <c r="H311" s="7">
        <v>41.361185983827497</v>
      </c>
      <c r="I311" s="7">
        <v>318.69</v>
      </c>
      <c r="J311" s="7">
        <v>320</v>
      </c>
      <c r="K311" s="7">
        <v>313.45999999999998</v>
      </c>
      <c r="L311" s="7">
        <v>41.361185983827497</v>
      </c>
    </row>
    <row r="312" spans="1:12" ht="15" customHeight="1" x14ac:dyDescent="0.2">
      <c r="A312" s="3">
        <v>45596</v>
      </c>
      <c r="B312" s="4">
        <v>314.31</v>
      </c>
      <c r="C312" s="5">
        <v>2128687</v>
      </c>
      <c r="D312" s="4">
        <v>-4.4699999999999704</v>
      </c>
      <c r="E312" s="4">
        <v>-1.4022209674383499</v>
      </c>
      <c r="F312" s="4">
        <v>-1.4022209674383499</v>
      </c>
      <c r="G312" s="4">
        <v>314.31</v>
      </c>
      <c r="H312" s="4">
        <v>41.199460916442</v>
      </c>
      <c r="I312" s="4">
        <v>319.32</v>
      </c>
      <c r="J312" s="4">
        <v>324.43</v>
      </c>
      <c r="K312" s="4">
        <v>308.10000000000002</v>
      </c>
      <c r="L312" s="4">
        <v>41.199460916442</v>
      </c>
    </row>
    <row r="313" spans="1:12" ht="15" customHeight="1" x14ac:dyDescent="0.2">
      <c r="A313" s="6">
        <v>45595</v>
      </c>
      <c r="B313" s="7">
        <v>318.77999999999997</v>
      </c>
      <c r="C313" s="8">
        <v>544461</v>
      </c>
      <c r="D313" s="7">
        <v>1.7999999999999501</v>
      </c>
      <c r="E313" s="7">
        <v>0.56785917092558802</v>
      </c>
      <c r="F313" s="7">
        <v>0.56785917092558802</v>
      </c>
      <c r="G313" s="7">
        <v>318.77999999999997</v>
      </c>
      <c r="H313" s="7">
        <v>43.207547169811299</v>
      </c>
      <c r="I313" s="7">
        <v>317.13</v>
      </c>
      <c r="J313" s="7">
        <v>320.35000000000002</v>
      </c>
      <c r="K313" s="7">
        <v>302.25</v>
      </c>
      <c r="L313" s="7">
        <v>43.207547169811299</v>
      </c>
    </row>
    <row r="314" spans="1:12" ht="15" customHeight="1" x14ac:dyDescent="0.2">
      <c r="A314" s="3">
        <v>45594</v>
      </c>
      <c r="B314" s="4">
        <v>316.98</v>
      </c>
      <c r="C314" s="5">
        <v>518880</v>
      </c>
      <c r="D314" s="4">
        <v>11.86</v>
      </c>
      <c r="E314" s="4">
        <v>3.88699528054536</v>
      </c>
      <c r="F314" s="4">
        <v>3.88699528054536</v>
      </c>
      <c r="G314" s="4">
        <v>316.98</v>
      </c>
      <c r="H314" s="4">
        <v>42.398921832884099</v>
      </c>
      <c r="I314" s="4">
        <v>303.58999999999997</v>
      </c>
      <c r="J314" s="4">
        <v>323.75</v>
      </c>
      <c r="K314" s="4">
        <v>300.95</v>
      </c>
      <c r="L314" s="4">
        <v>42.398921832884099</v>
      </c>
    </row>
    <row r="315" spans="1:12" ht="15" customHeight="1" x14ac:dyDescent="0.2">
      <c r="A315" s="6">
        <v>45593</v>
      </c>
      <c r="B315" s="7">
        <v>305.12</v>
      </c>
      <c r="C315" s="8">
        <v>460913</v>
      </c>
      <c r="D315" s="7">
        <v>5.5799999999999796</v>
      </c>
      <c r="E315" s="7">
        <v>1.8628563797823099</v>
      </c>
      <c r="F315" s="7">
        <v>1.8628563797823099</v>
      </c>
      <c r="G315" s="7">
        <v>305.12</v>
      </c>
      <c r="H315" s="7">
        <v>37.070979335130197</v>
      </c>
      <c r="I315" s="7">
        <v>299.54000000000002</v>
      </c>
      <c r="J315" s="7">
        <v>305.97000000000003</v>
      </c>
      <c r="K315" s="7">
        <v>299.11</v>
      </c>
      <c r="L315" s="7">
        <v>37.070979335130197</v>
      </c>
    </row>
    <row r="316" spans="1:12" ht="15" customHeight="1" x14ac:dyDescent="0.2">
      <c r="A316" s="3">
        <v>45590</v>
      </c>
      <c r="B316" s="4">
        <v>299.54000000000002</v>
      </c>
      <c r="C316" s="5">
        <v>464053</v>
      </c>
      <c r="D316" s="4">
        <v>-5.2099999999999698</v>
      </c>
      <c r="E316" s="4">
        <v>-1.7095980311730801</v>
      </c>
      <c r="F316" s="4">
        <v>-1.7095980311730801</v>
      </c>
      <c r="G316" s="4">
        <v>299.54000000000002</v>
      </c>
      <c r="H316" s="4">
        <v>34.564240790655901</v>
      </c>
      <c r="I316" s="4">
        <v>303.22000000000003</v>
      </c>
      <c r="J316" s="4">
        <v>307.91000000000003</v>
      </c>
      <c r="K316" s="4">
        <v>294.08</v>
      </c>
      <c r="L316" s="4">
        <v>34.564240790655901</v>
      </c>
    </row>
    <row r="317" spans="1:12" ht="15" customHeight="1" x14ac:dyDescent="0.2">
      <c r="A317" s="6">
        <v>45589</v>
      </c>
      <c r="B317" s="7">
        <v>304.75</v>
      </c>
      <c r="C317" s="8">
        <v>692336</v>
      </c>
      <c r="D317" s="7">
        <v>5.4100000000000197</v>
      </c>
      <c r="E317" s="7">
        <v>1.8073094140442301</v>
      </c>
      <c r="F317" s="7">
        <v>1.8073094140442301</v>
      </c>
      <c r="G317" s="7">
        <v>304.75</v>
      </c>
      <c r="H317" s="7">
        <v>36.904761904761898</v>
      </c>
      <c r="I317" s="7">
        <v>297.83999999999997</v>
      </c>
      <c r="J317" s="7">
        <v>305</v>
      </c>
      <c r="K317" s="7">
        <v>296.18</v>
      </c>
      <c r="L317" s="7">
        <v>36.904761904761898</v>
      </c>
    </row>
    <row r="318" spans="1:12" ht="15" customHeight="1" x14ac:dyDescent="0.2">
      <c r="A318" s="3">
        <v>45588</v>
      </c>
      <c r="B318" s="4">
        <v>299.33999999999997</v>
      </c>
      <c r="C318" s="5">
        <v>339972</v>
      </c>
      <c r="D318" s="4">
        <v>-0.93999999999999695</v>
      </c>
      <c r="E318" s="4">
        <v>-0.31304116158251599</v>
      </c>
      <c r="F318" s="4">
        <v>-0.31304116158251599</v>
      </c>
      <c r="G318" s="4">
        <v>299.33999999999997</v>
      </c>
      <c r="H318" s="4">
        <v>34.474393530997297</v>
      </c>
      <c r="I318" s="4">
        <v>298.77</v>
      </c>
      <c r="J318" s="4">
        <v>301.56</v>
      </c>
      <c r="K318" s="4">
        <v>293.56</v>
      </c>
      <c r="L318" s="4">
        <v>34.474393530997297</v>
      </c>
    </row>
    <row r="319" spans="1:12" ht="15" customHeight="1" x14ac:dyDescent="0.2">
      <c r="A319" s="6">
        <v>45587</v>
      </c>
      <c r="B319" s="7">
        <v>300.27999999999997</v>
      </c>
      <c r="C319" s="8">
        <v>544386</v>
      </c>
      <c r="D319" s="7">
        <v>0.29999999999995403</v>
      </c>
      <c r="E319" s="7">
        <v>0.100006667111118</v>
      </c>
      <c r="F319" s="7">
        <v>0.100006667111118</v>
      </c>
      <c r="G319" s="7">
        <v>300.27999999999997</v>
      </c>
      <c r="H319" s="7">
        <v>34.896675651392599</v>
      </c>
      <c r="I319" s="7">
        <v>302</v>
      </c>
      <c r="J319" s="7">
        <v>312.39</v>
      </c>
      <c r="K319" s="7">
        <v>290.26</v>
      </c>
      <c r="L319" s="7">
        <v>34.896675651392599</v>
      </c>
    </row>
    <row r="320" spans="1:12" ht="15" customHeight="1" x14ac:dyDescent="0.2">
      <c r="A320" s="3">
        <v>45586</v>
      </c>
      <c r="B320" s="4">
        <v>299.98</v>
      </c>
      <c r="C320" s="5">
        <v>273332</v>
      </c>
      <c r="D320" s="4">
        <v>6.3600000000000101</v>
      </c>
      <c r="E320" s="4">
        <v>2.16606498194946</v>
      </c>
      <c r="F320" s="4">
        <v>2.16606498194946</v>
      </c>
      <c r="G320" s="4">
        <v>299.98</v>
      </c>
      <c r="H320" s="4">
        <v>34.761904761904702</v>
      </c>
      <c r="I320" s="4">
        <v>296.26</v>
      </c>
      <c r="J320" s="4">
        <v>308</v>
      </c>
      <c r="K320" s="4">
        <v>295</v>
      </c>
      <c r="L320" s="4">
        <v>34.761904761904702</v>
      </c>
    </row>
    <row r="321" spans="1:12" ht="15" customHeight="1" x14ac:dyDescent="0.2">
      <c r="A321" s="6">
        <v>45583</v>
      </c>
      <c r="B321" s="7">
        <v>293.62</v>
      </c>
      <c r="C321" s="8">
        <v>410932</v>
      </c>
      <c r="D321" s="7">
        <v>12.2099999999999</v>
      </c>
      <c r="E321" s="7">
        <v>4.3388650012437102</v>
      </c>
      <c r="F321" s="7">
        <v>4.3388650012437102</v>
      </c>
      <c r="G321" s="7">
        <v>293.62</v>
      </c>
      <c r="H321" s="7">
        <v>31.904761904761902</v>
      </c>
      <c r="I321" s="7">
        <v>281.92</v>
      </c>
      <c r="J321" s="7">
        <v>294.95999999999998</v>
      </c>
      <c r="K321" s="7">
        <v>281.92</v>
      </c>
      <c r="L321" s="7">
        <v>31.904761904761902</v>
      </c>
    </row>
    <row r="322" spans="1:12" ht="15" customHeight="1" x14ac:dyDescent="0.2">
      <c r="A322" s="3">
        <v>45582</v>
      </c>
      <c r="B322" s="4">
        <v>281.41000000000003</v>
      </c>
      <c r="C322" s="5">
        <v>354945</v>
      </c>
      <c r="D322" s="4">
        <v>4.1600000000000197</v>
      </c>
      <c r="E322" s="4">
        <v>1.50045085662759</v>
      </c>
      <c r="F322" s="4">
        <v>1.50045085662759</v>
      </c>
      <c r="G322" s="4">
        <v>281.41000000000003</v>
      </c>
      <c r="H322" s="4">
        <v>26.4195867026055</v>
      </c>
      <c r="I322" s="4">
        <v>278</v>
      </c>
      <c r="J322" s="4">
        <v>282.49</v>
      </c>
      <c r="K322" s="4">
        <v>270.29000000000002</v>
      </c>
      <c r="L322" s="4">
        <v>26.4195867026055</v>
      </c>
    </row>
    <row r="323" spans="1:12" ht="15" customHeight="1" x14ac:dyDescent="0.2">
      <c r="A323" s="6">
        <v>45581</v>
      </c>
      <c r="B323" s="7">
        <v>277.25</v>
      </c>
      <c r="C323" s="8">
        <v>341494</v>
      </c>
      <c r="D323" s="7">
        <v>4.0400000000000196</v>
      </c>
      <c r="E323" s="7">
        <v>1.47871600600271</v>
      </c>
      <c r="F323" s="7">
        <v>1.47871600600271</v>
      </c>
      <c r="G323" s="7">
        <v>277.25</v>
      </c>
      <c r="H323" s="7">
        <v>24.550763701707101</v>
      </c>
      <c r="I323" s="7">
        <v>274.43</v>
      </c>
      <c r="J323" s="7">
        <v>278</v>
      </c>
      <c r="K323" s="7">
        <v>272.31</v>
      </c>
      <c r="L323" s="7">
        <v>24.550763701707101</v>
      </c>
    </row>
    <row r="324" spans="1:12" ht="15" customHeight="1" x14ac:dyDescent="0.2">
      <c r="A324" s="3">
        <v>45580</v>
      </c>
      <c r="B324" s="4">
        <v>273.20999999999998</v>
      </c>
      <c r="C324" s="5">
        <v>393286</v>
      </c>
      <c r="D324" s="4">
        <v>3.7099999999999702</v>
      </c>
      <c r="E324" s="4">
        <v>1.37662337662336</v>
      </c>
      <c r="F324" s="4">
        <v>1.37662337662336</v>
      </c>
      <c r="G324" s="4">
        <v>273.20999999999998</v>
      </c>
      <c r="H324" s="4">
        <v>22.735849056603701</v>
      </c>
      <c r="I324" s="4">
        <v>273.39</v>
      </c>
      <c r="J324" s="4">
        <v>276.26</v>
      </c>
      <c r="K324" s="4">
        <v>268.01</v>
      </c>
      <c r="L324" s="4">
        <v>22.735849056603701</v>
      </c>
    </row>
    <row r="325" spans="1:12" ht="15" customHeight="1" x14ac:dyDescent="0.2">
      <c r="A325" s="6">
        <v>45579</v>
      </c>
      <c r="B325" s="7">
        <v>269.5</v>
      </c>
      <c r="C325" s="8">
        <v>509147</v>
      </c>
      <c r="D325" s="7">
        <v>-4.5899999999999697</v>
      </c>
      <c r="E325" s="7">
        <v>-1.67463242000801</v>
      </c>
      <c r="F325" s="7">
        <v>-1.67463242000801</v>
      </c>
      <c r="G325" s="7">
        <v>269.5</v>
      </c>
      <c r="H325" s="7">
        <v>21.069182389937101</v>
      </c>
      <c r="I325" s="7">
        <v>273.81</v>
      </c>
      <c r="J325" s="7">
        <v>273.81</v>
      </c>
      <c r="K325" s="7">
        <v>266.02</v>
      </c>
      <c r="L325" s="7">
        <v>21.069182389937101</v>
      </c>
    </row>
    <row r="326" spans="1:12" ht="15" customHeight="1" x14ac:dyDescent="0.2">
      <c r="A326" s="3">
        <v>45576</v>
      </c>
      <c r="B326" s="4">
        <v>274.08999999999997</v>
      </c>
      <c r="C326" s="5">
        <v>282996</v>
      </c>
      <c r="D326" s="4">
        <v>3.47999999999996</v>
      </c>
      <c r="E326" s="4">
        <v>1.2859835187169599</v>
      </c>
      <c r="F326" s="4">
        <v>1.2859835187169599</v>
      </c>
      <c r="G326" s="4">
        <v>274.08999999999997</v>
      </c>
      <c r="H326" s="4">
        <v>23.131176999101498</v>
      </c>
      <c r="I326" s="4">
        <v>272.37</v>
      </c>
      <c r="J326" s="4">
        <v>277</v>
      </c>
      <c r="K326" s="4">
        <v>267.08999999999997</v>
      </c>
      <c r="L326" s="4">
        <v>23.131176999101498</v>
      </c>
    </row>
    <row r="327" spans="1:12" ht="15" customHeight="1" x14ac:dyDescent="0.2">
      <c r="A327" s="6">
        <v>45575</v>
      </c>
      <c r="B327" s="7">
        <v>270.61</v>
      </c>
      <c r="C327" s="8">
        <v>342065</v>
      </c>
      <c r="D327" s="7">
        <v>4.4100000000000197</v>
      </c>
      <c r="E327" s="7">
        <v>1.65664913598799</v>
      </c>
      <c r="F327" s="7">
        <v>1.65664913598799</v>
      </c>
      <c r="G327" s="7">
        <v>270.61</v>
      </c>
      <c r="H327" s="7">
        <v>21.5678346810422</v>
      </c>
      <c r="I327" s="7">
        <v>267.99</v>
      </c>
      <c r="J327" s="7">
        <v>271.52999999999997</v>
      </c>
      <c r="K327" s="7">
        <v>261.67</v>
      </c>
      <c r="L327" s="7">
        <v>21.5678346810422</v>
      </c>
    </row>
    <row r="328" spans="1:12" ht="15" customHeight="1" x14ac:dyDescent="0.2">
      <c r="A328" s="3">
        <v>45574</v>
      </c>
      <c r="B328" s="4">
        <v>266.2</v>
      </c>
      <c r="C328" s="5">
        <v>365270</v>
      </c>
      <c r="D328" s="4">
        <v>4.5599999999999996</v>
      </c>
      <c r="E328" s="4">
        <v>1.7428527748050799</v>
      </c>
      <c r="F328" s="4">
        <v>1.7428527748050799</v>
      </c>
      <c r="G328" s="4">
        <v>266.2</v>
      </c>
      <c r="H328" s="4">
        <v>19.586702605570501</v>
      </c>
      <c r="I328" s="4">
        <v>262.45</v>
      </c>
      <c r="J328" s="4">
        <v>267.76</v>
      </c>
      <c r="K328" s="4">
        <v>260</v>
      </c>
      <c r="L328" s="4">
        <v>19.586702605570501</v>
      </c>
    </row>
    <row r="329" spans="1:12" ht="15" customHeight="1" x14ac:dyDescent="0.2">
      <c r="A329" s="6">
        <v>45573</v>
      </c>
      <c r="B329" s="7">
        <v>261.64</v>
      </c>
      <c r="C329" s="8">
        <v>452827</v>
      </c>
      <c r="D329" s="7">
        <v>-0.94999999999998797</v>
      </c>
      <c r="E329" s="7">
        <v>-0.361780722799798</v>
      </c>
      <c r="F329" s="7">
        <v>-0.361780722799798</v>
      </c>
      <c r="G329" s="7">
        <v>261.64</v>
      </c>
      <c r="H329" s="7">
        <v>17.538185085354801</v>
      </c>
      <c r="I329" s="7">
        <v>262.82</v>
      </c>
      <c r="J329" s="7">
        <v>265.93</v>
      </c>
      <c r="K329" s="7">
        <v>253.99</v>
      </c>
      <c r="L329" s="7">
        <v>17.538185085354801</v>
      </c>
    </row>
    <row r="330" spans="1:12" ht="15" customHeight="1" x14ac:dyDescent="0.2">
      <c r="A330" s="3">
        <v>45572</v>
      </c>
      <c r="B330" s="4">
        <v>262.58999999999997</v>
      </c>
      <c r="C330" s="5">
        <v>313518</v>
      </c>
      <c r="D330" s="4">
        <v>-5.6700000000000097</v>
      </c>
      <c r="E330" s="4">
        <v>-2.11362111384478</v>
      </c>
      <c r="F330" s="4">
        <v>-2.11362111384478</v>
      </c>
      <c r="G330" s="4">
        <v>262.58999999999997</v>
      </c>
      <c r="H330" s="4">
        <v>17.9649595687331</v>
      </c>
      <c r="I330" s="4">
        <v>269.77999999999997</v>
      </c>
      <c r="J330" s="4">
        <v>269.77999999999997</v>
      </c>
      <c r="K330" s="4">
        <v>260.2</v>
      </c>
      <c r="L330" s="4">
        <v>17.9649595687331</v>
      </c>
    </row>
    <row r="331" spans="1:12" ht="15" customHeight="1" x14ac:dyDescent="0.2">
      <c r="A331" s="6">
        <v>45569</v>
      </c>
      <c r="B331" s="7">
        <v>268.26</v>
      </c>
      <c r="C331" s="8">
        <v>414451</v>
      </c>
      <c r="D331" s="7">
        <v>8.4499999999999797</v>
      </c>
      <c r="E331" s="7">
        <v>3.2523767368461498</v>
      </c>
      <c r="F331" s="7">
        <v>3.2523767368461498</v>
      </c>
      <c r="G331" s="7">
        <v>268.26</v>
      </c>
      <c r="H331" s="7">
        <v>20.512129380053899</v>
      </c>
      <c r="I331" s="7">
        <v>261.33999999999997</v>
      </c>
      <c r="J331" s="7">
        <v>274.92</v>
      </c>
      <c r="K331" s="7">
        <v>258.12</v>
      </c>
      <c r="L331" s="7">
        <v>20.512129380053899</v>
      </c>
    </row>
    <row r="332" spans="1:12" ht="15" customHeight="1" x14ac:dyDescent="0.2">
      <c r="A332" s="3">
        <v>45568</v>
      </c>
      <c r="B332" s="4">
        <v>259.81</v>
      </c>
      <c r="C332" s="5">
        <v>446556</v>
      </c>
      <c r="D332" s="4">
        <v>-3.6499999999999702</v>
      </c>
      <c r="E332" s="4">
        <v>-1.38540954983678</v>
      </c>
      <c r="F332" s="4">
        <v>-1.38540954983678</v>
      </c>
      <c r="G332" s="4">
        <v>259.81</v>
      </c>
      <c r="H332" s="4">
        <v>16.716082659478801</v>
      </c>
      <c r="I332" s="4">
        <v>261.97000000000003</v>
      </c>
      <c r="J332" s="4">
        <v>268.79000000000002</v>
      </c>
      <c r="K332" s="4">
        <v>255.07</v>
      </c>
      <c r="L332" s="4">
        <v>16.716082659478801</v>
      </c>
    </row>
    <row r="333" spans="1:12" ht="15" customHeight="1" x14ac:dyDescent="0.2">
      <c r="A333" s="6">
        <v>45567</v>
      </c>
      <c r="B333" s="7">
        <v>263.45999999999998</v>
      </c>
      <c r="C333" s="8">
        <v>528471</v>
      </c>
      <c r="D333" s="7">
        <v>2.12</v>
      </c>
      <c r="E333" s="7">
        <v>0.81120379582153501</v>
      </c>
      <c r="F333" s="7">
        <v>0.81120379582153501</v>
      </c>
      <c r="G333" s="7">
        <v>263.45999999999998</v>
      </c>
      <c r="H333" s="7">
        <v>18.3557951482479</v>
      </c>
      <c r="I333" s="7">
        <v>261.33999999999997</v>
      </c>
      <c r="J333" s="7">
        <v>271.3</v>
      </c>
      <c r="K333" s="7">
        <v>260.25</v>
      </c>
      <c r="L333" s="7">
        <v>18.3557951482479</v>
      </c>
    </row>
    <row r="334" spans="1:12" ht="15" customHeight="1" x14ac:dyDescent="0.2">
      <c r="A334" s="3">
        <v>45565</v>
      </c>
      <c r="B334" s="4">
        <v>261.33999999999997</v>
      </c>
      <c r="C334" s="5">
        <v>523611</v>
      </c>
      <c r="D334" s="4">
        <v>-10.43</v>
      </c>
      <c r="E334" s="4">
        <v>-3.8378040254627099</v>
      </c>
      <c r="F334" s="4">
        <v>-3.8378040254627099</v>
      </c>
      <c r="G334" s="4">
        <v>261.33999999999997</v>
      </c>
      <c r="H334" s="4">
        <v>17.403414195867001</v>
      </c>
      <c r="I334" s="4">
        <v>273.12</v>
      </c>
      <c r="J334" s="4">
        <v>273.12</v>
      </c>
      <c r="K334" s="4">
        <v>252.96</v>
      </c>
      <c r="L334" s="4">
        <v>17.403414195867001</v>
      </c>
    </row>
    <row r="335" spans="1:12" ht="15" customHeight="1" x14ac:dyDescent="0.2">
      <c r="A335" s="6">
        <v>45562</v>
      </c>
      <c r="B335" s="7">
        <v>271.77</v>
      </c>
      <c r="C335" s="8">
        <v>510219</v>
      </c>
      <c r="D335" s="7">
        <v>-20.58</v>
      </c>
      <c r="E335" s="7">
        <v>-7.03950743971268</v>
      </c>
      <c r="F335" s="7">
        <v>-7.03950743971268</v>
      </c>
      <c r="G335" s="7">
        <v>271.77</v>
      </c>
      <c r="H335" s="7">
        <v>22.088948787061899</v>
      </c>
      <c r="I335" s="7">
        <v>290.88</v>
      </c>
      <c r="J335" s="7">
        <v>299</v>
      </c>
      <c r="K335" s="7">
        <v>267.20999999999998</v>
      </c>
      <c r="L335" s="7">
        <v>22.088948787061899</v>
      </c>
    </row>
    <row r="336" spans="1:12" ht="15" customHeight="1" x14ac:dyDescent="0.2">
      <c r="A336" s="3">
        <v>45561</v>
      </c>
      <c r="B336" s="4">
        <v>292.35000000000002</v>
      </c>
      <c r="C336" s="5">
        <v>328226</v>
      </c>
      <c r="D336" s="4">
        <v>11.86</v>
      </c>
      <c r="E336" s="4">
        <v>4.22831473492817</v>
      </c>
      <c r="F336" s="4">
        <v>4.22831473492817</v>
      </c>
      <c r="G336" s="4">
        <v>292.35000000000002</v>
      </c>
      <c r="H336" s="4">
        <v>31.3342318059299</v>
      </c>
      <c r="I336" s="4">
        <v>281.83999999999997</v>
      </c>
      <c r="J336" s="4">
        <v>299.48</v>
      </c>
      <c r="K336" s="4">
        <v>281.39</v>
      </c>
      <c r="L336" s="4">
        <v>31.3342318059299</v>
      </c>
    </row>
    <row r="337" spans="1:12" ht="15" customHeight="1" x14ac:dyDescent="0.2">
      <c r="A337" s="6">
        <v>45560</v>
      </c>
      <c r="B337" s="7">
        <v>280.49</v>
      </c>
      <c r="C337" s="8">
        <v>381976</v>
      </c>
      <c r="D337" s="7">
        <v>-18.05</v>
      </c>
      <c r="E337" s="7">
        <v>-6.0460909760836001</v>
      </c>
      <c r="F337" s="7">
        <v>-6.0460909760836001</v>
      </c>
      <c r="G337" s="7">
        <v>280.49</v>
      </c>
      <c r="H337" s="7">
        <v>26.0062893081761</v>
      </c>
      <c r="I337" s="7">
        <v>300</v>
      </c>
      <c r="J337" s="7">
        <v>300</v>
      </c>
      <c r="K337" s="7">
        <v>278.74</v>
      </c>
      <c r="L337" s="7">
        <v>26.0062893081761</v>
      </c>
    </row>
    <row r="338" spans="1:12" ht="15" customHeight="1" x14ac:dyDescent="0.2">
      <c r="A338" s="3">
        <v>45559</v>
      </c>
      <c r="B338" s="4">
        <v>298.54000000000002</v>
      </c>
      <c r="C338" s="5">
        <v>535823</v>
      </c>
      <c r="D338" s="4">
        <v>21.68</v>
      </c>
      <c r="E338" s="4">
        <v>7.8306725420790304</v>
      </c>
      <c r="F338" s="4">
        <v>7.8306725420790304</v>
      </c>
      <c r="G338" s="4">
        <v>298.54000000000002</v>
      </c>
      <c r="H338" s="4">
        <v>34.115004492362999</v>
      </c>
      <c r="I338" s="4">
        <v>276.48</v>
      </c>
      <c r="J338" s="4">
        <v>299.89999999999998</v>
      </c>
      <c r="K338" s="4">
        <v>276.20999999999998</v>
      </c>
      <c r="L338" s="4">
        <v>34.115004492362999</v>
      </c>
    </row>
    <row r="339" spans="1:12" ht="15" customHeight="1" x14ac:dyDescent="0.2">
      <c r="A339" s="6">
        <v>45558</v>
      </c>
      <c r="B339" s="7">
        <v>276.86</v>
      </c>
      <c r="C339" s="8">
        <v>427842</v>
      </c>
      <c r="D339" s="7">
        <v>-0.38999999999998602</v>
      </c>
      <c r="E339" s="7">
        <v>-0.14066726780883601</v>
      </c>
      <c r="F339" s="7">
        <v>-0.14066726780883601</v>
      </c>
      <c r="G339" s="7">
        <v>276.86</v>
      </c>
      <c r="H339" s="7">
        <v>24.375561545372801</v>
      </c>
      <c r="I339" s="7">
        <v>275.68</v>
      </c>
      <c r="J339" s="7">
        <v>277</v>
      </c>
      <c r="K339" s="7">
        <v>272.62</v>
      </c>
      <c r="L339" s="7">
        <v>24.375561545372801</v>
      </c>
    </row>
    <row r="340" spans="1:12" ht="15" customHeight="1" x14ac:dyDescent="0.2">
      <c r="A340" s="3">
        <v>45555</v>
      </c>
      <c r="B340" s="4">
        <v>277.25</v>
      </c>
      <c r="C340" s="5">
        <v>1609874</v>
      </c>
      <c r="D340" s="4">
        <v>14.1899999999999</v>
      </c>
      <c r="E340" s="4">
        <v>5.3942066448718897</v>
      </c>
      <c r="F340" s="4">
        <v>5.3942066448718897</v>
      </c>
      <c r="G340" s="4">
        <v>277.25</v>
      </c>
      <c r="H340" s="4">
        <v>24.550763701707101</v>
      </c>
      <c r="I340" s="4">
        <v>263</v>
      </c>
      <c r="J340" s="4">
        <v>278.99</v>
      </c>
      <c r="K340" s="4">
        <v>261.58999999999997</v>
      </c>
      <c r="L340" s="4">
        <v>24.550763701707101</v>
      </c>
    </row>
    <row r="341" spans="1:12" ht="15" customHeight="1" x14ac:dyDescent="0.2">
      <c r="A341" s="6">
        <v>45554</v>
      </c>
      <c r="B341" s="7">
        <v>263.06</v>
      </c>
      <c r="C341" s="8">
        <v>294260</v>
      </c>
      <c r="D341" s="7">
        <v>4.4499999999999797</v>
      </c>
      <c r="E341" s="7">
        <v>1.72073779049533</v>
      </c>
      <c r="F341" s="7">
        <v>1.72073779049533</v>
      </c>
      <c r="G341" s="7">
        <v>263.06</v>
      </c>
      <c r="H341" s="7">
        <v>18.176100628930801</v>
      </c>
      <c r="I341" s="7">
        <v>255.04</v>
      </c>
      <c r="J341" s="7">
        <v>263.44</v>
      </c>
      <c r="K341" s="7">
        <v>255.04</v>
      </c>
      <c r="L341" s="7">
        <v>18.176100628930801</v>
      </c>
    </row>
    <row r="342" spans="1:12" ht="15" customHeight="1" x14ac:dyDescent="0.2">
      <c r="A342" s="3">
        <v>45553</v>
      </c>
      <c r="B342" s="4">
        <v>258.61</v>
      </c>
      <c r="C342" s="5">
        <v>314174</v>
      </c>
      <c r="D342" s="4">
        <v>0.75999999999999002</v>
      </c>
      <c r="E342" s="4">
        <v>0.29474500678687798</v>
      </c>
      <c r="F342" s="4">
        <v>0.29474500678687798</v>
      </c>
      <c r="G342" s="4">
        <v>258.61</v>
      </c>
      <c r="H342" s="4">
        <v>16.1769991015274</v>
      </c>
      <c r="I342" s="4">
        <v>255.71</v>
      </c>
      <c r="J342" s="4">
        <v>262</v>
      </c>
      <c r="K342" s="4">
        <v>252.02</v>
      </c>
      <c r="L342" s="4">
        <v>16.1769991015274</v>
      </c>
    </row>
    <row r="343" spans="1:12" ht="15" customHeight="1" x14ac:dyDescent="0.2">
      <c r="A343" s="6">
        <v>45552</v>
      </c>
      <c r="B343" s="7">
        <v>257.85000000000002</v>
      </c>
      <c r="C343" s="8">
        <v>443246</v>
      </c>
      <c r="D343" s="7">
        <v>8.6600000000000197</v>
      </c>
      <c r="E343" s="7">
        <v>3.4752598418877199</v>
      </c>
      <c r="F343" s="7">
        <v>3.4752598418877199</v>
      </c>
      <c r="G343" s="7">
        <v>257.85000000000002</v>
      </c>
      <c r="H343" s="7">
        <v>15.835579514824801</v>
      </c>
      <c r="I343" s="7">
        <v>249.19</v>
      </c>
      <c r="J343" s="7">
        <v>259.89</v>
      </c>
      <c r="K343" s="7">
        <v>249.19</v>
      </c>
      <c r="L343" s="7">
        <v>15.835579514824801</v>
      </c>
    </row>
    <row r="344" spans="1:12" ht="15" customHeight="1" x14ac:dyDescent="0.2">
      <c r="A344" s="3">
        <v>45548</v>
      </c>
      <c r="B344" s="4">
        <v>249.19</v>
      </c>
      <c r="C344" s="5">
        <v>286356</v>
      </c>
      <c r="D344" s="4">
        <v>7.6699999999999804</v>
      </c>
      <c r="E344" s="4">
        <v>3.1757204372308601</v>
      </c>
      <c r="F344" s="4">
        <v>3.1757204372308601</v>
      </c>
      <c r="G344" s="4">
        <v>249.19</v>
      </c>
      <c r="H344" s="4">
        <v>11.945193171608199</v>
      </c>
      <c r="I344" s="4">
        <v>244.91</v>
      </c>
      <c r="J344" s="4">
        <v>251.4</v>
      </c>
      <c r="K344" s="4">
        <v>244.91</v>
      </c>
      <c r="L344" s="4">
        <v>11.945193171608199</v>
      </c>
    </row>
    <row r="345" spans="1:12" ht="15" customHeight="1" x14ac:dyDescent="0.2">
      <c r="A345" s="6">
        <v>45547</v>
      </c>
      <c r="B345" s="7">
        <v>241.52</v>
      </c>
      <c r="C345" s="8">
        <v>233615</v>
      </c>
      <c r="D345" s="7">
        <v>4.7700000000000102</v>
      </c>
      <c r="E345" s="7">
        <v>2.0147835269271401</v>
      </c>
      <c r="F345" s="7">
        <v>2.0147835269271401</v>
      </c>
      <c r="G345" s="7">
        <v>241.52</v>
      </c>
      <c r="H345" s="7">
        <v>8.4995507637017091</v>
      </c>
      <c r="I345" s="7">
        <v>236.15</v>
      </c>
      <c r="J345" s="7">
        <v>246.82</v>
      </c>
      <c r="K345" s="7">
        <v>236.15</v>
      </c>
      <c r="L345" s="7">
        <v>8.4995507637017091</v>
      </c>
    </row>
    <row r="346" spans="1:12" ht="15" customHeight="1" x14ac:dyDescent="0.2">
      <c r="A346" s="3">
        <v>45546</v>
      </c>
      <c r="B346" s="4">
        <v>236.75</v>
      </c>
      <c r="C346" s="5">
        <v>326985</v>
      </c>
      <c r="D346" s="4">
        <v>-0.80000000000001104</v>
      </c>
      <c r="E346" s="4">
        <v>-0.33677120606188099</v>
      </c>
      <c r="F346" s="4">
        <v>-0.33677120606188099</v>
      </c>
      <c r="G346" s="4">
        <v>236.75</v>
      </c>
      <c r="H346" s="4">
        <v>6.3566936208445597</v>
      </c>
      <c r="I346" s="4">
        <v>236.95</v>
      </c>
      <c r="J346" s="4">
        <v>240.88</v>
      </c>
      <c r="K346" s="4">
        <v>233.56</v>
      </c>
      <c r="L346" s="4">
        <v>6.3566936208445597</v>
      </c>
    </row>
    <row r="347" spans="1:12" ht="15" customHeight="1" x14ac:dyDescent="0.2">
      <c r="A347" s="6">
        <v>45545</v>
      </c>
      <c r="B347" s="7">
        <v>237.55</v>
      </c>
      <c r="C347" s="8">
        <v>301577</v>
      </c>
      <c r="D347" s="7">
        <v>5.2700000000000102</v>
      </c>
      <c r="E347" s="7">
        <v>2.26881350094714</v>
      </c>
      <c r="F347" s="7">
        <v>2.26881350094714</v>
      </c>
      <c r="G347" s="7">
        <v>237.55</v>
      </c>
      <c r="H347" s="7">
        <v>6.7160826594788903</v>
      </c>
      <c r="I347" s="7">
        <v>234.25</v>
      </c>
      <c r="J347" s="7">
        <v>238.5</v>
      </c>
      <c r="K347" s="7">
        <v>231.02</v>
      </c>
      <c r="L347" s="7">
        <v>6.7160826594788903</v>
      </c>
    </row>
    <row r="348" spans="1:12" ht="15" customHeight="1" x14ac:dyDescent="0.2">
      <c r="A348" s="3">
        <v>45544</v>
      </c>
      <c r="B348" s="4">
        <v>232.28</v>
      </c>
      <c r="C348" s="5">
        <v>211309</v>
      </c>
      <c r="D348" s="4">
        <v>2.3300000000000098</v>
      </c>
      <c r="E348" s="4">
        <v>1.0132637529897699</v>
      </c>
      <c r="F348" s="4">
        <v>1.0132637529897699</v>
      </c>
      <c r="G348" s="4">
        <v>232.28</v>
      </c>
      <c r="H348" s="4">
        <v>4.3486073674752896</v>
      </c>
      <c r="I348" s="4">
        <v>230</v>
      </c>
      <c r="J348" s="4">
        <v>234.25</v>
      </c>
      <c r="K348" s="4">
        <v>229.82</v>
      </c>
      <c r="L348" s="4">
        <v>4.3486073674752896</v>
      </c>
    </row>
    <row r="349" spans="1:12" ht="15" customHeight="1" x14ac:dyDescent="0.2">
      <c r="A349" s="6">
        <v>45541</v>
      </c>
      <c r="B349" s="7">
        <v>229.95</v>
      </c>
      <c r="C349" s="8">
        <v>419166</v>
      </c>
      <c r="D349" s="7">
        <v>-3.43</v>
      </c>
      <c r="E349" s="7">
        <v>-1.46970605878824</v>
      </c>
      <c r="F349" s="7">
        <v>-1.46970605878824</v>
      </c>
      <c r="G349" s="7">
        <v>229.95</v>
      </c>
      <c r="H349" s="7">
        <v>3.3018867924528199</v>
      </c>
      <c r="I349" s="7">
        <v>233.38</v>
      </c>
      <c r="J349" s="7">
        <v>235.94</v>
      </c>
      <c r="K349" s="7">
        <v>226</v>
      </c>
      <c r="L349" s="7">
        <v>3.3018867924528199</v>
      </c>
    </row>
    <row r="350" spans="1:12" ht="15" customHeight="1" x14ac:dyDescent="0.2">
      <c r="A350" s="3">
        <v>45540</v>
      </c>
      <c r="B350" s="4">
        <v>233.38</v>
      </c>
      <c r="C350" s="5">
        <v>231983</v>
      </c>
      <c r="D350" s="4">
        <v>3.1099999999999799</v>
      </c>
      <c r="E350" s="4">
        <v>1.3505884396577801</v>
      </c>
      <c r="F350" s="4">
        <v>1.3505884396577801</v>
      </c>
      <c r="G350" s="4">
        <v>233.38</v>
      </c>
      <c r="H350" s="4">
        <v>4.8427672955974801</v>
      </c>
      <c r="I350" s="4">
        <v>231.99</v>
      </c>
      <c r="J350" s="4">
        <v>238.45</v>
      </c>
      <c r="K350" s="4">
        <v>231.27</v>
      </c>
      <c r="L350" s="4">
        <v>4.8427672955974801</v>
      </c>
    </row>
    <row r="351" spans="1:12" ht="15" customHeight="1" x14ac:dyDescent="0.2">
      <c r="A351" s="6">
        <v>45539</v>
      </c>
      <c r="B351" s="7">
        <v>230.27</v>
      </c>
      <c r="C351" s="8">
        <v>635821</v>
      </c>
      <c r="D351" s="7">
        <v>-4.9399999999999897</v>
      </c>
      <c r="E351" s="7">
        <v>-2.1002508396751698</v>
      </c>
      <c r="F351" s="7">
        <v>-2.1002508396751698</v>
      </c>
      <c r="G351" s="7">
        <v>230.27</v>
      </c>
      <c r="H351" s="7">
        <v>3.44564240790656</v>
      </c>
      <c r="I351" s="7">
        <v>234.9</v>
      </c>
      <c r="J351" s="7">
        <v>237.93</v>
      </c>
      <c r="K351" s="7">
        <v>229.02</v>
      </c>
      <c r="L351" s="7">
        <v>3.44564240790656</v>
      </c>
    </row>
    <row r="352" spans="1:12" ht="15" customHeight="1" x14ac:dyDescent="0.2">
      <c r="A352" s="3">
        <v>45538</v>
      </c>
      <c r="B352" s="4">
        <v>235.21</v>
      </c>
      <c r="C352" s="5">
        <v>214953</v>
      </c>
      <c r="D352" s="4">
        <v>-3.7099999999999702</v>
      </c>
      <c r="E352" s="4">
        <v>-1.5528210279591299</v>
      </c>
      <c r="F352" s="4">
        <v>-1.5528210279591299</v>
      </c>
      <c r="G352" s="4">
        <v>235.21</v>
      </c>
      <c r="H352" s="4">
        <v>5.6648697214735</v>
      </c>
      <c r="I352" s="4">
        <v>239.01</v>
      </c>
      <c r="J352" s="4">
        <v>243.5</v>
      </c>
      <c r="K352" s="4">
        <v>230</v>
      </c>
      <c r="L352" s="4">
        <v>5.6648697214735</v>
      </c>
    </row>
    <row r="353" spans="1:12" ht="15" customHeight="1" x14ac:dyDescent="0.2">
      <c r="A353" s="6">
        <v>45537</v>
      </c>
      <c r="B353" s="7">
        <v>238.92</v>
      </c>
      <c r="C353" s="8">
        <v>101282</v>
      </c>
      <c r="D353" s="7">
        <v>2.5799999999999801</v>
      </c>
      <c r="E353" s="7">
        <v>1.0916476263010899</v>
      </c>
      <c r="F353" s="7">
        <v>1.0916476263010899</v>
      </c>
      <c r="G353" s="7">
        <v>238.92</v>
      </c>
      <c r="H353" s="7">
        <v>7.3315363881401501</v>
      </c>
      <c r="I353" s="7">
        <v>237.97</v>
      </c>
      <c r="J353" s="7">
        <v>243.48</v>
      </c>
      <c r="K353" s="7">
        <v>236.95</v>
      </c>
      <c r="L353" s="7">
        <v>7.3315363881401501</v>
      </c>
    </row>
    <row r="354" spans="1:12" ht="15" customHeight="1" x14ac:dyDescent="0.2">
      <c r="A354" s="3">
        <v>45534</v>
      </c>
      <c r="B354" s="4">
        <v>236.34</v>
      </c>
      <c r="C354" s="5">
        <v>1087201</v>
      </c>
      <c r="D354" s="4">
        <v>-0.56999999999999296</v>
      </c>
      <c r="E354" s="4">
        <v>-0.24059769532733799</v>
      </c>
      <c r="F354" s="4">
        <v>-0.24059769532733799</v>
      </c>
      <c r="G354" s="4">
        <v>236.34</v>
      </c>
      <c r="H354" s="4">
        <v>6.1725067385444703</v>
      </c>
      <c r="I354" s="4">
        <v>237</v>
      </c>
      <c r="J354" s="4">
        <v>237.97</v>
      </c>
      <c r="K354" s="4">
        <v>230.02</v>
      </c>
      <c r="L354" s="4">
        <v>6.1725067385444703</v>
      </c>
    </row>
    <row r="355" spans="1:12" ht="15" customHeight="1" x14ac:dyDescent="0.2">
      <c r="A355" s="6">
        <v>45533</v>
      </c>
      <c r="B355" s="7">
        <v>236.91</v>
      </c>
      <c r="C355" s="8">
        <v>369109</v>
      </c>
      <c r="D355" s="7">
        <v>-1.3799999999999899</v>
      </c>
      <c r="E355" s="7">
        <v>-0.57912627470728595</v>
      </c>
      <c r="F355" s="7">
        <v>-0.57912627470728595</v>
      </c>
      <c r="G355" s="7">
        <v>236.91</v>
      </c>
      <c r="H355" s="7">
        <v>6.4285714285714297</v>
      </c>
      <c r="I355" s="7">
        <v>239.93</v>
      </c>
      <c r="J355" s="7">
        <v>243</v>
      </c>
      <c r="K355" s="7">
        <v>236</v>
      </c>
      <c r="L355" s="7">
        <v>6.4285714285714297</v>
      </c>
    </row>
    <row r="356" spans="1:12" ht="15" customHeight="1" x14ac:dyDescent="0.2">
      <c r="A356" s="3">
        <v>45532</v>
      </c>
      <c r="B356" s="4">
        <v>238.29</v>
      </c>
      <c r="C356" s="5">
        <v>427647</v>
      </c>
      <c r="D356" s="4">
        <v>-8.8300000000000107</v>
      </c>
      <c r="E356" s="4">
        <v>-3.5731628358692098</v>
      </c>
      <c r="F356" s="4">
        <v>-3.5731628358692098</v>
      </c>
      <c r="G356" s="4">
        <v>238.29</v>
      </c>
      <c r="H356" s="4">
        <v>7.0485175202156301</v>
      </c>
      <c r="I356" s="4">
        <v>245.71</v>
      </c>
      <c r="J356" s="4">
        <v>248.68</v>
      </c>
      <c r="K356" s="4">
        <v>237</v>
      </c>
      <c r="L356" s="4">
        <v>7.0485175202156301</v>
      </c>
    </row>
    <row r="357" spans="1:12" ht="15" customHeight="1" x14ac:dyDescent="0.2">
      <c r="A357" s="6">
        <v>45531</v>
      </c>
      <c r="B357" s="7">
        <v>247.12</v>
      </c>
      <c r="C357" s="8">
        <v>397593</v>
      </c>
      <c r="D357" s="7">
        <v>-4.75999999999999</v>
      </c>
      <c r="E357" s="7">
        <v>-1.88978878831188</v>
      </c>
      <c r="F357" s="7">
        <v>-1.88978878831188</v>
      </c>
      <c r="G357" s="7">
        <v>247.12</v>
      </c>
      <c r="H357" s="7">
        <v>11.0152740341419</v>
      </c>
      <c r="I357" s="7">
        <v>250.62</v>
      </c>
      <c r="J357" s="7">
        <v>257.93</v>
      </c>
      <c r="K357" s="7">
        <v>245.71</v>
      </c>
      <c r="L357" s="7">
        <v>11.0152740341419</v>
      </c>
    </row>
    <row r="358" spans="1:12" ht="15" customHeight="1" x14ac:dyDescent="0.2">
      <c r="A358" s="3">
        <v>45530</v>
      </c>
      <c r="B358" s="4">
        <v>251.88</v>
      </c>
      <c r="C358" s="5">
        <v>194865</v>
      </c>
      <c r="D358" s="4">
        <v>1.00999999999999</v>
      </c>
      <c r="E358" s="4">
        <v>0.40259895563439202</v>
      </c>
      <c r="F358" s="4">
        <v>0.40259895563439202</v>
      </c>
      <c r="G358" s="4">
        <v>251.88</v>
      </c>
      <c r="H358" s="4">
        <v>13.1536388140161</v>
      </c>
      <c r="I358" s="4">
        <v>249.61</v>
      </c>
      <c r="J358" s="4">
        <v>253.98</v>
      </c>
      <c r="K358" s="4">
        <v>247.02</v>
      </c>
      <c r="L358" s="4">
        <v>13.1536388140161</v>
      </c>
    </row>
    <row r="359" spans="1:12" ht="15" customHeight="1" x14ac:dyDescent="0.2">
      <c r="A359" s="6">
        <v>45527</v>
      </c>
      <c r="B359" s="7">
        <v>250.87</v>
      </c>
      <c r="C359" s="8">
        <v>240602</v>
      </c>
      <c r="D359" s="7">
        <v>0.73000000000001797</v>
      </c>
      <c r="E359" s="7">
        <v>0.291836571519965</v>
      </c>
      <c r="F359" s="7">
        <v>0.291836571519965</v>
      </c>
      <c r="G359" s="7">
        <v>250.87</v>
      </c>
      <c r="H359" s="7">
        <v>12.6999101527403</v>
      </c>
      <c r="I359" s="7">
        <v>252.96</v>
      </c>
      <c r="J359" s="7">
        <v>256.74</v>
      </c>
      <c r="K359" s="7">
        <v>249.91</v>
      </c>
      <c r="L359" s="7">
        <v>12.6999101527403</v>
      </c>
    </row>
    <row r="360" spans="1:12" ht="15" customHeight="1" x14ac:dyDescent="0.2">
      <c r="A360" s="3">
        <v>45526</v>
      </c>
      <c r="B360" s="4">
        <v>250.14</v>
      </c>
      <c r="C360" s="5">
        <v>264207</v>
      </c>
      <c r="D360" s="4">
        <v>-8.5800000000000392</v>
      </c>
      <c r="E360" s="4">
        <v>-3.3163265306122498</v>
      </c>
      <c r="F360" s="4">
        <v>-3.3163265306122498</v>
      </c>
      <c r="G360" s="4">
        <v>250.14</v>
      </c>
      <c r="H360" s="4">
        <v>12.3719676549865</v>
      </c>
      <c r="I360" s="4">
        <v>258.3</v>
      </c>
      <c r="J360" s="4">
        <v>264.12</v>
      </c>
      <c r="K360" s="4">
        <v>243.1</v>
      </c>
      <c r="L360" s="4">
        <v>12.3719676549865</v>
      </c>
    </row>
    <row r="361" spans="1:12" ht="15" customHeight="1" x14ac:dyDescent="0.2">
      <c r="A361" s="6">
        <v>45525</v>
      </c>
      <c r="B361" s="7">
        <v>258.72000000000003</v>
      </c>
      <c r="C361" s="8">
        <v>361612</v>
      </c>
      <c r="D361" s="7">
        <v>6.8900000000000103</v>
      </c>
      <c r="E361" s="7">
        <v>2.7359726799825301</v>
      </c>
      <c r="F361" s="7">
        <v>2.7359726799825301</v>
      </c>
      <c r="G361" s="7">
        <v>258.72000000000003</v>
      </c>
      <c r="H361" s="7">
        <v>16.2264150943396</v>
      </c>
      <c r="I361" s="7">
        <v>254.18</v>
      </c>
      <c r="J361" s="7">
        <v>259.92</v>
      </c>
      <c r="K361" s="7">
        <v>249.49</v>
      </c>
      <c r="L361" s="7">
        <v>16.2264150943396</v>
      </c>
    </row>
    <row r="362" spans="1:12" ht="15" customHeight="1" x14ac:dyDescent="0.2">
      <c r="A362" s="3">
        <v>45524</v>
      </c>
      <c r="B362" s="4">
        <v>251.83</v>
      </c>
      <c r="C362" s="5">
        <v>176192</v>
      </c>
      <c r="D362" s="4">
        <v>-1.95999999999997</v>
      </c>
      <c r="E362" s="4">
        <v>-0.77229205248432398</v>
      </c>
      <c r="F362" s="4">
        <v>-0.77229205248432398</v>
      </c>
      <c r="G362" s="4">
        <v>251.83</v>
      </c>
      <c r="H362" s="4">
        <v>13.1311769991015</v>
      </c>
      <c r="I362" s="4">
        <v>252.9</v>
      </c>
      <c r="J362" s="4">
        <v>257.5</v>
      </c>
      <c r="K362" s="4">
        <v>250.16</v>
      </c>
      <c r="L362" s="4">
        <v>13.1311769991015</v>
      </c>
    </row>
    <row r="363" spans="1:12" ht="15" customHeight="1" x14ac:dyDescent="0.2">
      <c r="A363" s="6">
        <v>45523</v>
      </c>
      <c r="B363" s="7">
        <v>253.79</v>
      </c>
      <c r="C363" s="8">
        <v>86385</v>
      </c>
      <c r="D363" s="7">
        <v>3.6699999999999799</v>
      </c>
      <c r="E363" s="7">
        <v>1.4672956980649099</v>
      </c>
      <c r="F363" s="7">
        <v>1.4672956980649099</v>
      </c>
      <c r="G363" s="7">
        <v>253.79</v>
      </c>
      <c r="H363" s="7">
        <v>14.0116801437556</v>
      </c>
      <c r="I363" s="7">
        <v>250.13</v>
      </c>
      <c r="J363" s="7">
        <v>255</v>
      </c>
      <c r="K363" s="7">
        <v>249.1</v>
      </c>
      <c r="L363" s="7">
        <v>14.0116801437556</v>
      </c>
    </row>
    <row r="364" spans="1:12" ht="15" customHeight="1" x14ac:dyDescent="0.2">
      <c r="A364" s="3">
        <v>45520</v>
      </c>
      <c r="B364" s="4">
        <v>250.12</v>
      </c>
      <c r="C364" s="5">
        <v>380771</v>
      </c>
      <c r="D364" s="4">
        <v>-5.87</v>
      </c>
      <c r="E364" s="4">
        <v>-2.2930583225907202</v>
      </c>
      <c r="F364" s="4">
        <v>-2.2930583225907202</v>
      </c>
      <c r="G364" s="4">
        <v>250.12</v>
      </c>
      <c r="H364" s="4">
        <v>12.3629829290206</v>
      </c>
      <c r="I364" s="4">
        <v>255</v>
      </c>
      <c r="J364" s="4">
        <v>257.45</v>
      </c>
      <c r="K364" s="4">
        <v>247.03</v>
      </c>
      <c r="L364" s="4">
        <v>12.3629829290206</v>
      </c>
    </row>
    <row r="365" spans="1:12" ht="15" customHeight="1" x14ac:dyDescent="0.2">
      <c r="A365" s="6">
        <v>45519</v>
      </c>
      <c r="B365" s="7">
        <v>255.99</v>
      </c>
      <c r="C365" s="8">
        <v>135707</v>
      </c>
      <c r="D365" s="7">
        <v>3.9399999999999902</v>
      </c>
      <c r="E365" s="7">
        <v>1.5631819083515099</v>
      </c>
      <c r="F365" s="7">
        <v>1.5631819083515099</v>
      </c>
      <c r="G365" s="7">
        <v>255.99</v>
      </c>
      <c r="H365" s="7">
        <v>15</v>
      </c>
      <c r="I365" s="7">
        <v>253.25</v>
      </c>
      <c r="J365" s="7">
        <v>257.45</v>
      </c>
      <c r="K365" s="7">
        <v>253.25</v>
      </c>
      <c r="L365" s="7">
        <v>15</v>
      </c>
    </row>
    <row r="366" spans="1:12" ht="15" customHeight="1" x14ac:dyDescent="0.2">
      <c r="A366" s="3">
        <v>45518</v>
      </c>
      <c r="B366" s="4">
        <v>252.05</v>
      </c>
      <c r="C366" s="5">
        <v>151537</v>
      </c>
      <c r="D366" s="4">
        <v>1.75</v>
      </c>
      <c r="E366" s="4">
        <v>0.699161006791859</v>
      </c>
      <c r="F366" s="4">
        <v>0.699161006791859</v>
      </c>
      <c r="G366" s="4">
        <v>252.05</v>
      </c>
      <c r="H366" s="4">
        <v>13.230008984725901</v>
      </c>
      <c r="I366" s="4">
        <v>251.7</v>
      </c>
      <c r="J366" s="4">
        <v>253</v>
      </c>
      <c r="K366" s="4">
        <v>249.03</v>
      </c>
      <c r="L366" s="4">
        <v>13.230008984725901</v>
      </c>
    </row>
    <row r="367" spans="1:12" ht="15" customHeight="1" x14ac:dyDescent="0.2">
      <c r="A367" s="6">
        <v>45517</v>
      </c>
      <c r="B367" s="7">
        <v>250.3</v>
      </c>
      <c r="C367" s="8">
        <v>116424</v>
      </c>
      <c r="D367" s="7">
        <v>8.6300000000000203</v>
      </c>
      <c r="E367" s="7">
        <v>3.5709852277899801</v>
      </c>
      <c r="F367" s="7">
        <v>3.5709852277899801</v>
      </c>
      <c r="G367" s="7">
        <v>250.3</v>
      </c>
      <c r="H367" s="7">
        <v>12.4438454627133</v>
      </c>
      <c r="I367" s="7">
        <v>240.01</v>
      </c>
      <c r="J367" s="7">
        <v>251.93</v>
      </c>
      <c r="K367" s="7">
        <v>240.01</v>
      </c>
      <c r="L367" s="7">
        <v>12.4438454627133</v>
      </c>
    </row>
    <row r="368" spans="1:12" ht="15" customHeight="1" x14ac:dyDescent="0.2">
      <c r="A368" s="3">
        <v>45516</v>
      </c>
      <c r="B368" s="4">
        <v>241.67</v>
      </c>
      <c r="C368" s="5">
        <v>131940</v>
      </c>
      <c r="D368" s="4">
        <v>-0.640000000000014</v>
      </c>
      <c r="E368" s="4">
        <v>-0.26412446865585698</v>
      </c>
      <c r="F368" s="4">
        <v>-0.26412446865585698</v>
      </c>
      <c r="G368" s="4">
        <v>241.67</v>
      </c>
      <c r="H368" s="4">
        <v>8.5669362084456395</v>
      </c>
      <c r="I368" s="4">
        <v>242.01</v>
      </c>
      <c r="J368" s="4">
        <v>244</v>
      </c>
      <c r="K368" s="4">
        <v>235</v>
      </c>
      <c r="L368" s="4">
        <v>8.5669362084456395</v>
      </c>
    </row>
    <row r="369" spans="1:12" ht="15" customHeight="1" x14ac:dyDescent="0.2">
      <c r="A369" s="6">
        <v>45513</v>
      </c>
      <c r="B369" s="7">
        <v>242.31</v>
      </c>
      <c r="C369" s="8">
        <v>110166</v>
      </c>
      <c r="D369" s="7">
        <v>-3.21</v>
      </c>
      <c r="E369" s="7">
        <v>-1.30742913000977</v>
      </c>
      <c r="F369" s="7">
        <v>-1.30742913000977</v>
      </c>
      <c r="G369" s="7">
        <v>242.31</v>
      </c>
      <c r="H369" s="7">
        <v>8.8544474393531001</v>
      </c>
      <c r="I369" s="7">
        <v>248.61</v>
      </c>
      <c r="J369" s="7">
        <v>251</v>
      </c>
      <c r="K369" s="7">
        <v>241</v>
      </c>
      <c r="L369" s="7">
        <v>8.8544474393531001</v>
      </c>
    </row>
    <row r="370" spans="1:12" ht="15" customHeight="1" x14ac:dyDescent="0.2">
      <c r="A370" s="3">
        <v>45512</v>
      </c>
      <c r="B370" s="4">
        <v>245.52</v>
      </c>
      <c r="C370" s="5">
        <v>144628</v>
      </c>
      <c r="D370" s="4">
        <v>-0.45999999999997898</v>
      </c>
      <c r="E370" s="4">
        <v>-0.18700707374582601</v>
      </c>
      <c r="F370" s="4">
        <v>-0.18700707374582601</v>
      </c>
      <c r="G370" s="4">
        <v>245.52</v>
      </c>
      <c r="H370" s="4">
        <v>10.296495956873301</v>
      </c>
      <c r="I370" s="4">
        <v>249.39</v>
      </c>
      <c r="J370" s="4">
        <v>251</v>
      </c>
      <c r="K370" s="4">
        <v>245</v>
      </c>
      <c r="L370" s="4">
        <v>10.296495956873301</v>
      </c>
    </row>
    <row r="371" spans="1:12" ht="15" customHeight="1" x14ac:dyDescent="0.2">
      <c r="A371" s="6">
        <v>45511</v>
      </c>
      <c r="B371" s="7">
        <v>245.98</v>
      </c>
      <c r="C371" s="8">
        <v>175197</v>
      </c>
      <c r="D371" s="7">
        <v>-7.65</v>
      </c>
      <c r="E371" s="7">
        <v>-3.0162047076449898</v>
      </c>
      <c r="F371" s="7">
        <v>-3.0162047076449898</v>
      </c>
      <c r="G371" s="7">
        <v>245.98</v>
      </c>
      <c r="H371" s="7">
        <v>10.503144654088</v>
      </c>
      <c r="I371" s="7">
        <v>257.75</v>
      </c>
      <c r="J371" s="7">
        <v>263.95</v>
      </c>
      <c r="K371" s="7">
        <v>245.51</v>
      </c>
      <c r="L371" s="7">
        <v>10.503144654088</v>
      </c>
    </row>
    <row r="372" spans="1:12" ht="15" customHeight="1" x14ac:dyDescent="0.2">
      <c r="A372" s="3">
        <v>45510</v>
      </c>
      <c r="B372" s="4">
        <v>253.63</v>
      </c>
      <c r="C372" s="5">
        <v>184915</v>
      </c>
      <c r="D372" s="4">
        <v>-2.7099999999999702</v>
      </c>
      <c r="E372" s="4">
        <v>-1.05718966996956</v>
      </c>
      <c r="F372" s="4">
        <v>-1.05718966996956</v>
      </c>
      <c r="G372" s="4">
        <v>253.63</v>
      </c>
      <c r="H372" s="4">
        <v>13.9398023360287</v>
      </c>
      <c r="I372" s="4">
        <v>258.23</v>
      </c>
      <c r="J372" s="4">
        <v>258.23</v>
      </c>
      <c r="K372" s="4">
        <v>252.11</v>
      </c>
      <c r="L372" s="4">
        <v>13.9398023360287</v>
      </c>
    </row>
    <row r="373" spans="1:12" ht="15" customHeight="1" x14ac:dyDescent="0.2">
      <c r="A373" s="6">
        <v>45509</v>
      </c>
      <c r="B373" s="7">
        <v>256.33999999999997</v>
      </c>
      <c r="C373" s="8">
        <v>236092</v>
      </c>
      <c r="D373" s="7">
        <v>-13</v>
      </c>
      <c r="E373" s="7">
        <v>-4.8266132026435002</v>
      </c>
      <c r="F373" s="7">
        <v>-4.8266132026435002</v>
      </c>
      <c r="G373" s="7">
        <v>256.33999999999997</v>
      </c>
      <c r="H373" s="7">
        <v>15.157232704402499</v>
      </c>
      <c r="I373" s="7">
        <v>263.76</v>
      </c>
      <c r="J373" s="7">
        <v>269.74</v>
      </c>
      <c r="K373" s="7">
        <v>255</v>
      </c>
      <c r="L373" s="7">
        <v>15.157232704402499</v>
      </c>
    </row>
    <row r="374" spans="1:12" ht="15" customHeight="1" x14ac:dyDescent="0.2">
      <c r="A374" s="3">
        <v>45506</v>
      </c>
      <c r="B374" s="4">
        <v>269.33999999999997</v>
      </c>
      <c r="C374" s="5">
        <v>356893</v>
      </c>
      <c r="D374" s="4">
        <v>3.8699999999999402</v>
      </c>
      <c r="E374" s="4">
        <v>1.45779184088594</v>
      </c>
      <c r="F374" s="4">
        <v>1.45779184088594</v>
      </c>
      <c r="G374" s="4">
        <v>269.33999999999997</v>
      </c>
      <c r="H374" s="4">
        <v>20.997304582210202</v>
      </c>
      <c r="I374" s="4">
        <v>268.47000000000003</v>
      </c>
      <c r="J374" s="4">
        <v>273.98</v>
      </c>
      <c r="K374" s="4">
        <v>266.57</v>
      </c>
      <c r="L374" s="4">
        <v>20.997304582210202</v>
      </c>
    </row>
    <row r="375" spans="1:12" ht="15" customHeight="1" x14ac:dyDescent="0.2">
      <c r="A375" s="6">
        <v>45505</v>
      </c>
      <c r="B375" s="7">
        <v>265.47000000000003</v>
      </c>
      <c r="C375" s="8">
        <v>128317</v>
      </c>
      <c r="D375" s="7">
        <v>-6.7099999999999698</v>
      </c>
      <c r="E375" s="7">
        <v>-2.4652803291939001</v>
      </c>
      <c r="F375" s="7">
        <v>-2.4652803291939001</v>
      </c>
      <c r="G375" s="7">
        <v>265.47000000000003</v>
      </c>
      <c r="H375" s="7">
        <v>19.258760107816698</v>
      </c>
      <c r="I375" s="7">
        <v>273.51</v>
      </c>
      <c r="J375" s="7">
        <v>275.49</v>
      </c>
      <c r="K375" s="7">
        <v>260</v>
      </c>
      <c r="L375" s="7">
        <v>19.258760107816698</v>
      </c>
    </row>
    <row r="376" spans="1:12" ht="15" customHeight="1" x14ac:dyDescent="0.2">
      <c r="A376" s="3">
        <v>45504</v>
      </c>
      <c r="B376" s="4">
        <v>272.18</v>
      </c>
      <c r="C376" s="5">
        <v>257000.99999999901</v>
      </c>
      <c r="D376" s="4">
        <v>17.939999999999898</v>
      </c>
      <c r="E376" s="4">
        <v>7.05632473253619</v>
      </c>
      <c r="F376" s="4">
        <v>7.05632473253619</v>
      </c>
      <c r="G376" s="4">
        <v>272.18</v>
      </c>
      <c r="H376" s="4">
        <v>22.273135669361999</v>
      </c>
      <c r="I376" s="4">
        <v>259</v>
      </c>
      <c r="J376" s="4">
        <v>281.67</v>
      </c>
      <c r="K376" s="4">
        <v>259</v>
      </c>
      <c r="L376" s="4">
        <v>22.273135669361999</v>
      </c>
    </row>
    <row r="377" spans="1:12" ht="15" customHeight="1" x14ac:dyDescent="0.2">
      <c r="A377" s="6">
        <v>45503</v>
      </c>
      <c r="B377" s="7">
        <v>254.24</v>
      </c>
      <c r="C377" s="8">
        <v>353503</v>
      </c>
      <c r="D377" s="7">
        <v>1.53</v>
      </c>
      <c r="E377" s="7">
        <v>0.60543706224525096</v>
      </c>
      <c r="F377" s="7">
        <v>0.60543706224525096</v>
      </c>
      <c r="G377" s="7">
        <v>254.24</v>
      </c>
      <c r="H377" s="7">
        <v>14.2138364779874</v>
      </c>
      <c r="I377" s="7">
        <v>255</v>
      </c>
      <c r="J377" s="7">
        <v>259.8</v>
      </c>
      <c r="K377" s="7">
        <v>250.34</v>
      </c>
      <c r="L377" s="7">
        <v>14.2138364779874</v>
      </c>
    </row>
    <row r="378" spans="1:12" ht="15" customHeight="1" x14ac:dyDescent="0.2">
      <c r="A378" s="3">
        <v>45502</v>
      </c>
      <c r="B378" s="4">
        <v>252.71</v>
      </c>
      <c r="C378" s="5">
        <v>163210</v>
      </c>
      <c r="D378" s="4">
        <v>4.84</v>
      </c>
      <c r="E378" s="4">
        <v>1.95263646266188</v>
      </c>
      <c r="F378" s="4">
        <v>1.95263646266188</v>
      </c>
      <c r="G378" s="4">
        <v>252.71</v>
      </c>
      <c r="H378" s="4">
        <v>13.5265049415992</v>
      </c>
      <c r="I378" s="4">
        <v>247.81</v>
      </c>
      <c r="J378" s="4">
        <v>254.9</v>
      </c>
      <c r="K378" s="4">
        <v>245.05</v>
      </c>
      <c r="L378" s="4">
        <v>13.5265049415992</v>
      </c>
    </row>
    <row r="379" spans="1:12" ht="15" customHeight="1" x14ac:dyDescent="0.2">
      <c r="A379" s="6">
        <v>45499</v>
      </c>
      <c r="B379" s="7">
        <v>247.87</v>
      </c>
      <c r="C379" s="8">
        <v>209510</v>
      </c>
      <c r="D379" s="7">
        <v>3.5</v>
      </c>
      <c r="E379" s="7">
        <v>1.43225436837581</v>
      </c>
      <c r="F379" s="7">
        <v>1.43225436837581</v>
      </c>
      <c r="G379" s="7">
        <v>247.87</v>
      </c>
      <c r="H379" s="7">
        <v>11.3522012578616</v>
      </c>
      <c r="I379" s="7">
        <v>244</v>
      </c>
      <c r="J379" s="7">
        <v>249.6</v>
      </c>
      <c r="K379" s="7">
        <v>240.91</v>
      </c>
      <c r="L379" s="7">
        <v>11.3522012578616</v>
      </c>
    </row>
    <row r="380" spans="1:12" ht="15" customHeight="1" x14ac:dyDescent="0.2">
      <c r="A380" s="3">
        <v>45498</v>
      </c>
      <c r="B380" s="4">
        <v>244.37</v>
      </c>
      <c r="C380" s="5">
        <v>249259</v>
      </c>
      <c r="D380" s="4">
        <v>-5.2899999999999903</v>
      </c>
      <c r="E380" s="4">
        <v>-2.1188816790835499</v>
      </c>
      <c r="F380" s="4">
        <v>-2.1188816790835499</v>
      </c>
      <c r="G380" s="4">
        <v>244.37</v>
      </c>
      <c r="H380" s="4">
        <v>9.7798742138364805</v>
      </c>
      <c r="I380" s="4">
        <v>250.04</v>
      </c>
      <c r="J380" s="4">
        <v>250.07</v>
      </c>
      <c r="K380" s="4">
        <v>243.09</v>
      </c>
      <c r="L380" s="4">
        <v>9.7798742138364805</v>
      </c>
    </row>
    <row r="381" spans="1:12" ht="15" customHeight="1" x14ac:dyDescent="0.2">
      <c r="A381" s="6">
        <v>45497</v>
      </c>
      <c r="B381" s="7">
        <v>249.66</v>
      </c>
      <c r="C381" s="8">
        <v>170961</v>
      </c>
      <c r="D381" s="7">
        <v>2.9499999999999802</v>
      </c>
      <c r="E381" s="7">
        <v>1.19573588423653</v>
      </c>
      <c r="F381" s="7">
        <v>1.19573588423653</v>
      </c>
      <c r="G381" s="7">
        <v>249.66</v>
      </c>
      <c r="H381" s="7">
        <v>12.1563342318059</v>
      </c>
      <c r="I381" s="7">
        <v>247.8</v>
      </c>
      <c r="J381" s="7">
        <v>257</v>
      </c>
      <c r="K381" s="7">
        <v>247.29</v>
      </c>
      <c r="L381" s="7">
        <v>12.1563342318059</v>
      </c>
    </row>
    <row r="382" spans="1:12" ht="15" customHeight="1" x14ac:dyDescent="0.2">
      <c r="A382" s="3">
        <v>45496</v>
      </c>
      <c r="B382" s="4">
        <v>246.71</v>
      </c>
      <c r="C382" s="5">
        <v>176026</v>
      </c>
      <c r="D382" s="4">
        <v>-9.0299999999999994</v>
      </c>
      <c r="E382" s="4">
        <v>-3.5309298506295401</v>
      </c>
      <c r="F382" s="4">
        <v>-3.5309298506295401</v>
      </c>
      <c r="G382" s="4">
        <v>246.71</v>
      </c>
      <c r="H382" s="4">
        <v>10.8310871518418</v>
      </c>
      <c r="I382" s="4">
        <v>254.46</v>
      </c>
      <c r="J382" s="4">
        <v>254.5</v>
      </c>
      <c r="K382" s="4">
        <v>245.41</v>
      </c>
      <c r="L382" s="4">
        <v>10.8310871518418</v>
      </c>
    </row>
    <row r="383" spans="1:12" ht="15" customHeight="1" x14ac:dyDescent="0.2">
      <c r="A383" s="6">
        <v>45495</v>
      </c>
      <c r="B383" s="7">
        <v>255.74</v>
      </c>
      <c r="C383" s="8">
        <v>169498</v>
      </c>
      <c r="D383" s="7">
        <v>-2.7300000000000102</v>
      </c>
      <c r="E383" s="7">
        <v>-1.0562154215189401</v>
      </c>
      <c r="F383" s="7">
        <v>-1.0562154215189401</v>
      </c>
      <c r="G383" s="7">
        <v>255.74</v>
      </c>
      <c r="H383" s="7">
        <v>14.8876909254267</v>
      </c>
      <c r="I383" s="7">
        <v>257.94</v>
      </c>
      <c r="J383" s="7">
        <v>263.94</v>
      </c>
      <c r="K383" s="7">
        <v>251.55</v>
      </c>
      <c r="L383" s="7">
        <v>14.8876909254267</v>
      </c>
    </row>
    <row r="384" spans="1:12" ht="15" customHeight="1" x14ac:dyDescent="0.2">
      <c r="A384" s="3">
        <v>45492</v>
      </c>
      <c r="B384" s="4">
        <v>258.47000000000003</v>
      </c>
      <c r="C384" s="5">
        <v>163437</v>
      </c>
      <c r="D384" s="4">
        <v>8.1600000000000197</v>
      </c>
      <c r="E384" s="4">
        <v>3.2599576525109</v>
      </c>
      <c r="F384" s="4">
        <v>3.2599576525109</v>
      </c>
      <c r="G384" s="4">
        <v>258.47000000000003</v>
      </c>
      <c r="H384" s="4">
        <v>16.1141060197664</v>
      </c>
      <c r="I384" s="4">
        <v>249.38</v>
      </c>
      <c r="J384" s="4">
        <v>263.98</v>
      </c>
      <c r="K384" s="4">
        <v>249.38</v>
      </c>
      <c r="L384" s="4">
        <v>16.1141060197664</v>
      </c>
    </row>
    <row r="385" spans="1:12" ht="15" customHeight="1" x14ac:dyDescent="0.2">
      <c r="A385" s="6">
        <v>45491</v>
      </c>
      <c r="B385" s="7">
        <v>250.31</v>
      </c>
      <c r="C385" s="8">
        <v>151201</v>
      </c>
      <c r="D385" s="7">
        <v>-12.2099999999999</v>
      </c>
      <c r="E385" s="7">
        <v>-4.65107420387017</v>
      </c>
      <c r="F385" s="7">
        <v>-4.65107420387017</v>
      </c>
      <c r="G385" s="7">
        <v>250.31</v>
      </c>
      <c r="H385" s="7">
        <v>12.448337825696299</v>
      </c>
      <c r="I385" s="7">
        <v>262</v>
      </c>
      <c r="J385" s="7">
        <v>264</v>
      </c>
      <c r="K385" s="7">
        <v>249.03</v>
      </c>
      <c r="L385" s="7">
        <v>12.448337825696299</v>
      </c>
    </row>
    <row r="386" spans="1:12" ht="15" customHeight="1" x14ac:dyDescent="0.2">
      <c r="A386" s="3">
        <v>45490</v>
      </c>
      <c r="B386" s="4">
        <v>262.52</v>
      </c>
      <c r="C386" s="5">
        <v>244455</v>
      </c>
      <c r="D386" s="4">
        <v>-3.5200000000000302</v>
      </c>
      <c r="E386" s="4">
        <v>-1.3231093068711599</v>
      </c>
      <c r="F386" s="4">
        <v>-1.3231093068711599</v>
      </c>
      <c r="G386" s="4">
        <v>262.52</v>
      </c>
      <c r="H386" s="4">
        <v>17.933513027852602</v>
      </c>
      <c r="I386" s="4">
        <v>266.54000000000002</v>
      </c>
      <c r="J386" s="4">
        <v>275.04000000000002</v>
      </c>
      <c r="K386" s="4">
        <v>261.61</v>
      </c>
      <c r="L386" s="4">
        <v>17.933513027852602</v>
      </c>
    </row>
    <row r="387" spans="1:12" ht="15" customHeight="1" x14ac:dyDescent="0.2">
      <c r="A387" s="6">
        <v>45489</v>
      </c>
      <c r="B387" s="7">
        <v>266.04000000000002</v>
      </c>
      <c r="C387" s="8">
        <v>157877</v>
      </c>
      <c r="D387" s="7">
        <v>3.5900000000000301</v>
      </c>
      <c r="E387" s="7">
        <v>1.3678795961135499</v>
      </c>
      <c r="F387" s="7">
        <v>1.3678795961135499</v>
      </c>
      <c r="G387" s="7">
        <v>266.04000000000002</v>
      </c>
      <c r="H387" s="7">
        <v>19.514824797843598</v>
      </c>
      <c r="I387" s="7">
        <v>262.57</v>
      </c>
      <c r="J387" s="7">
        <v>266.47000000000003</v>
      </c>
      <c r="K387" s="7">
        <v>261.02</v>
      </c>
      <c r="L387" s="7">
        <v>19.514824797843598</v>
      </c>
    </row>
    <row r="388" spans="1:12" ht="15" customHeight="1" x14ac:dyDescent="0.2">
      <c r="A388" s="3">
        <v>45488</v>
      </c>
      <c r="B388" s="4">
        <v>262.45</v>
      </c>
      <c r="C388" s="5">
        <v>177613</v>
      </c>
      <c r="D388" s="4">
        <v>-1.1200000000000001</v>
      </c>
      <c r="E388" s="4">
        <v>-0.42493455249079598</v>
      </c>
      <c r="F388" s="4">
        <v>-0.42493455249079598</v>
      </c>
      <c r="G388" s="4">
        <v>262.45</v>
      </c>
      <c r="H388" s="4">
        <v>17.9020664869721</v>
      </c>
      <c r="I388" s="4">
        <v>259.49</v>
      </c>
      <c r="J388" s="4">
        <v>263.04000000000002</v>
      </c>
      <c r="K388" s="4">
        <v>258.62</v>
      </c>
      <c r="L388" s="4">
        <v>17.9020664869721</v>
      </c>
    </row>
    <row r="389" spans="1:12" ht="15" customHeight="1" x14ac:dyDescent="0.2">
      <c r="A389" s="6">
        <v>45485</v>
      </c>
      <c r="B389" s="7">
        <v>263.57</v>
      </c>
      <c r="C389" s="8">
        <v>138010</v>
      </c>
      <c r="D389" s="7">
        <v>2.21999999999997</v>
      </c>
      <c r="E389" s="7">
        <v>0.84943562272812301</v>
      </c>
      <c r="F389" s="7">
        <v>0.84943562272812301</v>
      </c>
      <c r="G389" s="7">
        <v>263.57</v>
      </c>
      <c r="H389" s="7">
        <v>18.4052111410602</v>
      </c>
      <c r="I389" s="7">
        <v>261</v>
      </c>
      <c r="J389" s="7">
        <v>267.5</v>
      </c>
      <c r="K389" s="7">
        <v>260</v>
      </c>
      <c r="L389" s="7">
        <v>18.4052111410602</v>
      </c>
    </row>
    <row r="390" spans="1:12" ht="15" customHeight="1" x14ac:dyDescent="0.2">
      <c r="A390" s="3">
        <v>45484</v>
      </c>
      <c r="B390" s="4">
        <v>261.35000000000002</v>
      </c>
      <c r="C390" s="5">
        <v>173954</v>
      </c>
      <c r="D390" s="4">
        <v>3.1400000000000401</v>
      </c>
      <c r="E390" s="4">
        <v>1.2160644436699</v>
      </c>
      <c r="F390" s="4">
        <v>1.2160644436699</v>
      </c>
      <c r="G390" s="4">
        <v>261.35000000000002</v>
      </c>
      <c r="H390" s="4">
        <v>17.407906558849898</v>
      </c>
      <c r="I390" s="4">
        <v>259.49</v>
      </c>
      <c r="J390" s="4">
        <v>264.47000000000003</v>
      </c>
      <c r="K390" s="4">
        <v>259.49</v>
      </c>
      <c r="L390" s="4">
        <v>17.407906558849898</v>
      </c>
    </row>
    <row r="391" spans="1:12" ht="15" customHeight="1" x14ac:dyDescent="0.2">
      <c r="A391" s="6">
        <v>45483</v>
      </c>
      <c r="B391" s="7">
        <v>258.20999999999998</v>
      </c>
      <c r="C391" s="8">
        <v>264324</v>
      </c>
      <c r="D391" s="7">
        <v>9.9499999999999797</v>
      </c>
      <c r="E391" s="7">
        <v>4.0078949488439397</v>
      </c>
      <c r="F391" s="7">
        <v>4.0078949488439397</v>
      </c>
      <c r="G391" s="7">
        <v>258.20999999999998</v>
      </c>
      <c r="H391" s="7">
        <v>15.9973045822102</v>
      </c>
      <c r="I391" s="7">
        <v>252.34</v>
      </c>
      <c r="J391" s="7">
        <v>258.99</v>
      </c>
      <c r="K391" s="7">
        <v>250.26</v>
      </c>
      <c r="L391" s="7">
        <v>15.9973045822102</v>
      </c>
    </row>
    <row r="392" spans="1:12" ht="15" customHeight="1" x14ac:dyDescent="0.2">
      <c r="A392" s="3">
        <v>45482</v>
      </c>
      <c r="B392" s="4">
        <v>248.26</v>
      </c>
      <c r="C392" s="5">
        <v>112991</v>
      </c>
      <c r="D392" s="4">
        <v>-2.7300000000000102</v>
      </c>
      <c r="E392" s="4">
        <v>-1.0876927367624201</v>
      </c>
      <c r="F392" s="4">
        <v>-1.0876927367624201</v>
      </c>
      <c r="G392" s="4">
        <v>248.26</v>
      </c>
      <c r="H392" s="4">
        <v>11.527403414195801</v>
      </c>
      <c r="I392" s="4">
        <v>249.73</v>
      </c>
      <c r="J392" s="4">
        <v>259.29000000000002</v>
      </c>
      <c r="K392" s="4">
        <v>246.38</v>
      </c>
      <c r="L392" s="4">
        <v>11.527403414195801</v>
      </c>
    </row>
    <row r="393" spans="1:12" ht="15" customHeight="1" x14ac:dyDescent="0.2">
      <c r="A393" s="6">
        <v>45481</v>
      </c>
      <c r="B393" s="7">
        <v>250.99</v>
      </c>
      <c r="C393" s="8">
        <v>190405</v>
      </c>
      <c r="D393" s="7">
        <v>2.3900000000000099</v>
      </c>
      <c r="E393" s="7">
        <v>0.96138374899437096</v>
      </c>
      <c r="F393" s="7">
        <v>0.96138374899437096</v>
      </c>
      <c r="G393" s="7">
        <v>250.99</v>
      </c>
      <c r="H393" s="7">
        <v>12.753818508535399</v>
      </c>
      <c r="I393" s="7">
        <v>248.6</v>
      </c>
      <c r="J393" s="7">
        <v>252.49</v>
      </c>
      <c r="K393" s="7">
        <v>248.5</v>
      </c>
      <c r="L393" s="7">
        <v>12.753818508535399</v>
      </c>
    </row>
    <row r="394" spans="1:12" ht="15" customHeight="1" x14ac:dyDescent="0.2">
      <c r="A394" s="3">
        <v>45478</v>
      </c>
      <c r="B394" s="4">
        <v>248.6</v>
      </c>
      <c r="C394" s="5">
        <v>225589</v>
      </c>
      <c r="D394" s="4">
        <v>2.0999999999999899</v>
      </c>
      <c r="E394" s="4">
        <v>0.85192697768763304</v>
      </c>
      <c r="F394" s="4">
        <v>0.85192697768763304</v>
      </c>
      <c r="G394" s="4">
        <v>248.6</v>
      </c>
      <c r="H394" s="4">
        <v>11.680143755615401</v>
      </c>
      <c r="I394" s="4">
        <v>245.26</v>
      </c>
      <c r="J394" s="4">
        <v>249.79</v>
      </c>
      <c r="K394" s="4">
        <v>245.26</v>
      </c>
      <c r="L394" s="4">
        <v>11.680143755615401</v>
      </c>
    </row>
    <row r="395" spans="1:12" ht="15" customHeight="1" x14ac:dyDescent="0.2">
      <c r="A395" s="6">
        <v>45477</v>
      </c>
      <c r="B395" s="7">
        <v>246.5</v>
      </c>
      <c r="C395" s="8">
        <v>20071</v>
      </c>
      <c r="D395" s="7">
        <v>2.74</v>
      </c>
      <c r="E395" s="7">
        <v>1.1240564489661999</v>
      </c>
      <c r="F395" s="7">
        <v>1.1240564489661999</v>
      </c>
      <c r="G395" s="7">
        <v>246.5</v>
      </c>
      <c r="H395" s="7">
        <v>10.736747529200301</v>
      </c>
      <c r="I395" s="7">
        <v>245.99</v>
      </c>
      <c r="J395" s="7">
        <v>247.74</v>
      </c>
      <c r="K395" s="7">
        <v>245.09</v>
      </c>
      <c r="L395" s="7">
        <v>10.736747529200301</v>
      </c>
    </row>
    <row r="396" spans="1:12" ht="15" customHeight="1" x14ac:dyDescent="0.2">
      <c r="A396" s="3">
        <v>45476</v>
      </c>
      <c r="B396" s="4">
        <v>243.76</v>
      </c>
      <c r="C396" s="5">
        <v>222952</v>
      </c>
      <c r="D396" s="4">
        <v>9.4199999999999804</v>
      </c>
      <c r="E396" s="4">
        <v>4.0198002901766499</v>
      </c>
      <c r="F396" s="4">
        <v>4.0198002901766499</v>
      </c>
      <c r="G396" s="4">
        <v>243.76</v>
      </c>
      <c r="H396" s="4">
        <v>9.5058400718778007</v>
      </c>
      <c r="I396" s="4">
        <v>235.2</v>
      </c>
      <c r="J396" s="4">
        <v>248.96</v>
      </c>
      <c r="K396" s="4">
        <v>235.2</v>
      </c>
      <c r="L396" s="4">
        <v>9.5058400718778007</v>
      </c>
    </row>
    <row r="397" spans="1:12" ht="15" customHeight="1" x14ac:dyDescent="0.2">
      <c r="A397" s="6">
        <v>45475</v>
      </c>
      <c r="B397" s="7">
        <v>234.34</v>
      </c>
      <c r="C397" s="8">
        <v>388595</v>
      </c>
      <c r="D397" s="7">
        <v>-4.1699999999999804</v>
      </c>
      <c r="E397" s="7">
        <v>-1.74835436669321</v>
      </c>
      <c r="F397" s="7">
        <v>-1.74835436669321</v>
      </c>
      <c r="G397" s="7">
        <v>234.34</v>
      </c>
      <c r="H397" s="7">
        <v>5.27403414195867</v>
      </c>
      <c r="I397" s="7">
        <v>240.23</v>
      </c>
      <c r="J397" s="7">
        <v>241.84</v>
      </c>
      <c r="K397" s="7">
        <v>233.35</v>
      </c>
      <c r="L397" s="7">
        <v>5.27403414195867</v>
      </c>
    </row>
    <row r="398" spans="1:12" ht="15" customHeight="1" x14ac:dyDescent="0.2">
      <c r="A398" s="3">
        <v>45474</v>
      </c>
      <c r="B398" s="4">
        <v>238.51</v>
      </c>
      <c r="C398" s="5">
        <v>181923</v>
      </c>
      <c r="D398" s="4">
        <v>0.75999999999999002</v>
      </c>
      <c r="E398" s="4">
        <v>0.31966351209253802</v>
      </c>
      <c r="F398" s="4">
        <v>0.31966351209253802</v>
      </c>
      <c r="G398" s="4">
        <v>238.51</v>
      </c>
      <c r="H398" s="4">
        <v>7.1473495058400696</v>
      </c>
      <c r="I398" s="4">
        <v>241.34</v>
      </c>
      <c r="J398" s="4">
        <v>243.5</v>
      </c>
      <c r="K398" s="4">
        <v>238</v>
      </c>
      <c r="L398" s="4">
        <v>7.1473495058400696</v>
      </c>
    </row>
    <row r="399" spans="1:12" ht="15" customHeight="1" x14ac:dyDescent="0.2">
      <c r="A399" s="6">
        <v>45471</v>
      </c>
      <c r="B399" s="7">
        <v>237.75</v>
      </c>
      <c r="C399" s="8">
        <v>292190</v>
      </c>
      <c r="D399" s="7">
        <v>-0.50999999999999002</v>
      </c>
      <c r="E399" s="7">
        <v>-0.21405187610172799</v>
      </c>
      <c r="F399" s="7">
        <v>-0.21405187610172799</v>
      </c>
      <c r="G399" s="7">
        <v>237.75</v>
      </c>
      <c r="H399" s="7">
        <v>6.8059299191374603</v>
      </c>
      <c r="I399" s="7">
        <v>240.3</v>
      </c>
      <c r="J399" s="7">
        <v>244.94</v>
      </c>
      <c r="K399" s="7">
        <v>236.57</v>
      </c>
      <c r="L399" s="7">
        <v>6.8059299191374603</v>
      </c>
    </row>
    <row r="400" spans="1:12" ht="15" customHeight="1" x14ac:dyDescent="0.2">
      <c r="A400" s="3">
        <v>45470</v>
      </c>
      <c r="B400" s="4">
        <v>238.26</v>
      </c>
      <c r="C400" s="5">
        <v>230066</v>
      </c>
      <c r="D400" s="4">
        <v>-1.0900000000000001</v>
      </c>
      <c r="E400" s="4">
        <v>-0.45540004177981802</v>
      </c>
      <c r="F400" s="4">
        <v>-0.45540004177981802</v>
      </c>
      <c r="G400" s="4">
        <v>238.26</v>
      </c>
      <c r="H400" s="4">
        <v>7.0350404312668404</v>
      </c>
      <c r="I400" s="4">
        <v>241.87</v>
      </c>
      <c r="J400" s="4">
        <v>243.98</v>
      </c>
      <c r="K400" s="4">
        <v>236.02</v>
      </c>
      <c r="L400" s="4">
        <v>7.0350404312668404</v>
      </c>
    </row>
    <row r="401" spans="1:12" ht="15" customHeight="1" x14ac:dyDescent="0.2">
      <c r="A401" s="6">
        <v>45469</v>
      </c>
      <c r="B401" s="7">
        <v>239.35</v>
      </c>
      <c r="C401" s="8">
        <v>390419</v>
      </c>
      <c r="D401" s="7">
        <v>-0.70000000000001705</v>
      </c>
      <c r="E401" s="7">
        <v>-0.29160591543428899</v>
      </c>
      <c r="F401" s="7">
        <v>-0.29160591543428899</v>
      </c>
      <c r="G401" s="7">
        <v>239.35</v>
      </c>
      <c r="H401" s="7">
        <v>7.5247079964061099</v>
      </c>
      <c r="I401" s="7">
        <v>238.69</v>
      </c>
      <c r="J401" s="7">
        <v>243.7</v>
      </c>
      <c r="K401" s="7">
        <v>236</v>
      </c>
      <c r="L401" s="7">
        <v>7.5247079964061099</v>
      </c>
    </row>
    <row r="402" spans="1:12" ht="15" customHeight="1" x14ac:dyDescent="0.2">
      <c r="A402" s="3">
        <v>45468</v>
      </c>
      <c r="B402" s="4">
        <v>240.05</v>
      </c>
      <c r="C402" s="5">
        <v>286226</v>
      </c>
      <c r="D402" s="4">
        <v>-0.33999999999997499</v>
      </c>
      <c r="E402" s="4">
        <v>-0.141436831814956</v>
      </c>
      <c r="F402" s="4">
        <v>-0.141436831814956</v>
      </c>
      <c r="G402" s="4">
        <v>240.05</v>
      </c>
      <c r="H402" s="4">
        <v>7.8391734052111497</v>
      </c>
      <c r="I402" s="4">
        <v>241.81</v>
      </c>
      <c r="J402" s="4">
        <v>243.98</v>
      </c>
      <c r="K402" s="4">
        <v>238</v>
      </c>
      <c r="L402" s="4">
        <v>7.8391734052111497</v>
      </c>
    </row>
    <row r="403" spans="1:12" ht="15" customHeight="1" x14ac:dyDescent="0.2">
      <c r="A403" s="6">
        <v>45467</v>
      </c>
      <c r="B403" s="7">
        <v>240.39</v>
      </c>
      <c r="C403" s="8">
        <v>450481</v>
      </c>
      <c r="D403" s="7">
        <v>0.65999999999999603</v>
      </c>
      <c r="E403" s="7">
        <v>0.275309723438876</v>
      </c>
      <c r="F403" s="7">
        <v>0.275309723438876</v>
      </c>
      <c r="G403" s="7">
        <v>240.39</v>
      </c>
      <c r="H403" s="7">
        <v>7.9919137466307202</v>
      </c>
      <c r="I403" s="7">
        <v>240.92</v>
      </c>
      <c r="J403" s="7">
        <v>244.85</v>
      </c>
      <c r="K403" s="7">
        <v>240</v>
      </c>
      <c r="L403" s="7">
        <v>7.9919137466307202</v>
      </c>
    </row>
    <row r="404" spans="1:12" ht="15" customHeight="1" x14ac:dyDescent="0.2">
      <c r="A404" s="3">
        <v>45464</v>
      </c>
      <c r="B404" s="4">
        <v>239.73</v>
      </c>
      <c r="C404" s="5">
        <v>1948609</v>
      </c>
      <c r="D404" s="4">
        <v>-18.229999999999901</v>
      </c>
      <c r="E404" s="4">
        <v>-7.0669871297875604</v>
      </c>
      <c r="F404" s="4">
        <v>-7.0669871297875604</v>
      </c>
      <c r="G404" s="4">
        <v>239.73</v>
      </c>
      <c r="H404" s="4">
        <v>7.6954177897574096</v>
      </c>
      <c r="I404" s="4">
        <v>255</v>
      </c>
      <c r="J404" s="4">
        <v>257.7</v>
      </c>
      <c r="K404" s="4">
        <v>239.01</v>
      </c>
      <c r="L404" s="4">
        <v>7.6954177897574096</v>
      </c>
    </row>
    <row r="405" spans="1:12" ht="15" customHeight="1" x14ac:dyDescent="0.2">
      <c r="A405" s="6">
        <v>45463</v>
      </c>
      <c r="B405" s="7">
        <v>257.95999999999998</v>
      </c>
      <c r="C405" s="8">
        <v>253101</v>
      </c>
      <c r="D405" s="7">
        <v>11.7099999999999</v>
      </c>
      <c r="E405" s="7">
        <v>4.7553299492385701</v>
      </c>
      <c r="F405" s="7">
        <v>4.7553299492385701</v>
      </c>
      <c r="G405" s="7">
        <v>257.95999999999998</v>
      </c>
      <c r="H405" s="7">
        <v>15.884995507637001</v>
      </c>
      <c r="I405" s="7">
        <v>245.99</v>
      </c>
      <c r="J405" s="7">
        <v>259.58999999999997</v>
      </c>
      <c r="K405" s="7">
        <v>241.22</v>
      </c>
      <c r="L405" s="7">
        <v>15.884995507637001</v>
      </c>
    </row>
    <row r="406" spans="1:12" ht="15" customHeight="1" x14ac:dyDescent="0.2">
      <c r="A406" s="3">
        <v>45462</v>
      </c>
      <c r="B406" s="4">
        <v>246.25</v>
      </c>
      <c r="C406" s="5">
        <v>65781</v>
      </c>
      <c r="D406" s="4">
        <v>-2.15</v>
      </c>
      <c r="E406" s="4">
        <v>-0.86553945249597797</v>
      </c>
      <c r="F406" s="4">
        <v>-0.86553945249597797</v>
      </c>
      <c r="G406" s="4">
        <v>246.25</v>
      </c>
      <c r="H406" s="4">
        <v>10.6244384546271</v>
      </c>
      <c r="I406" s="4">
        <v>248.15</v>
      </c>
      <c r="J406" s="4">
        <v>249.89</v>
      </c>
      <c r="K406" s="4">
        <v>243.14</v>
      </c>
      <c r="L406" s="4">
        <v>10.6244384546271</v>
      </c>
    </row>
    <row r="407" spans="1:12" ht="15" customHeight="1" x14ac:dyDescent="0.2">
      <c r="A407" s="6">
        <v>45461</v>
      </c>
      <c r="B407" s="7">
        <v>248.4</v>
      </c>
      <c r="C407" s="8">
        <v>205047</v>
      </c>
      <c r="D407" s="7">
        <v>9.0999999999999908</v>
      </c>
      <c r="E407" s="7">
        <v>3.8027580442958602</v>
      </c>
      <c r="F407" s="7">
        <v>3.8027580442958602</v>
      </c>
      <c r="G407" s="7">
        <v>248.4</v>
      </c>
      <c r="H407" s="7">
        <v>11.5902964959568</v>
      </c>
      <c r="I407" s="7">
        <v>239</v>
      </c>
      <c r="J407" s="7">
        <v>250.05</v>
      </c>
      <c r="K407" s="7">
        <v>239</v>
      </c>
      <c r="L407" s="7">
        <v>11.5902964959568</v>
      </c>
    </row>
    <row r="408" spans="1:12" ht="15" customHeight="1" x14ac:dyDescent="0.2">
      <c r="A408" s="3">
        <v>45460</v>
      </c>
      <c r="B408" s="4">
        <v>239.3</v>
      </c>
      <c r="C408" s="5">
        <v>104699</v>
      </c>
      <c r="D408" s="4">
        <v>-0.93999999999999695</v>
      </c>
      <c r="E408" s="4">
        <v>-0.39127539127539102</v>
      </c>
      <c r="F408" s="4">
        <v>-0.39127539127539102</v>
      </c>
      <c r="G408" s="4">
        <v>239.3</v>
      </c>
      <c r="H408" s="4">
        <v>7.5022461814914703</v>
      </c>
      <c r="I408" s="4">
        <v>240.49</v>
      </c>
      <c r="J408" s="4">
        <v>243.95</v>
      </c>
      <c r="K408" s="4">
        <v>238.9</v>
      </c>
      <c r="L408" s="4">
        <v>7.5022461814914703</v>
      </c>
    </row>
    <row r="409" spans="1:12" ht="15" customHeight="1" x14ac:dyDescent="0.2">
      <c r="A409" s="6">
        <v>45457</v>
      </c>
      <c r="B409" s="7">
        <v>240.24</v>
      </c>
      <c r="C409" s="8">
        <v>165189</v>
      </c>
      <c r="D409" s="7">
        <v>0.42000000000001497</v>
      </c>
      <c r="E409" s="7">
        <v>0.175131348511392</v>
      </c>
      <c r="F409" s="7">
        <v>0.175131348511392</v>
      </c>
      <c r="G409" s="7">
        <v>240.24</v>
      </c>
      <c r="H409" s="7">
        <v>7.9245283018867898</v>
      </c>
      <c r="I409" s="7">
        <v>242.99</v>
      </c>
      <c r="J409" s="7">
        <v>243.06</v>
      </c>
      <c r="K409" s="7">
        <v>239.11</v>
      </c>
      <c r="L409" s="7">
        <v>7.9245283018867898</v>
      </c>
    </row>
    <row r="410" spans="1:12" ht="15" customHeight="1" x14ac:dyDescent="0.2">
      <c r="A410" s="3">
        <v>45456</v>
      </c>
      <c r="B410" s="4">
        <v>239.82</v>
      </c>
      <c r="C410" s="5">
        <v>162782</v>
      </c>
      <c r="D410" s="4">
        <v>-2.9399999999999902</v>
      </c>
      <c r="E410" s="4">
        <v>-1.2110726643598499</v>
      </c>
      <c r="F410" s="4">
        <v>-1.2110726643598499</v>
      </c>
      <c r="G410" s="4">
        <v>239.82</v>
      </c>
      <c r="H410" s="4">
        <v>7.7358490566037696</v>
      </c>
      <c r="I410" s="4">
        <v>243.96</v>
      </c>
      <c r="J410" s="4">
        <v>246.65</v>
      </c>
      <c r="K410" s="4">
        <v>238.18</v>
      </c>
      <c r="L410" s="4">
        <v>7.7358490566037696</v>
      </c>
    </row>
    <row r="411" spans="1:12" ht="15" customHeight="1" x14ac:dyDescent="0.2">
      <c r="A411" s="6">
        <v>45455</v>
      </c>
      <c r="B411" s="7">
        <v>242.76</v>
      </c>
      <c r="C411" s="8">
        <v>476318</v>
      </c>
      <c r="D411" s="7">
        <v>1.45999999999997</v>
      </c>
      <c r="E411" s="7">
        <v>0.60505594695399101</v>
      </c>
      <c r="F411" s="7">
        <v>0.60505594695399101</v>
      </c>
      <c r="G411" s="7">
        <v>242.76</v>
      </c>
      <c r="H411" s="7">
        <v>9.0566037735849001</v>
      </c>
      <c r="I411" s="7">
        <v>240.09</v>
      </c>
      <c r="J411" s="7">
        <v>247.62</v>
      </c>
      <c r="K411" s="7">
        <v>239.01</v>
      </c>
      <c r="L411" s="7">
        <v>9.0566037735849001</v>
      </c>
    </row>
    <row r="412" spans="1:12" ht="15" customHeight="1" x14ac:dyDescent="0.2">
      <c r="A412" s="3">
        <v>45454</v>
      </c>
      <c r="B412" s="4">
        <v>241.3</v>
      </c>
      <c r="C412" s="5">
        <v>276282</v>
      </c>
      <c r="D412" s="4">
        <v>4.74</v>
      </c>
      <c r="E412" s="4">
        <v>2.0037199864727699</v>
      </c>
      <c r="F412" s="4">
        <v>2.0037199864727699</v>
      </c>
      <c r="G412" s="4">
        <v>241.3</v>
      </c>
      <c r="H412" s="4">
        <v>8.4007187780772696</v>
      </c>
      <c r="I412" s="4">
        <v>237.96</v>
      </c>
      <c r="J412" s="4">
        <v>244.49</v>
      </c>
      <c r="K412" s="4">
        <v>234.15</v>
      </c>
      <c r="L412" s="4">
        <v>8.4007187780772696</v>
      </c>
    </row>
    <row r="413" spans="1:12" ht="15" customHeight="1" x14ac:dyDescent="0.2">
      <c r="A413" s="6">
        <v>45453</v>
      </c>
      <c r="B413" s="7">
        <v>236.56</v>
      </c>
      <c r="C413" s="8">
        <v>265280</v>
      </c>
      <c r="D413" s="7">
        <v>-5.0599999999999996</v>
      </c>
      <c r="E413" s="7">
        <v>-2.0941975002069402</v>
      </c>
      <c r="F413" s="7">
        <v>-2.0941975002069402</v>
      </c>
      <c r="G413" s="7">
        <v>236.56</v>
      </c>
      <c r="H413" s="7">
        <v>6.2713387241689098</v>
      </c>
      <c r="I413" s="7">
        <v>243.6</v>
      </c>
      <c r="J413" s="7">
        <v>244.42</v>
      </c>
      <c r="K413" s="7">
        <v>234.15</v>
      </c>
      <c r="L413" s="7">
        <v>6.2713387241689098</v>
      </c>
    </row>
    <row r="414" spans="1:12" ht="15" customHeight="1" x14ac:dyDescent="0.2">
      <c r="A414" s="3">
        <v>45450</v>
      </c>
      <c r="B414" s="4">
        <v>241.62</v>
      </c>
      <c r="C414" s="5">
        <v>445745</v>
      </c>
      <c r="D414" s="4">
        <v>-16.579999999999899</v>
      </c>
      <c r="E414" s="4">
        <v>-6.4213787761425101</v>
      </c>
      <c r="F414" s="4">
        <v>-6.4213787761425101</v>
      </c>
      <c r="G414" s="4">
        <v>241.62</v>
      </c>
      <c r="H414" s="4">
        <v>8.5444743935310008</v>
      </c>
      <c r="I414" s="4">
        <v>252</v>
      </c>
      <c r="J414" s="4">
        <v>257.07</v>
      </c>
      <c r="K414" s="4">
        <v>241</v>
      </c>
      <c r="L414" s="4">
        <v>8.5444743935310008</v>
      </c>
    </row>
    <row r="415" spans="1:12" ht="15" customHeight="1" x14ac:dyDescent="0.2">
      <c r="A415" s="6">
        <v>45449</v>
      </c>
      <c r="B415" s="7">
        <v>258.2</v>
      </c>
      <c r="C415" s="8">
        <v>358634</v>
      </c>
      <c r="D415" s="7">
        <v>5.9499999999999797</v>
      </c>
      <c r="E415" s="7">
        <v>2.3587710604558998</v>
      </c>
      <c r="F415" s="7">
        <v>2.3587710604558998</v>
      </c>
      <c r="G415" s="7">
        <v>258.2</v>
      </c>
      <c r="H415" s="7">
        <v>15.9928122192273</v>
      </c>
      <c r="I415" s="7">
        <v>256.91000000000003</v>
      </c>
      <c r="J415" s="7">
        <v>267.42</v>
      </c>
      <c r="K415" s="7">
        <v>255.09</v>
      </c>
      <c r="L415" s="7">
        <v>15.9928122192273</v>
      </c>
    </row>
    <row r="416" spans="1:12" ht="15" customHeight="1" x14ac:dyDescent="0.2">
      <c r="A416" s="3">
        <v>45448</v>
      </c>
      <c r="B416" s="4">
        <v>252.25</v>
      </c>
      <c r="C416" s="5">
        <v>300856</v>
      </c>
      <c r="D416" s="4">
        <v>-0.21000000000000699</v>
      </c>
      <c r="E416" s="4">
        <v>-8.3181494098083494E-2</v>
      </c>
      <c r="F416" s="4">
        <v>-8.3181494098083494E-2</v>
      </c>
      <c r="G416" s="4">
        <v>252.25</v>
      </c>
      <c r="H416" s="4">
        <v>13.3198562443845</v>
      </c>
      <c r="I416" s="4">
        <v>248.07</v>
      </c>
      <c r="J416" s="4">
        <v>262.44</v>
      </c>
      <c r="K416" s="4">
        <v>248.07</v>
      </c>
      <c r="L416" s="4">
        <v>13.3198562443845</v>
      </c>
    </row>
    <row r="417" spans="1:12" ht="15" customHeight="1" x14ac:dyDescent="0.2">
      <c r="A417" s="6">
        <v>45447</v>
      </c>
      <c r="B417" s="7">
        <v>252.46</v>
      </c>
      <c r="C417" s="8">
        <v>421255</v>
      </c>
      <c r="D417" s="7">
        <v>5.3600000000000101</v>
      </c>
      <c r="E417" s="7">
        <v>2.1691622824767398</v>
      </c>
      <c r="F417" s="7">
        <v>2.1691622824767398</v>
      </c>
      <c r="G417" s="7">
        <v>252.46</v>
      </c>
      <c r="H417" s="7">
        <v>13.414195867026001</v>
      </c>
      <c r="I417" s="7">
        <v>247.15</v>
      </c>
      <c r="J417" s="7">
        <v>264.5</v>
      </c>
      <c r="K417" s="7">
        <v>247.06</v>
      </c>
      <c r="L417" s="7">
        <v>13.414195867026001</v>
      </c>
    </row>
    <row r="418" spans="1:12" ht="15" customHeight="1" x14ac:dyDescent="0.2">
      <c r="A418" s="3">
        <v>45446</v>
      </c>
      <c r="B418" s="4">
        <v>247.1</v>
      </c>
      <c r="C418" s="5">
        <v>545368</v>
      </c>
      <c r="D418" s="4">
        <v>-21.419999999999899</v>
      </c>
      <c r="E418" s="4">
        <v>-7.9770594369134402</v>
      </c>
      <c r="F418" s="4">
        <v>-7.9770594369134402</v>
      </c>
      <c r="G418" s="4">
        <v>247.1</v>
      </c>
      <c r="H418" s="4">
        <v>11.0062893081761</v>
      </c>
      <c r="I418" s="4">
        <v>267.72000000000003</v>
      </c>
      <c r="J418" s="4">
        <v>267.73</v>
      </c>
      <c r="K418" s="4">
        <v>243.96</v>
      </c>
      <c r="L418" s="4">
        <v>11.0062893081761</v>
      </c>
    </row>
    <row r="419" spans="1:12" ht="15" customHeight="1" x14ac:dyDescent="0.2">
      <c r="A419" s="6">
        <v>45443</v>
      </c>
      <c r="B419" s="7">
        <v>268.52</v>
      </c>
      <c r="C419" s="8">
        <v>1716015</v>
      </c>
      <c r="D419" s="7">
        <v>2.5699999999999901</v>
      </c>
      <c r="E419" s="7">
        <v>0.96634705771760898</v>
      </c>
      <c r="F419" s="7">
        <v>0.96634705771760898</v>
      </c>
      <c r="G419" s="7">
        <v>268.52</v>
      </c>
      <c r="H419" s="7">
        <v>20.628930817610001</v>
      </c>
      <c r="I419" s="7">
        <v>269.43</v>
      </c>
      <c r="J419" s="7">
        <v>269.93</v>
      </c>
      <c r="K419" s="7">
        <v>260.29000000000002</v>
      </c>
      <c r="L419" s="7">
        <v>20.628930817610001</v>
      </c>
    </row>
    <row r="420" spans="1:12" ht="15" customHeight="1" x14ac:dyDescent="0.2">
      <c r="A420" s="3">
        <v>45442</v>
      </c>
      <c r="B420" s="4">
        <v>265.95</v>
      </c>
      <c r="C420" s="5">
        <v>459619</v>
      </c>
      <c r="D420" s="4">
        <v>4.3799999999999901</v>
      </c>
      <c r="E420" s="4">
        <v>1.67450395687578</v>
      </c>
      <c r="F420" s="4">
        <v>1.67450395687578</v>
      </c>
      <c r="G420" s="4">
        <v>265.95</v>
      </c>
      <c r="H420" s="4">
        <v>19.4743935309973</v>
      </c>
      <c r="I420" s="4">
        <v>259</v>
      </c>
      <c r="J420" s="4">
        <v>272.52</v>
      </c>
      <c r="K420" s="4">
        <v>255.11</v>
      </c>
      <c r="L420" s="4">
        <v>19.4743935309973</v>
      </c>
    </row>
    <row r="421" spans="1:12" ht="15" customHeight="1" x14ac:dyDescent="0.2">
      <c r="A421" s="6">
        <v>45441</v>
      </c>
      <c r="B421" s="7">
        <v>261.57</v>
      </c>
      <c r="C421" s="8">
        <v>454981</v>
      </c>
      <c r="D421" s="7">
        <v>-6.12</v>
      </c>
      <c r="E421" s="7">
        <v>-2.2862266054017701</v>
      </c>
      <c r="F421" s="7">
        <v>-2.2862266054017701</v>
      </c>
      <c r="G421" s="7">
        <v>261.57</v>
      </c>
      <c r="H421" s="7">
        <v>17.506738544474299</v>
      </c>
      <c r="I421" s="7">
        <v>266.95</v>
      </c>
      <c r="J421" s="7">
        <v>267.63</v>
      </c>
      <c r="K421" s="7">
        <v>251.06</v>
      </c>
      <c r="L421" s="7">
        <v>17.506738544474299</v>
      </c>
    </row>
    <row r="422" spans="1:12" ht="15" customHeight="1" x14ac:dyDescent="0.2">
      <c r="A422" s="3">
        <v>45440</v>
      </c>
      <c r="B422" s="4">
        <v>267.69</v>
      </c>
      <c r="C422" s="5">
        <v>321422</v>
      </c>
      <c r="D422" s="4">
        <v>4.9499999999999797</v>
      </c>
      <c r="E422" s="4">
        <v>1.8839917789449601</v>
      </c>
      <c r="F422" s="4">
        <v>1.8839917789449601</v>
      </c>
      <c r="G422" s="4">
        <v>267.69</v>
      </c>
      <c r="H422" s="4">
        <v>20.2560646900269</v>
      </c>
      <c r="I422" s="4">
        <v>265</v>
      </c>
      <c r="J422" s="4">
        <v>268.88</v>
      </c>
      <c r="K422" s="4">
        <v>260.10000000000002</v>
      </c>
      <c r="L422" s="4">
        <v>20.2560646900269</v>
      </c>
    </row>
    <row r="423" spans="1:12" ht="15" customHeight="1" x14ac:dyDescent="0.2">
      <c r="A423" s="6">
        <v>45439</v>
      </c>
      <c r="B423" s="7">
        <v>262.74</v>
      </c>
      <c r="C423" s="8">
        <v>56907</v>
      </c>
      <c r="D423" s="7">
        <v>2.3799999999999901</v>
      </c>
      <c r="E423" s="7">
        <v>0.91411891227530795</v>
      </c>
      <c r="F423" s="7">
        <v>0.91411891227530795</v>
      </c>
      <c r="G423" s="7">
        <v>262.74</v>
      </c>
      <c r="H423" s="7">
        <v>18.032345013476998</v>
      </c>
      <c r="I423" s="7">
        <v>263</v>
      </c>
      <c r="J423" s="7">
        <v>264.77</v>
      </c>
      <c r="K423" s="7">
        <v>260</v>
      </c>
      <c r="L423" s="7">
        <v>18.032345013476998</v>
      </c>
    </row>
    <row r="424" spans="1:12" ht="15" customHeight="1" x14ac:dyDescent="0.2">
      <c r="A424" s="3">
        <v>45436</v>
      </c>
      <c r="B424" s="4">
        <v>260.36</v>
      </c>
      <c r="C424" s="5">
        <v>286594</v>
      </c>
      <c r="D424" s="4">
        <v>-15.569999999999901</v>
      </c>
      <c r="E424" s="4">
        <v>-5.6427354763889301</v>
      </c>
      <c r="F424" s="4">
        <v>-5.6427354763889301</v>
      </c>
      <c r="G424" s="4">
        <v>260.36</v>
      </c>
      <c r="H424" s="4">
        <v>16.963162623539901</v>
      </c>
      <c r="I424" s="4">
        <v>277.11</v>
      </c>
      <c r="J424" s="4">
        <v>277.11</v>
      </c>
      <c r="K424" s="4">
        <v>255.95</v>
      </c>
      <c r="L424" s="4">
        <v>16.963162623539901</v>
      </c>
    </row>
    <row r="425" spans="1:12" ht="15" customHeight="1" x14ac:dyDescent="0.2">
      <c r="A425" s="6">
        <v>45435</v>
      </c>
      <c r="B425" s="7">
        <v>275.93</v>
      </c>
      <c r="C425" s="8">
        <v>378331</v>
      </c>
      <c r="D425" s="7">
        <v>2.6100000000000101</v>
      </c>
      <c r="E425" s="7">
        <v>0.95492463046977705</v>
      </c>
      <c r="F425" s="7">
        <v>0.95492463046977705</v>
      </c>
      <c r="G425" s="7">
        <v>275.93</v>
      </c>
      <c r="H425" s="7">
        <v>23.9577717879604</v>
      </c>
      <c r="I425" s="7">
        <v>273.99</v>
      </c>
      <c r="J425" s="7">
        <v>279.45999999999998</v>
      </c>
      <c r="K425" s="7">
        <v>267.07</v>
      </c>
      <c r="L425" s="7">
        <v>23.9577717879604</v>
      </c>
    </row>
    <row r="426" spans="1:12" ht="15" customHeight="1" x14ac:dyDescent="0.2">
      <c r="A426" s="3">
        <v>45434</v>
      </c>
      <c r="B426" s="4">
        <v>273.32</v>
      </c>
      <c r="C426" s="5">
        <v>204189</v>
      </c>
      <c r="D426" s="4">
        <v>10.2099999999999</v>
      </c>
      <c r="E426" s="4">
        <v>3.8805062521378701</v>
      </c>
      <c r="F426" s="4">
        <v>3.8805062521378701</v>
      </c>
      <c r="G426" s="4">
        <v>273.32</v>
      </c>
      <c r="H426" s="4">
        <v>22.785265049415901</v>
      </c>
      <c r="I426" s="4">
        <v>262</v>
      </c>
      <c r="J426" s="4">
        <v>274.98</v>
      </c>
      <c r="K426" s="4">
        <v>261.52</v>
      </c>
      <c r="L426" s="4">
        <v>22.785265049415901</v>
      </c>
    </row>
    <row r="427" spans="1:12" ht="15" customHeight="1" x14ac:dyDescent="0.2">
      <c r="A427" s="6">
        <v>45433</v>
      </c>
      <c r="B427" s="7">
        <v>263.11</v>
      </c>
      <c r="C427" s="8">
        <v>272217</v>
      </c>
      <c r="D427" s="7">
        <v>-4.8199999999999896</v>
      </c>
      <c r="E427" s="7">
        <v>-1.79897734482886</v>
      </c>
      <c r="F427" s="7">
        <v>-1.79897734482886</v>
      </c>
      <c r="G427" s="7">
        <v>263.11</v>
      </c>
      <c r="H427" s="7">
        <v>18.1985624438454</v>
      </c>
      <c r="I427" s="7">
        <v>266.67</v>
      </c>
      <c r="J427" s="7">
        <v>267.76</v>
      </c>
      <c r="K427" s="7">
        <v>258.08999999999997</v>
      </c>
      <c r="L427" s="7">
        <v>18.1985624438454</v>
      </c>
    </row>
    <row r="428" spans="1:12" ht="15" customHeight="1" x14ac:dyDescent="0.2">
      <c r="A428" s="3">
        <v>45432</v>
      </c>
      <c r="B428" s="4">
        <v>267.93</v>
      </c>
      <c r="C428" s="5">
        <v>337014</v>
      </c>
      <c r="D428" s="4">
        <v>-5.1599999999999602</v>
      </c>
      <c r="E428" s="4">
        <v>-1.8894869823135101</v>
      </c>
      <c r="F428" s="4">
        <v>-1.8894869823135101</v>
      </c>
      <c r="G428" s="4">
        <v>267.93</v>
      </c>
      <c r="H428" s="4">
        <v>20.363881401617199</v>
      </c>
      <c r="I428" s="4">
        <v>281.35000000000002</v>
      </c>
      <c r="J428" s="4">
        <v>283</v>
      </c>
      <c r="K428" s="4">
        <v>263.73</v>
      </c>
      <c r="L428" s="4">
        <v>20.363881401617199</v>
      </c>
    </row>
    <row r="429" spans="1:12" ht="15" customHeight="1" x14ac:dyDescent="0.2">
      <c r="A429" s="6">
        <v>45429</v>
      </c>
      <c r="B429" s="7">
        <v>273.08999999999997</v>
      </c>
      <c r="C429" s="8">
        <v>890572</v>
      </c>
      <c r="D429" s="7">
        <v>23.029999999999902</v>
      </c>
      <c r="E429" s="7">
        <v>9.2097896504838594</v>
      </c>
      <c r="F429" s="7">
        <v>9.2097896504838594</v>
      </c>
      <c r="G429" s="7">
        <v>273.08999999999997</v>
      </c>
      <c r="H429" s="7">
        <v>22.6819407008086</v>
      </c>
      <c r="I429" s="7">
        <v>253.74</v>
      </c>
      <c r="J429" s="7">
        <v>276.04000000000002</v>
      </c>
      <c r="K429" s="7">
        <v>253.5</v>
      </c>
      <c r="L429" s="7">
        <v>22.6819407008086</v>
      </c>
    </row>
    <row r="430" spans="1:12" ht="15" customHeight="1" x14ac:dyDescent="0.2">
      <c r="A430" s="3">
        <v>45428</v>
      </c>
      <c r="B430" s="4">
        <v>250.06</v>
      </c>
      <c r="C430" s="5">
        <v>291262</v>
      </c>
      <c r="D430" s="4">
        <v>-4.4000000000000004</v>
      </c>
      <c r="E430" s="4">
        <v>-1.72915192957635</v>
      </c>
      <c r="F430" s="4">
        <v>-1.72915192957635</v>
      </c>
      <c r="G430" s="4">
        <v>250.06</v>
      </c>
      <c r="H430" s="4">
        <v>12.336028751122999</v>
      </c>
      <c r="I430" s="4">
        <v>254</v>
      </c>
      <c r="J430" s="4">
        <v>257</v>
      </c>
      <c r="K430" s="4">
        <v>249.71</v>
      </c>
      <c r="L430" s="4">
        <v>12.336028751122999</v>
      </c>
    </row>
    <row r="431" spans="1:12" ht="15" customHeight="1" x14ac:dyDescent="0.2">
      <c r="A431" s="6">
        <v>45427</v>
      </c>
      <c r="B431" s="7">
        <v>254.46</v>
      </c>
      <c r="C431" s="8">
        <v>279875</v>
      </c>
      <c r="D431" s="7">
        <v>4.1500000000000004</v>
      </c>
      <c r="E431" s="7">
        <v>1.6579441492549301</v>
      </c>
      <c r="F431" s="7">
        <v>1.6579441492549301</v>
      </c>
      <c r="G431" s="7">
        <v>254.46</v>
      </c>
      <c r="H431" s="7">
        <v>14.3126684636118</v>
      </c>
      <c r="I431" s="7">
        <v>254.22</v>
      </c>
      <c r="J431" s="7">
        <v>263.98</v>
      </c>
      <c r="K431" s="7">
        <v>250.19</v>
      </c>
      <c r="L431" s="7">
        <v>14.3126684636118</v>
      </c>
    </row>
    <row r="432" spans="1:12" ht="15" customHeight="1" x14ac:dyDescent="0.2">
      <c r="A432" s="3">
        <v>45426</v>
      </c>
      <c r="B432" s="4">
        <v>250.31</v>
      </c>
      <c r="C432" s="5">
        <v>185659</v>
      </c>
      <c r="D432" s="4">
        <v>-1.25999999999999</v>
      </c>
      <c r="E432" s="4">
        <v>-0.50085463290534504</v>
      </c>
      <c r="F432" s="4">
        <v>-0.50085463290534504</v>
      </c>
      <c r="G432" s="4">
        <v>250.31</v>
      </c>
      <c r="H432" s="4">
        <v>12.448337825696299</v>
      </c>
      <c r="I432" s="4">
        <v>252.97</v>
      </c>
      <c r="J432" s="4">
        <v>257.08</v>
      </c>
      <c r="K432" s="4">
        <v>249.7</v>
      </c>
      <c r="L432" s="4">
        <v>12.448337825696299</v>
      </c>
    </row>
    <row r="433" spans="1:12" ht="15" customHeight="1" x14ac:dyDescent="0.2">
      <c r="A433" s="6">
        <v>45425</v>
      </c>
      <c r="B433" s="7">
        <v>251.57</v>
      </c>
      <c r="C433" s="8">
        <v>150703</v>
      </c>
      <c r="D433" s="7">
        <v>-0.21000000000000699</v>
      </c>
      <c r="E433" s="7">
        <v>-8.3406148224640597E-2</v>
      </c>
      <c r="F433" s="7">
        <v>-8.3406148224640597E-2</v>
      </c>
      <c r="G433" s="7">
        <v>251.57</v>
      </c>
      <c r="H433" s="7">
        <v>13.0143755615453</v>
      </c>
      <c r="I433" s="7">
        <v>251.83</v>
      </c>
      <c r="J433" s="7">
        <v>257.16000000000003</v>
      </c>
      <c r="K433" s="7">
        <v>250.12</v>
      </c>
      <c r="L433" s="7">
        <v>13.0143755615453</v>
      </c>
    </row>
    <row r="434" spans="1:12" ht="15" customHeight="1" x14ac:dyDescent="0.2">
      <c r="A434" s="3">
        <v>45422</v>
      </c>
      <c r="B434" s="4">
        <v>251.78</v>
      </c>
      <c r="C434" s="5">
        <v>125949</v>
      </c>
      <c r="D434" s="4">
        <v>-1.56</v>
      </c>
      <c r="E434" s="4">
        <v>-0.61577326912449704</v>
      </c>
      <c r="F434" s="4">
        <v>-0.61577326912449704</v>
      </c>
      <c r="G434" s="4">
        <v>251.78</v>
      </c>
      <c r="H434" s="4">
        <v>13.108715184186799</v>
      </c>
      <c r="I434" s="4">
        <v>254.87</v>
      </c>
      <c r="J434" s="4">
        <v>258</v>
      </c>
      <c r="K434" s="4">
        <v>251</v>
      </c>
      <c r="L434" s="4">
        <v>13.108715184186799</v>
      </c>
    </row>
    <row r="435" spans="1:12" ht="15" customHeight="1" x14ac:dyDescent="0.2">
      <c r="A435" s="6">
        <v>45421</v>
      </c>
      <c r="B435" s="7">
        <v>253.34</v>
      </c>
      <c r="C435" s="8">
        <v>148202</v>
      </c>
      <c r="D435" s="7">
        <v>-1.46</v>
      </c>
      <c r="E435" s="7">
        <v>-0.57299843014129104</v>
      </c>
      <c r="F435" s="7">
        <v>-0.57299843014129104</v>
      </c>
      <c r="G435" s="7">
        <v>253.34</v>
      </c>
      <c r="H435" s="7">
        <v>13.8095238095238</v>
      </c>
      <c r="I435" s="7">
        <v>256.01</v>
      </c>
      <c r="J435" s="7">
        <v>258.44</v>
      </c>
      <c r="K435" s="7">
        <v>251.06</v>
      </c>
      <c r="L435" s="7">
        <v>13.8095238095238</v>
      </c>
    </row>
    <row r="436" spans="1:12" ht="15" customHeight="1" x14ac:dyDescent="0.2">
      <c r="A436" s="3">
        <v>45420</v>
      </c>
      <c r="B436" s="4">
        <v>254.8</v>
      </c>
      <c r="C436" s="5">
        <v>242980</v>
      </c>
      <c r="D436" s="4">
        <v>3.9100000000000201</v>
      </c>
      <c r="E436" s="4">
        <v>1.5584519111961399</v>
      </c>
      <c r="F436" s="4">
        <v>1.5584519111961399</v>
      </c>
      <c r="G436" s="4">
        <v>254.8</v>
      </c>
      <c r="H436" s="4">
        <v>14.4654088050314</v>
      </c>
      <c r="I436" s="4">
        <v>252.19</v>
      </c>
      <c r="J436" s="4">
        <v>255.36</v>
      </c>
      <c r="K436" s="4">
        <v>248.67</v>
      </c>
      <c r="L436" s="4">
        <v>14.4654088050314</v>
      </c>
    </row>
    <row r="437" spans="1:12" ht="15" customHeight="1" x14ac:dyDescent="0.2">
      <c r="A437" s="6">
        <v>45419</v>
      </c>
      <c r="B437" s="7">
        <v>250.89</v>
      </c>
      <c r="C437" s="8">
        <v>192597</v>
      </c>
      <c r="D437" s="7">
        <v>0.69999999999998797</v>
      </c>
      <c r="E437" s="7">
        <v>0.27978736160516599</v>
      </c>
      <c r="F437" s="7">
        <v>0.27978736160516599</v>
      </c>
      <c r="G437" s="7">
        <v>250.89</v>
      </c>
      <c r="H437" s="7">
        <v>12.708894878706101</v>
      </c>
      <c r="I437" s="7">
        <v>250.13</v>
      </c>
      <c r="J437" s="7">
        <v>256.64</v>
      </c>
      <c r="K437" s="7">
        <v>250</v>
      </c>
      <c r="L437" s="7">
        <v>12.708894878706101</v>
      </c>
    </row>
    <row r="438" spans="1:12" ht="15" customHeight="1" x14ac:dyDescent="0.2">
      <c r="A438" s="3">
        <v>45418</v>
      </c>
      <c r="B438" s="4">
        <v>250.19</v>
      </c>
      <c r="C438" s="5">
        <v>266981</v>
      </c>
      <c r="D438" s="4">
        <v>-3.72999999999998</v>
      </c>
      <c r="E438" s="4">
        <v>-1.46896660365468</v>
      </c>
      <c r="F438" s="4">
        <v>-1.46896660365468</v>
      </c>
      <c r="G438" s="4">
        <v>250.19</v>
      </c>
      <c r="H438" s="4">
        <v>12.3944294699011</v>
      </c>
      <c r="I438" s="4">
        <v>256.01</v>
      </c>
      <c r="J438" s="4">
        <v>259.69</v>
      </c>
      <c r="K438" s="4">
        <v>249.32</v>
      </c>
      <c r="L438" s="4">
        <v>12.3944294699011</v>
      </c>
    </row>
    <row r="439" spans="1:12" ht="15" customHeight="1" x14ac:dyDescent="0.2">
      <c r="A439" s="6">
        <v>45415</v>
      </c>
      <c r="B439" s="7">
        <v>253.92</v>
      </c>
      <c r="C439" s="8">
        <v>308758</v>
      </c>
      <c r="D439" s="7">
        <v>4.3099999999999703</v>
      </c>
      <c r="E439" s="7">
        <v>1.7266936420816399</v>
      </c>
      <c r="F439" s="7">
        <v>1.7266936420816399</v>
      </c>
      <c r="G439" s="7">
        <v>253.92</v>
      </c>
      <c r="H439" s="7">
        <v>14.070080862533599</v>
      </c>
      <c r="I439" s="7">
        <v>253</v>
      </c>
      <c r="J439" s="7">
        <v>258.60000000000002</v>
      </c>
      <c r="K439" s="7">
        <v>243.09</v>
      </c>
      <c r="L439" s="7">
        <v>14.070080862533599</v>
      </c>
    </row>
    <row r="440" spans="1:12" ht="15" customHeight="1" x14ac:dyDescent="0.2">
      <c r="A440" s="3">
        <v>45414</v>
      </c>
      <c r="B440" s="4">
        <v>249.61</v>
      </c>
      <c r="C440" s="5">
        <v>484412</v>
      </c>
      <c r="D440" s="4">
        <v>1</v>
      </c>
      <c r="E440" s="4">
        <v>0.40223643457624098</v>
      </c>
      <c r="F440" s="4">
        <v>0.40223643457624098</v>
      </c>
      <c r="G440" s="4">
        <v>249.61</v>
      </c>
      <c r="H440" s="4">
        <v>12.133872416891201</v>
      </c>
      <c r="I440" s="4">
        <v>249.7</v>
      </c>
      <c r="J440" s="4">
        <v>257</v>
      </c>
      <c r="K440" s="4">
        <v>245.56</v>
      </c>
      <c r="L440" s="4">
        <v>12.133872416891201</v>
      </c>
    </row>
    <row r="441" spans="1:12" ht="15" customHeight="1" x14ac:dyDescent="0.2">
      <c r="A441" s="6">
        <v>45412</v>
      </c>
      <c r="B441" s="7">
        <v>248.61</v>
      </c>
      <c r="C441" s="8">
        <v>1625663</v>
      </c>
      <c r="D441" s="7">
        <v>-35.149999999999899</v>
      </c>
      <c r="E441" s="7">
        <v>-12.3872286439244</v>
      </c>
      <c r="F441" s="7">
        <v>-12.3872286439244</v>
      </c>
      <c r="G441" s="7">
        <v>248.61</v>
      </c>
      <c r="H441" s="7">
        <v>11.6846361185983</v>
      </c>
      <c r="I441" s="7">
        <v>280.55</v>
      </c>
      <c r="J441" s="7">
        <v>280.55</v>
      </c>
      <c r="K441" s="7">
        <v>245.07</v>
      </c>
      <c r="L441" s="7">
        <v>11.6846361185983</v>
      </c>
    </row>
    <row r="442" spans="1:12" ht="15" customHeight="1" x14ac:dyDescent="0.2">
      <c r="A442" s="3">
        <v>45411</v>
      </c>
      <c r="B442" s="4">
        <v>283.76</v>
      </c>
      <c r="C442" s="5">
        <v>297133</v>
      </c>
      <c r="D442" s="4">
        <v>-4.9000000000000297</v>
      </c>
      <c r="E442" s="4">
        <v>-1.69749878750087</v>
      </c>
      <c r="F442" s="4">
        <v>-1.69749878750087</v>
      </c>
      <c r="G442" s="4">
        <v>283.76</v>
      </c>
      <c r="H442" s="4">
        <v>27.4752920035938</v>
      </c>
      <c r="I442" s="4">
        <v>290.98</v>
      </c>
      <c r="J442" s="4">
        <v>291.01</v>
      </c>
      <c r="K442" s="4">
        <v>279.02999999999997</v>
      </c>
      <c r="L442" s="4">
        <v>27.4752920035938</v>
      </c>
    </row>
    <row r="443" spans="1:12" ht="15" customHeight="1" x14ac:dyDescent="0.2">
      <c r="A443" s="6">
        <v>45408</v>
      </c>
      <c r="B443" s="7">
        <v>288.66000000000003</v>
      </c>
      <c r="C443" s="8">
        <v>166951</v>
      </c>
      <c r="D443" s="7">
        <v>3.7300000000000102</v>
      </c>
      <c r="E443" s="7">
        <v>1.30909346155196</v>
      </c>
      <c r="F443" s="7">
        <v>1.30909346155196</v>
      </c>
      <c r="G443" s="7">
        <v>288.66000000000003</v>
      </c>
      <c r="H443" s="7">
        <v>29.676549865229099</v>
      </c>
      <c r="I443" s="7">
        <v>286.24</v>
      </c>
      <c r="J443" s="7">
        <v>291.99</v>
      </c>
      <c r="K443" s="7">
        <v>280.22000000000003</v>
      </c>
      <c r="L443" s="7">
        <v>29.676549865229099</v>
      </c>
    </row>
    <row r="444" spans="1:12" ht="15" customHeight="1" x14ac:dyDescent="0.2">
      <c r="A444" s="3">
        <v>45407</v>
      </c>
      <c r="B444" s="4">
        <v>284.93</v>
      </c>
      <c r="C444" s="5">
        <v>278694</v>
      </c>
      <c r="D444" s="4">
        <v>2.6399999999999801</v>
      </c>
      <c r="E444" s="4">
        <v>0.93520847355554804</v>
      </c>
      <c r="F444" s="4">
        <v>0.93520847355554804</v>
      </c>
      <c r="G444" s="4">
        <v>284.93</v>
      </c>
      <c r="H444" s="4">
        <v>28.0008984725965</v>
      </c>
      <c r="I444" s="4">
        <v>281.05</v>
      </c>
      <c r="J444" s="4">
        <v>289.02999999999997</v>
      </c>
      <c r="K444" s="4">
        <v>278.10000000000002</v>
      </c>
      <c r="L444" s="4">
        <v>28.0008984725965</v>
      </c>
    </row>
    <row r="445" spans="1:12" ht="15" customHeight="1" x14ac:dyDescent="0.2">
      <c r="A445" s="6">
        <v>45406</v>
      </c>
      <c r="B445" s="7">
        <v>282.29000000000002</v>
      </c>
      <c r="C445" s="8">
        <v>246070</v>
      </c>
      <c r="D445" s="7">
        <v>10.85</v>
      </c>
      <c r="E445" s="7">
        <v>3.9972001178897698</v>
      </c>
      <c r="F445" s="7">
        <v>3.9972001178897698</v>
      </c>
      <c r="G445" s="7">
        <v>282.29000000000002</v>
      </c>
      <c r="H445" s="7">
        <v>26.8149146451033</v>
      </c>
      <c r="I445" s="7">
        <v>275.44</v>
      </c>
      <c r="J445" s="7">
        <v>290.51</v>
      </c>
      <c r="K445" s="7">
        <v>270</v>
      </c>
      <c r="L445" s="7">
        <v>26.8149146451033</v>
      </c>
    </row>
    <row r="446" spans="1:12" ht="15" customHeight="1" x14ac:dyDescent="0.2">
      <c r="A446" s="3">
        <v>45405</v>
      </c>
      <c r="B446" s="4">
        <v>271.44</v>
      </c>
      <c r="C446" s="5">
        <v>331901</v>
      </c>
      <c r="D446" s="4">
        <v>-2.76999999999998</v>
      </c>
      <c r="E446" s="4">
        <v>-1.0101746836366201</v>
      </c>
      <c r="F446" s="4">
        <v>-1.0101746836366201</v>
      </c>
      <c r="G446" s="4">
        <v>271.44</v>
      </c>
      <c r="H446" s="4">
        <v>21.940700808625301</v>
      </c>
      <c r="I446" s="4">
        <v>277.42</v>
      </c>
      <c r="J446" s="4">
        <v>279.88</v>
      </c>
      <c r="K446" s="4">
        <v>266.37</v>
      </c>
      <c r="L446" s="4">
        <v>21.940700808625301</v>
      </c>
    </row>
    <row r="447" spans="1:12" ht="15" customHeight="1" x14ac:dyDescent="0.2">
      <c r="A447" s="6">
        <v>45404</v>
      </c>
      <c r="B447" s="7">
        <v>274.20999999999998</v>
      </c>
      <c r="C447" s="8">
        <v>330056</v>
      </c>
      <c r="D447" s="7">
        <v>-21.67</v>
      </c>
      <c r="E447" s="7">
        <v>-7.3239151007165102</v>
      </c>
      <c r="F447" s="7">
        <v>-7.3239151007165102</v>
      </c>
      <c r="G447" s="7">
        <v>274.20999999999998</v>
      </c>
      <c r="H447" s="7">
        <v>23.1850853548966</v>
      </c>
      <c r="I447" s="7">
        <v>286.39999999999998</v>
      </c>
      <c r="J447" s="7">
        <v>290.55</v>
      </c>
      <c r="K447" s="7">
        <v>272.62</v>
      </c>
      <c r="L447" s="7">
        <v>23.1850853548966</v>
      </c>
    </row>
    <row r="448" spans="1:12" ht="15" customHeight="1" x14ac:dyDescent="0.2">
      <c r="A448" s="3">
        <v>45401</v>
      </c>
      <c r="B448" s="4">
        <v>295.88</v>
      </c>
      <c r="C448" s="5">
        <v>200732</v>
      </c>
      <c r="D448" s="4">
        <v>-11.23</v>
      </c>
      <c r="E448" s="4">
        <v>-3.6566702484451898</v>
      </c>
      <c r="F448" s="4">
        <v>-3.6566702484451898</v>
      </c>
      <c r="G448" s="4">
        <v>295.88</v>
      </c>
      <c r="H448" s="4">
        <v>32.920035938903801</v>
      </c>
      <c r="I448" s="4">
        <v>305.62</v>
      </c>
      <c r="J448" s="4">
        <v>305.99</v>
      </c>
      <c r="K448" s="4">
        <v>294.45999999999998</v>
      </c>
      <c r="L448" s="4">
        <v>32.920035938903801</v>
      </c>
    </row>
    <row r="449" spans="1:12" ht="15" customHeight="1" x14ac:dyDescent="0.2">
      <c r="A449" s="6">
        <v>45400</v>
      </c>
      <c r="B449" s="7">
        <v>307.11</v>
      </c>
      <c r="C449" s="8">
        <v>296857</v>
      </c>
      <c r="D449" s="7">
        <v>1.9200000000000099</v>
      </c>
      <c r="E449" s="7">
        <v>0.62911628821391496</v>
      </c>
      <c r="F449" s="7">
        <v>0.62911628821391496</v>
      </c>
      <c r="G449" s="7">
        <v>307.11</v>
      </c>
      <c r="H449" s="7">
        <v>37.9649595687331</v>
      </c>
      <c r="I449" s="7">
        <v>304</v>
      </c>
      <c r="J449" s="7">
        <v>309.39</v>
      </c>
      <c r="K449" s="7">
        <v>301.91000000000003</v>
      </c>
      <c r="L449" s="7">
        <v>37.9649595687331</v>
      </c>
    </row>
    <row r="450" spans="1:12" ht="15" customHeight="1" x14ac:dyDescent="0.2">
      <c r="A450" s="3">
        <v>45399</v>
      </c>
      <c r="B450" s="4">
        <v>305.19</v>
      </c>
      <c r="C450" s="5">
        <v>442205</v>
      </c>
      <c r="D450" s="4">
        <v>6.2900000000000196</v>
      </c>
      <c r="E450" s="4">
        <v>2.10438273670123</v>
      </c>
      <c r="F450" s="4">
        <v>2.10438273670123</v>
      </c>
      <c r="G450" s="4">
        <v>305.19</v>
      </c>
      <c r="H450" s="4">
        <v>37.102425876010699</v>
      </c>
      <c r="I450" s="4">
        <v>299.69</v>
      </c>
      <c r="J450" s="4">
        <v>312.41000000000003</v>
      </c>
      <c r="K450" s="4">
        <v>297.39999999999998</v>
      </c>
      <c r="L450" s="4">
        <v>37.102425876010699</v>
      </c>
    </row>
    <row r="451" spans="1:12" ht="15" customHeight="1" x14ac:dyDescent="0.2">
      <c r="A451" s="6">
        <v>45398</v>
      </c>
      <c r="B451" s="7">
        <v>298.89999999999998</v>
      </c>
      <c r="C451" s="8">
        <v>329019</v>
      </c>
      <c r="D451" s="7">
        <v>-8.81</v>
      </c>
      <c r="E451" s="7">
        <v>-2.8630853725910699</v>
      </c>
      <c r="F451" s="7">
        <v>-2.8630853725910699</v>
      </c>
      <c r="G451" s="7">
        <v>298.89999999999998</v>
      </c>
      <c r="H451" s="7">
        <v>34.276729559748397</v>
      </c>
      <c r="I451" s="7">
        <v>307.69</v>
      </c>
      <c r="J451" s="7">
        <v>307.69</v>
      </c>
      <c r="K451" s="7">
        <v>289.01</v>
      </c>
      <c r="L451" s="7">
        <v>34.276729559748397</v>
      </c>
    </row>
    <row r="452" spans="1:12" ht="15" customHeight="1" x14ac:dyDescent="0.2">
      <c r="A452" s="3">
        <v>45397</v>
      </c>
      <c r="B452" s="4">
        <v>307.70999999999998</v>
      </c>
      <c r="C452" s="5">
        <v>314976</v>
      </c>
      <c r="D452" s="4">
        <v>-18.59</v>
      </c>
      <c r="E452" s="4">
        <v>-5.6972111553784996</v>
      </c>
      <c r="F452" s="4">
        <v>-5.6972111553784996</v>
      </c>
      <c r="G452" s="4">
        <v>307.70999999999998</v>
      </c>
      <c r="H452" s="4">
        <v>38.2345013477088</v>
      </c>
      <c r="I452" s="4">
        <v>326.3</v>
      </c>
      <c r="J452" s="4">
        <v>326.3</v>
      </c>
      <c r="K452" s="4">
        <v>302.67</v>
      </c>
      <c r="L452" s="4">
        <v>38.2345013477088</v>
      </c>
    </row>
    <row r="453" spans="1:12" ht="15" customHeight="1" x14ac:dyDescent="0.2">
      <c r="A453" s="6">
        <v>45394</v>
      </c>
      <c r="B453" s="7">
        <v>326.3</v>
      </c>
      <c r="C453" s="8">
        <v>388581</v>
      </c>
      <c r="D453" s="7">
        <v>9.1000000000000192</v>
      </c>
      <c r="E453" s="7">
        <v>2.8688524590164</v>
      </c>
      <c r="F453" s="7">
        <v>2.8688524590164</v>
      </c>
      <c r="G453" s="7">
        <v>326.3</v>
      </c>
      <c r="H453" s="7">
        <v>46.585804132973898</v>
      </c>
      <c r="I453" s="7">
        <v>317.77999999999997</v>
      </c>
      <c r="J453" s="7">
        <v>329.9</v>
      </c>
      <c r="K453" s="7">
        <v>317.77999999999997</v>
      </c>
      <c r="L453" s="7">
        <v>46.585804132973898</v>
      </c>
    </row>
    <row r="454" spans="1:12" ht="15" customHeight="1" x14ac:dyDescent="0.2">
      <c r="A454" s="3">
        <v>45393</v>
      </c>
      <c r="B454" s="4">
        <v>317.2</v>
      </c>
      <c r="C454" s="5">
        <v>289977</v>
      </c>
      <c r="D454" s="4">
        <v>0.409999999999968</v>
      </c>
      <c r="E454" s="4">
        <v>0.129423277249896</v>
      </c>
      <c r="F454" s="4">
        <v>0.129423277249896</v>
      </c>
      <c r="G454" s="4">
        <v>317.2</v>
      </c>
      <c r="H454" s="4">
        <v>42.4977538185085</v>
      </c>
      <c r="I454" s="4">
        <v>315.2</v>
      </c>
      <c r="J454" s="4">
        <v>320.39</v>
      </c>
      <c r="K454" s="4">
        <v>310.26</v>
      </c>
      <c r="L454" s="4">
        <v>42.4977538185085</v>
      </c>
    </row>
    <row r="455" spans="1:12" ht="15" customHeight="1" x14ac:dyDescent="0.2">
      <c r="A455" s="6">
        <v>45392</v>
      </c>
      <c r="B455" s="7">
        <v>316.79000000000002</v>
      </c>
      <c r="C455" s="8">
        <v>365370</v>
      </c>
      <c r="D455" s="7">
        <v>-8.5499999999999492</v>
      </c>
      <c r="E455" s="7">
        <v>-2.6280199176246199</v>
      </c>
      <c r="F455" s="7">
        <v>-2.6280199176246199</v>
      </c>
      <c r="G455" s="7">
        <v>316.79000000000002</v>
      </c>
      <c r="H455" s="7">
        <v>42.313566936208403</v>
      </c>
      <c r="I455" s="7">
        <v>325</v>
      </c>
      <c r="J455" s="7">
        <v>326.08999999999997</v>
      </c>
      <c r="K455" s="7">
        <v>315</v>
      </c>
      <c r="L455" s="7">
        <v>42.313566936208403</v>
      </c>
    </row>
    <row r="456" spans="1:12" ht="15" customHeight="1" x14ac:dyDescent="0.2">
      <c r="A456" s="3">
        <v>45391</v>
      </c>
      <c r="B456" s="4">
        <v>325.33999999999997</v>
      </c>
      <c r="C456" s="5">
        <v>451377</v>
      </c>
      <c r="D456" s="4">
        <v>5.6499999999999702</v>
      </c>
      <c r="E456" s="4">
        <v>1.7673371078231901</v>
      </c>
      <c r="F456" s="4">
        <v>1.7673371078231901</v>
      </c>
      <c r="G456" s="4">
        <v>325.33999999999997</v>
      </c>
      <c r="H456" s="4">
        <v>46.154537286612701</v>
      </c>
      <c r="I456" s="4">
        <v>319.01</v>
      </c>
      <c r="J456" s="4">
        <v>327.99</v>
      </c>
      <c r="K456" s="4">
        <v>319.01</v>
      </c>
      <c r="L456" s="4">
        <v>46.154537286612701</v>
      </c>
    </row>
    <row r="457" spans="1:12" ht="15" customHeight="1" x14ac:dyDescent="0.2">
      <c r="A457" s="6">
        <v>45390</v>
      </c>
      <c r="B457" s="7">
        <v>319.69</v>
      </c>
      <c r="C457" s="8">
        <v>476040</v>
      </c>
      <c r="D457" s="7">
        <v>9.6100000000000101</v>
      </c>
      <c r="E457" s="7">
        <v>3.0992002063983501</v>
      </c>
      <c r="F457" s="7">
        <v>3.0992002063983501</v>
      </c>
      <c r="G457" s="7">
        <v>319.69</v>
      </c>
      <c r="H457" s="7">
        <v>43.616352201257797</v>
      </c>
      <c r="I457" s="7">
        <v>309</v>
      </c>
      <c r="J457" s="7">
        <v>323</v>
      </c>
      <c r="K457" s="7">
        <v>309</v>
      </c>
      <c r="L457" s="7">
        <v>43.616352201257797</v>
      </c>
    </row>
    <row r="458" spans="1:12" ht="15" customHeight="1" x14ac:dyDescent="0.2">
      <c r="A458" s="3">
        <v>45387</v>
      </c>
      <c r="B458" s="4">
        <v>310.08</v>
      </c>
      <c r="C458" s="5">
        <v>491153</v>
      </c>
      <c r="D458" s="4">
        <v>18.0199999999999</v>
      </c>
      <c r="E458" s="4">
        <v>6.1699650756693796</v>
      </c>
      <c r="F458" s="4">
        <v>6.1699650756693796</v>
      </c>
      <c r="G458" s="4">
        <v>310.08</v>
      </c>
      <c r="H458" s="4">
        <v>39.299191374663003</v>
      </c>
      <c r="I458" s="4">
        <v>286</v>
      </c>
      <c r="J458" s="4">
        <v>310.5</v>
      </c>
      <c r="K458" s="4">
        <v>286</v>
      </c>
      <c r="L458" s="4">
        <v>39.299191374663003</v>
      </c>
    </row>
    <row r="459" spans="1:12" ht="15" customHeight="1" x14ac:dyDescent="0.2">
      <c r="A459" s="6">
        <v>45386</v>
      </c>
      <c r="B459" s="7">
        <v>292.06</v>
      </c>
      <c r="C459" s="8">
        <v>373577</v>
      </c>
      <c r="D459" s="7">
        <v>11.53</v>
      </c>
      <c r="E459" s="7">
        <v>4.1100773535807296</v>
      </c>
      <c r="F459" s="7">
        <v>4.1100773535807296</v>
      </c>
      <c r="G459" s="7">
        <v>292.06</v>
      </c>
      <c r="H459" s="7">
        <v>31.203953279424901</v>
      </c>
      <c r="I459" s="7">
        <v>281.29000000000002</v>
      </c>
      <c r="J459" s="7">
        <v>293.99</v>
      </c>
      <c r="K459" s="7">
        <v>280.95999999999998</v>
      </c>
      <c r="L459" s="7">
        <v>31.203953279424901</v>
      </c>
    </row>
    <row r="460" spans="1:12" ht="15" customHeight="1" x14ac:dyDescent="0.2">
      <c r="A460" s="3">
        <v>45385</v>
      </c>
      <c r="B460" s="4">
        <v>280.52999999999997</v>
      </c>
      <c r="C460" s="5">
        <v>656624</v>
      </c>
      <c r="D460" s="4">
        <v>17.25</v>
      </c>
      <c r="E460" s="4">
        <v>6.5519598906107399</v>
      </c>
      <c r="F460" s="4">
        <v>6.5519598906107399</v>
      </c>
      <c r="G460" s="4">
        <v>280.52999999999997</v>
      </c>
      <c r="H460" s="4">
        <v>26.024258760107799</v>
      </c>
      <c r="I460" s="4">
        <v>263.18</v>
      </c>
      <c r="J460" s="4">
        <v>282.3</v>
      </c>
      <c r="K460" s="4">
        <v>260.02</v>
      </c>
      <c r="L460" s="4">
        <v>26.024258760107799</v>
      </c>
    </row>
    <row r="461" spans="1:12" ht="15" customHeight="1" x14ac:dyDescent="0.2">
      <c r="A461" s="6">
        <v>45384</v>
      </c>
      <c r="B461" s="7">
        <v>263.27999999999997</v>
      </c>
      <c r="C461" s="8">
        <v>345292</v>
      </c>
      <c r="D461" s="7">
        <v>5.3799999999999901</v>
      </c>
      <c r="E461" s="7">
        <v>2.0860798759208801</v>
      </c>
      <c r="F461" s="7">
        <v>2.0860798759208801</v>
      </c>
      <c r="G461" s="7">
        <v>263.27999999999997</v>
      </c>
      <c r="H461" s="7">
        <v>18.274932614555201</v>
      </c>
      <c r="I461" s="7">
        <v>257.01</v>
      </c>
      <c r="J461" s="7">
        <v>265.5</v>
      </c>
      <c r="K461" s="7">
        <v>255.34</v>
      </c>
      <c r="L461" s="7">
        <v>18.274932614555201</v>
      </c>
    </row>
    <row r="462" spans="1:12" ht="15" customHeight="1" x14ac:dyDescent="0.2">
      <c r="A462" s="3">
        <v>45383</v>
      </c>
      <c r="B462" s="4">
        <v>257.89999999999998</v>
      </c>
      <c r="C462" s="5">
        <v>423763</v>
      </c>
      <c r="D462" s="4">
        <v>22.9299999999999</v>
      </c>
      <c r="E462" s="4">
        <v>9.7586925990551894</v>
      </c>
      <c r="F462" s="4">
        <v>9.7586925990551894</v>
      </c>
      <c r="G462" s="4">
        <v>257.89999999999998</v>
      </c>
      <c r="H462" s="4">
        <v>15.8580413297394</v>
      </c>
      <c r="I462" s="4">
        <v>234.97</v>
      </c>
      <c r="J462" s="4">
        <v>259.45</v>
      </c>
      <c r="K462" s="4">
        <v>234.97</v>
      </c>
      <c r="L462" s="4">
        <v>15.8580413297394</v>
      </c>
    </row>
    <row r="463" spans="1:12" ht="15" customHeight="1" x14ac:dyDescent="0.2">
      <c r="A463" s="6">
        <v>45378</v>
      </c>
      <c r="B463" s="7">
        <v>234.97</v>
      </c>
      <c r="C463" s="8">
        <v>206239</v>
      </c>
      <c r="D463" s="7">
        <v>4.5500000000000096</v>
      </c>
      <c r="E463" s="7">
        <v>1.9746549778664999</v>
      </c>
      <c r="F463" s="7">
        <v>1.9746549778664999</v>
      </c>
      <c r="G463" s="7">
        <v>234.97</v>
      </c>
      <c r="H463" s="7">
        <v>5.5570530098831998</v>
      </c>
      <c r="I463" s="7">
        <v>231</v>
      </c>
      <c r="J463" s="7">
        <v>235.98</v>
      </c>
      <c r="K463" s="7">
        <v>225.59</v>
      </c>
      <c r="L463" s="7">
        <v>5.5570530098831998</v>
      </c>
    </row>
    <row r="464" spans="1:12" ht="15" customHeight="1" x14ac:dyDescent="0.2">
      <c r="A464" s="3">
        <v>45377</v>
      </c>
      <c r="B464" s="4">
        <v>230.42</v>
      </c>
      <c r="C464" s="5">
        <v>174813</v>
      </c>
      <c r="D464" s="4">
        <v>3.1199999999999699</v>
      </c>
      <c r="E464" s="4">
        <v>1.3726352837659399</v>
      </c>
      <c r="F464" s="4">
        <v>1.3726352837659399</v>
      </c>
      <c r="G464" s="4">
        <v>230.42</v>
      </c>
      <c r="H464" s="4">
        <v>3.5130278526504899</v>
      </c>
      <c r="I464" s="4">
        <v>227.79</v>
      </c>
      <c r="J464" s="4">
        <v>231.27</v>
      </c>
      <c r="K464" s="4">
        <v>227.24</v>
      </c>
      <c r="L464" s="4">
        <v>3.5130278526504899</v>
      </c>
    </row>
    <row r="465" spans="1:12" ht="15" customHeight="1" x14ac:dyDescent="0.2">
      <c r="A465" s="6">
        <v>45376</v>
      </c>
      <c r="B465" s="7">
        <v>227.3</v>
      </c>
      <c r="C465" s="8">
        <v>95434</v>
      </c>
      <c r="D465" s="7">
        <v>4.71999999999999</v>
      </c>
      <c r="E465" s="7">
        <v>2.1205858567705902</v>
      </c>
      <c r="F465" s="7">
        <v>2.1205858567705902</v>
      </c>
      <c r="G465" s="7">
        <v>227.3</v>
      </c>
      <c r="H465" s="7">
        <v>2.1114106019766399</v>
      </c>
      <c r="I465" s="7">
        <v>223</v>
      </c>
      <c r="J465" s="7">
        <v>227.98</v>
      </c>
      <c r="K465" s="7">
        <v>222.62</v>
      </c>
      <c r="L465" s="7">
        <v>2.1114106019766399</v>
      </c>
    </row>
    <row r="466" spans="1:12" ht="15" customHeight="1" x14ac:dyDescent="0.2">
      <c r="A466" s="3">
        <v>45373</v>
      </c>
      <c r="B466" s="4">
        <v>222.58</v>
      </c>
      <c r="C466" s="5">
        <v>133092</v>
      </c>
      <c r="D466" s="4">
        <v>-6.1099999999999799</v>
      </c>
      <c r="E466" s="4">
        <v>-2.6717390353753898</v>
      </c>
      <c r="F466" s="4">
        <v>-2.6717390353753898</v>
      </c>
      <c r="G466" s="4">
        <v>222.58</v>
      </c>
      <c r="H466" s="4">
        <v>-8.9847259658498695E-3</v>
      </c>
      <c r="I466" s="4">
        <v>228.3</v>
      </c>
      <c r="J466" s="4">
        <v>228.3</v>
      </c>
      <c r="K466" s="4">
        <v>220.03</v>
      </c>
      <c r="L466" s="4">
        <v>-8.9847259658498695E-3</v>
      </c>
    </row>
    <row r="467" spans="1:12" ht="15" customHeight="1" x14ac:dyDescent="0.2">
      <c r="A467" s="6">
        <v>45372</v>
      </c>
      <c r="B467" s="7">
        <v>228.69</v>
      </c>
      <c r="C467" s="8">
        <v>118918</v>
      </c>
      <c r="D467" s="7">
        <v>2.21</v>
      </c>
      <c r="E467" s="7">
        <v>0.97580360296716195</v>
      </c>
      <c r="F467" s="7">
        <v>0.97580360296716195</v>
      </c>
      <c r="G467" s="7">
        <v>228.69</v>
      </c>
      <c r="H467" s="7">
        <v>2.7358490566037701</v>
      </c>
      <c r="I467" s="7">
        <v>231.01</v>
      </c>
      <c r="J467" s="7">
        <v>233</v>
      </c>
      <c r="K467" s="7">
        <v>225.57</v>
      </c>
      <c r="L467" s="7">
        <v>2.7358490566037701</v>
      </c>
    </row>
    <row r="468" spans="1:12" ht="15" customHeight="1" x14ac:dyDescent="0.2">
      <c r="A468" s="3">
        <v>45371</v>
      </c>
      <c r="B468" s="4">
        <v>226.48</v>
      </c>
      <c r="C468" s="5">
        <v>130782</v>
      </c>
      <c r="D468" s="4">
        <v>5.1999999999999797</v>
      </c>
      <c r="E468" s="4">
        <v>2.3499638467100401</v>
      </c>
      <c r="F468" s="4">
        <v>2.3499638467100401</v>
      </c>
      <c r="G468" s="4">
        <v>226.48</v>
      </c>
      <c r="H468" s="4">
        <v>1.74303683737645</v>
      </c>
      <c r="I468" s="4">
        <v>220.8</v>
      </c>
      <c r="J468" s="4">
        <v>227.33</v>
      </c>
      <c r="K468" s="4">
        <v>218.03</v>
      </c>
      <c r="L468" s="4">
        <v>1.74303683737645</v>
      </c>
    </row>
    <row r="469" spans="1:12" ht="15" customHeight="1" x14ac:dyDescent="0.2">
      <c r="A469" s="6">
        <v>45370</v>
      </c>
      <c r="B469" s="7">
        <v>221.28</v>
      </c>
      <c r="C469" s="8">
        <v>228925</v>
      </c>
      <c r="D469" s="7">
        <v>-8.34</v>
      </c>
      <c r="E469" s="7">
        <v>-3.6320877972302101</v>
      </c>
      <c r="F469" s="7">
        <v>-3.6320877972302101</v>
      </c>
      <c r="G469" s="7">
        <v>221.28</v>
      </c>
      <c r="H469" s="7">
        <v>-0.59299191374662696</v>
      </c>
      <c r="I469" s="7">
        <v>228.5</v>
      </c>
      <c r="J469" s="7">
        <v>232.99</v>
      </c>
      <c r="K469" s="7">
        <v>220.29</v>
      </c>
      <c r="L469" s="7">
        <v>-0.59299191374662696</v>
      </c>
    </row>
    <row r="470" spans="1:12" ht="15" customHeight="1" x14ac:dyDescent="0.2">
      <c r="A470" s="3">
        <v>45366</v>
      </c>
      <c r="B470" s="4">
        <v>229.62</v>
      </c>
      <c r="C470" s="5">
        <v>1390815</v>
      </c>
      <c r="D470" s="4">
        <v>6.46</v>
      </c>
      <c r="E470" s="4">
        <v>2.8947840114715802</v>
      </c>
      <c r="F470" s="4">
        <v>2.8947840114715802</v>
      </c>
      <c r="G470" s="4">
        <v>229.62</v>
      </c>
      <c r="H470" s="4">
        <v>3.15363881401617</v>
      </c>
      <c r="I470" s="4">
        <v>224</v>
      </c>
      <c r="J470" s="4">
        <v>230.49</v>
      </c>
      <c r="K470" s="4">
        <v>223.97</v>
      </c>
      <c r="L470" s="4">
        <v>3.15363881401617</v>
      </c>
    </row>
    <row r="471" spans="1:12" ht="15" customHeight="1" x14ac:dyDescent="0.2">
      <c r="A471" s="6">
        <v>45365</v>
      </c>
      <c r="B471" s="7">
        <v>223.16</v>
      </c>
      <c r="C471" s="8">
        <v>248413</v>
      </c>
      <c r="D471" s="7">
        <v>1.5799999999999801</v>
      </c>
      <c r="E471" s="7">
        <v>0.71306074555463805</v>
      </c>
      <c r="F471" s="7">
        <v>0.71306074555463805</v>
      </c>
      <c r="G471" s="7">
        <v>223.16</v>
      </c>
      <c r="H471" s="7">
        <v>0.25157232704402599</v>
      </c>
      <c r="I471" s="7">
        <v>221.69</v>
      </c>
      <c r="J471" s="7">
        <v>223.9</v>
      </c>
      <c r="K471" s="7">
        <v>221.45</v>
      </c>
      <c r="L471" s="7">
        <v>0.25157232704402599</v>
      </c>
    </row>
    <row r="472" spans="1:12" ht="15" customHeight="1" x14ac:dyDescent="0.2">
      <c r="A472" s="3">
        <v>45364</v>
      </c>
      <c r="B472" s="4">
        <v>221.58</v>
      </c>
      <c r="C472" s="5">
        <v>285464</v>
      </c>
      <c r="D472" s="4">
        <v>4.71</v>
      </c>
      <c r="E472" s="4">
        <v>2.1718079955733902</v>
      </c>
      <c r="F472" s="4">
        <v>2.1718079955733902</v>
      </c>
      <c r="G472" s="4">
        <v>221.58</v>
      </c>
      <c r="H472" s="4">
        <v>-0.458221024258751</v>
      </c>
      <c r="I472" s="4">
        <v>215.8</v>
      </c>
      <c r="J472" s="4">
        <v>221.98</v>
      </c>
      <c r="K472" s="4">
        <v>214.02</v>
      </c>
      <c r="L472" s="4">
        <v>-0.458221024258751</v>
      </c>
    </row>
    <row r="473" spans="1:12" ht="15" customHeight="1" x14ac:dyDescent="0.2">
      <c r="A473" s="6">
        <v>45363</v>
      </c>
      <c r="B473" s="7">
        <v>216.87</v>
      </c>
      <c r="C473" s="8">
        <v>140672</v>
      </c>
      <c r="D473" s="7">
        <v>1.8600000000000101</v>
      </c>
      <c r="E473" s="7">
        <v>0.86507604297474305</v>
      </c>
      <c r="F473" s="7">
        <v>0.86507604297474305</v>
      </c>
      <c r="G473" s="7">
        <v>216.87</v>
      </c>
      <c r="H473" s="7">
        <v>-2.5741239892183199</v>
      </c>
      <c r="I473" s="7">
        <v>212.15</v>
      </c>
      <c r="J473" s="7">
        <v>217.45</v>
      </c>
      <c r="K473" s="7">
        <v>211.22</v>
      </c>
      <c r="L473" s="7">
        <v>-2.5741239892183199</v>
      </c>
    </row>
    <row r="474" spans="1:12" ht="15" customHeight="1" x14ac:dyDescent="0.2">
      <c r="A474" s="3">
        <v>45362</v>
      </c>
      <c r="B474" s="4">
        <v>215.01</v>
      </c>
      <c r="C474" s="5">
        <v>177542</v>
      </c>
      <c r="D474" s="4">
        <v>1.42999999999997</v>
      </c>
      <c r="E474" s="4">
        <v>0.66953834628708997</v>
      </c>
      <c r="F474" s="4">
        <v>0.66953834628708997</v>
      </c>
      <c r="G474" s="4">
        <v>215.01</v>
      </c>
      <c r="H474" s="4">
        <v>-3.4097035040431201</v>
      </c>
      <c r="I474" s="4">
        <v>213.59</v>
      </c>
      <c r="J474" s="4">
        <v>215.64</v>
      </c>
      <c r="K474" s="4">
        <v>209</v>
      </c>
      <c r="L474" s="4">
        <v>-3.4097035040431201</v>
      </c>
    </row>
    <row r="475" spans="1:12" ht="15" customHeight="1" x14ac:dyDescent="0.2">
      <c r="A475" s="6">
        <v>45359</v>
      </c>
      <c r="B475" s="7">
        <v>213.58</v>
      </c>
      <c r="C475" s="8">
        <v>192898</v>
      </c>
      <c r="D475" s="7">
        <v>-0.23999999999998001</v>
      </c>
      <c r="E475" s="7">
        <v>-0.112243943503875</v>
      </c>
      <c r="F475" s="7">
        <v>-0.112243943503875</v>
      </c>
      <c r="G475" s="7">
        <v>213.58</v>
      </c>
      <c r="H475" s="7">
        <v>-4.0521114106019596</v>
      </c>
      <c r="I475" s="7">
        <v>214.34</v>
      </c>
      <c r="J475" s="7">
        <v>214.34</v>
      </c>
      <c r="K475" s="7">
        <v>212.01</v>
      </c>
      <c r="L475" s="7">
        <v>-4.0521114106019596</v>
      </c>
    </row>
    <row r="476" spans="1:12" ht="15" customHeight="1" x14ac:dyDescent="0.2">
      <c r="A476" s="3">
        <v>45358</v>
      </c>
      <c r="B476" s="4">
        <v>213.82</v>
      </c>
      <c r="C476" s="5">
        <v>159808</v>
      </c>
      <c r="D476" s="4">
        <v>-1.68</v>
      </c>
      <c r="E476" s="4">
        <v>-0.779582366589326</v>
      </c>
      <c r="F476" s="4">
        <v>-0.779582366589326</v>
      </c>
      <c r="G476" s="4">
        <v>213.82</v>
      </c>
      <c r="H476" s="4">
        <v>-3.9442946990116798</v>
      </c>
      <c r="I476" s="4">
        <v>215.02</v>
      </c>
      <c r="J476" s="4">
        <v>215.5</v>
      </c>
      <c r="K476" s="4">
        <v>212.13</v>
      </c>
      <c r="L476" s="4">
        <v>-3.9442946990116798</v>
      </c>
    </row>
    <row r="477" spans="1:12" ht="15" customHeight="1" x14ac:dyDescent="0.2">
      <c r="A477" s="6">
        <v>45357</v>
      </c>
      <c r="B477" s="7">
        <v>215.5</v>
      </c>
      <c r="C477" s="8">
        <v>164844</v>
      </c>
      <c r="D477" s="7">
        <v>-1.46999999999999</v>
      </c>
      <c r="E477" s="7">
        <v>-0.67751302023321103</v>
      </c>
      <c r="F477" s="7">
        <v>-0.67751302023321103</v>
      </c>
      <c r="G477" s="7">
        <v>215.5</v>
      </c>
      <c r="H477" s="7">
        <v>-3.1895777178796001</v>
      </c>
      <c r="I477" s="7">
        <v>218</v>
      </c>
      <c r="J477" s="7">
        <v>221.97</v>
      </c>
      <c r="K477" s="7">
        <v>213.38</v>
      </c>
      <c r="L477" s="7">
        <v>-3.1895777178796001</v>
      </c>
    </row>
    <row r="478" spans="1:12" ht="15" customHeight="1" x14ac:dyDescent="0.2">
      <c r="A478" s="3">
        <v>45356</v>
      </c>
      <c r="B478" s="4">
        <v>216.97</v>
      </c>
      <c r="C478" s="5">
        <v>251434</v>
      </c>
      <c r="D478" s="4">
        <v>3.5999999999999899</v>
      </c>
      <c r="E478" s="4">
        <v>1.6872100107793999</v>
      </c>
      <c r="F478" s="4">
        <v>1.6872100107793999</v>
      </c>
      <c r="G478" s="4">
        <v>216.97</v>
      </c>
      <c r="H478" s="4">
        <v>-2.52920035938903</v>
      </c>
      <c r="I478" s="4">
        <v>213.48</v>
      </c>
      <c r="J478" s="4">
        <v>217.46</v>
      </c>
      <c r="K478" s="4">
        <v>211.01</v>
      </c>
      <c r="L478" s="4">
        <v>-2.52920035938903</v>
      </c>
    </row>
    <row r="479" spans="1:12" ht="15" customHeight="1" x14ac:dyDescent="0.2">
      <c r="A479" s="6">
        <v>45355</v>
      </c>
      <c r="B479" s="7">
        <v>213.37</v>
      </c>
      <c r="C479" s="8">
        <v>188563</v>
      </c>
      <c r="D479" s="7">
        <v>-4.1399999999999801</v>
      </c>
      <c r="E479" s="7">
        <v>-1.9033607650222799</v>
      </c>
      <c r="F479" s="7">
        <v>-1.9033607650222799</v>
      </c>
      <c r="G479" s="7">
        <v>213.37</v>
      </c>
      <c r="H479" s="7">
        <v>-4.1464510332434799</v>
      </c>
      <c r="I479" s="7">
        <v>217.51</v>
      </c>
      <c r="J479" s="7">
        <v>219.86</v>
      </c>
      <c r="K479" s="7">
        <v>212.51</v>
      </c>
      <c r="L479" s="7">
        <v>-4.1464510332434799</v>
      </c>
    </row>
    <row r="480" spans="1:12" ht="15" customHeight="1" x14ac:dyDescent="0.2">
      <c r="A480" s="3">
        <v>45352</v>
      </c>
      <c r="B480" s="4">
        <v>217.51</v>
      </c>
      <c r="C480" s="5">
        <v>256725</v>
      </c>
      <c r="D480" s="4">
        <v>3.92999999999997</v>
      </c>
      <c r="E480" s="4">
        <v>1.8400599307051</v>
      </c>
      <c r="F480" s="4">
        <v>1.8400599307051</v>
      </c>
      <c r="G480" s="4">
        <v>217.51</v>
      </c>
      <c r="H480" s="4">
        <v>-2.28661275831087</v>
      </c>
      <c r="I480" s="4">
        <v>213.52</v>
      </c>
      <c r="J480" s="4">
        <v>220.77</v>
      </c>
      <c r="K480" s="4">
        <v>212.06</v>
      </c>
      <c r="L480" s="4">
        <v>-2.28661275831087</v>
      </c>
    </row>
    <row r="481" spans="1:12" ht="15" customHeight="1" x14ac:dyDescent="0.2">
      <c r="A481" s="6">
        <v>45351</v>
      </c>
      <c r="B481" s="7">
        <v>213.58</v>
      </c>
      <c r="C481" s="8">
        <v>964727</v>
      </c>
      <c r="D481" s="7">
        <v>-0.32999999999998397</v>
      </c>
      <c r="E481" s="7">
        <v>-0.15427048758822601</v>
      </c>
      <c r="F481" s="7">
        <v>-0.15427048758822601</v>
      </c>
      <c r="G481" s="7">
        <v>213.58</v>
      </c>
      <c r="H481" s="7">
        <v>-4.0521114106019596</v>
      </c>
      <c r="I481" s="7">
        <v>216.39</v>
      </c>
      <c r="J481" s="7">
        <v>218.43</v>
      </c>
      <c r="K481" s="7">
        <v>211.67</v>
      </c>
      <c r="L481" s="7">
        <v>-4.0521114106019596</v>
      </c>
    </row>
    <row r="482" spans="1:12" ht="15" customHeight="1" x14ac:dyDescent="0.2">
      <c r="A482" s="3">
        <v>45350</v>
      </c>
      <c r="B482" s="4">
        <v>213.91</v>
      </c>
      <c r="C482" s="5">
        <v>250638</v>
      </c>
      <c r="D482" s="4">
        <v>-2.50999999999999</v>
      </c>
      <c r="E482" s="4">
        <v>-1.15978190555401</v>
      </c>
      <c r="F482" s="4">
        <v>-1.15978190555401</v>
      </c>
      <c r="G482" s="4">
        <v>213.91</v>
      </c>
      <c r="H482" s="4">
        <v>-3.9038634321653101</v>
      </c>
      <c r="I482" s="4">
        <v>213.65</v>
      </c>
      <c r="J482" s="4">
        <v>215.15</v>
      </c>
      <c r="K482" s="4">
        <v>209.87</v>
      </c>
      <c r="L482" s="4">
        <v>-3.9038634321653101</v>
      </c>
    </row>
    <row r="483" spans="1:12" ht="15" customHeight="1" x14ac:dyDescent="0.2">
      <c r="A483" s="6">
        <v>45349</v>
      </c>
      <c r="B483" s="7">
        <v>216.42</v>
      </c>
      <c r="C483" s="8">
        <v>160851</v>
      </c>
      <c r="D483" s="7">
        <v>1.8299999999999801</v>
      </c>
      <c r="E483" s="7">
        <v>0.85278903956380603</v>
      </c>
      <c r="F483" s="7">
        <v>0.85278903956380603</v>
      </c>
      <c r="G483" s="7">
        <v>216.42</v>
      </c>
      <c r="H483" s="7">
        <v>-2.7762803234501301</v>
      </c>
      <c r="I483" s="7">
        <v>213.98</v>
      </c>
      <c r="J483" s="7">
        <v>217.61</v>
      </c>
      <c r="K483" s="7">
        <v>212.04</v>
      </c>
      <c r="L483" s="7">
        <v>-2.7762803234501301</v>
      </c>
    </row>
    <row r="484" spans="1:12" ht="15" customHeight="1" x14ac:dyDescent="0.2">
      <c r="A484" s="3">
        <v>45348</v>
      </c>
      <c r="B484" s="4">
        <v>214.59</v>
      </c>
      <c r="C484" s="5">
        <v>158010</v>
      </c>
      <c r="D484" s="4">
        <v>0.87000000000000399</v>
      </c>
      <c r="E484" s="4">
        <v>0.40707467714766699</v>
      </c>
      <c r="F484" s="4">
        <v>0.40707467714766699</v>
      </c>
      <c r="G484" s="4">
        <v>214.59</v>
      </c>
      <c r="H484" s="4">
        <v>-3.5983827493261402</v>
      </c>
      <c r="I484" s="4">
        <v>214.2</v>
      </c>
      <c r="J484" s="4">
        <v>215.86</v>
      </c>
      <c r="K484" s="4">
        <v>211</v>
      </c>
      <c r="L484" s="4">
        <v>-3.5983827493261402</v>
      </c>
    </row>
    <row r="485" spans="1:12" ht="15" customHeight="1" x14ac:dyDescent="0.2">
      <c r="A485" s="6">
        <v>45345</v>
      </c>
      <c r="B485" s="7">
        <v>213.72</v>
      </c>
      <c r="C485" s="8">
        <v>188420</v>
      </c>
      <c r="D485" s="7">
        <v>0.77000000000001001</v>
      </c>
      <c r="E485" s="7">
        <v>0.36158722704859803</v>
      </c>
      <c r="F485" s="7">
        <v>0.36158722704859803</v>
      </c>
      <c r="G485" s="7">
        <v>213.72</v>
      </c>
      <c r="H485" s="7">
        <v>-3.9892183288409599</v>
      </c>
      <c r="I485" s="7">
        <v>214.99</v>
      </c>
      <c r="J485" s="7">
        <v>214.99</v>
      </c>
      <c r="K485" s="7">
        <v>211.55</v>
      </c>
      <c r="L485" s="7">
        <v>-3.9892183288409599</v>
      </c>
    </row>
    <row r="486" spans="1:12" ht="15" customHeight="1" x14ac:dyDescent="0.2">
      <c r="A486" s="3">
        <v>45344</v>
      </c>
      <c r="B486" s="4">
        <v>212.95</v>
      </c>
      <c r="C486" s="5">
        <v>161325</v>
      </c>
      <c r="D486" s="4">
        <v>-2.2400000000000002</v>
      </c>
      <c r="E486" s="4">
        <v>-1.0409405641526099</v>
      </c>
      <c r="F486" s="4">
        <v>-1.0409405641526099</v>
      </c>
      <c r="G486" s="4">
        <v>212.95</v>
      </c>
      <c r="H486" s="4">
        <v>-4.3351302785265</v>
      </c>
      <c r="I486" s="4">
        <v>214.01</v>
      </c>
      <c r="J486" s="4">
        <v>215.14</v>
      </c>
      <c r="K486" s="4">
        <v>212.15</v>
      </c>
      <c r="L486" s="4">
        <v>-4.3351302785265</v>
      </c>
    </row>
    <row r="487" spans="1:12" ht="15" customHeight="1" x14ac:dyDescent="0.2">
      <c r="A487" s="6">
        <v>45343</v>
      </c>
      <c r="B487" s="7">
        <v>215.19</v>
      </c>
      <c r="C487" s="8">
        <v>161929</v>
      </c>
      <c r="D487" s="7">
        <v>-0.65999999999999603</v>
      </c>
      <c r="E487" s="7">
        <v>-0.30576789437108898</v>
      </c>
      <c r="F487" s="7">
        <v>-0.30576789437108898</v>
      </c>
      <c r="G487" s="7">
        <v>215.19</v>
      </c>
      <c r="H487" s="7">
        <v>-3.3288409703504001</v>
      </c>
      <c r="I487" s="7">
        <v>214.5</v>
      </c>
      <c r="J487" s="7">
        <v>215.72</v>
      </c>
      <c r="K487" s="7">
        <v>212.5</v>
      </c>
      <c r="L487" s="7">
        <v>-3.3288409703504001</v>
      </c>
    </row>
    <row r="488" spans="1:12" ht="15" customHeight="1" x14ac:dyDescent="0.2">
      <c r="A488" s="3">
        <v>45342</v>
      </c>
      <c r="B488" s="4">
        <v>215.85</v>
      </c>
      <c r="C488" s="5">
        <v>216983</v>
      </c>
      <c r="D488" s="4">
        <v>-2.1899999999999902</v>
      </c>
      <c r="E488" s="4">
        <v>-1.0044028618601999</v>
      </c>
      <c r="F488" s="4">
        <v>-1.0044028618601999</v>
      </c>
      <c r="G488" s="4">
        <v>215.85</v>
      </c>
      <c r="H488" s="4">
        <v>-3.0323450134770802</v>
      </c>
      <c r="I488" s="4">
        <v>218.02</v>
      </c>
      <c r="J488" s="4">
        <v>218.02</v>
      </c>
      <c r="K488" s="4">
        <v>212.38</v>
      </c>
      <c r="L488" s="4">
        <v>-3.0323450134770802</v>
      </c>
    </row>
    <row r="489" spans="1:12" ht="15" customHeight="1" x14ac:dyDescent="0.2">
      <c r="A489" s="6">
        <v>45341</v>
      </c>
      <c r="B489" s="7">
        <v>218.04</v>
      </c>
      <c r="C489" s="8">
        <v>36540</v>
      </c>
      <c r="D489" s="7">
        <v>1.4</v>
      </c>
      <c r="E489" s="7">
        <v>0.64623338257017104</v>
      </c>
      <c r="F489" s="7">
        <v>0.64623338257017104</v>
      </c>
      <c r="G489" s="7">
        <v>218.04</v>
      </c>
      <c r="H489" s="7">
        <v>-2.0485175202156301</v>
      </c>
      <c r="I489" s="7">
        <v>215.99</v>
      </c>
      <c r="J489" s="7">
        <v>220.6</v>
      </c>
      <c r="K489" s="7">
        <v>214.95</v>
      </c>
      <c r="L489" s="7">
        <v>-2.0485175202156301</v>
      </c>
    </row>
    <row r="490" spans="1:12" ht="15" customHeight="1" x14ac:dyDescent="0.2">
      <c r="A490" s="3">
        <v>45338</v>
      </c>
      <c r="B490" s="4">
        <v>216.64</v>
      </c>
      <c r="C490" s="5">
        <v>168643</v>
      </c>
      <c r="D490" s="4">
        <v>-3.0000000000001099E-2</v>
      </c>
      <c r="E490" s="4">
        <v>-1.3845940831680399E-2</v>
      </c>
      <c r="F490" s="4">
        <v>-1.3845940831680399E-2</v>
      </c>
      <c r="G490" s="4">
        <v>216.64</v>
      </c>
      <c r="H490" s="4">
        <v>-2.6774483378256999</v>
      </c>
      <c r="I490" s="4">
        <v>217</v>
      </c>
      <c r="J490" s="4">
        <v>219.49</v>
      </c>
      <c r="K490" s="4">
        <v>214.17</v>
      </c>
      <c r="L490" s="4">
        <v>-2.6774483378256999</v>
      </c>
    </row>
    <row r="491" spans="1:12" ht="15" customHeight="1" x14ac:dyDescent="0.2">
      <c r="A491" s="6">
        <v>45337</v>
      </c>
      <c r="B491" s="7">
        <v>216.67</v>
      </c>
      <c r="C491" s="8">
        <v>110646</v>
      </c>
      <c r="D491" s="7">
        <v>-0.140000000000014</v>
      </c>
      <c r="E491" s="7">
        <v>-6.4572667312401397E-2</v>
      </c>
      <c r="F491" s="7">
        <v>-6.4572667312401397E-2</v>
      </c>
      <c r="G491" s="7">
        <v>216.67</v>
      </c>
      <c r="H491" s="7">
        <v>-2.6639712488769098</v>
      </c>
      <c r="I491" s="7">
        <v>217.14</v>
      </c>
      <c r="J491" s="7">
        <v>220.5</v>
      </c>
      <c r="K491" s="7">
        <v>215.07</v>
      </c>
      <c r="L491" s="7">
        <v>-2.6639712488769098</v>
      </c>
    </row>
    <row r="492" spans="1:12" ht="15" customHeight="1" x14ac:dyDescent="0.2">
      <c r="A492" s="3">
        <v>45336</v>
      </c>
      <c r="B492" s="4">
        <v>216.81</v>
      </c>
      <c r="C492" s="5">
        <v>171515</v>
      </c>
      <c r="D492" s="4">
        <v>1.78999999999999</v>
      </c>
      <c r="E492" s="4">
        <v>0.83248069946981695</v>
      </c>
      <c r="F492" s="4">
        <v>0.83248069946981695</v>
      </c>
      <c r="G492" s="4">
        <v>216.81</v>
      </c>
      <c r="H492" s="4">
        <v>-2.6010781671158898</v>
      </c>
      <c r="I492" s="4">
        <v>218.22</v>
      </c>
      <c r="J492" s="4">
        <v>218.22</v>
      </c>
      <c r="K492" s="4">
        <v>212.63</v>
      </c>
      <c r="L492" s="4">
        <v>-2.6010781671158898</v>
      </c>
    </row>
    <row r="493" spans="1:12" ht="15" customHeight="1" x14ac:dyDescent="0.2">
      <c r="A493" s="6">
        <v>45335</v>
      </c>
      <c r="B493" s="7">
        <v>215.02</v>
      </c>
      <c r="C493" s="8">
        <v>120395</v>
      </c>
      <c r="D493" s="7">
        <v>-3.1499999999999702</v>
      </c>
      <c r="E493" s="7">
        <v>-1.4438282073612101</v>
      </c>
      <c r="F493" s="7">
        <v>-1.4438282073612101</v>
      </c>
      <c r="G493" s="7">
        <v>215.02</v>
      </c>
      <c r="H493" s="7">
        <v>-3.4052111410601902</v>
      </c>
      <c r="I493" s="7">
        <v>217</v>
      </c>
      <c r="J493" s="7">
        <v>223.83</v>
      </c>
      <c r="K493" s="7">
        <v>211.06</v>
      </c>
      <c r="L493" s="7">
        <v>-3.4052111410601902</v>
      </c>
    </row>
    <row r="494" spans="1:12" ht="15" customHeight="1" x14ac:dyDescent="0.2">
      <c r="A494" s="3">
        <v>45334</v>
      </c>
      <c r="B494" s="4">
        <v>218.17</v>
      </c>
      <c r="C494" s="5">
        <v>105869</v>
      </c>
      <c r="D494" s="4">
        <v>2.5999999999999899</v>
      </c>
      <c r="E494" s="4">
        <v>1.2061047455582801</v>
      </c>
      <c r="F494" s="4">
        <v>1.2061047455582801</v>
      </c>
      <c r="G494" s="4">
        <v>218.17</v>
      </c>
      <c r="H494" s="4">
        <v>-1.9901168014375501</v>
      </c>
      <c r="I494" s="4">
        <v>217.5</v>
      </c>
      <c r="J494" s="4">
        <v>218.97</v>
      </c>
      <c r="K494" s="4">
        <v>216.5</v>
      </c>
      <c r="L494" s="4">
        <v>-1.9901168014375501</v>
      </c>
    </row>
    <row r="495" spans="1:12" ht="15" customHeight="1" x14ac:dyDescent="0.2">
      <c r="A495" s="6">
        <v>45331</v>
      </c>
      <c r="B495" s="7">
        <v>215.57</v>
      </c>
      <c r="C495" s="8">
        <v>159140</v>
      </c>
      <c r="D495" s="7">
        <v>-1.6700000000000099</v>
      </c>
      <c r="E495" s="7">
        <v>-0.76873503958756395</v>
      </c>
      <c r="F495" s="7">
        <v>-0.76873503958756395</v>
      </c>
      <c r="G495" s="7">
        <v>215.57</v>
      </c>
      <c r="H495" s="7">
        <v>-3.1581311769990998</v>
      </c>
      <c r="I495" s="7">
        <v>218.56</v>
      </c>
      <c r="J495" s="7">
        <v>218.56</v>
      </c>
      <c r="K495" s="7">
        <v>214.56</v>
      </c>
      <c r="L495" s="7">
        <v>-3.1581311769990998</v>
      </c>
    </row>
    <row r="496" spans="1:12" ht="15" customHeight="1" x14ac:dyDescent="0.2">
      <c r="A496" s="3">
        <v>45330</v>
      </c>
      <c r="B496" s="4">
        <v>217.24</v>
      </c>
      <c r="C496" s="5">
        <v>133421</v>
      </c>
      <c r="D496" s="4">
        <v>-3.03</v>
      </c>
      <c r="E496" s="4">
        <v>-1.37558450991964</v>
      </c>
      <c r="F496" s="4">
        <v>-1.37558450991964</v>
      </c>
      <c r="G496" s="4">
        <v>217.24</v>
      </c>
      <c r="H496" s="4">
        <v>-2.4079065588499402</v>
      </c>
      <c r="I496" s="4">
        <v>220.84</v>
      </c>
      <c r="J496" s="4">
        <v>223.28</v>
      </c>
      <c r="K496" s="4">
        <v>217</v>
      </c>
      <c r="L496" s="4">
        <v>-2.4079065588499402</v>
      </c>
    </row>
    <row r="497" spans="1:12" ht="15" customHeight="1" x14ac:dyDescent="0.2">
      <c r="A497" s="6">
        <v>45329</v>
      </c>
      <c r="B497" s="7">
        <v>220.27</v>
      </c>
      <c r="C497" s="8">
        <v>232778</v>
      </c>
      <c r="D497" s="7">
        <v>-1.6599999999999899</v>
      </c>
      <c r="E497" s="7">
        <v>-0.74798359843193296</v>
      </c>
      <c r="F497" s="7">
        <v>-0.74798359843193296</v>
      </c>
      <c r="G497" s="7">
        <v>220.27</v>
      </c>
      <c r="H497" s="7">
        <v>-1.04672057502245</v>
      </c>
      <c r="I497" s="7">
        <v>223.06</v>
      </c>
      <c r="J497" s="7">
        <v>227.83</v>
      </c>
      <c r="K497" s="7">
        <v>218.22</v>
      </c>
      <c r="L497" s="7">
        <v>-1.04672057502245</v>
      </c>
    </row>
    <row r="498" spans="1:12" ht="15" customHeight="1" x14ac:dyDescent="0.2">
      <c r="A498" s="3">
        <v>45328</v>
      </c>
      <c r="B498" s="4">
        <v>221.93</v>
      </c>
      <c r="C498" s="5">
        <v>401387</v>
      </c>
      <c r="D498" s="4">
        <v>5.0400000000000196</v>
      </c>
      <c r="E498" s="4">
        <v>2.3237585873023301</v>
      </c>
      <c r="F498" s="4">
        <v>2.3237585873023301</v>
      </c>
      <c r="G498" s="4">
        <v>221.93</v>
      </c>
      <c r="H498" s="4">
        <v>-0.30098831985623797</v>
      </c>
      <c r="I498" s="4">
        <v>216.89</v>
      </c>
      <c r="J498" s="4">
        <v>227.73</v>
      </c>
      <c r="K498" s="4">
        <v>213.72</v>
      </c>
      <c r="L498" s="4">
        <v>-0.30098831985623797</v>
      </c>
    </row>
    <row r="499" spans="1:12" ht="15" customHeight="1" x14ac:dyDescent="0.2">
      <c r="A499" s="6">
        <v>45324</v>
      </c>
      <c r="B499" s="7">
        <v>216.89</v>
      </c>
      <c r="C499" s="8">
        <v>219090</v>
      </c>
      <c r="D499" s="7">
        <v>-8</v>
      </c>
      <c r="E499" s="7">
        <v>-3.55729467739783</v>
      </c>
      <c r="F499" s="7">
        <v>-3.55729467739783</v>
      </c>
      <c r="G499" s="7">
        <v>216.89</v>
      </c>
      <c r="H499" s="7">
        <v>-2.5651392632524699</v>
      </c>
      <c r="I499" s="7">
        <v>225.6</v>
      </c>
      <c r="J499" s="7">
        <v>225.6</v>
      </c>
      <c r="K499" s="7">
        <v>215.66</v>
      </c>
      <c r="L499" s="7">
        <v>-2.5651392632524699</v>
      </c>
    </row>
    <row r="500" spans="1:12" ht="15" customHeight="1" x14ac:dyDescent="0.2">
      <c r="A500" s="3">
        <v>45323</v>
      </c>
      <c r="B500" s="4">
        <v>224.89</v>
      </c>
      <c r="C500" s="5">
        <v>232123</v>
      </c>
      <c r="D500" s="4">
        <v>-1.4500000000000099</v>
      </c>
      <c r="E500" s="4">
        <v>-0.64062914199877197</v>
      </c>
      <c r="F500" s="4">
        <v>-0.64062914199877197</v>
      </c>
      <c r="G500" s="4">
        <v>224.89</v>
      </c>
      <c r="H500" s="4">
        <v>1.02875112309074</v>
      </c>
      <c r="I500" s="4">
        <v>226.35</v>
      </c>
      <c r="J500" s="4">
        <v>233.92</v>
      </c>
      <c r="K500" s="4">
        <v>223.2</v>
      </c>
      <c r="L500" s="4">
        <v>1.02875112309074</v>
      </c>
    </row>
    <row r="501" spans="1:12" ht="15" customHeight="1" x14ac:dyDescent="0.2">
      <c r="A501" s="6">
        <v>45322</v>
      </c>
      <c r="B501" s="7">
        <v>226.34</v>
      </c>
      <c r="C501" s="8">
        <v>294896</v>
      </c>
      <c r="D501" s="7">
        <v>-5.8799999999999901</v>
      </c>
      <c r="E501" s="7">
        <v>-2.5320816467143201</v>
      </c>
      <c r="F501" s="7">
        <v>-2.5320816467143201</v>
      </c>
      <c r="G501" s="7">
        <v>226.34</v>
      </c>
      <c r="H501" s="7">
        <v>1.6801437556154499</v>
      </c>
      <c r="I501" s="7">
        <v>230.12</v>
      </c>
      <c r="J501" s="7">
        <v>236.96</v>
      </c>
      <c r="K501" s="7">
        <v>225.2</v>
      </c>
      <c r="L501" s="7">
        <v>1.6801437556154499</v>
      </c>
    </row>
    <row r="502" spans="1:12" ht="15" customHeight="1" x14ac:dyDescent="0.2">
      <c r="A502" s="3">
        <v>45321</v>
      </c>
      <c r="B502" s="4">
        <v>232.22</v>
      </c>
      <c r="C502" s="5">
        <v>238982</v>
      </c>
      <c r="D502" s="4">
        <v>-6.4399999999999897</v>
      </c>
      <c r="E502" s="4">
        <v>-2.6983993966311899</v>
      </c>
      <c r="F502" s="4">
        <v>-2.6983993966311899</v>
      </c>
      <c r="G502" s="4">
        <v>232.22</v>
      </c>
      <c r="H502" s="4">
        <v>4.3216531895777202</v>
      </c>
      <c r="I502" s="4">
        <v>238</v>
      </c>
      <c r="J502" s="4">
        <v>238</v>
      </c>
      <c r="K502" s="4">
        <v>231.1</v>
      </c>
      <c r="L502" s="4">
        <v>4.3216531895777202</v>
      </c>
    </row>
    <row r="503" spans="1:12" ht="15" customHeight="1" x14ac:dyDescent="0.2">
      <c r="A503" s="6">
        <v>45320</v>
      </c>
      <c r="B503" s="7">
        <v>238.66</v>
      </c>
      <c r="C503" s="8">
        <v>354471</v>
      </c>
      <c r="D503" s="7">
        <v>16.059999999999999</v>
      </c>
      <c r="E503" s="7">
        <v>7.2147349505839999</v>
      </c>
      <c r="F503" s="7">
        <v>7.2147349505839999</v>
      </c>
      <c r="G503" s="7">
        <v>238.66</v>
      </c>
      <c r="H503" s="7">
        <v>7.2147349505839999</v>
      </c>
      <c r="I503" s="7">
        <v>222.1</v>
      </c>
      <c r="J503" s="7">
        <v>240</v>
      </c>
      <c r="K503" s="7">
        <v>222.1</v>
      </c>
      <c r="L503" s="7">
        <v>7.2147349505839999</v>
      </c>
    </row>
    <row r="504" spans="1:12" ht="15" customHeight="1" x14ac:dyDescent="0.2">
      <c r="A504" s="3">
        <v>45317</v>
      </c>
      <c r="B504" s="4">
        <v>222.6</v>
      </c>
      <c r="C504" s="5">
        <v>163496</v>
      </c>
      <c r="D504" s="4"/>
      <c r="E504" s="4"/>
      <c r="F504" s="4"/>
      <c r="G504" s="4">
        <v>222.6</v>
      </c>
      <c r="H504" s="4"/>
      <c r="I504" s="4">
        <v>218</v>
      </c>
      <c r="J504" s="4">
        <v>226.75</v>
      </c>
      <c r="K504" s="4">
        <v>218</v>
      </c>
      <c r="L504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2F9A-C7C0-4915-95D8-2554062B810A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D1" sqref="D1:D1048576"/>
    </sheetView>
  </sheetViews>
  <sheetFormatPr baseColWidth="10" defaultColWidth="9.140625" defaultRowHeight="15" customHeight="1" x14ac:dyDescent="0.2"/>
  <cols>
    <col min="1" max="1" width="8.42578125" customWidth="1"/>
    <col min="2" max="2" width="6.85546875" customWidth="1"/>
    <col min="3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11" width="6.85546875" customWidth="1"/>
    <col min="12" max="12" width="21.140625" customWidth="1"/>
  </cols>
  <sheetData>
    <row r="1" spans="1:12" ht="15" customHeight="1" x14ac:dyDescent="0.2">
      <c r="A1" s="1" t="s">
        <v>17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155.19</v>
      </c>
      <c r="C4" s="5">
        <v>176766</v>
      </c>
      <c r="D4" s="4">
        <v>1.34</v>
      </c>
      <c r="E4" s="4">
        <v>0.87097822554436299</v>
      </c>
      <c r="F4" s="4">
        <v>0.87096837766240598</v>
      </c>
      <c r="G4" s="4">
        <v>173.51363000000001</v>
      </c>
      <c r="H4" s="4">
        <v>8.5885412103385708</v>
      </c>
      <c r="I4" s="4">
        <v>153.94999999999999</v>
      </c>
      <c r="J4" s="4">
        <v>155.19</v>
      </c>
      <c r="K4" s="4">
        <v>155.19</v>
      </c>
      <c r="L4" s="4">
        <v>-2.8787783966455902</v>
      </c>
    </row>
    <row r="5" spans="1:12" ht="15" customHeight="1" x14ac:dyDescent="0.2">
      <c r="A5" s="6">
        <v>46045</v>
      </c>
      <c r="B5" s="7">
        <v>153.85</v>
      </c>
      <c r="C5" s="8">
        <v>503552</v>
      </c>
      <c r="D5" s="7">
        <v>0.76999999999998103</v>
      </c>
      <c r="E5" s="7">
        <v>0.503004964724307</v>
      </c>
      <c r="F5" s="7">
        <v>0.50301335927480595</v>
      </c>
      <c r="G5" s="7">
        <v>172.01543000000001</v>
      </c>
      <c r="H5" s="7">
        <v>7.6509356029789197</v>
      </c>
      <c r="I5" s="7">
        <v>152.74</v>
      </c>
      <c r="J5" s="7">
        <v>158.13</v>
      </c>
      <c r="K5" s="7">
        <v>152.03</v>
      </c>
      <c r="L5" s="7">
        <v>-3.7173790600162699</v>
      </c>
    </row>
    <row r="6" spans="1:12" ht="15" customHeight="1" x14ac:dyDescent="0.2">
      <c r="A6" s="3">
        <v>46044</v>
      </c>
      <c r="B6" s="4">
        <v>153.08000000000001</v>
      </c>
      <c r="C6" s="5">
        <v>531947</v>
      </c>
      <c r="D6" s="4">
        <v>6.1300000000000203</v>
      </c>
      <c r="E6" s="4">
        <v>4.17148690030624</v>
      </c>
      <c r="F6" s="4">
        <v>4.1714977477271802</v>
      </c>
      <c r="G6" s="4">
        <v>171.15450000000001</v>
      </c>
      <c r="H6" s="4">
        <v>7.1121471931910696</v>
      </c>
      <c r="I6" s="4">
        <v>146.21</v>
      </c>
      <c r="J6" s="4">
        <v>153.41999999999999</v>
      </c>
      <c r="K6" s="4">
        <v>146.21</v>
      </c>
      <c r="L6" s="4">
        <v>-4.1992615307590997</v>
      </c>
    </row>
    <row r="7" spans="1:12" ht="15" customHeight="1" x14ac:dyDescent="0.2">
      <c r="A7" s="6">
        <v>46043</v>
      </c>
      <c r="B7" s="7">
        <v>146.94999999999999</v>
      </c>
      <c r="C7" s="8">
        <v>430880</v>
      </c>
      <c r="D7" s="7">
        <v>3.2899999999999898</v>
      </c>
      <c r="E7" s="7">
        <v>2.2901294723653098</v>
      </c>
      <c r="F7" s="7">
        <v>2.2901120747453199</v>
      </c>
      <c r="G7" s="7">
        <v>164.30070000000001</v>
      </c>
      <c r="H7" s="7">
        <v>2.8228925464672399</v>
      </c>
      <c r="I7" s="7">
        <v>143.77000000000001</v>
      </c>
      <c r="J7" s="7">
        <v>147.36000000000001</v>
      </c>
      <c r="K7" s="7">
        <v>143.74</v>
      </c>
      <c r="L7" s="7">
        <v>-8.0355466549846692</v>
      </c>
    </row>
    <row r="8" spans="1:12" ht="15" customHeight="1" x14ac:dyDescent="0.2">
      <c r="A8" s="3">
        <v>46042</v>
      </c>
      <c r="B8" s="4">
        <v>143.66</v>
      </c>
      <c r="C8" s="5">
        <v>1064838</v>
      </c>
      <c r="D8" s="4">
        <v>3.8499999999999899</v>
      </c>
      <c r="E8" s="4">
        <v>2.7537372147914998</v>
      </c>
      <c r="F8" s="4">
        <v>2.7537513833209002</v>
      </c>
      <c r="G8" s="4">
        <v>160.62226999999999</v>
      </c>
      <c r="H8" s="4">
        <v>0.52085236873395901</v>
      </c>
      <c r="I8" s="4">
        <v>139.6</v>
      </c>
      <c r="J8" s="4">
        <v>143.86000000000001</v>
      </c>
      <c r="K8" s="4">
        <v>139.12</v>
      </c>
      <c r="L8" s="4">
        <v>-10.0944990299768</v>
      </c>
    </row>
    <row r="9" spans="1:12" ht="15" customHeight="1" x14ac:dyDescent="0.2">
      <c r="A9" s="6">
        <v>46041</v>
      </c>
      <c r="B9" s="7">
        <v>139.81</v>
      </c>
      <c r="C9" s="8">
        <v>205473</v>
      </c>
      <c r="D9" s="7">
        <v>-3.72999999999998</v>
      </c>
      <c r="E9" s="7">
        <v>-2.5985787933676998</v>
      </c>
      <c r="F9" s="7">
        <v>-2.5985792838944799</v>
      </c>
      <c r="G9" s="7">
        <v>156.31766999999999</v>
      </c>
      <c r="H9" s="7">
        <v>-2.1730583891357398</v>
      </c>
      <c r="I9" s="7">
        <v>142.22</v>
      </c>
      <c r="J9" s="7">
        <v>142.97</v>
      </c>
      <c r="K9" s="7">
        <v>139.5</v>
      </c>
      <c r="L9" s="7">
        <v>-12.503911383690999</v>
      </c>
    </row>
    <row r="10" spans="1:12" ht="15" customHeight="1" x14ac:dyDescent="0.2">
      <c r="A10" s="3">
        <v>46038</v>
      </c>
      <c r="B10" s="4">
        <v>143.54</v>
      </c>
      <c r="C10" s="5">
        <v>714470</v>
      </c>
      <c r="D10" s="4">
        <v>2.0699999999999901</v>
      </c>
      <c r="E10" s="4">
        <v>1.46320774722554</v>
      </c>
      <c r="F10" s="4">
        <v>1.46320171598715</v>
      </c>
      <c r="G10" s="4">
        <v>160.48808</v>
      </c>
      <c r="H10" s="4">
        <v>0.43687339633268901</v>
      </c>
      <c r="I10" s="4">
        <v>142.9</v>
      </c>
      <c r="J10" s="4">
        <v>144.57</v>
      </c>
      <c r="K10" s="4">
        <v>140.54</v>
      </c>
      <c r="L10" s="4">
        <v>-10.169597596845801</v>
      </c>
    </row>
    <row r="11" spans="1:12" ht="15" customHeight="1" x14ac:dyDescent="0.2">
      <c r="A11" s="6">
        <v>46037</v>
      </c>
      <c r="B11" s="7">
        <v>141.47</v>
      </c>
      <c r="C11" s="8">
        <v>506700</v>
      </c>
      <c r="D11" s="7">
        <v>-2.46999999999999</v>
      </c>
      <c r="E11" s="7">
        <v>-1.7159927747672601</v>
      </c>
      <c r="F11" s="7">
        <v>-1.71599372965487</v>
      </c>
      <c r="G11" s="7">
        <v>158.17367999999999</v>
      </c>
      <c r="H11" s="7">
        <v>-1.0115276300143901</v>
      </c>
      <c r="I11" s="7">
        <v>144.15</v>
      </c>
      <c r="J11" s="7">
        <v>146.11000000000001</v>
      </c>
      <c r="K11" s="7">
        <v>141.11000000000001</v>
      </c>
      <c r="L11" s="7">
        <v>-11.4650478753363</v>
      </c>
    </row>
    <row r="12" spans="1:12" ht="15" customHeight="1" x14ac:dyDescent="0.2">
      <c r="A12" s="3">
        <v>46036</v>
      </c>
      <c r="B12" s="4">
        <v>143.94</v>
      </c>
      <c r="C12" s="5">
        <v>1042710</v>
      </c>
      <c r="D12" s="4">
        <v>3.12</v>
      </c>
      <c r="E12" s="4">
        <v>2.2155943757988998</v>
      </c>
      <c r="F12" s="4">
        <v>2.2155843603194501</v>
      </c>
      <c r="G12" s="4">
        <v>160.93531999999999</v>
      </c>
      <c r="H12" s="4">
        <v>0.71676575505350604</v>
      </c>
      <c r="I12" s="4">
        <v>141.63</v>
      </c>
      <c r="J12" s="4">
        <v>144.47999999999999</v>
      </c>
      <c r="K12" s="4">
        <v>141.21</v>
      </c>
      <c r="L12" s="4">
        <v>-9.9192690406158004</v>
      </c>
    </row>
    <row r="13" spans="1:12" ht="15" customHeight="1" x14ac:dyDescent="0.2">
      <c r="A13" s="6">
        <v>46035</v>
      </c>
      <c r="B13" s="7">
        <v>140.82</v>
      </c>
      <c r="C13" s="8">
        <v>421752</v>
      </c>
      <c r="D13" s="7">
        <v>-0.42000000000001497</v>
      </c>
      <c r="E13" s="7">
        <v>-0.29736618521666303</v>
      </c>
      <c r="F13" s="7">
        <v>-0.29735962410015698</v>
      </c>
      <c r="G13" s="7">
        <v>157.44694999999999</v>
      </c>
      <c r="H13" s="7">
        <v>-1.4663308091870599</v>
      </c>
      <c r="I13" s="7">
        <v>140.34</v>
      </c>
      <c r="J13" s="7">
        <v>143.06</v>
      </c>
      <c r="K13" s="7">
        <v>140.15</v>
      </c>
      <c r="L13" s="7">
        <v>-11.871831779210201</v>
      </c>
    </row>
    <row r="14" spans="1:12" ht="15" customHeight="1" x14ac:dyDescent="0.2">
      <c r="A14" s="3">
        <v>46034</v>
      </c>
      <c r="B14" s="4">
        <v>141.24</v>
      </c>
      <c r="C14" s="5">
        <v>393638</v>
      </c>
      <c r="D14" s="4">
        <v>1.51000000000001</v>
      </c>
      <c r="E14" s="4">
        <v>1.08065554998928</v>
      </c>
      <c r="F14" s="4">
        <v>1.0806625665540801</v>
      </c>
      <c r="G14" s="4">
        <v>157.91652999999999</v>
      </c>
      <c r="H14" s="4">
        <v>-1.1724576006007801</v>
      </c>
      <c r="I14" s="4">
        <v>139.88</v>
      </c>
      <c r="J14" s="4">
        <v>141.87</v>
      </c>
      <c r="K14" s="4">
        <v>139.61000000000001</v>
      </c>
      <c r="L14" s="4">
        <v>-11.608986795168599</v>
      </c>
    </row>
    <row r="15" spans="1:12" ht="15" customHeight="1" x14ac:dyDescent="0.2">
      <c r="A15" s="6">
        <v>46031</v>
      </c>
      <c r="B15" s="7">
        <v>139.72999999999999</v>
      </c>
      <c r="C15" s="8">
        <v>398451</v>
      </c>
      <c r="D15" s="7">
        <v>-1.8800000000000201</v>
      </c>
      <c r="E15" s="7">
        <v>-1.3275898594732201</v>
      </c>
      <c r="F15" s="7">
        <v>-1.3275987363625199</v>
      </c>
      <c r="G15" s="7">
        <v>156.22823</v>
      </c>
      <c r="H15" s="7">
        <v>-2.2290318543087699</v>
      </c>
      <c r="I15" s="7">
        <v>140.88999999999999</v>
      </c>
      <c r="J15" s="7">
        <v>142.18</v>
      </c>
      <c r="K15" s="7">
        <v>136.31</v>
      </c>
      <c r="L15" s="7">
        <v>-12.5539770949371</v>
      </c>
    </row>
    <row r="16" spans="1:12" ht="15" customHeight="1" x14ac:dyDescent="0.2">
      <c r="A16" s="3">
        <v>46030</v>
      </c>
      <c r="B16" s="4">
        <v>141.61000000000001</v>
      </c>
      <c r="C16" s="5">
        <v>434951</v>
      </c>
      <c r="D16" s="4">
        <v>1.51000000000001</v>
      </c>
      <c r="E16" s="4">
        <v>1.0778015703069399</v>
      </c>
      <c r="F16" s="4">
        <v>1.0778085457583799</v>
      </c>
      <c r="G16" s="4">
        <v>158.33022</v>
      </c>
      <c r="H16" s="4">
        <v>-0.91356154953376001</v>
      </c>
      <c r="I16" s="4">
        <v>139.99</v>
      </c>
      <c r="J16" s="4">
        <v>141.86000000000001</v>
      </c>
      <c r="K16" s="4">
        <v>139.5</v>
      </c>
      <c r="L16" s="4">
        <v>-11.3774328806558</v>
      </c>
    </row>
    <row r="17" spans="1:12" ht="15" customHeight="1" x14ac:dyDescent="0.2">
      <c r="A17" s="6">
        <v>46029</v>
      </c>
      <c r="B17" s="7">
        <v>140.1</v>
      </c>
      <c r="C17" s="8">
        <v>437653</v>
      </c>
      <c r="D17" s="7">
        <v>3.1699999999999799</v>
      </c>
      <c r="E17" s="7">
        <v>2.3150514861608</v>
      </c>
      <c r="F17" s="7">
        <v>2.3150521663855801</v>
      </c>
      <c r="G17" s="7">
        <v>156.64192</v>
      </c>
      <c r="H17" s="7">
        <v>-1.97013580324175</v>
      </c>
      <c r="I17" s="7">
        <v>137</v>
      </c>
      <c r="J17" s="7">
        <v>140.4</v>
      </c>
      <c r="K17" s="7">
        <v>136.51</v>
      </c>
      <c r="L17" s="7">
        <v>-12.3224231804243</v>
      </c>
    </row>
    <row r="18" spans="1:12" ht="15" customHeight="1" x14ac:dyDescent="0.2">
      <c r="A18" s="3">
        <v>46028</v>
      </c>
      <c r="B18" s="4">
        <v>136.93</v>
      </c>
      <c r="C18" s="5">
        <v>675185</v>
      </c>
      <c r="D18" s="4">
        <v>-5.00999999999999</v>
      </c>
      <c r="E18" s="4">
        <v>-3.52966041989571</v>
      </c>
      <c r="F18" s="4">
        <v>-3.52965929185389</v>
      </c>
      <c r="G18" s="4">
        <v>153.09763000000001</v>
      </c>
      <c r="H18" s="4">
        <v>-4.1882282996432698</v>
      </c>
      <c r="I18" s="4">
        <v>143.55000000000001</v>
      </c>
      <c r="J18" s="4">
        <v>144.79</v>
      </c>
      <c r="K18" s="4">
        <v>136.02000000000001</v>
      </c>
      <c r="L18" s="4">
        <v>-14.306276988547401</v>
      </c>
    </row>
    <row r="19" spans="1:12" ht="15" customHeight="1" x14ac:dyDescent="0.2">
      <c r="A19" s="6">
        <v>46027</v>
      </c>
      <c r="B19" s="7">
        <v>141.94</v>
      </c>
      <c r="C19" s="8">
        <v>734763</v>
      </c>
      <c r="D19" s="7">
        <v>-9.9999999999994302E-2</v>
      </c>
      <c r="E19" s="7">
        <v>-7.0402703463812097E-2</v>
      </c>
      <c r="F19" s="7">
        <v>-7.0398159522599896E-2</v>
      </c>
      <c r="G19" s="7">
        <v>158.69917000000001</v>
      </c>
      <c r="H19" s="7">
        <v>-0.68266474748105799</v>
      </c>
      <c r="I19" s="7">
        <v>143.22</v>
      </c>
      <c r="J19" s="7">
        <v>144.78</v>
      </c>
      <c r="K19" s="7">
        <v>141.55000000000001</v>
      </c>
      <c r="L19" s="7">
        <v>-11.170911821766</v>
      </c>
    </row>
    <row r="20" spans="1:12" ht="15" customHeight="1" x14ac:dyDescent="0.2">
      <c r="A20" s="3">
        <v>46024</v>
      </c>
      <c r="B20" s="4">
        <v>142.04</v>
      </c>
      <c r="C20" s="5">
        <v>296704</v>
      </c>
      <c r="D20" s="4">
        <v>-0.62000000000000399</v>
      </c>
      <c r="E20" s="4">
        <v>-0.43459974765176401</v>
      </c>
      <c r="F20" s="4">
        <v>-0.43461551482656402</v>
      </c>
      <c r="G20" s="4">
        <v>158.81097</v>
      </c>
      <c r="H20" s="4">
        <v>-0.61269791601476598</v>
      </c>
      <c r="I20" s="4">
        <v>142.65</v>
      </c>
      <c r="J20" s="4">
        <v>145.87</v>
      </c>
      <c r="K20" s="4">
        <v>139.78</v>
      </c>
      <c r="L20" s="4">
        <v>-11.108329682708501</v>
      </c>
    </row>
    <row r="21" spans="1:12" ht="15" customHeight="1" x14ac:dyDescent="0.2">
      <c r="A21" s="6">
        <v>46022</v>
      </c>
      <c r="B21" s="7">
        <v>142.66</v>
      </c>
      <c r="C21" s="8">
        <v>212080</v>
      </c>
      <c r="D21" s="7">
        <v>1.00999999999999</v>
      </c>
      <c r="E21" s="7">
        <v>0.713025061771976</v>
      </c>
      <c r="F21" s="7">
        <v>0.71304219127623603</v>
      </c>
      <c r="G21" s="7">
        <v>159.5042</v>
      </c>
      <c r="H21" s="7">
        <v>-0.17885975342636801</v>
      </c>
      <c r="I21" s="7">
        <v>141.33000000000001</v>
      </c>
      <c r="J21" s="7">
        <v>142.91999999999999</v>
      </c>
      <c r="K21" s="7">
        <v>140.55000000000001</v>
      </c>
      <c r="L21" s="7">
        <v>-10.7203204205519</v>
      </c>
    </row>
    <row r="22" spans="1:12" ht="15" customHeight="1" x14ac:dyDescent="0.2">
      <c r="A22" s="3">
        <v>46021</v>
      </c>
      <c r="B22" s="4">
        <v>141.65</v>
      </c>
      <c r="C22" s="5">
        <v>428346</v>
      </c>
      <c r="D22" s="4">
        <v>-3.1599999999999899</v>
      </c>
      <c r="E22" s="4">
        <v>-2.1821697396588502</v>
      </c>
      <c r="F22" s="4">
        <v>-2.1821769938046298</v>
      </c>
      <c r="G22" s="4">
        <v>158.37492</v>
      </c>
      <c r="H22" s="4">
        <v>-0.88558733337504703</v>
      </c>
      <c r="I22" s="4">
        <v>144.27000000000001</v>
      </c>
      <c r="J22" s="4">
        <v>144.55000000000001</v>
      </c>
      <c r="K22" s="4">
        <v>141.03</v>
      </c>
      <c r="L22" s="4">
        <v>-11.3524000250328</v>
      </c>
    </row>
    <row r="23" spans="1:12" ht="15" customHeight="1" x14ac:dyDescent="0.2">
      <c r="A23" s="6">
        <v>46020</v>
      </c>
      <c r="B23" s="7">
        <v>144.81</v>
      </c>
      <c r="C23" s="8">
        <v>381699</v>
      </c>
      <c r="D23" s="7">
        <v>0.5</v>
      </c>
      <c r="E23" s="7">
        <v>0.34647633566626801</v>
      </c>
      <c r="F23" s="7">
        <v>0.34647875103037601</v>
      </c>
      <c r="G23" s="7">
        <v>161.90804</v>
      </c>
      <c r="H23" s="7">
        <v>1.32551473809375</v>
      </c>
      <c r="I23" s="7">
        <v>144.68</v>
      </c>
      <c r="J23" s="7">
        <v>145.69999999999999</v>
      </c>
      <c r="K23" s="7">
        <v>144.15</v>
      </c>
      <c r="L23" s="7">
        <v>-9.3748044308154395</v>
      </c>
    </row>
    <row r="24" spans="1:12" ht="15" customHeight="1" x14ac:dyDescent="0.2">
      <c r="A24" s="3">
        <v>46017</v>
      </c>
      <c r="B24" s="4">
        <v>144.31</v>
      </c>
      <c r="C24" s="5">
        <v>169521</v>
      </c>
      <c r="D24" s="4">
        <v>-2.1099999999999799</v>
      </c>
      <c r="E24" s="4">
        <v>-1.4410599644857101</v>
      </c>
      <c r="F24" s="4">
        <v>-1.4410585473061199</v>
      </c>
      <c r="G24" s="4">
        <v>161.34899999999999</v>
      </c>
      <c r="H24" s="4">
        <v>0.97565554790662501</v>
      </c>
      <c r="I24" s="4">
        <v>145.72999999999999</v>
      </c>
      <c r="J24" s="4">
        <v>146.52000000000001</v>
      </c>
      <c r="K24" s="4">
        <v>143.82</v>
      </c>
      <c r="L24" s="4">
        <v>-9.6877151261030008</v>
      </c>
    </row>
    <row r="25" spans="1:12" ht="15" customHeight="1" x14ac:dyDescent="0.2">
      <c r="A25" s="6">
        <v>46015</v>
      </c>
      <c r="B25" s="7">
        <v>146.41999999999999</v>
      </c>
      <c r="C25" s="8">
        <v>73363</v>
      </c>
      <c r="D25" s="7">
        <v>-0.93000000000000604</v>
      </c>
      <c r="E25" s="7">
        <v>-0.63115032236172797</v>
      </c>
      <c r="F25" s="7">
        <v>-0.63116411274530804</v>
      </c>
      <c r="G25" s="7">
        <v>163.70813000000001</v>
      </c>
      <c r="H25" s="7">
        <v>2.4520495650541401</v>
      </c>
      <c r="I25" s="7">
        <v>146.91999999999999</v>
      </c>
      <c r="J25" s="7">
        <v>147.82</v>
      </c>
      <c r="K25" s="7">
        <v>144.37</v>
      </c>
      <c r="L25" s="7">
        <v>-8.36723199198949</v>
      </c>
    </row>
    <row r="26" spans="1:12" ht="15" customHeight="1" x14ac:dyDescent="0.2">
      <c r="A26" s="3">
        <v>46014</v>
      </c>
      <c r="B26" s="4">
        <v>147.35</v>
      </c>
      <c r="C26" s="5">
        <v>434666</v>
      </c>
      <c r="D26" s="4">
        <v>3.1999999999999802</v>
      </c>
      <c r="E26" s="4">
        <v>2.2199098161637099</v>
      </c>
      <c r="F26" s="4">
        <v>2.2199278898505401</v>
      </c>
      <c r="G26" s="4">
        <v>164.74796000000001</v>
      </c>
      <c r="H26" s="4">
        <v>3.1027974216158798</v>
      </c>
      <c r="I26" s="4">
        <v>143.85</v>
      </c>
      <c r="J26" s="4">
        <v>148.27000000000001</v>
      </c>
      <c r="K26" s="4">
        <v>143.85</v>
      </c>
      <c r="L26" s="4">
        <v>-7.7852180987546102</v>
      </c>
    </row>
    <row r="27" spans="1:12" ht="15" customHeight="1" x14ac:dyDescent="0.2">
      <c r="A27" s="6">
        <v>46013</v>
      </c>
      <c r="B27" s="7">
        <v>144.15</v>
      </c>
      <c r="C27" s="8">
        <v>756124</v>
      </c>
      <c r="D27" s="7">
        <v>-0.41999999999998699</v>
      </c>
      <c r="E27" s="7">
        <v>-0.290516704710508</v>
      </c>
      <c r="F27" s="7">
        <v>-0.29052885581148902</v>
      </c>
      <c r="G27" s="7">
        <v>161.17009999999999</v>
      </c>
      <c r="H27" s="7">
        <v>0.86369610113273598</v>
      </c>
      <c r="I27" s="7">
        <v>143.72</v>
      </c>
      <c r="J27" s="7">
        <v>146.19999999999999</v>
      </c>
      <c r="K27" s="7">
        <v>141.04</v>
      </c>
      <c r="L27" s="7">
        <v>-9.7878465485950201</v>
      </c>
    </row>
    <row r="28" spans="1:12" ht="15" customHeight="1" x14ac:dyDescent="0.2">
      <c r="A28" s="3">
        <v>46010</v>
      </c>
      <c r="B28" s="4">
        <v>144.57</v>
      </c>
      <c r="C28" s="5">
        <v>3119003</v>
      </c>
      <c r="D28" s="4">
        <v>6.1699999999999804</v>
      </c>
      <c r="E28" s="4">
        <v>4.45809248554911</v>
      </c>
      <c r="F28" s="4">
        <v>4.4580951937816096</v>
      </c>
      <c r="G28" s="4">
        <v>161.63971000000001</v>
      </c>
      <c r="H28" s="4">
        <v>1.15758808436073</v>
      </c>
      <c r="I28" s="4">
        <v>140</v>
      </c>
      <c r="J28" s="4">
        <v>145.97</v>
      </c>
      <c r="K28" s="4">
        <v>138.99</v>
      </c>
      <c r="L28" s="4">
        <v>-9.5250015645534702</v>
      </c>
    </row>
    <row r="29" spans="1:12" ht="15" customHeight="1" x14ac:dyDescent="0.2">
      <c r="A29" s="6">
        <v>46009</v>
      </c>
      <c r="B29" s="7">
        <v>138.4</v>
      </c>
      <c r="C29" s="8">
        <v>558840</v>
      </c>
      <c r="D29" s="7">
        <v>0.59999999999999398</v>
      </c>
      <c r="E29" s="7">
        <v>0.43541364296080198</v>
      </c>
      <c r="F29" s="7">
        <v>0.435411457466572</v>
      </c>
      <c r="G29" s="7">
        <v>154.74119999999999</v>
      </c>
      <c r="H29" s="7">
        <v>-3.1596470367357101</v>
      </c>
      <c r="I29" s="7">
        <v>137.1</v>
      </c>
      <c r="J29" s="7">
        <v>140</v>
      </c>
      <c r="K29" s="7">
        <v>137.1</v>
      </c>
      <c r="L29" s="7">
        <v>-13.386319544401999</v>
      </c>
    </row>
    <row r="30" spans="1:12" ht="15" customHeight="1" x14ac:dyDescent="0.2">
      <c r="A30" s="3">
        <v>46008</v>
      </c>
      <c r="B30" s="4">
        <v>137.80000000000001</v>
      </c>
      <c r="C30" s="5">
        <v>4924073</v>
      </c>
      <c r="D30" s="4">
        <v>1.21999999999999</v>
      </c>
      <c r="E30" s="4">
        <v>0.89324937765411505</v>
      </c>
      <c r="F30" s="4">
        <v>0.89325058014957304</v>
      </c>
      <c r="G30" s="4">
        <v>154.07035999999999</v>
      </c>
      <c r="H30" s="4">
        <v>-3.5794730583891301</v>
      </c>
      <c r="I30" s="4">
        <v>137.62</v>
      </c>
      <c r="J30" s="4">
        <v>138.22999999999999</v>
      </c>
      <c r="K30" s="4">
        <v>136.22</v>
      </c>
      <c r="L30" s="4">
        <v>-13.761812378747001</v>
      </c>
    </row>
    <row r="31" spans="1:12" ht="15" customHeight="1" x14ac:dyDescent="0.2">
      <c r="A31" s="6">
        <v>46007</v>
      </c>
      <c r="B31" s="7">
        <v>136.58000000000001</v>
      </c>
      <c r="C31" s="8">
        <v>676442</v>
      </c>
      <c r="D31" s="7">
        <v>-1.03</v>
      </c>
      <c r="E31" s="7">
        <v>-0.74849211539859095</v>
      </c>
      <c r="F31" s="7">
        <v>-0.74849570639615703</v>
      </c>
      <c r="G31" s="7">
        <v>152.70631</v>
      </c>
      <c r="H31" s="7">
        <v>-4.4331247262031299</v>
      </c>
      <c r="I31" s="7">
        <v>137.66</v>
      </c>
      <c r="J31" s="7">
        <v>139.57</v>
      </c>
      <c r="K31" s="7">
        <v>135.11000000000001</v>
      </c>
      <c r="L31" s="7">
        <v>-14.525314475248701</v>
      </c>
    </row>
    <row r="32" spans="1:12" ht="15" customHeight="1" x14ac:dyDescent="0.2">
      <c r="A32" s="3">
        <v>46006</v>
      </c>
      <c r="B32" s="4">
        <v>137.61000000000001</v>
      </c>
      <c r="C32" s="5">
        <v>1049547</v>
      </c>
      <c r="D32" s="4">
        <v>-4.6599999999999904</v>
      </c>
      <c r="E32" s="4">
        <v>-3.27546214943417</v>
      </c>
      <c r="F32" s="4">
        <v>-3.2754640070938001</v>
      </c>
      <c r="G32" s="4">
        <v>153.85793000000001</v>
      </c>
      <c r="H32" s="4">
        <v>-3.71241629638899</v>
      </c>
      <c r="I32" s="4">
        <v>141.6</v>
      </c>
      <c r="J32" s="4">
        <v>142.87</v>
      </c>
      <c r="K32" s="4">
        <v>137.25</v>
      </c>
      <c r="L32" s="4">
        <v>-13.880718442956301</v>
      </c>
    </row>
    <row r="33" spans="1:12" ht="15" customHeight="1" x14ac:dyDescent="0.2">
      <c r="A33" s="6">
        <v>46002</v>
      </c>
      <c r="B33" s="7">
        <v>142.27000000000001</v>
      </c>
      <c r="C33" s="8">
        <v>1261156</v>
      </c>
      <c r="D33" s="7">
        <v>4.7300000000000102</v>
      </c>
      <c r="E33" s="7">
        <v>3.4389995637632702</v>
      </c>
      <c r="F33" s="7">
        <v>3.4390115987388499</v>
      </c>
      <c r="G33" s="7">
        <v>159.06815</v>
      </c>
      <c r="H33" s="7">
        <v>-0.45174917078665</v>
      </c>
      <c r="I33" s="7">
        <v>137.22999999999999</v>
      </c>
      <c r="J33" s="7">
        <v>142.87</v>
      </c>
      <c r="K33" s="7">
        <v>136.57</v>
      </c>
      <c r="L33" s="7">
        <v>-10.964390762876199</v>
      </c>
    </row>
    <row r="34" spans="1:12" ht="15" customHeight="1" x14ac:dyDescent="0.2">
      <c r="A34" s="3">
        <v>46001</v>
      </c>
      <c r="B34" s="4">
        <v>137.54</v>
      </c>
      <c r="C34" s="5">
        <v>374141</v>
      </c>
      <c r="D34" s="4">
        <v>-1.6400000000000099</v>
      </c>
      <c r="E34" s="4">
        <v>-1.1783302198591801</v>
      </c>
      <c r="F34" s="4">
        <v>-1.1783248833261499</v>
      </c>
      <c r="G34" s="4">
        <v>153.77965</v>
      </c>
      <c r="H34" s="4">
        <v>-3.7614055948432199</v>
      </c>
      <c r="I34" s="4">
        <v>139.16999999999999</v>
      </c>
      <c r="J34" s="4">
        <v>139.16999999999999</v>
      </c>
      <c r="K34" s="4">
        <v>135.76</v>
      </c>
      <c r="L34" s="4">
        <v>-13.924525940296601</v>
      </c>
    </row>
    <row r="35" spans="1:12" ht="15" customHeight="1" x14ac:dyDescent="0.2">
      <c r="A35" s="6">
        <v>46000</v>
      </c>
      <c r="B35" s="7">
        <v>139.18</v>
      </c>
      <c r="C35" s="8">
        <v>1312818</v>
      </c>
      <c r="D35" s="7">
        <v>0.640000000000014</v>
      </c>
      <c r="E35" s="7">
        <v>0.46196044463693298</v>
      </c>
      <c r="F35" s="7">
        <v>0.46195644454936002</v>
      </c>
      <c r="G35" s="7">
        <v>155.61328</v>
      </c>
      <c r="H35" s="7">
        <v>-2.6138807184429398</v>
      </c>
      <c r="I35" s="7">
        <v>137.16999999999999</v>
      </c>
      <c r="J35" s="7">
        <v>139.77000000000001</v>
      </c>
      <c r="K35" s="7">
        <v>137.13999999999999</v>
      </c>
      <c r="L35" s="7">
        <v>-12.898178859753401</v>
      </c>
    </row>
    <row r="36" spans="1:12" ht="15" customHeight="1" x14ac:dyDescent="0.2">
      <c r="A36" s="3">
        <v>45999</v>
      </c>
      <c r="B36" s="4">
        <v>138.54</v>
      </c>
      <c r="C36" s="5">
        <v>463942</v>
      </c>
      <c r="D36" s="4">
        <v>0.40999999999999598</v>
      </c>
      <c r="E36" s="4">
        <v>0.29682183450372401</v>
      </c>
      <c r="F36" s="4">
        <v>0.2968156036947</v>
      </c>
      <c r="G36" s="4">
        <v>154.89771999999999</v>
      </c>
      <c r="H36" s="4">
        <v>-3.0616934726828902</v>
      </c>
      <c r="I36" s="4">
        <v>139.16999999999999</v>
      </c>
      <c r="J36" s="4">
        <v>139.99</v>
      </c>
      <c r="K36" s="4">
        <v>137.34</v>
      </c>
      <c r="L36" s="4">
        <v>-13.298704549721499</v>
      </c>
    </row>
    <row r="37" spans="1:12" ht="15" customHeight="1" x14ac:dyDescent="0.2">
      <c r="A37" s="6">
        <v>45996</v>
      </c>
      <c r="B37" s="7">
        <v>138.13</v>
      </c>
      <c r="C37" s="8">
        <v>289224</v>
      </c>
      <c r="D37" s="7">
        <v>0.439999999999997</v>
      </c>
      <c r="E37" s="7">
        <v>0.31955842835353898</v>
      </c>
      <c r="F37" s="7">
        <v>0.31955726167975901</v>
      </c>
      <c r="G37" s="7">
        <v>154.43932000000001</v>
      </c>
      <c r="H37" s="7">
        <v>-3.3485699981225201</v>
      </c>
      <c r="I37" s="7">
        <v>137.53</v>
      </c>
      <c r="J37" s="7">
        <v>139</v>
      </c>
      <c r="K37" s="7">
        <v>137.43</v>
      </c>
      <c r="L37" s="7">
        <v>-13.5552913198573</v>
      </c>
    </row>
    <row r="38" spans="1:12" ht="15" customHeight="1" x14ac:dyDescent="0.2">
      <c r="A38" s="3">
        <v>45995</v>
      </c>
      <c r="B38" s="4">
        <v>137.69</v>
      </c>
      <c r="C38" s="5">
        <v>666442</v>
      </c>
      <c r="D38" s="4">
        <v>0.28999999999999199</v>
      </c>
      <c r="E38" s="4">
        <v>0.21106259097525201</v>
      </c>
      <c r="F38" s="4">
        <v>0.21106849021164101</v>
      </c>
      <c r="G38" s="4">
        <v>153.94737000000001</v>
      </c>
      <c r="H38" s="4">
        <v>-3.6564428312159598</v>
      </c>
      <c r="I38" s="4">
        <v>135.5</v>
      </c>
      <c r="J38" s="4">
        <v>138.63999999999999</v>
      </c>
      <c r="K38" s="4">
        <v>135.5</v>
      </c>
      <c r="L38" s="4">
        <v>-13.8306527317103</v>
      </c>
    </row>
    <row r="39" spans="1:12" ht="15" customHeight="1" x14ac:dyDescent="0.2">
      <c r="A39" s="6">
        <v>45994</v>
      </c>
      <c r="B39" s="7">
        <v>137.4</v>
      </c>
      <c r="C39" s="8">
        <v>883550</v>
      </c>
      <c r="D39" s="7">
        <v>-0.59999999999999398</v>
      </c>
      <c r="E39" s="7">
        <v>-0.434782608695649</v>
      </c>
      <c r="F39" s="7">
        <v>-0.43479337301429699</v>
      </c>
      <c r="G39" s="7">
        <v>153.62312</v>
      </c>
      <c r="H39" s="7">
        <v>-3.8593654171099501</v>
      </c>
      <c r="I39" s="7">
        <v>138.56</v>
      </c>
      <c r="J39" s="7">
        <v>138.56</v>
      </c>
      <c r="K39" s="7">
        <v>136.24</v>
      </c>
      <c r="L39" s="7">
        <v>-14.012140934977101</v>
      </c>
    </row>
    <row r="40" spans="1:12" ht="15" customHeight="1" x14ac:dyDescent="0.2">
      <c r="A40" s="3">
        <v>45993</v>
      </c>
      <c r="B40" s="4">
        <v>138</v>
      </c>
      <c r="C40" s="5">
        <v>1167770</v>
      </c>
      <c r="D40" s="4">
        <v>2.71</v>
      </c>
      <c r="E40" s="4">
        <v>2.0031044423091098</v>
      </c>
      <c r="F40" s="4">
        <v>2.0031138937958799</v>
      </c>
      <c r="G40" s="4">
        <v>154.29398</v>
      </c>
      <c r="H40" s="4">
        <v>-3.4395268790287101</v>
      </c>
      <c r="I40" s="4">
        <v>136.38</v>
      </c>
      <c r="J40" s="4">
        <v>139.84</v>
      </c>
      <c r="K40" s="4">
        <v>136.16999999999999</v>
      </c>
      <c r="L40" s="4">
        <v>-13.636648100632</v>
      </c>
    </row>
    <row r="41" spans="1:12" ht="15" customHeight="1" x14ac:dyDescent="0.2">
      <c r="A41" s="6">
        <v>45992</v>
      </c>
      <c r="B41" s="7">
        <v>135.29</v>
      </c>
      <c r="C41" s="8">
        <v>869900</v>
      </c>
      <c r="D41" s="7">
        <v>-1</v>
      </c>
      <c r="E41" s="7">
        <v>-0.73372954728886297</v>
      </c>
      <c r="F41" s="7">
        <v>-0.73372810421383705</v>
      </c>
      <c r="G41" s="7">
        <v>151.26399000000001</v>
      </c>
      <c r="H41" s="7">
        <v>-5.3357594342574499</v>
      </c>
      <c r="I41" s="7">
        <v>136.28</v>
      </c>
      <c r="J41" s="7">
        <v>136.38</v>
      </c>
      <c r="K41" s="7">
        <v>134.41999999999999</v>
      </c>
      <c r="L41" s="7">
        <v>-15.332624069090601</v>
      </c>
    </row>
    <row r="42" spans="1:12" ht="15" customHeight="1" x14ac:dyDescent="0.2">
      <c r="A42" s="3">
        <v>45989</v>
      </c>
      <c r="B42" s="4">
        <v>136.29</v>
      </c>
      <c r="C42" s="5">
        <v>462352</v>
      </c>
      <c r="D42" s="4">
        <v>-0.80000000000001104</v>
      </c>
      <c r="E42" s="4">
        <v>-0.583558246407478</v>
      </c>
      <c r="F42" s="4">
        <v>-0.58355969981573796</v>
      </c>
      <c r="G42" s="4">
        <v>152.38206</v>
      </c>
      <c r="H42" s="4">
        <v>-4.6360473120971202</v>
      </c>
      <c r="I42" s="4">
        <v>138.87</v>
      </c>
      <c r="J42" s="4">
        <v>138.87</v>
      </c>
      <c r="K42" s="4">
        <v>135.87</v>
      </c>
      <c r="L42" s="4">
        <v>-14.706802678515499</v>
      </c>
    </row>
    <row r="43" spans="1:12" ht="15" customHeight="1" x14ac:dyDescent="0.2">
      <c r="A43" s="6">
        <v>45988</v>
      </c>
      <c r="B43" s="7">
        <v>137.09</v>
      </c>
      <c r="C43" s="8">
        <v>389989</v>
      </c>
      <c r="D43" s="7">
        <v>-2.0399999999999898</v>
      </c>
      <c r="E43" s="7">
        <v>-1.4662545820455599</v>
      </c>
      <c r="F43" s="7">
        <v>-1.4662562800777099</v>
      </c>
      <c r="G43" s="7">
        <v>153.27652</v>
      </c>
      <c r="H43" s="7">
        <v>-4.0762751110832802</v>
      </c>
      <c r="I43" s="7">
        <v>138.26</v>
      </c>
      <c r="J43" s="7">
        <v>139.4</v>
      </c>
      <c r="K43" s="7">
        <v>136.52000000000001</v>
      </c>
      <c r="L43" s="7">
        <v>-14.206145566055399</v>
      </c>
    </row>
    <row r="44" spans="1:12" ht="15" customHeight="1" x14ac:dyDescent="0.2">
      <c r="A44" s="3">
        <v>45987</v>
      </c>
      <c r="B44" s="4">
        <v>139.13</v>
      </c>
      <c r="C44" s="5">
        <v>1176436</v>
      </c>
      <c r="D44" s="4">
        <v>-0.46000000000000701</v>
      </c>
      <c r="E44" s="4">
        <v>-0.32953649974927202</v>
      </c>
      <c r="F44" s="4">
        <v>2.0703516414107801</v>
      </c>
      <c r="G44" s="4">
        <v>155.55739</v>
      </c>
      <c r="H44" s="4">
        <v>-2.6488578759621899</v>
      </c>
      <c r="I44" s="4">
        <v>139</v>
      </c>
      <c r="J44" s="4">
        <v>141.26</v>
      </c>
      <c r="K44" s="4">
        <v>137.33000000000001</v>
      </c>
      <c r="L44" s="4">
        <v>-12.929469929282099</v>
      </c>
    </row>
    <row r="45" spans="1:12" ht="15" customHeight="1" x14ac:dyDescent="0.2">
      <c r="A45" s="6">
        <v>45986</v>
      </c>
      <c r="B45" s="7">
        <v>139.59</v>
      </c>
      <c r="C45" s="8">
        <v>310739</v>
      </c>
      <c r="D45" s="7">
        <v>1.1700000000000099</v>
      </c>
      <c r="E45" s="7">
        <v>0.84525357607283502</v>
      </c>
      <c r="F45" s="7">
        <v>0.84525538306963099</v>
      </c>
      <c r="G45" s="7">
        <v>152.40213</v>
      </c>
      <c r="H45" s="7">
        <v>-4.6234870767882796</v>
      </c>
      <c r="I45" s="7">
        <v>139.69</v>
      </c>
      <c r="J45" s="7">
        <v>140.04</v>
      </c>
      <c r="K45" s="7">
        <v>138</v>
      </c>
      <c r="L45" s="7">
        <v>-12.6415920896176</v>
      </c>
    </row>
    <row r="46" spans="1:12" ht="15" customHeight="1" x14ac:dyDescent="0.2">
      <c r="A46" s="3">
        <v>45985</v>
      </c>
      <c r="B46" s="4">
        <v>138.41999999999999</v>
      </c>
      <c r="C46" s="5">
        <v>807219</v>
      </c>
      <c r="D46" s="4">
        <v>0.48999999999998001</v>
      </c>
      <c r="E46" s="4">
        <v>0.35525266439497799</v>
      </c>
      <c r="F46" s="4">
        <v>0.35526322342656003</v>
      </c>
      <c r="G46" s="4">
        <v>151.12474</v>
      </c>
      <c r="H46" s="4">
        <v>-5.4229050628950404</v>
      </c>
      <c r="I46" s="4">
        <v>137.66999999999999</v>
      </c>
      <c r="J46" s="4">
        <v>139.65</v>
      </c>
      <c r="K46" s="4">
        <v>136.22</v>
      </c>
      <c r="L46" s="4">
        <v>-13.3738031165905</v>
      </c>
    </row>
    <row r="47" spans="1:12" ht="15" customHeight="1" x14ac:dyDescent="0.2">
      <c r="A47" s="6">
        <v>45982</v>
      </c>
      <c r="B47" s="7">
        <v>137.93</v>
      </c>
      <c r="C47" s="8">
        <v>276016</v>
      </c>
      <c r="D47" s="7">
        <v>2.4399999999999902</v>
      </c>
      <c r="E47" s="7">
        <v>1.80087091298251</v>
      </c>
      <c r="F47" s="7">
        <v>1.80086220247839</v>
      </c>
      <c r="G47" s="7">
        <v>150.58975000000001</v>
      </c>
      <c r="H47" s="7">
        <v>-5.7577132486388196</v>
      </c>
      <c r="I47" s="7">
        <v>135.52000000000001</v>
      </c>
      <c r="J47" s="7">
        <v>138.85</v>
      </c>
      <c r="K47" s="7">
        <v>134.72</v>
      </c>
      <c r="L47" s="7">
        <v>-13.680455597972299</v>
      </c>
    </row>
    <row r="48" spans="1:12" ht="15" customHeight="1" x14ac:dyDescent="0.2">
      <c r="A48" s="3">
        <v>45981</v>
      </c>
      <c r="B48" s="4">
        <v>135.49</v>
      </c>
      <c r="C48" s="5">
        <v>387230</v>
      </c>
      <c r="D48" s="4">
        <v>-3.53</v>
      </c>
      <c r="E48" s="4">
        <v>-2.5392029923752002</v>
      </c>
      <c r="F48" s="4">
        <v>-2.5392110756225601</v>
      </c>
      <c r="G48" s="4">
        <v>147.92581000000001</v>
      </c>
      <c r="H48" s="4">
        <v>-7.4248638838475296</v>
      </c>
      <c r="I48" s="4">
        <v>140.12</v>
      </c>
      <c r="J48" s="4">
        <v>141.12</v>
      </c>
      <c r="K48" s="4">
        <v>135.1</v>
      </c>
      <c r="L48" s="4">
        <v>-15.2074597909756</v>
      </c>
    </row>
    <row r="49" spans="1:12" ht="15" customHeight="1" x14ac:dyDescent="0.2">
      <c r="A49" s="6">
        <v>45980</v>
      </c>
      <c r="B49" s="7">
        <v>139.02000000000001</v>
      </c>
      <c r="C49" s="8">
        <v>648833</v>
      </c>
      <c r="D49" s="7">
        <v>0.170000000000015</v>
      </c>
      <c r="E49" s="7">
        <v>0.122434281598859</v>
      </c>
      <c r="F49" s="7">
        <v>0.12243871319359501</v>
      </c>
      <c r="G49" s="7">
        <v>151.77982</v>
      </c>
      <c r="H49" s="7">
        <v>-5.0129419863570801</v>
      </c>
      <c r="I49" s="7">
        <v>139.24</v>
      </c>
      <c r="J49" s="7">
        <v>140.97</v>
      </c>
      <c r="K49" s="7">
        <v>137.33000000000001</v>
      </c>
      <c r="L49" s="7">
        <v>-12.9983102822454</v>
      </c>
    </row>
    <row r="50" spans="1:12" ht="15" customHeight="1" x14ac:dyDescent="0.2">
      <c r="A50" s="3">
        <v>45979</v>
      </c>
      <c r="B50" s="4">
        <v>138.85</v>
      </c>
      <c r="C50" s="5">
        <v>544775</v>
      </c>
      <c r="D50" s="4">
        <v>-2.1700000000000101</v>
      </c>
      <c r="E50" s="4">
        <v>-1.5387888242802501</v>
      </c>
      <c r="F50" s="4">
        <v>-1.5387879897154699</v>
      </c>
      <c r="G50" s="4">
        <v>151.59421</v>
      </c>
      <c r="H50" s="4">
        <v>-5.1291006946617301</v>
      </c>
      <c r="I50" s="4">
        <v>140.02000000000001</v>
      </c>
      <c r="J50" s="4">
        <v>144.16</v>
      </c>
      <c r="K50" s="4">
        <v>137.5</v>
      </c>
      <c r="L50" s="4">
        <v>-13.104699918643201</v>
      </c>
    </row>
    <row r="51" spans="1:12" ht="15" customHeight="1" x14ac:dyDescent="0.2">
      <c r="A51" s="6">
        <v>45975</v>
      </c>
      <c r="B51" s="7">
        <v>141.02000000000001</v>
      </c>
      <c r="C51" s="8">
        <v>475565</v>
      </c>
      <c r="D51" s="7">
        <v>-2.3999999999999702</v>
      </c>
      <c r="E51" s="7">
        <v>-1.6734067772974299</v>
      </c>
      <c r="F51" s="7">
        <v>-1.6734057691588</v>
      </c>
      <c r="G51" s="7">
        <v>153.96338</v>
      </c>
      <c r="H51" s="7">
        <v>-3.6464234307528498</v>
      </c>
      <c r="I51" s="7">
        <v>141.21</v>
      </c>
      <c r="J51" s="7">
        <v>142.58000000000001</v>
      </c>
      <c r="K51" s="7">
        <v>140.47</v>
      </c>
      <c r="L51" s="7">
        <v>-11.7466675010951</v>
      </c>
    </row>
    <row r="52" spans="1:12" ht="15" customHeight="1" x14ac:dyDescent="0.2">
      <c r="A52" s="3">
        <v>45974</v>
      </c>
      <c r="B52" s="4">
        <v>143.41999999999999</v>
      </c>
      <c r="C52" s="5">
        <v>380712</v>
      </c>
      <c r="D52" s="4">
        <v>-0.310000000000002</v>
      </c>
      <c r="E52" s="4">
        <v>-0.21568218186878099</v>
      </c>
      <c r="F52" s="4">
        <v>-0.21567389169529999</v>
      </c>
      <c r="G52" s="4">
        <v>156.58366000000001</v>
      </c>
      <c r="H52" s="4">
        <v>-2.00659615745665</v>
      </c>
      <c r="I52" s="4">
        <v>144.77000000000001</v>
      </c>
      <c r="J52" s="4">
        <v>146.44</v>
      </c>
      <c r="K52" s="4">
        <v>142.27000000000001</v>
      </c>
      <c r="L52" s="4">
        <v>-10.244696163714799</v>
      </c>
    </row>
    <row r="53" spans="1:12" ht="15" customHeight="1" x14ac:dyDescent="0.2">
      <c r="A53" s="6">
        <v>45973</v>
      </c>
      <c r="B53" s="7">
        <v>143.72999999999999</v>
      </c>
      <c r="C53" s="8">
        <v>670474</v>
      </c>
      <c r="D53" s="7">
        <v>-1.43999999999999</v>
      </c>
      <c r="E53" s="7">
        <v>-0.99194048357098497</v>
      </c>
      <c r="F53" s="7">
        <v>-0.99194746965001102</v>
      </c>
      <c r="G53" s="7">
        <v>156.9221</v>
      </c>
      <c r="H53" s="7">
        <v>-1.7947931660304</v>
      </c>
      <c r="I53" s="7">
        <v>143.07</v>
      </c>
      <c r="J53" s="7">
        <v>147.29</v>
      </c>
      <c r="K53" s="7">
        <v>142.53</v>
      </c>
      <c r="L53" s="7">
        <v>-10.050691532636501</v>
      </c>
    </row>
    <row r="54" spans="1:12" ht="15" customHeight="1" x14ac:dyDescent="0.2">
      <c r="A54" s="3">
        <v>45972</v>
      </c>
      <c r="B54" s="4">
        <v>145.16999999999999</v>
      </c>
      <c r="C54" s="5">
        <v>1223897</v>
      </c>
      <c r="D54" s="4">
        <v>6.3699999999999699</v>
      </c>
      <c r="E54" s="4">
        <v>4.5893371757924797</v>
      </c>
      <c r="F54" s="4">
        <v>4.58932755741849</v>
      </c>
      <c r="G54" s="4">
        <v>158.49428</v>
      </c>
      <c r="H54" s="4">
        <v>-0.81088929219600003</v>
      </c>
      <c r="I54" s="4">
        <v>139.79</v>
      </c>
      <c r="J54" s="4">
        <v>145.88999999999999</v>
      </c>
      <c r="K54" s="4">
        <v>139.38999999999999</v>
      </c>
      <c r="L54" s="4">
        <v>-9.1495087302083995</v>
      </c>
    </row>
    <row r="55" spans="1:12" ht="15" customHeight="1" x14ac:dyDescent="0.2">
      <c r="A55" s="6">
        <v>45971</v>
      </c>
      <c r="B55" s="7">
        <v>138.80000000000001</v>
      </c>
      <c r="C55" s="8">
        <v>582847</v>
      </c>
      <c r="D55" s="7">
        <v>-6.9999999999993096E-2</v>
      </c>
      <c r="E55" s="7">
        <v>-5.0406855332318902E-2</v>
      </c>
      <c r="F55" s="7">
        <v>-5.0397042423755402E-2</v>
      </c>
      <c r="G55" s="7">
        <v>151.53962999999999</v>
      </c>
      <c r="H55" s="7">
        <v>-5.1632580261593297</v>
      </c>
      <c r="I55" s="7">
        <v>138</v>
      </c>
      <c r="J55" s="7">
        <v>140.41</v>
      </c>
      <c r="K55" s="7">
        <v>136.09</v>
      </c>
      <c r="L55" s="7">
        <v>-13.135990988171899</v>
      </c>
    </row>
    <row r="56" spans="1:12" ht="15" customHeight="1" x14ac:dyDescent="0.2">
      <c r="A56" s="3">
        <v>45968</v>
      </c>
      <c r="B56" s="4">
        <v>138.87</v>
      </c>
      <c r="C56" s="5">
        <v>1089100</v>
      </c>
      <c r="D56" s="4">
        <v>0.78999999999999204</v>
      </c>
      <c r="E56" s="4">
        <v>0.57213209733486503</v>
      </c>
      <c r="F56" s="4">
        <v>0.57212586848707203</v>
      </c>
      <c r="G56" s="4">
        <v>151.61604</v>
      </c>
      <c r="H56" s="4">
        <v>-5.1154390137054797</v>
      </c>
      <c r="I56" s="4">
        <v>138.13</v>
      </c>
      <c r="J56" s="4">
        <v>139.38999999999999</v>
      </c>
      <c r="K56" s="4">
        <v>136.84</v>
      </c>
      <c r="L56" s="4">
        <v>-13.092183490831699</v>
      </c>
    </row>
    <row r="57" spans="1:12" ht="15" customHeight="1" x14ac:dyDescent="0.2">
      <c r="A57" s="6">
        <v>45967</v>
      </c>
      <c r="B57" s="7">
        <v>138.08000000000001</v>
      </c>
      <c r="C57" s="8">
        <v>1036893</v>
      </c>
      <c r="D57" s="7">
        <v>-1.00999999999999</v>
      </c>
      <c r="E57" s="7">
        <v>-0.72614853691853598</v>
      </c>
      <c r="F57" s="7">
        <v>-0.72614077143889899</v>
      </c>
      <c r="G57" s="7">
        <v>150.75353999999999</v>
      </c>
      <c r="H57" s="7">
        <v>-5.6552099630765396</v>
      </c>
      <c r="I57" s="7">
        <v>138.88999999999999</v>
      </c>
      <c r="J57" s="7">
        <v>140.03</v>
      </c>
      <c r="K57" s="7">
        <v>137.47</v>
      </c>
      <c r="L57" s="7">
        <v>-13.586582389386001</v>
      </c>
    </row>
    <row r="58" spans="1:12" ht="15" customHeight="1" x14ac:dyDescent="0.2">
      <c r="A58" s="3">
        <v>45966</v>
      </c>
      <c r="B58" s="4">
        <v>139.09</v>
      </c>
      <c r="C58" s="5">
        <v>799533</v>
      </c>
      <c r="D58" s="4">
        <v>5.3499999999999899</v>
      </c>
      <c r="E58" s="4">
        <v>4.00029908778225</v>
      </c>
      <c r="F58" s="4">
        <v>4.0002890110070801</v>
      </c>
      <c r="G58" s="4">
        <v>151.85623000000001</v>
      </c>
      <c r="H58" s="4">
        <v>-4.9651229739032301</v>
      </c>
      <c r="I58" s="4">
        <v>133.9</v>
      </c>
      <c r="J58" s="4">
        <v>140.16</v>
      </c>
      <c r="K58" s="4">
        <v>133.62</v>
      </c>
      <c r="L58" s="4">
        <v>-12.954502784905101</v>
      </c>
    </row>
    <row r="59" spans="1:12" ht="15" customHeight="1" x14ac:dyDescent="0.2">
      <c r="A59" s="6">
        <v>45965</v>
      </c>
      <c r="B59" s="7">
        <v>133.74</v>
      </c>
      <c r="C59" s="8">
        <v>5069672</v>
      </c>
      <c r="D59" s="7">
        <v>-0.25999999999999002</v>
      </c>
      <c r="E59" s="7">
        <v>-0.194029850746257</v>
      </c>
      <c r="F59" s="7">
        <v>-0.19402722068071401</v>
      </c>
      <c r="G59" s="7">
        <v>146.01519999999999</v>
      </c>
      <c r="H59" s="7">
        <v>-8.6205644908942993</v>
      </c>
      <c r="I59" s="7">
        <v>134.36000000000001</v>
      </c>
      <c r="J59" s="7">
        <v>135.29</v>
      </c>
      <c r="K59" s="7">
        <v>131</v>
      </c>
      <c r="L59" s="7">
        <v>-16.302647224482101</v>
      </c>
    </row>
    <row r="60" spans="1:12" ht="15" customHeight="1" x14ac:dyDescent="0.2">
      <c r="A60" s="3">
        <v>45964</v>
      </c>
      <c r="B60" s="4">
        <v>134</v>
      </c>
      <c r="C60" s="5">
        <v>628517</v>
      </c>
      <c r="D60" s="4">
        <v>-4.3099999999999996</v>
      </c>
      <c r="E60" s="4">
        <v>-3.1161882727206902</v>
      </c>
      <c r="F60" s="4">
        <v>-3.11618239015701</v>
      </c>
      <c r="G60" s="4">
        <v>146.29906</v>
      </c>
      <c r="H60" s="4">
        <v>-8.44291883096564</v>
      </c>
      <c r="I60" s="4">
        <v>138.29</v>
      </c>
      <c r="J60" s="4">
        <v>138.69999999999999</v>
      </c>
      <c r="K60" s="4">
        <v>133.5</v>
      </c>
      <c r="L60" s="4">
        <v>-16.139933662932499</v>
      </c>
    </row>
    <row r="61" spans="1:12" ht="15" customHeight="1" x14ac:dyDescent="0.2">
      <c r="A61" s="6">
        <v>45961</v>
      </c>
      <c r="B61" s="7">
        <v>138.31</v>
      </c>
      <c r="C61" s="8">
        <v>1056507</v>
      </c>
      <c r="D61" s="7">
        <v>2.68</v>
      </c>
      <c r="E61" s="7">
        <v>1.97596401975963</v>
      </c>
      <c r="F61" s="7">
        <v>1.9759564291062399</v>
      </c>
      <c r="G61" s="7">
        <v>151.00463999999999</v>
      </c>
      <c r="H61" s="7">
        <v>-5.4980662119031196</v>
      </c>
      <c r="I61" s="7">
        <v>135.87</v>
      </c>
      <c r="J61" s="7">
        <v>138.86000000000001</v>
      </c>
      <c r="K61" s="7">
        <v>135.87</v>
      </c>
      <c r="L61" s="7">
        <v>-13.442643469553699</v>
      </c>
    </row>
    <row r="62" spans="1:12" ht="15" customHeight="1" x14ac:dyDescent="0.2">
      <c r="A62" s="3">
        <v>45960</v>
      </c>
      <c r="B62" s="4">
        <v>135.63</v>
      </c>
      <c r="C62" s="5">
        <v>357669</v>
      </c>
      <c r="D62" s="4">
        <v>-2.2700000000000098</v>
      </c>
      <c r="E62" s="4">
        <v>-1.64612037708484</v>
      </c>
      <c r="F62" s="4">
        <v>-1.6461074543196199</v>
      </c>
      <c r="G62" s="4">
        <v>148.07866999999999</v>
      </c>
      <c r="H62" s="4">
        <v>-7.3292008260842296</v>
      </c>
      <c r="I62" s="4">
        <v>137.84</v>
      </c>
      <c r="J62" s="4">
        <v>137.84</v>
      </c>
      <c r="K62" s="4">
        <v>135.43</v>
      </c>
      <c r="L62" s="4">
        <v>-15.1198447962951</v>
      </c>
    </row>
    <row r="63" spans="1:12" ht="15" customHeight="1" x14ac:dyDescent="0.2">
      <c r="A63" s="6">
        <v>45959</v>
      </c>
      <c r="B63" s="7">
        <v>137.9</v>
      </c>
      <c r="C63" s="8">
        <v>1918742</v>
      </c>
      <c r="D63" s="7">
        <v>-3.31</v>
      </c>
      <c r="E63" s="7">
        <v>-2.3440266270094199</v>
      </c>
      <c r="F63" s="7">
        <v>-2.3440363098542201</v>
      </c>
      <c r="G63" s="7">
        <v>150.55699999999999</v>
      </c>
      <c r="H63" s="7">
        <v>-5.7782088991801697</v>
      </c>
      <c r="I63" s="7">
        <v>140.5</v>
      </c>
      <c r="J63" s="7">
        <v>141.78</v>
      </c>
      <c r="K63" s="7">
        <v>137.63</v>
      </c>
      <c r="L63" s="7">
        <v>-13.6992302396895</v>
      </c>
    </row>
    <row r="64" spans="1:12" ht="15" customHeight="1" x14ac:dyDescent="0.2">
      <c r="A64" s="3">
        <v>45958</v>
      </c>
      <c r="B64" s="4">
        <v>141.21</v>
      </c>
      <c r="C64" s="5">
        <v>937650</v>
      </c>
      <c r="D64" s="4">
        <v>5.99</v>
      </c>
      <c r="E64" s="4">
        <v>4.42981807424938</v>
      </c>
      <c r="F64" s="4">
        <v>4.4298207497434499</v>
      </c>
      <c r="G64" s="4">
        <v>154.17081999999999</v>
      </c>
      <c r="H64" s="4">
        <v>-3.5166030414919498</v>
      </c>
      <c r="I64" s="4">
        <v>134.6</v>
      </c>
      <c r="J64" s="4">
        <v>141.97</v>
      </c>
      <c r="K64" s="4">
        <v>134.55000000000001</v>
      </c>
      <c r="L64" s="4">
        <v>-11.627761436885899</v>
      </c>
    </row>
    <row r="65" spans="1:12" ht="15" customHeight="1" x14ac:dyDescent="0.2">
      <c r="A65" s="6">
        <v>45957</v>
      </c>
      <c r="B65" s="7">
        <v>135.22</v>
      </c>
      <c r="C65" s="8">
        <v>421332</v>
      </c>
      <c r="D65" s="7">
        <v>1.69999999999998</v>
      </c>
      <c r="E65" s="7">
        <v>1.2732174955062801</v>
      </c>
      <c r="F65" s="7">
        <v>1.2732086247155801</v>
      </c>
      <c r="G65" s="7">
        <v>147.63103000000001</v>
      </c>
      <c r="H65" s="7">
        <v>-7.6093435133612699</v>
      </c>
      <c r="I65" s="7">
        <v>133.81</v>
      </c>
      <c r="J65" s="7">
        <v>135.86000000000001</v>
      </c>
      <c r="K65" s="7">
        <v>133.77000000000001</v>
      </c>
      <c r="L65" s="7">
        <v>-15.376431566430901</v>
      </c>
    </row>
    <row r="66" spans="1:12" ht="15" customHeight="1" x14ac:dyDescent="0.2">
      <c r="A66" s="3">
        <v>45954</v>
      </c>
      <c r="B66" s="4">
        <v>133.52000000000001</v>
      </c>
      <c r="C66" s="5">
        <v>1159445</v>
      </c>
      <c r="D66" s="4">
        <v>-0.5</v>
      </c>
      <c r="E66" s="4">
        <v>-0.37307864497836402</v>
      </c>
      <c r="F66" s="4">
        <v>-0.37307044810893603</v>
      </c>
      <c r="G66" s="4">
        <v>145.77501000000001</v>
      </c>
      <c r="H66" s="4">
        <v>-8.7708805306965303</v>
      </c>
      <c r="I66" s="4">
        <v>133.76</v>
      </c>
      <c r="J66" s="4">
        <v>135.72999999999999</v>
      </c>
      <c r="K66" s="4">
        <v>132.9</v>
      </c>
      <c r="L66" s="4">
        <v>-16.4403279304086</v>
      </c>
    </row>
    <row r="67" spans="1:12" ht="15" customHeight="1" x14ac:dyDescent="0.2">
      <c r="A67" s="6">
        <v>45953</v>
      </c>
      <c r="B67" s="7">
        <v>134.02000000000001</v>
      </c>
      <c r="C67" s="8">
        <v>1331989</v>
      </c>
      <c r="D67" s="7">
        <v>0.640000000000014</v>
      </c>
      <c r="E67" s="7">
        <v>0.47983205877943902</v>
      </c>
      <c r="F67" s="7">
        <v>0.47983084990848002</v>
      </c>
      <c r="G67" s="7">
        <v>146.32088999999999</v>
      </c>
      <c r="H67" s="7">
        <v>-8.4292571500093807</v>
      </c>
      <c r="I67" s="7">
        <v>133.05000000000001</v>
      </c>
      <c r="J67" s="7">
        <v>134.88</v>
      </c>
      <c r="K67" s="7">
        <v>133.05000000000001</v>
      </c>
      <c r="L67" s="7">
        <v>-16.127417235121001</v>
      </c>
    </row>
    <row r="68" spans="1:12" ht="15" customHeight="1" x14ac:dyDescent="0.2">
      <c r="A68" s="3">
        <v>45952</v>
      </c>
      <c r="B68" s="4">
        <v>133.38</v>
      </c>
      <c r="C68" s="5">
        <v>1876426</v>
      </c>
      <c r="D68" s="4">
        <v>0.40000000000000502</v>
      </c>
      <c r="E68" s="4">
        <v>0.300797112347717</v>
      </c>
      <c r="F68" s="4">
        <v>0.30080844205981799</v>
      </c>
      <c r="G68" s="4">
        <v>145.62215</v>
      </c>
      <c r="H68" s="4">
        <v>-8.8665435884598391</v>
      </c>
      <c r="I68" s="4">
        <v>133.52000000000001</v>
      </c>
      <c r="J68" s="4">
        <v>134.47999999999999</v>
      </c>
      <c r="K68" s="4">
        <v>131.01</v>
      </c>
      <c r="L68" s="4">
        <v>-16.5279429250891</v>
      </c>
    </row>
    <row r="69" spans="1:12" ht="15" customHeight="1" x14ac:dyDescent="0.2">
      <c r="A69" s="6">
        <v>45951</v>
      </c>
      <c r="B69" s="7">
        <v>132.97999999999999</v>
      </c>
      <c r="C69" s="8">
        <v>967043</v>
      </c>
      <c r="D69" s="7">
        <v>-0.74000000000000898</v>
      </c>
      <c r="E69" s="7">
        <v>-0.55339515405324802</v>
      </c>
      <c r="F69" s="7">
        <v>-0.55340873036965299</v>
      </c>
      <c r="G69" s="7">
        <v>145.18541999999999</v>
      </c>
      <c r="H69" s="7">
        <v>-9.1398585643657295</v>
      </c>
      <c r="I69" s="7">
        <v>133.63</v>
      </c>
      <c r="J69" s="7">
        <v>134.88999999999999</v>
      </c>
      <c r="K69" s="7">
        <v>131.75</v>
      </c>
      <c r="L69" s="7">
        <v>-16.778271481319202</v>
      </c>
    </row>
    <row r="70" spans="1:12" ht="15" customHeight="1" x14ac:dyDescent="0.2">
      <c r="A70" s="3">
        <v>45950</v>
      </c>
      <c r="B70" s="4">
        <v>133.72</v>
      </c>
      <c r="C70" s="5">
        <v>420950</v>
      </c>
      <c r="D70" s="4">
        <v>3.15</v>
      </c>
      <c r="E70" s="4">
        <v>2.4124990426591202</v>
      </c>
      <c r="F70" s="4">
        <v>2.4124992704531198</v>
      </c>
      <c r="G70" s="4">
        <v>145.99336</v>
      </c>
      <c r="H70" s="4">
        <v>-8.6342324300644506</v>
      </c>
      <c r="I70" s="4">
        <v>131.16999999999999</v>
      </c>
      <c r="J70" s="4">
        <v>135.19999999999999</v>
      </c>
      <c r="K70" s="4">
        <v>131.08000000000001</v>
      </c>
      <c r="L70" s="4">
        <v>-16.315163652293599</v>
      </c>
    </row>
    <row r="71" spans="1:12" ht="15" customHeight="1" x14ac:dyDescent="0.2">
      <c r="A71" s="6">
        <v>45947</v>
      </c>
      <c r="B71" s="7">
        <v>130.57</v>
      </c>
      <c r="C71" s="8">
        <v>1375449</v>
      </c>
      <c r="D71" s="7">
        <v>-5.31</v>
      </c>
      <c r="E71" s="7">
        <v>-3.9078598763614898</v>
      </c>
      <c r="F71" s="7">
        <v>-3.9078578250684202</v>
      </c>
      <c r="G71" s="7">
        <v>142.55423999999999</v>
      </c>
      <c r="H71" s="7">
        <v>-10.7865072908192</v>
      </c>
      <c r="I71" s="7">
        <v>136.68</v>
      </c>
      <c r="J71" s="7">
        <v>137.51</v>
      </c>
      <c r="K71" s="7">
        <v>130.18</v>
      </c>
      <c r="L71" s="7">
        <v>-18.286501032605202</v>
      </c>
    </row>
    <row r="72" spans="1:12" ht="15" customHeight="1" x14ac:dyDescent="0.2">
      <c r="A72" s="3">
        <v>45946</v>
      </c>
      <c r="B72" s="4">
        <v>135.88</v>
      </c>
      <c r="C72" s="5">
        <v>1224663</v>
      </c>
      <c r="D72" s="4">
        <v>-3.5999999999999899</v>
      </c>
      <c r="E72" s="4">
        <v>-2.5810151993117199</v>
      </c>
      <c r="F72" s="4">
        <v>-2.5810136626100801</v>
      </c>
      <c r="G72" s="4">
        <v>148.35160999999999</v>
      </c>
      <c r="H72" s="4">
        <v>-7.1583891357406504</v>
      </c>
      <c r="I72" s="4">
        <v>139.47999999999999</v>
      </c>
      <c r="J72" s="4">
        <v>140.4</v>
      </c>
      <c r="K72" s="4">
        <v>135.13</v>
      </c>
      <c r="L72" s="4">
        <v>-14.9633894486513</v>
      </c>
    </row>
    <row r="73" spans="1:12" ht="15" customHeight="1" x14ac:dyDescent="0.2">
      <c r="A73" s="6">
        <v>45945</v>
      </c>
      <c r="B73" s="7">
        <v>139.47999999999999</v>
      </c>
      <c r="C73" s="8">
        <v>1859190</v>
      </c>
      <c r="D73" s="7">
        <v>-0.51000000000001899</v>
      </c>
      <c r="E73" s="7">
        <v>-0.364311736552624</v>
      </c>
      <c r="F73" s="7">
        <v>-0.36431836538943702</v>
      </c>
      <c r="G73" s="7">
        <v>152.28202999999999</v>
      </c>
      <c r="H73" s="7">
        <v>-4.69864822579635</v>
      </c>
      <c r="I73" s="7">
        <v>140.24</v>
      </c>
      <c r="J73" s="7">
        <v>141.72999999999999</v>
      </c>
      <c r="K73" s="7">
        <v>138.76</v>
      </c>
      <c r="L73" s="7">
        <v>-12.7104324425808</v>
      </c>
    </row>
    <row r="74" spans="1:12" ht="15" customHeight="1" x14ac:dyDescent="0.2">
      <c r="A74" s="3">
        <v>45944</v>
      </c>
      <c r="B74" s="4">
        <v>139.99</v>
      </c>
      <c r="C74" s="5">
        <v>495351</v>
      </c>
      <c r="D74" s="4">
        <v>-3.1299999999999901</v>
      </c>
      <c r="E74" s="4">
        <v>-2.18697596422582</v>
      </c>
      <c r="F74" s="4">
        <v>-2.1869671408710301</v>
      </c>
      <c r="G74" s="4">
        <v>152.83885000000001</v>
      </c>
      <c r="H74" s="4">
        <v>-4.3501783590962999</v>
      </c>
      <c r="I74" s="4">
        <v>142.63</v>
      </c>
      <c r="J74" s="4">
        <v>143.21</v>
      </c>
      <c r="K74" s="4">
        <v>138.47999999999999</v>
      </c>
      <c r="L74" s="4">
        <v>-12.3912635333875</v>
      </c>
    </row>
    <row r="75" spans="1:12" ht="15" customHeight="1" x14ac:dyDescent="0.2">
      <c r="A75" s="6">
        <v>45943</v>
      </c>
      <c r="B75" s="7">
        <v>143.12</v>
      </c>
      <c r="C75" s="8">
        <v>653046</v>
      </c>
      <c r="D75" s="7">
        <v>1.27000000000001</v>
      </c>
      <c r="E75" s="7">
        <v>0.89531194924217194</v>
      </c>
      <c r="F75" s="7">
        <v>0.89530176909511305</v>
      </c>
      <c r="G75" s="7">
        <v>156.25612000000001</v>
      </c>
      <c r="H75" s="7">
        <v>-2.2115776957256199</v>
      </c>
      <c r="I75" s="7">
        <v>143.54</v>
      </c>
      <c r="J75" s="7">
        <v>144.44</v>
      </c>
      <c r="K75" s="7">
        <v>142.33000000000001</v>
      </c>
      <c r="L75" s="7">
        <v>-10.4324425808874</v>
      </c>
    </row>
    <row r="76" spans="1:12" ht="15" customHeight="1" x14ac:dyDescent="0.2">
      <c r="A76" s="3">
        <v>45940</v>
      </c>
      <c r="B76" s="4">
        <v>141.85</v>
      </c>
      <c r="C76" s="5">
        <v>564851</v>
      </c>
      <c r="D76" s="4">
        <v>-4.9200000000000097</v>
      </c>
      <c r="E76" s="4">
        <v>-3.35218368876474</v>
      </c>
      <c r="F76" s="4">
        <v>-3.3521730656791902</v>
      </c>
      <c r="G76" s="4">
        <v>154.86957000000001</v>
      </c>
      <c r="H76" s="4">
        <v>-3.07931034482757</v>
      </c>
      <c r="I76" s="4">
        <v>147.13999999999999</v>
      </c>
      <c r="J76" s="4">
        <v>147.41</v>
      </c>
      <c r="K76" s="4">
        <v>141.13</v>
      </c>
      <c r="L76" s="4">
        <v>-11.227235746917801</v>
      </c>
    </row>
    <row r="77" spans="1:12" ht="15" customHeight="1" x14ac:dyDescent="0.2">
      <c r="A77" s="6">
        <v>45939</v>
      </c>
      <c r="B77" s="7">
        <v>146.77000000000001</v>
      </c>
      <c r="C77" s="8">
        <v>953525</v>
      </c>
      <c r="D77" s="7">
        <v>-3.6599999999999899</v>
      </c>
      <c r="E77" s="7">
        <v>-2.4330253273947999</v>
      </c>
      <c r="F77" s="7">
        <v>-2.4330257738418002</v>
      </c>
      <c r="G77" s="7">
        <v>160.24113</v>
      </c>
      <c r="H77" s="7">
        <v>0.28232680393016202</v>
      </c>
      <c r="I77" s="7">
        <v>152.44</v>
      </c>
      <c r="J77" s="7">
        <v>152.44</v>
      </c>
      <c r="K77" s="7">
        <v>143.74</v>
      </c>
      <c r="L77" s="7">
        <v>-8.1481945052881795</v>
      </c>
    </row>
    <row r="78" spans="1:12" ht="15" customHeight="1" x14ac:dyDescent="0.2">
      <c r="A78" s="3">
        <v>45938</v>
      </c>
      <c r="B78" s="4">
        <v>150.43</v>
      </c>
      <c r="C78" s="5">
        <v>641390</v>
      </c>
      <c r="D78" s="4">
        <v>-4.76999999999998</v>
      </c>
      <c r="E78" s="4">
        <v>-3.07345360824741</v>
      </c>
      <c r="F78" s="4">
        <v>-3.07345392044031</v>
      </c>
      <c r="G78" s="4">
        <v>164.23706000000001</v>
      </c>
      <c r="H78" s="4">
        <v>2.7830652731710499</v>
      </c>
      <c r="I78" s="4">
        <v>156.65</v>
      </c>
      <c r="J78" s="4">
        <v>157.38</v>
      </c>
      <c r="K78" s="4">
        <v>150</v>
      </c>
      <c r="L78" s="4">
        <v>-5.8576882157831998</v>
      </c>
    </row>
    <row r="79" spans="1:12" ht="15" customHeight="1" x14ac:dyDescent="0.2">
      <c r="A79" s="6">
        <v>45937</v>
      </c>
      <c r="B79" s="7">
        <v>155.19999999999999</v>
      </c>
      <c r="C79" s="8">
        <v>710866</v>
      </c>
      <c r="D79" s="7">
        <v>-7.7900000000000196</v>
      </c>
      <c r="E79" s="7">
        <v>-4.7794343211239996</v>
      </c>
      <c r="F79" s="7">
        <v>-4.7794359164184801</v>
      </c>
      <c r="G79" s="7">
        <v>169.44487000000001</v>
      </c>
      <c r="H79" s="7">
        <v>6.0422241692221101</v>
      </c>
      <c r="I79" s="7">
        <v>162.36000000000001</v>
      </c>
      <c r="J79" s="7">
        <v>165.28</v>
      </c>
      <c r="K79" s="7">
        <v>154.29</v>
      </c>
      <c r="L79" s="7">
        <v>-2.8725201827398399</v>
      </c>
    </row>
    <row r="80" spans="1:12" ht="15" customHeight="1" x14ac:dyDescent="0.2">
      <c r="A80" s="3">
        <v>45936</v>
      </c>
      <c r="B80" s="4">
        <v>162.99</v>
      </c>
      <c r="C80" s="5">
        <v>389088</v>
      </c>
      <c r="D80" s="4">
        <v>4.84</v>
      </c>
      <c r="E80" s="4">
        <v>3.0603857097692</v>
      </c>
      <c r="F80" s="4">
        <v>3.06038903052101</v>
      </c>
      <c r="G80" s="4">
        <v>177.94987</v>
      </c>
      <c r="H80" s="4">
        <v>11.3648350960635</v>
      </c>
      <c r="I80" s="4">
        <v>157.94</v>
      </c>
      <c r="J80" s="4">
        <v>163.79</v>
      </c>
      <c r="K80" s="4">
        <v>157.04</v>
      </c>
      <c r="L80" s="4">
        <v>2.0026284498404201</v>
      </c>
    </row>
    <row r="81" spans="1:12" ht="15" customHeight="1" x14ac:dyDescent="0.2">
      <c r="A81" s="6">
        <v>45933</v>
      </c>
      <c r="B81" s="7">
        <v>158.15</v>
      </c>
      <c r="C81" s="8">
        <v>259394</v>
      </c>
      <c r="D81" s="7">
        <v>-2.97999999999998</v>
      </c>
      <c r="E81" s="7">
        <v>-1.84943834171165</v>
      </c>
      <c r="F81" s="7">
        <v>-1.84944607511768</v>
      </c>
      <c r="G81" s="7">
        <v>172.66562999999999</v>
      </c>
      <c r="H81" s="7">
        <v>8.0578446711308604</v>
      </c>
      <c r="I81" s="7">
        <v>162.34</v>
      </c>
      <c r="J81" s="7">
        <v>164.48</v>
      </c>
      <c r="K81" s="7">
        <v>157.47999999999999</v>
      </c>
      <c r="L81" s="7">
        <v>-1.0263470805432</v>
      </c>
    </row>
    <row r="82" spans="1:12" ht="15" customHeight="1" x14ac:dyDescent="0.2">
      <c r="A82" s="3">
        <v>45932</v>
      </c>
      <c r="B82" s="4">
        <v>161.13</v>
      </c>
      <c r="C82" s="5">
        <v>760813</v>
      </c>
      <c r="D82" s="4">
        <v>0.69999999999998797</v>
      </c>
      <c r="E82" s="4">
        <v>0.43632737019258999</v>
      </c>
      <c r="F82" s="4">
        <v>0.43633951641317498</v>
      </c>
      <c r="G82" s="4">
        <v>175.91916000000001</v>
      </c>
      <c r="H82" s="4">
        <v>10.0939733400087</v>
      </c>
      <c r="I82" s="4">
        <v>161</v>
      </c>
      <c r="J82" s="4">
        <v>162.07</v>
      </c>
      <c r="K82" s="4">
        <v>157.71</v>
      </c>
      <c r="L82" s="4">
        <v>0.83860066337067596</v>
      </c>
    </row>
    <row r="83" spans="1:12" ht="15" customHeight="1" x14ac:dyDescent="0.2">
      <c r="A83" s="6">
        <v>45931</v>
      </c>
      <c r="B83" s="7">
        <v>160.43</v>
      </c>
      <c r="C83" s="8">
        <v>1478982</v>
      </c>
      <c r="D83" s="7">
        <v>-4.4399999999999897</v>
      </c>
      <c r="E83" s="7">
        <v>-2.6930308728088699</v>
      </c>
      <c r="F83" s="7">
        <v>-2.6930414217185801</v>
      </c>
      <c r="G83" s="7">
        <v>175.15488999999999</v>
      </c>
      <c r="H83" s="7">
        <v>9.6156768258338996</v>
      </c>
      <c r="I83" s="7">
        <v>164.56</v>
      </c>
      <c r="J83" s="7">
        <v>164.87</v>
      </c>
      <c r="K83" s="7">
        <v>158.69</v>
      </c>
      <c r="L83" s="7">
        <v>0.40052568996809201</v>
      </c>
    </row>
    <row r="84" spans="1:12" ht="15" customHeight="1" x14ac:dyDescent="0.2">
      <c r="A84" s="3">
        <v>45930</v>
      </c>
      <c r="B84" s="4">
        <v>164.87</v>
      </c>
      <c r="C84" s="5">
        <v>2395048</v>
      </c>
      <c r="D84" s="4">
        <v>7.6899999999999897</v>
      </c>
      <c r="E84" s="4">
        <v>4.8924799592823396</v>
      </c>
      <c r="F84" s="4">
        <v>4.8924866526112796</v>
      </c>
      <c r="G84" s="4">
        <v>180.00243</v>
      </c>
      <c r="H84" s="4">
        <v>12.649371049502401</v>
      </c>
      <c r="I84" s="4">
        <v>157.37</v>
      </c>
      <c r="J84" s="4">
        <v>165.75</v>
      </c>
      <c r="K84" s="4">
        <v>157.37</v>
      </c>
      <c r="L84" s="4">
        <v>3.1791726641216602</v>
      </c>
    </row>
    <row r="85" spans="1:12" ht="15" customHeight="1" x14ac:dyDescent="0.2">
      <c r="A85" s="6">
        <v>45929</v>
      </c>
      <c r="B85" s="7">
        <v>157.18</v>
      </c>
      <c r="C85" s="8">
        <v>520462.99999999901</v>
      </c>
      <c r="D85" s="7">
        <v>0.68999999999999695</v>
      </c>
      <c r="E85" s="7">
        <v>0.44092274266727099</v>
      </c>
      <c r="F85" s="7">
        <v>0.440910444276498</v>
      </c>
      <c r="G85" s="7">
        <v>171.60659999999999</v>
      </c>
      <c r="H85" s="7">
        <v>7.3950810438700696</v>
      </c>
      <c r="I85" s="7">
        <v>157.68</v>
      </c>
      <c r="J85" s="7">
        <v>161.12</v>
      </c>
      <c r="K85" s="7">
        <v>156.38999999999999</v>
      </c>
      <c r="L85" s="7">
        <v>-1.6333938294010699</v>
      </c>
    </row>
    <row r="86" spans="1:12" ht="15" customHeight="1" x14ac:dyDescent="0.2">
      <c r="A86" s="3">
        <v>45926</v>
      </c>
      <c r="B86" s="4">
        <v>156.49</v>
      </c>
      <c r="C86" s="5">
        <v>425842</v>
      </c>
      <c r="D86" s="4">
        <v>-2.1399999999999801</v>
      </c>
      <c r="E86" s="4">
        <v>-1.34905125133958</v>
      </c>
      <c r="F86" s="4">
        <v>-1.3490467389226899</v>
      </c>
      <c r="G86" s="4">
        <v>170.85328999999999</v>
      </c>
      <c r="H86" s="4">
        <v>6.9236435321359204</v>
      </c>
      <c r="I86" s="4">
        <v>159.57</v>
      </c>
      <c r="J86" s="4">
        <v>161.05000000000001</v>
      </c>
      <c r="K86" s="4">
        <v>154.41999999999999</v>
      </c>
      <c r="L86" s="4">
        <v>-2.06521058889791</v>
      </c>
    </row>
    <row r="87" spans="1:12" ht="15" customHeight="1" x14ac:dyDescent="0.2">
      <c r="A87" s="6">
        <v>45925</v>
      </c>
      <c r="B87" s="7">
        <v>158.63</v>
      </c>
      <c r="C87" s="8">
        <v>1028944.99999999</v>
      </c>
      <c r="D87" s="7">
        <v>-2.12</v>
      </c>
      <c r="E87" s="7">
        <v>-1.3188180404354599</v>
      </c>
      <c r="F87" s="7">
        <v>-1.3188112175276401</v>
      </c>
      <c r="G87" s="7">
        <v>173.18969999999999</v>
      </c>
      <c r="H87" s="7">
        <v>8.3858188872895596</v>
      </c>
      <c r="I87" s="7">
        <v>159.97999999999999</v>
      </c>
      <c r="J87" s="7">
        <v>163.87</v>
      </c>
      <c r="K87" s="7">
        <v>158.08000000000001</v>
      </c>
      <c r="L87" s="7">
        <v>-0.72595281306714798</v>
      </c>
    </row>
    <row r="88" spans="1:12" ht="15" customHeight="1" x14ac:dyDescent="0.2">
      <c r="A88" s="3">
        <v>45924</v>
      </c>
      <c r="B88" s="4">
        <v>160.75</v>
      </c>
      <c r="C88" s="5">
        <v>624657</v>
      </c>
      <c r="D88" s="4">
        <v>2.97999999999998</v>
      </c>
      <c r="E88" s="4">
        <v>1.8888255054826599</v>
      </c>
      <c r="F88" s="4">
        <v>1.8888218548353399</v>
      </c>
      <c r="G88" s="4">
        <v>175.50426999999999</v>
      </c>
      <c r="H88" s="4">
        <v>9.8343263032730395</v>
      </c>
      <c r="I88" s="4">
        <v>156.72999999999999</v>
      </c>
      <c r="J88" s="4">
        <v>162.97</v>
      </c>
      <c r="K88" s="4">
        <v>156.56</v>
      </c>
      <c r="L88" s="4">
        <v>0.60078853495212903</v>
      </c>
    </row>
    <row r="89" spans="1:12" ht="15" customHeight="1" x14ac:dyDescent="0.2">
      <c r="A89" s="6">
        <v>45923</v>
      </c>
      <c r="B89" s="7">
        <v>157.77000000000001</v>
      </c>
      <c r="C89" s="8">
        <v>761409</v>
      </c>
      <c r="D89" s="7">
        <v>1.71999999999999</v>
      </c>
      <c r="E89" s="7">
        <v>1.10221082986221</v>
      </c>
      <c r="F89" s="7">
        <v>1.1022058085528901</v>
      </c>
      <c r="G89" s="7">
        <v>172.25076000000001</v>
      </c>
      <c r="H89" s="7">
        <v>7.7982101508229702</v>
      </c>
      <c r="I89" s="7">
        <v>156</v>
      </c>
      <c r="J89" s="7">
        <v>158.84</v>
      </c>
      <c r="K89" s="7">
        <v>155.30000000000001</v>
      </c>
      <c r="L89" s="7">
        <v>-1.2641592089617499</v>
      </c>
    </row>
    <row r="90" spans="1:12" ht="15" customHeight="1" x14ac:dyDescent="0.2">
      <c r="A90" s="3">
        <v>45922</v>
      </c>
      <c r="B90" s="4">
        <v>156.05000000000001</v>
      </c>
      <c r="C90" s="5">
        <v>368725</v>
      </c>
      <c r="D90" s="4">
        <v>2.71999999999999</v>
      </c>
      <c r="E90" s="4">
        <v>1.7739516076436399</v>
      </c>
      <c r="F90" s="4">
        <v>1.7739561074206101</v>
      </c>
      <c r="G90" s="4">
        <v>170.37289999999999</v>
      </c>
      <c r="H90" s="4">
        <v>6.6230051943175301</v>
      </c>
      <c r="I90" s="4">
        <v>153.75</v>
      </c>
      <c r="J90" s="4">
        <v>157.12</v>
      </c>
      <c r="K90" s="4">
        <v>152.97999999999999</v>
      </c>
      <c r="L90" s="4">
        <v>-2.3405720007509698</v>
      </c>
    </row>
    <row r="91" spans="1:12" ht="15" customHeight="1" x14ac:dyDescent="0.2">
      <c r="A91" s="6">
        <v>45919</v>
      </c>
      <c r="B91" s="7">
        <v>153.33000000000001</v>
      </c>
      <c r="C91" s="8">
        <v>1454395</v>
      </c>
      <c r="D91" s="7">
        <v>1.01000000000001</v>
      </c>
      <c r="E91" s="7">
        <v>0.66307773109244295</v>
      </c>
      <c r="F91" s="7">
        <v>0.66307056711478696</v>
      </c>
      <c r="G91" s="7">
        <v>167.40324000000001</v>
      </c>
      <c r="H91" s="7">
        <v>4.7645284435822104</v>
      </c>
      <c r="I91" s="7">
        <v>151.72</v>
      </c>
      <c r="J91" s="7">
        <v>154.13</v>
      </c>
      <c r="K91" s="7">
        <v>150.82</v>
      </c>
      <c r="L91" s="7">
        <v>-4.0428061831153199</v>
      </c>
    </row>
    <row r="92" spans="1:12" ht="15" customHeight="1" x14ac:dyDescent="0.2">
      <c r="A92" s="3">
        <v>45918</v>
      </c>
      <c r="B92" s="4">
        <v>152.32</v>
      </c>
      <c r="C92" s="5">
        <v>973203</v>
      </c>
      <c r="D92" s="4">
        <v>0.68000000000000604</v>
      </c>
      <c r="E92" s="4">
        <v>0.44843049327354301</v>
      </c>
      <c r="F92" s="4">
        <v>0.44844070469027802</v>
      </c>
      <c r="G92" s="4">
        <v>166.30054999999999</v>
      </c>
      <c r="H92" s="4">
        <v>4.0744414544089</v>
      </c>
      <c r="I92" s="4">
        <v>152.22999999999999</v>
      </c>
      <c r="J92" s="4">
        <v>152.54</v>
      </c>
      <c r="K92" s="4">
        <v>148.51</v>
      </c>
      <c r="L92" s="4">
        <v>-4.67488578759622</v>
      </c>
    </row>
    <row r="93" spans="1:12" ht="15" customHeight="1" x14ac:dyDescent="0.2">
      <c r="A93" s="6">
        <v>45917</v>
      </c>
      <c r="B93" s="7">
        <v>151.63999999999999</v>
      </c>
      <c r="C93" s="8">
        <v>868079</v>
      </c>
      <c r="D93" s="7">
        <v>-4.3200000000000198</v>
      </c>
      <c r="E93" s="7">
        <v>-2.76994101051553</v>
      </c>
      <c r="F93" s="7">
        <v>-2.7699485959858698</v>
      </c>
      <c r="G93" s="7">
        <v>165.55812</v>
      </c>
      <c r="H93" s="7">
        <v>3.6098128794042199</v>
      </c>
      <c r="I93" s="7">
        <v>154.01</v>
      </c>
      <c r="J93" s="7">
        <v>155.69</v>
      </c>
      <c r="K93" s="7">
        <v>149.29</v>
      </c>
      <c r="L93" s="7">
        <v>-5.1004443331873102</v>
      </c>
    </row>
    <row r="94" spans="1:12" ht="15" customHeight="1" x14ac:dyDescent="0.2">
      <c r="A94" s="3">
        <v>45915</v>
      </c>
      <c r="B94" s="4">
        <v>155.96</v>
      </c>
      <c r="C94" s="5">
        <v>1566951</v>
      </c>
      <c r="D94" s="4">
        <v>2.8200000000000198</v>
      </c>
      <c r="E94" s="4">
        <v>1.8414522659004799</v>
      </c>
      <c r="F94" s="4">
        <v>1.8414577399671499</v>
      </c>
      <c r="G94" s="4">
        <v>170.27464000000001</v>
      </c>
      <c r="H94" s="4">
        <v>6.5615119844796297</v>
      </c>
      <c r="I94" s="4">
        <v>152.22999999999999</v>
      </c>
      <c r="J94" s="4">
        <v>158.85</v>
      </c>
      <c r="K94" s="4">
        <v>149.01</v>
      </c>
      <c r="L94" s="4">
        <v>-2.3968959259027298</v>
      </c>
    </row>
    <row r="95" spans="1:12" ht="15" customHeight="1" x14ac:dyDescent="0.2">
      <c r="A95" s="6">
        <v>45912</v>
      </c>
      <c r="B95" s="7">
        <v>153.13999999999999</v>
      </c>
      <c r="C95" s="8">
        <v>634609</v>
      </c>
      <c r="D95" s="7">
        <v>2.8499999999999899</v>
      </c>
      <c r="E95" s="7">
        <v>1.8963337547408301</v>
      </c>
      <c r="F95" s="7">
        <v>1.8963372526826101</v>
      </c>
      <c r="G95" s="7">
        <v>167.19579999999999</v>
      </c>
      <c r="H95" s="7">
        <v>4.6347080543212904</v>
      </c>
      <c r="I95" s="7">
        <v>150.41999999999999</v>
      </c>
      <c r="J95" s="7">
        <v>153.41999999999999</v>
      </c>
      <c r="K95" s="7">
        <v>149.9</v>
      </c>
      <c r="L95" s="7">
        <v>-4.1617122473246102</v>
      </c>
    </row>
    <row r="96" spans="1:12" ht="15" customHeight="1" x14ac:dyDescent="0.2">
      <c r="A96" s="3">
        <v>45911</v>
      </c>
      <c r="B96" s="4">
        <v>150.29</v>
      </c>
      <c r="C96" s="5">
        <v>1062665</v>
      </c>
      <c r="D96" s="4">
        <v>2.5799999999999801</v>
      </c>
      <c r="E96" s="4">
        <v>1.746665763997</v>
      </c>
      <c r="F96" s="4">
        <v>1.7466515092353101</v>
      </c>
      <c r="G96" s="4">
        <v>164.08421000000001</v>
      </c>
      <c r="H96" s="4">
        <v>2.6874084736216401</v>
      </c>
      <c r="I96" s="4">
        <v>148.26</v>
      </c>
      <c r="J96" s="4">
        <v>150.69</v>
      </c>
      <c r="K96" s="4">
        <v>147.88999999999999</v>
      </c>
      <c r="L96" s="4">
        <v>-5.94530321046373</v>
      </c>
    </row>
    <row r="97" spans="1:12" ht="15" customHeight="1" x14ac:dyDescent="0.2">
      <c r="A97" s="6">
        <v>45910</v>
      </c>
      <c r="B97" s="7">
        <v>147.71</v>
      </c>
      <c r="C97" s="8">
        <v>934660</v>
      </c>
      <c r="D97" s="7">
        <v>1.0900000000000001</v>
      </c>
      <c r="E97" s="7">
        <v>0.74341836038740405</v>
      </c>
      <c r="F97" s="7">
        <v>0.74343429951617601</v>
      </c>
      <c r="G97" s="7">
        <v>161.26742999999999</v>
      </c>
      <c r="H97" s="7">
        <v>0.92460729707741296</v>
      </c>
      <c r="I97" s="7">
        <v>147.93</v>
      </c>
      <c r="J97" s="7">
        <v>149.28</v>
      </c>
      <c r="K97" s="7">
        <v>146.52000000000001</v>
      </c>
      <c r="L97" s="7">
        <v>-7.5599223981475498</v>
      </c>
    </row>
    <row r="98" spans="1:12" ht="15" customHeight="1" x14ac:dyDescent="0.2">
      <c r="A98" s="3">
        <v>45909</v>
      </c>
      <c r="B98" s="4">
        <v>146.62</v>
      </c>
      <c r="C98" s="5">
        <v>400316</v>
      </c>
      <c r="D98" s="4">
        <v>-0.90999999999999603</v>
      </c>
      <c r="E98" s="4">
        <v>-0.61682369687521199</v>
      </c>
      <c r="F98" s="4">
        <v>-0.61682778309599595</v>
      </c>
      <c r="G98" s="4">
        <v>160.07736</v>
      </c>
      <c r="H98" s="4">
        <v>0.17983603479567301</v>
      </c>
      <c r="I98" s="4">
        <v>148.47999999999999</v>
      </c>
      <c r="J98" s="4">
        <v>148.78</v>
      </c>
      <c r="K98" s="4">
        <v>145.79</v>
      </c>
      <c r="L98" s="4">
        <v>-8.2420677138744498</v>
      </c>
    </row>
    <row r="99" spans="1:12" ht="15" customHeight="1" x14ac:dyDescent="0.2">
      <c r="A99" s="6">
        <v>45908</v>
      </c>
      <c r="B99" s="7">
        <v>147.53</v>
      </c>
      <c r="C99" s="8">
        <v>658504</v>
      </c>
      <c r="D99" s="7">
        <v>1.53999999999999</v>
      </c>
      <c r="E99" s="7">
        <v>1.05486677169668</v>
      </c>
      <c r="F99" s="7">
        <v>1.05485578854724</v>
      </c>
      <c r="G99" s="7">
        <v>161.07088999999999</v>
      </c>
      <c r="H99" s="7">
        <v>0.80160836097377697</v>
      </c>
      <c r="I99" s="7">
        <v>146.66</v>
      </c>
      <c r="J99" s="7">
        <v>148.19</v>
      </c>
      <c r="K99" s="7">
        <v>145.76</v>
      </c>
      <c r="L99" s="7">
        <v>-7.6725702484510796</v>
      </c>
    </row>
    <row r="100" spans="1:12" ht="15" customHeight="1" x14ac:dyDescent="0.2">
      <c r="A100" s="3">
        <v>45905</v>
      </c>
      <c r="B100" s="4">
        <v>145.99</v>
      </c>
      <c r="C100" s="5">
        <v>397582</v>
      </c>
      <c r="D100" s="4">
        <v>-0.12000000000000401</v>
      </c>
      <c r="E100" s="4">
        <v>-8.2129902128535895E-2</v>
      </c>
      <c r="F100" s="4">
        <v>-8.2114812166833501E-2</v>
      </c>
      <c r="G100" s="4">
        <v>159.38955999999999</v>
      </c>
      <c r="H100" s="4">
        <v>-0.25060391764190698</v>
      </c>
      <c r="I100" s="4">
        <v>147.33000000000001</v>
      </c>
      <c r="J100" s="4">
        <v>148.35</v>
      </c>
      <c r="K100" s="4">
        <v>145.12</v>
      </c>
      <c r="L100" s="4">
        <v>-8.63633518993678</v>
      </c>
    </row>
    <row r="101" spans="1:12" ht="15" customHeight="1" x14ac:dyDescent="0.2">
      <c r="A101" s="6">
        <v>45904</v>
      </c>
      <c r="B101" s="7">
        <v>146.11000000000001</v>
      </c>
      <c r="C101" s="8">
        <v>446058</v>
      </c>
      <c r="D101" s="7">
        <v>-3.4099999999999899</v>
      </c>
      <c r="E101" s="7">
        <v>-2.28063135366506</v>
      </c>
      <c r="F101" s="7">
        <v>-2.2806414097218601</v>
      </c>
      <c r="G101" s="7">
        <v>159.52054999999999</v>
      </c>
      <c r="H101" s="7">
        <v>-0.16862757369047199</v>
      </c>
      <c r="I101" s="7">
        <v>150.03</v>
      </c>
      <c r="J101" s="7">
        <v>151</v>
      </c>
      <c r="K101" s="7">
        <v>145.85</v>
      </c>
      <c r="L101" s="7">
        <v>-8.5612366230677601</v>
      </c>
    </row>
    <row r="102" spans="1:12" ht="15" customHeight="1" x14ac:dyDescent="0.2">
      <c r="A102" s="3">
        <v>45903</v>
      </c>
      <c r="B102" s="4">
        <v>149.52000000000001</v>
      </c>
      <c r="C102" s="5">
        <v>331928</v>
      </c>
      <c r="D102" s="4">
        <v>-0.19999999999998799</v>
      </c>
      <c r="E102" s="4">
        <v>-0.13358268768366399</v>
      </c>
      <c r="F102" s="4">
        <v>-0.13357852808514301</v>
      </c>
      <c r="G102" s="4">
        <v>163.24355</v>
      </c>
      <c r="H102" s="4">
        <v>2.16130546342074</v>
      </c>
      <c r="I102" s="4">
        <v>150.38999999999999</v>
      </c>
      <c r="J102" s="4">
        <v>152.47</v>
      </c>
      <c r="K102" s="4">
        <v>147.5</v>
      </c>
      <c r="L102" s="4">
        <v>-6.42718568120657</v>
      </c>
    </row>
    <row r="103" spans="1:12" ht="15" customHeight="1" x14ac:dyDescent="0.2">
      <c r="A103" s="6">
        <v>45902</v>
      </c>
      <c r="B103" s="7">
        <v>149.72</v>
      </c>
      <c r="C103" s="8">
        <v>554755</v>
      </c>
      <c r="D103" s="7">
        <v>3.4499999999999802</v>
      </c>
      <c r="E103" s="7">
        <v>2.3586518082997001</v>
      </c>
      <c r="F103" s="7">
        <v>2.35864873876965</v>
      </c>
      <c r="G103" s="7">
        <v>163.46190000000001</v>
      </c>
      <c r="H103" s="7">
        <v>2.2979535640528299</v>
      </c>
      <c r="I103" s="7">
        <v>144.94</v>
      </c>
      <c r="J103" s="7">
        <v>150.34</v>
      </c>
      <c r="K103" s="7">
        <v>143.02000000000001</v>
      </c>
      <c r="L103" s="7">
        <v>-6.3020214030915502</v>
      </c>
    </row>
    <row r="104" spans="1:12" ht="15" customHeight="1" x14ac:dyDescent="0.2">
      <c r="A104" s="3">
        <v>45901</v>
      </c>
      <c r="B104" s="4">
        <v>146.27000000000001</v>
      </c>
      <c r="C104" s="5">
        <v>47834</v>
      </c>
      <c r="D104" s="4">
        <v>1.04000000000002</v>
      </c>
      <c r="E104" s="4">
        <v>0.71610548784688499</v>
      </c>
      <c r="F104" s="4">
        <v>0.71611476756589998</v>
      </c>
      <c r="G104" s="4">
        <v>159.69524999999999</v>
      </c>
      <c r="H104" s="4">
        <v>-5.9296576756996497E-2</v>
      </c>
      <c r="I104" s="4">
        <v>145.69999999999999</v>
      </c>
      <c r="J104" s="4">
        <v>147.80000000000001</v>
      </c>
      <c r="K104" s="4">
        <v>145.4</v>
      </c>
      <c r="L104" s="4">
        <v>-8.4611052005757408</v>
      </c>
    </row>
    <row r="105" spans="1:12" ht="15" customHeight="1" x14ac:dyDescent="0.2">
      <c r="A105" s="6">
        <v>45898</v>
      </c>
      <c r="B105" s="7">
        <v>145.22999999999999</v>
      </c>
      <c r="C105" s="8">
        <v>572987</v>
      </c>
      <c r="D105" s="7">
        <v>-7.00000000000216E-2</v>
      </c>
      <c r="E105" s="7">
        <v>-4.8176187198911702E-2</v>
      </c>
      <c r="F105" s="7">
        <v>-4.81857169819188E-2</v>
      </c>
      <c r="G105" s="7">
        <v>158.55977999999999</v>
      </c>
      <c r="H105" s="7">
        <v>-0.76989799111333801</v>
      </c>
      <c r="I105" s="7">
        <v>146.02000000000001</v>
      </c>
      <c r="J105" s="7">
        <v>146.02000000000001</v>
      </c>
      <c r="K105" s="7">
        <v>142.27000000000001</v>
      </c>
      <c r="L105" s="7">
        <v>-9.1119594467738896</v>
      </c>
    </row>
    <row r="106" spans="1:12" ht="15" customHeight="1" x14ac:dyDescent="0.2">
      <c r="A106" s="3">
        <v>45897</v>
      </c>
      <c r="B106" s="4">
        <v>145.30000000000001</v>
      </c>
      <c r="C106" s="5">
        <v>812230</v>
      </c>
      <c r="D106" s="4">
        <v>0.37000000000000399</v>
      </c>
      <c r="E106" s="4">
        <v>0.25529565997377501</v>
      </c>
      <c r="F106" s="4">
        <v>0.25530827345932</v>
      </c>
      <c r="G106" s="4">
        <v>158.63622000000001</v>
      </c>
      <c r="H106" s="4">
        <v>-0.72206020401776205</v>
      </c>
      <c r="I106" s="4">
        <v>144.6</v>
      </c>
      <c r="J106" s="4">
        <v>146.99</v>
      </c>
      <c r="K106" s="4">
        <v>143.1</v>
      </c>
      <c r="L106" s="4">
        <v>-9.06815194943362</v>
      </c>
    </row>
    <row r="107" spans="1:12" ht="15" customHeight="1" x14ac:dyDescent="0.2">
      <c r="A107" s="6">
        <v>45896</v>
      </c>
      <c r="B107" s="7">
        <v>144.93</v>
      </c>
      <c r="C107" s="8">
        <v>283206</v>
      </c>
      <c r="D107" s="7">
        <v>5.43</v>
      </c>
      <c r="E107" s="7">
        <v>3.8924731182795802</v>
      </c>
      <c r="F107" s="7">
        <v>3.8924686478727599</v>
      </c>
      <c r="G107" s="7">
        <v>158.23223999999999</v>
      </c>
      <c r="H107" s="7">
        <v>-0.97487952938231504</v>
      </c>
      <c r="I107" s="7">
        <v>140.25</v>
      </c>
      <c r="J107" s="7">
        <v>145.6</v>
      </c>
      <c r="K107" s="7">
        <v>139.03</v>
      </c>
      <c r="L107" s="7">
        <v>-9.2997058639464196</v>
      </c>
    </row>
    <row r="108" spans="1:12" ht="15" customHeight="1" x14ac:dyDescent="0.2">
      <c r="A108" s="3">
        <v>45895</v>
      </c>
      <c r="B108" s="4">
        <v>139.5</v>
      </c>
      <c r="C108" s="5">
        <v>988423</v>
      </c>
      <c r="D108" s="4">
        <v>-3.6599999999999899</v>
      </c>
      <c r="E108" s="4">
        <v>-2.5565800502933702</v>
      </c>
      <c r="F108" s="4">
        <v>-2.5565867646663798</v>
      </c>
      <c r="G108" s="4">
        <v>152.30385999999999</v>
      </c>
      <c r="H108" s="4">
        <v>-4.6849865448400996</v>
      </c>
      <c r="I108" s="4">
        <v>144.22</v>
      </c>
      <c r="J108" s="4">
        <v>145.6</v>
      </c>
      <c r="K108" s="4">
        <v>138.94</v>
      </c>
      <c r="L108" s="4">
        <v>-12.6979160147693</v>
      </c>
    </row>
    <row r="109" spans="1:12" ht="15" customHeight="1" x14ac:dyDescent="0.2">
      <c r="A109" s="6">
        <v>45894</v>
      </c>
      <c r="B109" s="7">
        <v>143.16</v>
      </c>
      <c r="C109" s="8">
        <v>132215</v>
      </c>
      <c r="D109" s="7">
        <v>-2.25999999999999</v>
      </c>
      <c r="E109" s="7">
        <v>-1.5541191032870201</v>
      </c>
      <c r="F109" s="7">
        <v>-1.5541179373098599</v>
      </c>
      <c r="G109" s="7">
        <v>156.2998</v>
      </c>
      <c r="H109" s="7">
        <v>-2.1842418173853102</v>
      </c>
      <c r="I109" s="7">
        <v>145.29</v>
      </c>
      <c r="J109" s="7">
        <v>146.46</v>
      </c>
      <c r="K109" s="7">
        <v>142.44</v>
      </c>
      <c r="L109" s="7">
        <v>-10.407409725264401</v>
      </c>
    </row>
    <row r="110" spans="1:12" ht="15" customHeight="1" x14ac:dyDescent="0.2">
      <c r="A110" s="3">
        <v>45891</v>
      </c>
      <c r="B110" s="4">
        <v>145.41999999999999</v>
      </c>
      <c r="C110" s="5">
        <v>311402</v>
      </c>
      <c r="D110" s="4">
        <v>1.9099999999999899</v>
      </c>
      <c r="E110" s="4">
        <v>1.3309177060832</v>
      </c>
      <c r="F110" s="4">
        <v>1.3309193555963701</v>
      </c>
      <c r="G110" s="4">
        <v>158.76723000000001</v>
      </c>
      <c r="H110" s="4">
        <v>-0.64007134363851304</v>
      </c>
      <c r="I110" s="4">
        <v>144.97</v>
      </c>
      <c r="J110" s="4">
        <v>145.85</v>
      </c>
      <c r="K110" s="4">
        <v>142.99</v>
      </c>
      <c r="L110" s="4">
        <v>-8.9930533825646197</v>
      </c>
    </row>
    <row r="111" spans="1:12" ht="15" customHeight="1" x14ac:dyDescent="0.2">
      <c r="A111" s="6">
        <v>45890</v>
      </c>
      <c r="B111" s="7">
        <v>143.51</v>
      </c>
      <c r="C111" s="8">
        <v>293315</v>
      </c>
      <c r="D111" s="7">
        <v>1.5499999999999801</v>
      </c>
      <c r="E111" s="7">
        <v>1.09185686108761</v>
      </c>
      <c r="F111" s="7">
        <v>1.0918600048454601</v>
      </c>
      <c r="G111" s="7">
        <v>156.68191999999999</v>
      </c>
      <c r="H111" s="7">
        <v>-1.94510294761875</v>
      </c>
      <c r="I111" s="7">
        <v>142</v>
      </c>
      <c r="J111" s="7">
        <v>144.87</v>
      </c>
      <c r="K111" s="7">
        <v>141.27000000000001</v>
      </c>
      <c r="L111" s="7">
        <v>-10.188372238563099</v>
      </c>
    </row>
    <row r="112" spans="1:12" ht="15" customHeight="1" x14ac:dyDescent="0.2">
      <c r="A112" s="3">
        <v>45889</v>
      </c>
      <c r="B112" s="4">
        <v>141.96</v>
      </c>
      <c r="C112" s="5">
        <v>208177</v>
      </c>
      <c r="D112" s="4">
        <v>-0.32999999999998397</v>
      </c>
      <c r="E112" s="4">
        <v>-0.23192072527934399</v>
      </c>
      <c r="F112" s="4">
        <v>-0.23191513507601</v>
      </c>
      <c r="G112" s="4">
        <v>154.98965000000001</v>
      </c>
      <c r="H112" s="4">
        <v>-3.0041617122473099</v>
      </c>
      <c r="I112" s="4">
        <v>142.77000000000001</v>
      </c>
      <c r="J112" s="4">
        <v>143</v>
      </c>
      <c r="K112" s="4">
        <v>140.16</v>
      </c>
      <c r="L112" s="4">
        <v>-11.1583953939545</v>
      </c>
    </row>
    <row r="113" spans="1:12" ht="15" customHeight="1" x14ac:dyDescent="0.2">
      <c r="A113" s="6">
        <v>45888</v>
      </c>
      <c r="B113" s="7">
        <v>142.29</v>
      </c>
      <c r="C113" s="8">
        <v>630865</v>
      </c>
      <c r="D113" s="7">
        <v>-2.0800000000000098</v>
      </c>
      <c r="E113" s="7">
        <v>-1.4407425365380699</v>
      </c>
      <c r="F113" s="7">
        <v>-1.4407484796586101</v>
      </c>
      <c r="G113" s="7">
        <v>155.34993</v>
      </c>
      <c r="H113" s="7">
        <v>-2.7786907816509099</v>
      </c>
      <c r="I113" s="7">
        <v>142.36000000000001</v>
      </c>
      <c r="J113" s="7">
        <v>143.91999999999999</v>
      </c>
      <c r="K113" s="7">
        <v>141.55000000000001</v>
      </c>
      <c r="L113" s="7">
        <v>-10.9518743350647</v>
      </c>
    </row>
    <row r="114" spans="1:12" ht="15" customHeight="1" x14ac:dyDescent="0.2">
      <c r="A114" s="3">
        <v>45887</v>
      </c>
      <c r="B114" s="4">
        <v>144.37</v>
      </c>
      <c r="C114" s="5">
        <v>295940</v>
      </c>
      <c r="D114" s="4">
        <v>-0.189999999999997</v>
      </c>
      <c r="E114" s="4">
        <v>-0.13143331488655299</v>
      </c>
      <c r="F114" s="4">
        <v>-0.13144030569930401</v>
      </c>
      <c r="G114" s="4">
        <v>157.62084999999999</v>
      </c>
      <c r="H114" s="4">
        <v>-1.35750046936604</v>
      </c>
      <c r="I114" s="4">
        <v>144.97</v>
      </c>
      <c r="J114" s="4">
        <v>144.97</v>
      </c>
      <c r="K114" s="4">
        <v>142.16</v>
      </c>
      <c r="L114" s="4">
        <v>-9.6501658426684909</v>
      </c>
    </row>
    <row r="115" spans="1:12" ht="15" customHeight="1" x14ac:dyDescent="0.2">
      <c r="A115" s="6">
        <v>45884</v>
      </c>
      <c r="B115" s="7">
        <v>144.56</v>
      </c>
      <c r="C115" s="8">
        <v>151837</v>
      </c>
      <c r="D115" s="7">
        <v>-9.0000000000003397E-2</v>
      </c>
      <c r="E115" s="7">
        <v>-6.2219149671627297E-2</v>
      </c>
      <c r="F115" s="7">
        <v>-6.2206137106513001E-2</v>
      </c>
      <c r="G115" s="7">
        <v>157.82830000000001</v>
      </c>
      <c r="H115" s="7">
        <v>-1.22767382189121</v>
      </c>
      <c r="I115" s="7">
        <v>143.97999999999999</v>
      </c>
      <c r="J115" s="7">
        <v>146.07</v>
      </c>
      <c r="K115" s="7">
        <v>143.76</v>
      </c>
      <c r="L115" s="7">
        <v>-9.5312597784592192</v>
      </c>
    </row>
    <row r="116" spans="1:12" ht="15" customHeight="1" x14ac:dyDescent="0.2">
      <c r="A116" s="3">
        <v>45883</v>
      </c>
      <c r="B116" s="4">
        <v>144.65</v>
      </c>
      <c r="C116" s="5">
        <v>405198</v>
      </c>
      <c r="D116" s="4">
        <v>-0.62000000000000399</v>
      </c>
      <c r="E116" s="4">
        <v>-0.426791491705103</v>
      </c>
      <c r="F116" s="4">
        <v>-0.42680655095377301</v>
      </c>
      <c r="G116" s="4">
        <v>157.92653999999999</v>
      </c>
      <c r="H116" s="4">
        <v>-1.16619312848113</v>
      </c>
      <c r="I116" s="4">
        <v>144.72</v>
      </c>
      <c r="J116" s="4">
        <v>146.46</v>
      </c>
      <c r="K116" s="4">
        <v>144.02000000000001</v>
      </c>
      <c r="L116" s="4">
        <v>-9.4749358533074499</v>
      </c>
    </row>
    <row r="117" spans="1:12" ht="15" customHeight="1" x14ac:dyDescent="0.2">
      <c r="A117" s="6">
        <v>45882</v>
      </c>
      <c r="B117" s="7">
        <v>145.27000000000001</v>
      </c>
      <c r="C117" s="8">
        <v>308646</v>
      </c>
      <c r="D117" s="7">
        <v>0.25</v>
      </c>
      <c r="E117" s="7">
        <v>0.17239001517033101</v>
      </c>
      <c r="F117" s="7">
        <v>0.17239253682736999</v>
      </c>
      <c r="G117" s="7">
        <v>158.60346999999999</v>
      </c>
      <c r="H117" s="7">
        <v>-0.74255585455911099</v>
      </c>
      <c r="I117" s="7">
        <v>144.29</v>
      </c>
      <c r="J117" s="7">
        <v>147.21</v>
      </c>
      <c r="K117" s="7">
        <v>143.31</v>
      </c>
      <c r="L117" s="7">
        <v>-9.0869265911508705</v>
      </c>
    </row>
    <row r="118" spans="1:12" ht="15" customHeight="1" x14ac:dyDescent="0.2">
      <c r="A118" s="3">
        <v>45881</v>
      </c>
      <c r="B118" s="4">
        <v>145.02000000000001</v>
      </c>
      <c r="C118" s="5">
        <v>487234</v>
      </c>
      <c r="D118" s="4">
        <v>1.3500000000000201</v>
      </c>
      <c r="E118" s="4">
        <v>0.93965337231156598</v>
      </c>
      <c r="F118" s="4">
        <v>0.93966081121228395</v>
      </c>
      <c r="G118" s="4">
        <v>158.33052000000001</v>
      </c>
      <c r="H118" s="4">
        <v>-0.91337380311658101</v>
      </c>
      <c r="I118" s="4">
        <v>144.88999999999999</v>
      </c>
      <c r="J118" s="4">
        <v>145.88</v>
      </c>
      <c r="K118" s="4">
        <v>142.49</v>
      </c>
      <c r="L118" s="4">
        <v>-9.2433819387946503</v>
      </c>
    </row>
    <row r="119" spans="1:12" ht="15" customHeight="1" x14ac:dyDescent="0.2">
      <c r="A119" s="6">
        <v>45880</v>
      </c>
      <c r="B119" s="7">
        <v>143.66999999999999</v>
      </c>
      <c r="C119" s="8">
        <v>628022</v>
      </c>
      <c r="D119" s="7">
        <v>0.30999999999997302</v>
      </c>
      <c r="E119" s="7">
        <v>0.21623883928569801</v>
      </c>
      <c r="F119" s="7">
        <v>0.21623050002632599</v>
      </c>
      <c r="G119" s="7">
        <v>156.85659999999999</v>
      </c>
      <c r="H119" s="7">
        <v>-1.8357844671130801</v>
      </c>
      <c r="I119" s="7">
        <v>142.02000000000001</v>
      </c>
      <c r="J119" s="7">
        <v>145.33000000000001</v>
      </c>
      <c r="K119" s="7">
        <v>140.76</v>
      </c>
      <c r="L119" s="7">
        <v>-10.088240816071</v>
      </c>
    </row>
    <row r="120" spans="1:12" ht="15" customHeight="1" x14ac:dyDescent="0.2">
      <c r="A120" s="3">
        <v>45877</v>
      </c>
      <c r="B120" s="4">
        <v>143.36000000000001</v>
      </c>
      <c r="C120" s="5">
        <v>296999</v>
      </c>
      <c r="D120" s="4">
        <v>0.38000000000002299</v>
      </c>
      <c r="E120" s="4">
        <v>0.26577143656456498</v>
      </c>
      <c r="F120" s="4">
        <v>0.26577918579155901</v>
      </c>
      <c r="G120" s="4">
        <v>156.51815999999999</v>
      </c>
      <c r="H120" s="4">
        <v>-2.0475874585393301</v>
      </c>
      <c r="I120" s="4">
        <v>144.5</v>
      </c>
      <c r="J120" s="4">
        <v>145.43</v>
      </c>
      <c r="K120" s="4">
        <v>142.51</v>
      </c>
      <c r="L120" s="4">
        <v>-10.2822454471493</v>
      </c>
    </row>
    <row r="121" spans="1:12" ht="15" customHeight="1" x14ac:dyDescent="0.2">
      <c r="A121" s="6">
        <v>45876</v>
      </c>
      <c r="B121" s="7">
        <v>142.97999999999999</v>
      </c>
      <c r="C121" s="8">
        <v>1886540</v>
      </c>
      <c r="D121" s="7">
        <v>2.0299999999999998</v>
      </c>
      <c r="E121" s="7">
        <v>1.44022703086201</v>
      </c>
      <c r="F121" s="7">
        <v>1.4402260880471001</v>
      </c>
      <c r="G121" s="7">
        <v>156.10327000000001</v>
      </c>
      <c r="H121" s="7">
        <v>-2.3072344952750301</v>
      </c>
      <c r="I121" s="7">
        <v>140.46</v>
      </c>
      <c r="J121" s="7">
        <v>143.5</v>
      </c>
      <c r="K121" s="7">
        <v>140.46</v>
      </c>
      <c r="L121" s="7">
        <v>-10.5200575755679</v>
      </c>
    </row>
    <row r="122" spans="1:12" ht="15" customHeight="1" x14ac:dyDescent="0.2">
      <c r="A122" s="3">
        <v>45875</v>
      </c>
      <c r="B122" s="4">
        <v>140.94999999999999</v>
      </c>
      <c r="C122" s="5">
        <v>910760</v>
      </c>
      <c r="D122" s="4">
        <v>-1.1700000000000099</v>
      </c>
      <c r="E122" s="4">
        <v>-0.82324795947088503</v>
      </c>
      <c r="F122" s="4">
        <v>-0.82324972348671799</v>
      </c>
      <c r="G122" s="4">
        <v>153.88695000000001</v>
      </c>
      <c r="H122" s="4">
        <v>-3.6942549596344998</v>
      </c>
      <c r="I122" s="4">
        <v>142.22999999999999</v>
      </c>
      <c r="J122" s="4">
        <v>143.63</v>
      </c>
      <c r="K122" s="4">
        <v>140.35</v>
      </c>
      <c r="L122" s="4">
        <v>-11.7904749984354</v>
      </c>
    </row>
    <row r="123" spans="1:12" ht="15" customHeight="1" x14ac:dyDescent="0.2">
      <c r="A123" s="6">
        <v>45874</v>
      </c>
      <c r="B123" s="7">
        <v>142.12</v>
      </c>
      <c r="C123" s="8">
        <v>739623</v>
      </c>
      <c r="D123" s="7">
        <v>-0.26999999999998098</v>
      </c>
      <c r="E123" s="7">
        <v>-0.189620057588302</v>
      </c>
      <c r="F123" s="7">
        <v>-0.189618981504591</v>
      </c>
      <c r="G123" s="7">
        <v>155.16434000000001</v>
      </c>
      <c r="H123" s="7">
        <v>-2.8948369735277399</v>
      </c>
      <c r="I123" s="7">
        <v>141.85</v>
      </c>
      <c r="J123" s="7">
        <v>145.43</v>
      </c>
      <c r="K123" s="7">
        <v>139.32</v>
      </c>
      <c r="L123" s="7">
        <v>-11.0582639714625</v>
      </c>
    </row>
    <row r="124" spans="1:12" ht="15" customHeight="1" x14ac:dyDescent="0.2">
      <c r="A124" s="3">
        <v>45873</v>
      </c>
      <c r="B124" s="4">
        <v>142.38999999999999</v>
      </c>
      <c r="C124" s="5">
        <v>389971</v>
      </c>
      <c r="D124" s="4">
        <v>-1.26000000000001</v>
      </c>
      <c r="E124" s="4">
        <v>-0.87713191785591105</v>
      </c>
      <c r="F124" s="4">
        <v>-0.87712698383953702</v>
      </c>
      <c r="G124" s="4">
        <v>155.45912000000001</v>
      </c>
      <c r="H124" s="4">
        <v>-2.7103573440140001</v>
      </c>
      <c r="I124" s="4">
        <v>143.72</v>
      </c>
      <c r="J124" s="4">
        <v>144.53</v>
      </c>
      <c r="K124" s="4">
        <v>141.41999999999999</v>
      </c>
      <c r="L124" s="4">
        <v>-10.889292196007201</v>
      </c>
    </row>
    <row r="125" spans="1:12" ht="15" customHeight="1" x14ac:dyDescent="0.2">
      <c r="A125" s="6">
        <v>45870</v>
      </c>
      <c r="B125" s="7">
        <v>143.65</v>
      </c>
      <c r="C125" s="8">
        <v>452862</v>
      </c>
      <c r="D125" s="7">
        <v>-3.26999999999998</v>
      </c>
      <c r="E125" s="7">
        <v>-2.2257010618023298</v>
      </c>
      <c r="F125" s="7">
        <v>-2.2257050750943401</v>
      </c>
      <c r="G125" s="7">
        <v>156.83475999999999</v>
      </c>
      <c r="H125" s="7">
        <v>-1.84945240628324</v>
      </c>
      <c r="I125" s="7">
        <v>146.37</v>
      </c>
      <c r="J125" s="7">
        <v>146.37</v>
      </c>
      <c r="K125" s="7">
        <v>142.11000000000001</v>
      </c>
      <c r="L125" s="7">
        <v>-10.1007572438825</v>
      </c>
    </row>
    <row r="126" spans="1:12" ht="15" customHeight="1" x14ac:dyDescent="0.2">
      <c r="A126" s="3">
        <v>45869</v>
      </c>
      <c r="B126" s="4">
        <v>146.91999999999999</v>
      </c>
      <c r="C126" s="5">
        <v>599788</v>
      </c>
      <c r="D126" s="4">
        <v>-0.90000000000000502</v>
      </c>
      <c r="E126" s="4">
        <v>-0.60884859964822602</v>
      </c>
      <c r="F126" s="4">
        <v>-0.60885132932529895</v>
      </c>
      <c r="G126" s="4">
        <v>160.4049</v>
      </c>
      <c r="H126" s="4">
        <v>0.38481757306465098</v>
      </c>
      <c r="I126" s="4">
        <v>147.43</v>
      </c>
      <c r="J126" s="4">
        <v>148.52000000000001</v>
      </c>
      <c r="K126" s="4">
        <v>144.05000000000001</v>
      </c>
      <c r="L126" s="4">
        <v>-8.0543212967019198</v>
      </c>
    </row>
    <row r="127" spans="1:12" ht="15" customHeight="1" x14ac:dyDescent="0.2">
      <c r="A127" s="6">
        <v>45868</v>
      </c>
      <c r="B127" s="7">
        <v>147.82</v>
      </c>
      <c r="C127" s="8">
        <v>742706</v>
      </c>
      <c r="D127" s="7">
        <v>-0.79000000000002002</v>
      </c>
      <c r="E127" s="7">
        <v>-0.53159275957205199</v>
      </c>
      <c r="F127" s="7">
        <v>-0.53159315481132696</v>
      </c>
      <c r="G127" s="7">
        <v>161.38750999999999</v>
      </c>
      <c r="H127" s="7">
        <v>0.99975592965767501</v>
      </c>
      <c r="I127" s="7">
        <v>148.62</v>
      </c>
      <c r="J127" s="7">
        <v>148.83000000000001</v>
      </c>
      <c r="K127" s="7">
        <v>144.04</v>
      </c>
      <c r="L127" s="7">
        <v>-7.4910820451843003</v>
      </c>
    </row>
    <row r="128" spans="1:12" ht="15" customHeight="1" x14ac:dyDescent="0.2">
      <c r="A128" s="3">
        <v>45867</v>
      </c>
      <c r="B128" s="4">
        <v>148.61000000000001</v>
      </c>
      <c r="C128" s="5">
        <v>1369154</v>
      </c>
      <c r="D128" s="4">
        <v>4.43</v>
      </c>
      <c r="E128" s="4">
        <v>3.0725482036343399</v>
      </c>
      <c r="F128" s="4">
        <v>3.0725592611556598</v>
      </c>
      <c r="G128" s="4">
        <v>162.25002000000001</v>
      </c>
      <c r="H128" s="4">
        <v>1.53953313724264</v>
      </c>
      <c r="I128" s="4">
        <v>144.30000000000001</v>
      </c>
      <c r="J128" s="4">
        <v>149.19999999999999</v>
      </c>
      <c r="K128" s="4">
        <v>144.02000000000001</v>
      </c>
      <c r="L128" s="4">
        <v>-6.9966831466299304</v>
      </c>
    </row>
    <row r="129" spans="1:12" ht="15" customHeight="1" x14ac:dyDescent="0.2">
      <c r="A129" s="6">
        <v>45866</v>
      </c>
      <c r="B129" s="7">
        <v>144.18</v>
      </c>
      <c r="C129" s="8">
        <v>698846</v>
      </c>
      <c r="D129" s="7">
        <v>0.62000000000000399</v>
      </c>
      <c r="E129" s="7">
        <v>0.43187517414322502</v>
      </c>
      <c r="F129" s="7">
        <v>0.43186491775271102</v>
      </c>
      <c r="G129" s="7">
        <v>157.4134</v>
      </c>
      <c r="H129" s="7">
        <v>-1.4873271168408499</v>
      </c>
      <c r="I129" s="7">
        <v>143.56</v>
      </c>
      <c r="J129" s="7">
        <v>146.33000000000001</v>
      </c>
      <c r="K129" s="7">
        <v>143.21</v>
      </c>
      <c r="L129" s="7">
        <v>-9.7690719068777696</v>
      </c>
    </row>
    <row r="130" spans="1:12" ht="15" customHeight="1" x14ac:dyDescent="0.2">
      <c r="A130" s="3">
        <v>45863</v>
      </c>
      <c r="B130" s="4">
        <v>143.56</v>
      </c>
      <c r="C130" s="5">
        <v>726115</v>
      </c>
      <c r="D130" s="4">
        <v>3.8300000000000098</v>
      </c>
      <c r="E130" s="4">
        <v>2.74100050096615</v>
      </c>
      <c r="F130" s="4">
        <v>2.7409986878173398</v>
      </c>
      <c r="G130" s="4">
        <v>156.73651000000001</v>
      </c>
      <c r="H130" s="4">
        <v>-1.91093935790724</v>
      </c>
      <c r="I130" s="4">
        <v>139.47999999999999</v>
      </c>
      <c r="J130" s="4">
        <v>144</v>
      </c>
      <c r="K130" s="4">
        <v>138.74</v>
      </c>
      <c r="L130" s="4">
        <v>-10.157081169034299</v>
      </c>
    </row>
    <row r="131" spans="1:12" ht="15" customHeight="1" x14ac:dyDescent="0.2">
      <c r="A131" s="6">
        <v>45862</v>
      </c>
      <c r="B131" s="7">
        <v>139.72999999999999</v>
      </c>
      <c r="C131" s="8">
        <v>560223</v>
      </c>
      <c r="D131" s="7">
        <v>-2.46</v>
      </c>
      <c r="E131" s="7">
        <v>-1.7300794711301799</v>
      </c>
      <c r="F131" s="7">
        <v>-1.73008031330944</v>
      </c>
      <c r="G131" s="7">
        <v>152.55498</v>
      </c>
      <c r="H131" s="7">
        <v>-4.5278302772388699</v>
      </c>
      <c r="I131" s="7">
        <v>141.38</v>
      </c>
      <c r="J131" s="7">
        <v>141.38</v>
      </c>
      <c r="K131" s="7">
        <v>136.29</v>
      </c>
      <c r="L131" s="7">
        <v>-12.5539770949371</v>
      </c>
    </row>
    <row r="132" spans="1:12" ht="15" customHeight="1" x14ac:dyDescent="0.2">
      <c r="A132" s="3">
        <v>45861</v>
      </c>
      <c r="B132" s="4">
        <v>142.19</v>
      </c>
      <c r="C132" s="5">
        <v>587651</v>
      </c>
      <c r="D132" s="4">
        <v>1.52000000000001</v>
      </c>
      <c r="E132" s="4">
        <v>1.0805431150920599</v>
      </c>
      <c r="F132" s="4">
        <v>1.0805485695682</v>
      </c>
      <c r="G132" s="4">
        <v>155.24077</v>
      </c>
      <c r="H132" s="4">
        <v>-2.84700544464609</v>
      </c>
      <c r="I132" s="4">
        <v>139.9</v>
      </c>
      <c r="J132" s="4">
        <v>143.97</v>
      </c>
      <c r="K132" s="4">
        <v>138.31</v>
      </c>
      <c r="L132" s="4">
        <v>-11.0144564741222</v>
      </c>
    </row>
    <row r="133" spans="1:12" ht="15" customHeight="1" x14ac:dyDescent="0.2">
      <c r="A133" s="6">
        <v>45860</v>
      </c>
      <c r="B133" s="7">
        <v>140.66999999999999</v>
      </c>
      <c r="C133" s="8">
        <v>657607</v>
      </c>
      <c r="D133" s="7">
        <v>0.98999999999998001</v>
      </c>
      <c r="E133" s="7">
        <v>0.70876288659791298</v>
      </c>
      <c r="F133" s="7">
        <v>0.708765447010684</v>
      </c>
      <c r="G133" s="7">
        <v>153.58125000000001</v>
      </c>
      <c r="H133" s="7">
        <v>-3.8855685587333202</v>
      </c>
      <c r="I133" s="7">
        <v>139.03</v>
      </c>
      <c r="J133" s="7">
        <v>141.88</v>
      </c>
      <c r="K133" s="7">
        <v>137.02000000000001</v>
      </c>
      <c r="L133" s="7">
        <v>-11.9657049877964</v>
      </c>
    </row>
    <row r="134" spans="1:12" ht="15" customHeight="1" x14ac:dyDescent="0.2">
      <c r="A134" s="3">
        <v>45859</v>
      </c>
      <c r="B134" s="4">
        <v>139.68</v>
      </c>
      <c r="C134" s="5">
        <v>366806</v>
      </c>
      <c r="D134" s="4">
        <v>-1.19999999999998</v>
      </c>
      <c r="E134" s="4">
        <v>-0.85178875638840501</v>
      </c>
      <c r="F134" s="4">
        <v>-0.85179473733040201</v>
      </c>
      <c r="G134" s="4">
        <v>152.50038000000001</v>
      </c>
      <c r="H134" s="4">
        <v>-4.5620001251642597</v>
      </c>
      <c r="I134" s="4">
        <v>141.21</v>
      </c>
      <c r="J134" s="4">
        <v>142.57</v>
      </c>
      <c r="K134" s="4">
        <v>138</v>
      </c>
      <c r="L134" s="4">
        <v>-12.5852681644658</v>
      </c>
    </row>
    <row r="135" spans="1:12" ht="15" customHeight="1" x14ac:dyDescent="0.2">
      <c r="A135" s="6">
        <v>45856</v>
      </c>
      <c r="B135" s="7">
        <v>140.88</v>
      </c>
      <c r="C135" s="8">
        <v>265298</v>
      </c>
      <c r="D135" s="7">
        <v>-5.7000000000000099</v>
      </c>
      <c r="E135" s="7">
        <v>-3.8886614817847001</v>
      </c>
      <c r="F135" s="7">
        <v>-3.88865619482997</v>
      </c>
      <c r="G135" s="7">
        <v>153.81053</v>
      </c>
      <c r="H135" s="7">
        <v>-3.74208023030226</v>
      </c>
      <c r="I135" s="7">
        <v>144.85</v>
      </c>
      <c r="J135" s="7">
        <v>147.44</v>
      </c>
      <c r="K135" s="7">
        <v>140.68</v>
      </c>
      <c r="L135" s="7">
        <v>-11.8342824957757</v>
      </c>
    </row>
    <row r="136" spans="1:12" ht="15" customHeight="1" x14ac:dyDescent="0.2">
      <c r="A136" s="3">
        <v>45855</v>
      </c>
      <c r="B136" s="4">
        <v>146.58000000000001</v>
      </c>
      <c r="C136" s="5">
        <v>417602</v>
      </c>
      <c r="D136" s="4">
        <v>2.80000000000001</v>
      </c>
      <c r="E136" s="4">
        <v>1.94741966893865</v>
      </c>
      <c r="F136" s="4">
        <v>1.9474164000135199</v>
      </c>
      <c r="G136" s="4">
        <v>160.03369000000001</v>
      </c>
      <c r="H136" s="4">
        <v>0.15250641466926201</v>
      </c>
      <c r="I136" s="4">
        <v>144.99</v>
      </c>
      <c r="J136" s="4">
        <v>147.04</v>
      </c>
      <c r="K136" s="4">
        <v>143.19999999999999</v>
      </c>
      <c r="L136" s="4">
        <v>-8.2671005694974493</v>
      </c>
    </row>
    <row r="137" spans="1:12" ht="15" customHeight="1" x14ac:dyDescent="0.2">
      <c r="A137" s="6">
        <v>45854</v>
      </c>
      <c r="B137" s="7">
        <v>143.78</v>
      </c>
      <c r="C137" s="8">
        <v>519498</v>
      </c>
      <c r="D137" s="7">
        <v>-3.37</v>
      </c>
      <c r="E137" s="7">
        <v>-2.2901800883452199</v>
      </c>
      <c r="F137" s="7">
        <v>-2.2901727915546299</v>
      </c>
      <c r="G137" s="7">
        <v>156.97669999999999</v>
      </c>
      <c r="H137" s="7">
        <v>-1.7606233181050099</v>
      </c>
      <c r="I137" s="7">
        <v>147.35</v>
      </c>
      <c r="J137" s="7">
        <v>147.6</v>
      </c>
      <c r="K137" s="7">
        <v>142.76</v>
      </c>
      <c r="L137" s="7">
        <v>-10.0194004631078</v>
      </c>
    </row>
    <row r="138" spans="1:12" ht="15" customHeight="1" x14ac:dyDescent="0.2">
      <c r="A138" s="3">
        <v>45853</v>
      </c>
      <c r="B138" s="4">
        <v>147.15</v>
      </c>
      <c r="C138" s="5">
        <v>628762</v>
      </c>
      <c r="D138" s="4">
        <v>3.3199999999999901</v>
      </c>
      <c r="E138" s="4">
        <v>2.30828060905234</v>
      </c>
      <c r="F138" s="4">
        <v>2.30826593169644</v>
      </c>
      <c r="G138" s="4">
        <v>160.65600000000001</v>
      </c>
      <c r="H138" s="4">
        <v>0.54196132423807097</v>
      </c>
      <c r="I138" s="4">
        <v>144.19</v>
      </c>
      <c r="J138" s="4">
        <v>147.80000000000001</v>
      </c>
      <c r="K138" s="4">
        <v>142.47999999999999</v>
      </c>
      <c r="L138" s="4">
        <v>-7.91038237686963</v>
      </c>
    </row>
    <row r="139" spans="1:12" ht="15" customHeight="1" x14ac:dyDescent="0.2">
      <c r="A139" s="6">
        <v>45852</v>
      </c>
      <c r="B139" s="7">
        <v>143.83000000000001</v>
      </c>
      <c r="C139" s="8">
        <v>414606</v>
      </c>
      <c r="D139" s="7">
        <v>0.40000000000000502</v>
      </c>
      <c r="E139" s="7">
        <v>0.27888168444538602</v>
      </c>
      <c r="F139" s="7">
        <v>0.27889217359196</v>
      </c>
      <c r="G139" s="7">
        <v>157.03129999999999</v>
      </c>
      <c r="H139" s="7">
        <v>-1.7264534701796099</v>
      </c>
      <c r="I139" s="7">
        <v>143.43</v>
      </c>
      <c r="J139" s="7">
        <v>144.53</v>
      </c>
      <c r="K139" s="7">
        <v>139.28</v>
      </c>
      <c r="L139" s="7">
        <v>-9.9881093935790606</v>
      </c>
    </row>
    <row r="140" spans="1:12" ht="15" customHeight="1" x14ac:dyDescent="0.2">
      <c r="A140" s="3">
        <v>45849</v>
      </c>
      <c r="B140" s="4">
        <v>143.43</v>
      </c>
      <c r="C140" s="5">
        <v>444581</v>
      </c>
      <c r="D140" s="4">
        <v>-1.25999999999999</v>
      </c>
      <c r="E140" s="4">
        <v>-0.87082728592161596</v>
      </c>
      <c r="F140" s="4">
        <v>-0.87083496681620298</v>
      </c>
      <c r="G140" s="4">
        <v>156.59457</v>
      </c>
      <c r="H140" s="4">
        <v>-1.9997684460854701</v>
      </c>
      <c r="I140" s="4">
        <v>144.74</v>
      </c>
      <c r="J140" s="4">
        <v>145.29</v>
      </c>
      <c r="K140" s="4">
        <v>139.52000000000001</v>
      </c>
      <c r="L140" s="4">
        <v>-10.2384379498091</v>
      </c>
    </row>
    <row r="141" spans="1:12" ht="15" customHeight="1" x14ac:dyDescent="0.2">
      <c r="A141" s="6">
        <v>45848</v>
      </c>
      <c r="B141" s="7">
        <v>144.69</v>
      </c>
      <c r="C141" s="8">
        <v>822410</v>
      </c>
      <c r="D141" s="7">
        <v>-0.97999999999998899</v>
      </c>
      <c r="E141" s="7">
        <v>-0.67275348390196599</v>
      </c>
      <c r="F141" s="7">
        <v>-0.67275452027280003</v>
      </c>
      <c r="G141" s="7">
        <v>157.97022999999999</v>
      </c>
      <c r="H141" s="7">
        <v>-1.1388509919269001</v>
      </c>
      <c r="I141" s="7">
        <v>145.66999999999999</v>
      </c>
      <c r="J141" s="7">
        <v>147.30000000000001</v>
      </c>
      <c r="K141" s="7">
        <v>141.12</v>
      </c>
      <c r="L141" s="7">
        <v>-9.4499029976844593</v>
      </c>
    </row>
    <row r="142" spans="1:12" ht="15" customHeight="1" x14ac:dyDescent="0.2">
      <c r="A142" s="3">
        <v>45847</v>
      </c>
      <c r="B142" s="4">
        <v>145.66999999999999</v>
      </c>
      <c r="C142" s="5">
        <v>636124</v>
      </c>
      <c r="D142" s="4">
        <v>-12.69</v>
      </c>
      <c r="E142" s="4">
        <v>-8.0133872189947102</v>
      </c>
      <c r="F142" s="4">
        <v>-8.0133822331727504</v>
      </c>
      <c r="G142" s="4">
        <v>159.04017999999999</v>
      </c>
      <c r="H142" s="4">
        <v>-0.46925339508104302</v>
      </c>
      <c r="I142" s="4">
        <v>157.61000000000001</v>
      </c>
      <c r="J142" s="4">
        <v>158.38</v>
      </c>
      <c r="K142" s="4">
        <v>143.6</v>
      </c>
      <c r="L142" s="4">
        <v>-8.8365980349208293</v>
      </c>
    </row>
    <row r="143" spans="1:12" ht="15" customHeight="1" x14ac:dyDescent="0.2">
      <c r="A143" s="6">
        <v>45846</v>
      </c>
      <c r="B143" s="7">
        <v>158.36000000000001</v>
      </c>
      <c r="C143" s="8">
        <v>644063</v>
      </c>
      <c r="D143" s="7">
        <v>0.67000000000001503</v>
      </c>
      <c r="E143" s="7">
        <v>0.424884266599034</v>
      </c>
      <c r="F143" s="7">
        <v>0.424881197178828</v>
      </c>
      <c r="G143" s="7">
        <v>172.89491000000001</v>
      </c>
      <c r="H143" s="7">
        <v>8.2013329995619308</v>
      </c>
      <c r="I143" s="7">
        <v>158.47999999999999</v>
      </c>
      <c r="J143" s="7">
        <v>159.6</v>
      </c>
      <c r="K143" s="7">
        <v>157.13999999999999</v>
      </c>
      <c r="L143" s="7">
        <v>-0.89492458852242196</v>
      </c>
    </row>
    <row r="144" spans="1:12" ht="15" customHeight="1" x14ac:dyDescent="0.2">
      <c r="A144" s="3">
        <v>45845</v>
      </c>
      <c r="B144" s="4">
        <v>157.69</v>
      </c>
      <c r="C144" s="5">
        <v>482802</v>
      </c>
      <c r="D144" s="4">
        <v>-1.30000000000001</v>
      </c>
      <c r="E144" s="4">
        <v>-0.81766148814391704</v>
      </c>
      <c r="F144" s="4">
        <v>-0.81766765418799203</v>
      </c>
      <c r="G144" s="4">
        <v>172.16342</v>
      </c>
      <c r="H144" s="4">
        <v>7.7435509105701303</v>
      </c>
      <c r="I144" s="4">
        <v>159</v>
      </c>
      <c r="J144" s="4">
        <v>160.26</v>
      </c>
      <c r="K144" s="4">
        <v>156.93</v>
      </c>
      <c r="L144" s="4">
        <v>-1.3142249202077601</v>
      </c>
    </row>
    <row r="145" spans="1:12" ht="15" customHeight="1" x14ac:dyDescent="0.2">
      <c r="A145" s="6">
        <v>45842</v>
      </c>
      <c r="B145" s="7">
        <v>158.99</v>
      </c>
      <c r="C145" s="8">
        <v>107522</v>
      </c>
      <c r="D145" s="7">
        <v>-1.3499999999999901</v>
      </c>
      <c r="E145" s="7">
        <v>-0.84196083322938198</v>
      </c>
      <c r="F145" s="7">
        <v>-0.84195035389688</v>
      </c>
      <c r="G145" s="7">
        <v>173.58275</v>
      </c>
      <c r="H145" s="7">
        <v>8.6317979848551296</v>
      </c>
      <c r="I145" s="7">
        <v>159.49</v>
      </c>
      <c r="J145" s="7">
        <v>161.09</v>
      </c>
      <c r="K145" s="7">
        <v>158.66999999999999</v>
      </c>
      <c r="L145" s="7">
        <v>-0.50065711246009303</v>
      </c>
    </row>
    <row r="146" spans="1:12" ht="15" customHeight="1" x14ac:dyDescent="0.2">
      <c r="A146" s="3">
        <v>45841</v>
      </c>
      <c r="B146" s="4">
        <v>160.34</v>
      </c>
      <c r="C146" s="5">
        <v>893766</v>
      </c>
      <c r="D146" s="4">
        <v>-0.31999999999999301</v>
      </c>
      <c r="E146" s="4">
        <v>-0.19917838914477101</v>
      </c>
      <c r="F146" s="4">
        <v>-0.19918358560329</v>
      </c>
      <c r="G146" s="4">
        <v>175.05663999999999</v>
      </c>
      <c r="H146" s="4">
        <v>9.5541898742098894</v>
      </c>
      <c r="I146" s="4">
        <v>160.85</v>
      </c>
      <c r="J146" s="4">
        <v>161.78</v>
      </c>
      <c r="K146" s="4">
        <v>158.99</v>
      </c>
      <c r="L146" s="4">
        <v>0.34420176481632803</v>
      </c>
    </row>
    <row r="147" spans="1:12" ht="15" customHeight="1" x14ac:dyDescent="0.2">
      <c r="A147" s="6">
        <v>45840</v>
      </c>
      <c r="B147" s="7">
        <v>160.66</v>
      </c>
      <c r="C147" s="8">
        <v>4027680</v>
      </c>
      <c r="D147" s="7">
        <v>2.50999999999999</v>
      </c>
      <c r="E147" s="7">
        <v>1.58710085361997</v>
      </c>
      <c r="F147" s="7">
        <v>1.5871079843742</v>
      </c>
      <c r="G147" s="7">
        <v>175.40602000000001</v>
      </c>
      <c r="H147" s="7">
        <v>9.7728393516490506</v>
      </c>
      <c r="I147" s="7">
        <v>158.96</v>
      </c>
      <c r="J147" s="7">
        <v>161.05000000000001</v>
      </c>
      <c r="K147" s="7">
        <v>158.84</v>
      </c>
      <c r="L147" s="7">
        <v>0.54446460980036504</v>
      </c>
    </row>
    <row r="148" spans="1:12" ht="15" customHeight="1" x14ac:dyDescent="0.2">
      <c r="A148" s="3">
        <v>45839</v>
      </c>
      <c r="B148" s="4">
        <v>158.15</v>
      </c>
      <c r="C148" s="5">
        <v>687692</v>
      </c>
      <c r="D148" s="4">
        <v>3.03</v>
      </c>
      <c r="E148" s="4">
        <v>1.95332645693655</v>
      </c>
      <c r="F148" s="4">
        <v>1.95332324461745</v>
      </c>
      <c r="G148" s="4">
        <v>172.66562999999999</v>
      </c>
      <c r="H148" s="4">
        <v>8.0578446711308604</v>
      </c>
      <c r="I148" s="4">
        <v>155.41999999999999</v>
      </c>
      <c r="J148" s="4">
        <v>158.47</v>
      </c>
      <c r="K148" s="4">
        <v>155.1</v>
      </c>
      <c r="L148" s="4">
        <v>-1.0263470805432</v>
      </c>
    </row>
    <row r="149" spans="1:12" ht="15" customHeight="1" x14ac:dyDescent="0.2">
      <c r="A149" s="6">
        <v>45838</v>
      </c>
      <c r="B149" s="7">
        <v>155.12</v>
      </c>
      <c r="C149" s="8">
        <v>539773</v>
      </c>
      <c r="D149" s="7">
        <v>-3.34</v>
      </c>
      <c r="E149" s="7">
        <v>-2.1077874542471302</v>
      </c>
      <c r="F149" s="7">
        <v>-2.10779397713695</v>
      </c>
      <c r="G149" s="7">
        <v>169.35753</v>
      </c>
      <c r="H149" s="7">
        <v>5.9875649289692703</v>
      </c>
      <c r="I149" s="7">
        <v>157.79</v>
      </c>
      <c r="J149" s="7">
        <v>159.41</v>
      </c>
      <c r="K149" s="7">
        <v>154.69</v>
      </c>
      <c r="L149" s="7">
        <v>-2.9225858939858398</v>
      </c>
    </row>
    <row r="150" spans="1:12" ht="15" customHeight="1" x14ac:dyDescent="0.2">
      <c r="A150" s="3">
        <v>45835</v>
      </c>
      <c r="B150" s="4">
        <v>158.46</v>
      </c>
      <c r="C150" s="5">
        <v>319584</v>
      </c>
      <c r="D150" s="4">
        <v>0.95000000000001705</v>
      </c>
      <c r="E150" s="4">
        <v>0.60313630880579605</v>
      </c>
      <c r="F150" s="4">
        <v>0.60314517521366995</v>
      </c>
      <c r="G150" s="4">
        <v>173.00409999999999</v>
      </c>
      <c r="H150" s="4">
        <v>8.2696664371988202</v>
      </c>
      <c r="I150" s="4">
        <v>157.91</v>
      </c>
      <c r="J150" s="4">
        <v>159.33000000000001</v>
      </c>
      <c r="K150" s="4">
        <v>157.18</v>
      </c>
      <c r="L150" s="4">
        <v>-0.83234244946491198</v>
      </c>
    </row>
    <row r="151" spans="1:12" ht="15" customHeight="1" x14ac:dyDescent="0.2">
      <c r="A151" s="6">
        <v>45834</v>
      </c>
      <c r="B151" s="7">
        <v>157.51</v>
      </c>
      <c r="C151" s="8">
        <v>782821</v>
      </c>
      <c r="D151" s="7">
        <v>-3.21</v>
      </c>
      <c r="E151" s="7">
        <v>-1.9972623195619701</v>
      </c>
      <c r="F151" s="7">
        <v>-1.9972698705026299</v>
      </c>
      <c r="G151" s="7">
        <v>171.96689000000001</v>
      </c>
      <c r="H151" s="7">
        <v>7.6205582326804002</v>
      </c>
      <c r="I151" s="7">
        <v>159.81</v>
      </c>
      <c r="J151" s="7">
        <v>160.05000000000001</v>
      </c>
      <c r="K151" s="7">
        <v>157.15</v>
      </c>
      <c r="L151" s="7">
        <v>-1.42687277051129</v>
      </c>
    </row>
    <row r="152" spans="1:12" ht="15" customHeight="1" x14ac:dyDescent="0.2">
      <c r="A152" s="3">
        <v>45833</v>
      </c>
      <c r="B152" s="4">
        <v>160.72</v>
      </c>
      <c r="C152" s="5">
        <v>713435</v>
      </c>
      <c r="D152" s="4">
        <v>0.58000000000001195</v>
      </c>
      <c r="E152" s="4">
        <v>0.36218308979642999</v>
      </c>
      <c r="F152" s="4">
        <v>0.362186109232709</v>
      </c>
      <c r="G152" s="4">
        <v>175.47153</v>
      </c>
      <c r="H152" s="4">
        <v>9.8138369109456196</v>
      </c>
      <c r="I152" s="4">
        <v>160.22</v>
      </c>
      <c r="J152" s="4">
        <v>161.05000000000001</v>
      </c>
      <c r="K152" s="4">
        <v>159.28</v>
      </c>
      <c r="L152" s="4">
        <v>0.58201389323487496</v>
      </c>
    </row>
    <row r="153" spans="1:12" ht="15" customHeight="1" x14ac:dyDescent="0.2">
      <c r="A153" s="6">
        <v>45832</v>
      </c>
      <c r="B153" s="7">
        <v>160.13999999999999</v>
      </c>
      <c r="C153" s="8">
        <v>822081</v>
      </c>
      <c r="D153" s="7">
        <v>1.48999999999998</v>
      </c>
      <c r="E153" s="7">
        <v>0.93917428301291095</v>
      </c>
      <c r="F153" s="7">
        <v>0.93918118148261698</v>
      </c>
      <c r="G153" s="7">
        <v>174.83829</v>
      </c>
      <c r="H153" s="7">
        <v>9.4175417735778204</v>
      </c>
      <c r="I153" s="7">
        <v>160.97</v>
      </c>
      <c r="J153" s="7">
        <v>162.99</v>
      </c>
      <c r="K153" s="7">
        <v>159.16999999999999</v>
      </c>
      <c r="L153" s="7">
        <v>0.219037486701291</v>
      </c>
    </row>
    <row r="154" spans="1:12" ht="15" customHeight="1" x14ac:dyDescent="0.2">
      <c r="A154" s="3">
        <v>45831</v>
      </c>
      <c r="B154" s="4">
        <v>158.65</v>
      </c>
      <c r="C154" s="5">
        <v>666306</v>
      </c>
      <c r="D154" s="4">
        <v>0.93000000000000604</v>
      </c>
      <c r="E154" s="4">
        <v>0.58965254882070695</v>
      </c>
      <c r="F154" s="4">
        <v>0.58964726102794796</v>
      </c>
      <c r="G154" s="4">
        <v>173.21152000000001</v>
      </c>
      <c r="H154" s="4">
        <v>8.3994743100319198</v>
      </c>
      <c r="I154" s="4">
        <v>156.9</v>
      </c>
      <c r="J154" s="4">
        <v>159.27000000000001</v>
      </c>
      <c r="K154" s="4">
        <v>156.4</v>
      </c>
      <c r="L154" s="4">
        <v>-0.71343638525563902</v>
      </c>
    </row>
    <row r="155" spans="1:12" ht="15" customHeight="1" x14ac:dyDescent="0.2">
      <c r="A155" s="6">
        <v>45828</v>
      </c>
      <c r="B155" s="7">
        <v>157.72</v>
      </c>
      <c r="C155" s="8">
        <v>1566459</v>
      </c>
      <c r="D155" s="7">
        <v>-1.25</v>
      </c>
      <c r="E155" s="7">
        <v>-0.78631188274517205</v>
      </c>
      <c r="F155" s="7">
        <v>-0.78631189398072898</v>
      </c>
      <c r="G155" s="7">
        <v>172.19617</v>
      </c>
      <c r="H155" s="7">
        <v>7.76404656111146</v>
      </c>
      <c r="I155" s="7">
        <v>160.12</v>
      </c>
      <c r="J155" s="7">
        <v>160.63999999999999</v>
      </c>
      <c r="K155" s="7">
        <v>156.86000000000001</v>
      </c>
      <c r="L155" s="7">
        <v>-1.29545027849051</v>
      </c>
    </row>
    <row r="156" spans="1:12" ht="15" customHeight="1" x14ac:dyDescent="0.2">
      <c r="A156" s="3">
        <v>45827</v>
      </c>
      <c r="B156" s="4">
        <v>158.97</v>
      </c>
      <c r="C156" s="5">
        <v>54222</v>
      </c>
      <c r="D156" s="4">
        <v>3.7899999999999898</v>
      </c>
      <c r="E156" s="4">
        <v>2.4423250418868299</v>
      </c>
      <c r="F156" s="4">
        <v>2.4423303018485698</v>
      </c>
      <c r="G156" s="4">
        <v>173.5609</v>
      </c>
      <c r="H156" s="4">
        <v>8.6181237874710597</v>
      </c>
      <c r="I156" s="4">
        <v>155.43</v>
      </c>
      <c r="J156" s="4">
        <v>159.97999999999999</v>
      </c>
      <c r="K156" s="4">
        <v>155.43</v>
      </c>
      <c r="L156" s="4">
        <v>-0.513173540271602</v>
      </c>
    </row>
    <row r="157" spans="1:12" ht="15" customHeight="1" x14ac:dyDescent="0.2">
      <c r="A157" s="6">
        <v>45826</v>
      </c>
      <c r="B157" s="7">
        <v>155.18</v>
      </c>
      <c r="C157" s="8">
        <v>928419</v>
      </c>
      <c r="D157" s="7">
        <v>-2.4599999999999702</v>
      </c>
      <c r="E157" s="7">
        <v>-1.5605176351179699</v>
      </c>
      <c r="F157" s="7">
        <v>-1.56052423341672</v>
      </c>
      <c r="G157" s="7">
        <v>169.42303000000001</v>
      </c>
      <c r="H157" s="7">
        <v>6.02855623005195</v>
      </c>
      <c r="I157" s="7">
        <v>157.22</v>
      </c>
      <c r="J157" s="7">
        <v>159.81</v>
      </c>
      <c r="K157" s="7">
        <v>154.77000000000001</v>
      </c>
      <c r="L157" s="7">
        <v>-2.8850366105513299</v>
      </c>
    </row>
    <row r="158" spans="1:12" ht="15" customHeight="1" x14ac:dyDescent="0.2">
      <c r="A158" s="3">
        <v>45825</v>
      </c>
      <c r="B158" s="4">
        <v>157.63999999999999</v>
      </c>
      <c r="C158" s="5">
        <v>439744</v>
      </c>
      <c r="D158" s="4">
        <v>-0.12000000000000401</v>
      </c>
      <c r="E158" s="4">
        <v>-7.6064908722117602E-2</v>
      </c>
      <c r="F158" s="4">
        <v>-7.60625416279858E-2</v>
      </c>
      <c r="G158" s="4">
        <v>172.10883000000001</v>
      </c>
      <c r="H158" s="4">
        <v>7.7093873208586396</v>
      </c>
      <c r="I158" s="4">
        <v>155.02000000000001</v>
      </c>
      <c r="J158" s="4">
        <v>159.79</v>
      </c>
      <c r="K158" s="4">
        <v>154.72</v>
      </c>
      <c r="L158" s="4">
        <v>-1.3455159897365301</v>
      </c>
    </row>
    <row r="159" spans="1:12" ht="15" customHeight="1" x14ac:dyDescent="0.2">
      <c r="A159" s="6">
        <v>45824</v>
      </c>
      <c r="B159" s="7">
        <v>157.76</v>
      </c>
      <c r="C159" s="8">
        <v>223966</v>
      </c>
      <c r="D159" s="7">
        <v>-1.8500000000000201</v>
      </c>
      <c r="E159" s="7">
        <v>-1.15907524591192</v>
      </c>
      <c r="F159" s="7">
        <v>-1.15907504457142</v>
      </c>
      <c r="G159" s="7">
        <v>172.23983999999999</v>
      </c>
      <c r="H159" s="7">
        <v>7.7913761812378697</v>
      </c>
      <c r="I159" s="7">
        <v>158.81</v>
      </c>
      <c r="J159" s="7">
        <v>162.75</v>
      </c>
      <c r="K159" s="7">
        <v>157.4</v>
      </c>
      <c r="L159" s="7">
        <v>-1.27041742286751</v>
      </c>
    </row>
    <row r="160" spans="1:12" ht="15" customHeight="1" x14ac:dyDescent="0.2">
      <c r="A160" s="3">
        <v>45821</v>
      </c>
      <c r="B160" s="4">
        <v>159.61000000000001</v>
      </c>
      <c r="C160" s="5">
        <v>387862</v>
      </c>
      <c r="D160" s="4">
        <v>0.13000000000002301</v>
      </c>
      <c r="E160" s="4">
        <v>8.1514923501391195E-2</v>
      </c>
      <c r="F160" s="4">
        <v>8.1519569808219394E-2</v>
      </c>
      <c r="G160" s="4">
        <v>174.25963999999999</v>
      </c>
      <c r="H160" s="4">
        <v>9.0554102259215199</v>
      </c>
      <c r="I160" s="4">
        <v>159.32</v>
      </c>
      <c r="J160" s="4">
        <v>161.75</v>
      </c>
      <c r="K160" s="4">
        <v>158.34</v>
      </c>
      <c r="L160" s="4">
        <v>-0.112647850303509</v>
      </c>
    </row>
    <row r="161" spans="1:12" ht="15" customHeight="1" x14ac:dyDescent="0.2">
      <c r="A161" s="6">
        <v>45820</v>
      </c>
      <c r="B161" s="7">
        <v>159.47999999999999</v>
      </c>
      <c r="C161" s="8">
        <v>618199</v>
      </c>
      <c r="D161" s="7">
        <v>0.40999999999999598</v>
      </c>
      <c r="E161" s="7">
        <v>0.25774816118688798</v>
      </c>
      <c r="F161" s="7">
        <v>0.25773580240560001</v>
      </c>
      <c r="G161" s="7">
        <v>174.11770000000001</v>
      </c>
      <c r="H161" s="7">
        <v>8.9665811377432991</v>
      </c>
      <c r="I161" s="7">
        <v>159.22</v>
      </c>
      <c r="J161" s="7">
        <v>162.96</v>
      </c>
      <c r="K161" s="7">
        <v>158.79</v>
      </c>
      <c r="L161" s="7">
        <v>-0.194004631078291</v>
      </c>
    </row>
    <row r="162" spans="1:12" ht="15" customHeight="1" x14ac:dyDescent="0.2">
      <c r="A162" s="3">
        <v>45819</v>
      </c>
      <c r="B162" s="4">
        <v>159.07</v>
      </c>
      <c r="C162" s="5">
        <v>838254</v>
      </c>
      <c r="D162" s="4">
        <v>-1.0999999999999901</v>
      </c>
      <c r="E162" s="4">
        <v>-0.68677030654928894</v>
      </c>
      <c r="F162" s="4">
        <v>-0.686757549263594</v>
      </c>
      <c r="G162" s="4">
        <v>173.67008999999999</v>
      </c>
      <c r="H162" s="4">
        <v>8.6864572251079508</v>
      </c>
      <c r="I162" s="4">
        <v>160.21</v>
      </c>
      <c r="J162" s="4">
        <v>162.97999999999999</v>
      </c>
      <c r="K162" s="4">
        <v>158.6</v>
      </c>
      <c r="L162" s="4">
        <v>-0.45059140121409202</v>
      </c>
    </row>
    <row r="163" spans="1:12" ht="15" customHeight="1" x14ac:dyDescent="0.2">
      <c r="A163" s="6">
        <v>45818</v>
      </c>
      <c r="B163" s="7">
        <v>160.16999999999999</v>
      </c>
      <c r="C163" s="8">
        <v>370109</v>
      </c>
      <c r="D163" s="7">
        <v>2.2799999999999998</v>
      </c>
      <c r="E163" s="7">
        <v>1.44404332129963</v>
      </c>
      <c r="F163" s="7">
        <v>1.4440390071409599</v>
      </c>
      <c r="G163" s="7">
        <v>174.87102999999999</v>
      </c>
      <c r="H163" s="7">
        <v>9.4380311659052492</v>
      </c>
      <c r="I163" s="7">
        <v>158.68</v>
      </c>
      <c r="J163" s="7">
        <v>160.52000000000001</v>
      </c>
      <c r="K163" s="7">
        <v>156.15</v>
      </c>
      <c r="L163" s="7">
        <v>0.23781212841854599</v>
      </c>
    </row>
    <row r="164" spans="1:12" ht="15" customHeight="1" x14ac:dyDescent="0.2">
      <c r="A164" s="3">
        <v>45817</v>
      </c>
      <c r="B164" s="4">
        <v>157.88999999999999</v>
      </c>
      <c r="C164" s="5">
        <v>210103</v>
      </c>
      <c r="D164" s="4">
        <v>0.76999999999998103</v>
      </c>
      <c r="E164" s="4">
        <v>0.49007128309570502</v>
      </c>
      <c r="F164" s="4">
        <v>0.49007500185522801</v>
      </c>
      <c r="G164" s="4">
        <v>172.38176999999999</v>
      </c>
      <c r="H164" s="4">
        <v>7.8801990112022002</v>
      </c>
      <c r="I164" s="4">
        <v>156.28</v>
      </c>
      <c r="J164" s="4">
        <v>159.43</v>
      </c>
      <c r="K164" s="4">
        <v>154.38</v>
      </c>
      <c r="L164" s="4">
        <v>-1.1890606420927501</v>
      </c>
    </row>
    <row r="165" spans="1:12" ht="15" customHeight="1" x14ac:dyDescent="0.2">
      <c r="A165" s="6">
        <v>45814</v>
      </c>
      <c r="B165" s="7">
        <v>157.12</v>
      </c>
      <c r="C165" s="8">
        <v>438202</v>
      </c>
      <c r="D165" s="7">
        <v>-0.56000000000000205</v>
      </c>
      <c r="E165" s="7">
        <v>-0.35514967021816801</v>
      </c>
      <c r="F165" s="7">
        <v>-0.35515603897707798</v>
      </c>
      <c r="G165" s="7">
        <v>171.54109</v>
      </c>
      <c r="H165" s="7">
        <v>7.3540834845734997</v>
      </c>
      <c r="I165" s="7">
        <v>155.47999999999999</v>
      </c>
      <c r="J165" s="7">
        <v>161.03</v>
      </c>
      <c r="K165" s="7">
        <v>154.03</v>
      </c>
      <c r="L165" s="7">
        <v>-1.6709431128355801</v>
      </c>
    </row>
    <row r="166" spans="1:12" ht="15" customHeight="1" x14ac:dyDescent="0.2">
      <c r="A166" s="3">
        <v>45813</v>
      </c>
      <c r="B166" s="4">
        <v>157.68</v>
      </c>
      <c r="C166" s="5">
        <v>555582</v>
      </c>
      <c r="D166" s="4">
        <v>2.1599999999999899</v>
      </c>
      <c r="E166" s="4">
        <v>1.38888888888888</v>
      </c>
      <c r="F166" s="4">
        <v>1.38888684393023</v>
      </c>
      <c r="G166" s="4">
        <v>172.1525</v>
      </c>
      <c r="H166" s="4">
        <v>7.7367169409850503</v>
      </c>
      <c r="I166" s="4">
        <v>156.47</v>
      </c>
      <c r="J166" s="4">
        <v>158.18</v>
      </c>
      <c r="K166" s="4">
        <v>154.52000000000001</v>
      </c>
      <c r="L166" s="4">
        <v>-1.3204831341135099</v>
      </c>
    </row>
    <row r="167" spans="1:12" ht="15" customHeight="1" x14ac:dyDescent="0.2">
      <c r="A167" s="6">
        <v>45812</v>
      </c>
      <c r="B167" s="7">
        <v>155.52000000000001</v>
      </c>
      <c r="C167" s="8">
        <v>280223</v>
      </c>
      <c r="D167" s="7">
        <v>-2.3899999999999801</v>
      </c>
      <c r="E167" s="7">
        <v>-1.51352035969855</v>
      </c>
      <c r="F167" s="7">
        <v>-1.51351819141141</v>
      </c>
      <c r="G167" s="7">
        <v>169.79425000000001</v>
      </c>
      <c r="H167" s="7">
        <v>6.26087364666125</v>
      </c>
      <c r="I167" s="7">
        <v>156.5</v>
      </c>
      <c r="J167" s="7">
        <v>157.38</v>
      </c>
      <c r="K167" s="7">
        <v>154.12</v>
      </c>
      <c r="L167" s="7">
        <v>-2.6722573377557901</v>
      </c>
    </row>
    <row r="168" spans="1:12" ht="15" customHeight="1" x14ac:dyDescent="0.2">
      <c r="A168" s="3">
        <v>45811</v>
      </c>
      <c r="B168" s="4">
        <v>157.91</v>
      </c>
      <c r="C168" s="5">
        <v>608524</v>
      </c>
      <c r="D168" s="4">
        <v>4.1899999999999897</v>
      </c>
      <c r="E168" s="4">
        <v>2.72573510278428</v>
      </c>
      <c r="F168" s="4">
        <v>2.7257320902270599</v>
      </c>
      <c r="G168" s="4">
        <v>172.40360999999999</v>
      </c>
      <c r="H168" s="4">
        <v>7.8938669503723604</v>
      </c>
      <c r="I168" s="4">
        <v>155.85</v>
      </c>
      <c r="J168" s="4">
        <v>158.52000000000001</v>
      </c>
      <c r="K168" s="4">
        <v>151.22999999999999</v>
      </c>
      <c r="L168" s="4">
        <v>-1.1765442142812399</v>
      </c>
    </row>
    <row r="169" spans="1:12" ht="15" customHeight="1" x14ac:dyDescent="0.2">
      <c r="A169" s="6">
        <v>45810</v>
      </c>
      <c r="B169" s="7">
        <v>153.72</v>
      </c>
      <c r="C169" s="8">
        <v>478664</v>
      </c>
      <c r="D169" s="7">
        <v>2.8799999999999901</v>
      </c>
      <c r="E169" s="7">
        <v>1.90930787589498</v>
      </c>
      <c r="F169" s="7">
        <v>1.9093091222195999</v>
      </c>
      <c r="G169" s="7">
        <v>167.82903999999999</v>
      </c>
      <c r="H169" s="7">
        <v>5.0310031916890896</v>
      </c>
      <c r="I169" s="7">
        <v>150.55000000000001</v>
      </c>
      <c r="J169" s="7">
        <v>157.47999999999999</v>
      </c>
      <c r="K169" s="7">
        <v>150.55000000000001</v>
      </c>
      <c r="L169" s="7">
        <v>-3.7987358407910299</v>
      </c>
    </row>
    <row r="170" spans="1:12" ht="15" customHeight="1" x14ac:dyDescent="0.2">
      <c r="A170" s="3">
        <v>45807</v>
      </c>
      <c r="B170" s="4">
        <v>150.84</v>
      </c>
      <c r="C170" s="5">
        <v>651277</v>
      </c>
      <c r="D170" s="4">
        <v>-2.2899999999999898</v>
      </c>
      <c r="E170" s="4">
        <v>-1.49546137268986</v>
      </c>
      <c r="F170" s="4">
        <v>-1.4954640936749599</v>
      </c>
      <c r="G170" s="4">
        <v>164.68469999999999</v>
      </c>
      <c r="H170" s="4">
        <v>3.06320796044808</v>
      </c>
      <c r="I170" s="4">
        <v>153</v>
      </c>
      <c r="J170" s="4">
        <v>153.06</v>
      </c>
      <c r="K170" s="4">
        <v>150.03</v>
      </c>
      <c r="L170" s="4">
        <v>-5.6011014456473998</v>
      </c>
    </row>
    <row r="171" spans="1:12" ht="15" customHeight="1" x14ac:dyDescent="0.2">
      <c r="A171" s="6">
        <v>45806</v>
      </c>
      <c r="B171" s="7">
        <v>153.13</v>
      </c>
      <c r="C171" s="8">
        <v>314963</v>
      </c>
      <c r="D171" s="7">
        <v>-1.9200000000000099</v>
      </c>
      <c r="E171" s="7">
        <v>-1.23831022250887</v>
      </c>
      <c r="F171" s="7">
        <v>-1.23830709758461</v>
      </c>
      <c r="G171" s="7">
        <v>167.18489</v>
      </c>
      <c r="H171" s="7">
        <v>4.6278803429501201</v>
      </c>
      <c r="I171" s="7">
        <v>155.99</v>
      </c>
      <c r="J171" s="7">
        <v>156.65</v>
      </c>
      <c r="K171" s="7">
        <v>152.19</v>
      </c>
      <c r="L171" s="7">
        <v>-4.1679704612303601</v>
      </c>
    </row>
    <row r="172" spans="1:12" ht="15" customHeight="1" x14ac:dyDescent="0.2">
      <c r="A172" s="3">
        <v>45805</v>
      </c>
      <c r="B172" s="4">
        <v>155.05000000000001</v>
      </c>
      <c r="C172" s="5">
        <v>323881</v>
      </c>
      <c r="D172" s="4">
        <v>7.00000000000216E-2</v>
      </c>
      <c r="E172" s="4">
        <v>4.5167118337863202E-2</v>
      </c>
      <c r="F172" s="4">
        <v>4.5170145412054503E-2</v>
      </c>
      <c r="G172" s="4">
        <v>169.28111000000001</v>
      </c>
      <c r="H172" s="4">
        <v>5.9397396583015301</v>
      </c>
      <c r="I172" s="4">
        <v>154.63999999999999</v>
      </c>
      <c r="J172" s="4">
        <v>155.97</v>
      </c>
      <c r="K172" s="4">
        <v>152.02000000000001</v>
      </c>
      <c r="L172" s="4">
        <v>-2.9663933913261</v>
      </c>
    </row>
    <row r="173" spans="1:12" ht="15" customHeight="1" x14ac:dyDescent="0.2">
      <c r="A173" s="6">
        <v>45804</v>
      </c>
      <c r="B173" s="7">
        <v>154.97999999999999</v>
      </c>
      <c r="C173" s="8">
        <v>278193</v>
      </c>
      <c r="D173" s="7">
        <v>2.1099999999999799</v>
      </c>
      <c r="E173" s="7">
        <v>1.38025773533065</v>
      </c>
      <c r="F173" s="7">
        <v>1.38025519556441</v>
      </c>
      <c r="G173" s="7">
        <v>169.20468</v>
      </c>
      <c r="H173" s="7">
        <v>5.8919081294198596</v>
      </c>
      <c r="I173" s="7">
        <v>152.6</v>
      </c>
      <c r="J173" s="7">
        <v>157.69</v>
      </c>
      <c r="K173" s="7">
        <v>152.6</v>
      </c>
      <c r="L173" s="7">
        <v>-3.01020088866637</v>
      </c>
    </row>
    <row r="174" spans="1:12" ht="15" customHeight="1" x14ac:dyDescent="0.2">
      <c r="A174" s="3">
        <v>45803</v>
      </c>
      <c r="B174" s="4">
        <v>152.87</v>
      </c>
      <c r="C174" s="5">
        <v>38142</v>
      </c>
      <c r="D174" s="4">
        <v>-0.28000000000000103</v>
      </c>
      <c r="E174" s="4">
        <v>-0.182827293503107</v>
      </c>
      <c r="F174" s="4">
        <v>-0.18282161044852399</v>
      </c>
      <c r="G174" s="4">
        <v>166.90101999999999</v>
      </c>
      <c r="H174" s="4">
        <v>4.4502284248075501</v>
      </c>
      <c r="I174" s="4">
        <v>152.75</v>
      </c>
      <c r="J174" s="4">
        <v>153.25</v>
      </c>
      <c r="K174" s="4">
        <v>151.41</v>
      </c>
      <c r="L174" s="4">
        <v>-4.3306840227798897</v>
      </c>
    </row>
    <row r="175" spans="1:12" ht="15" customHeight="1" x14ac:dyDescent="0.2">
      <c r="A175" s="6">
        <v>45800</v>
      </c>
      <c r="B175" s="7">
        <v>153.15</v>
      </c>
      <c r="C175" s="8">
        <v>130357</v>
      </c>
      <c r="D175" s="7">
        <v>0.84999999999999398</v>
      </c>
      <c r="E175" s="7">
        <v>0.55810899540380499</v>
      </c>
      <c r="F175" s="7">
        <v>0.55810515718488496</v>
      </c>
      <c r="G175" s="7">
        <v>167.20670999999999</v>
      </c>
      <c r="H175" s="7">
        <v>4.6415357656924598</v>
      </c>
      <c r="I175" s="7">
        <v>152.37</v>
      </c>
      <c r="J175" s="7">
        <v>154.02000000000001</v>
      </c>
      <c r="K175" s="7">
        <v>150.31</v>
      </c>
      <c r="L175" s="7">
        <v>-4.1554540334188497</v>
      </c>
    </row>
    <row r="176" spans="1:12" ht="15" customHeight="1" x14ac:dyDescent="0.2">
      <c r="A176" s="3">
        <v>45799</v>
      </c>
      <c r="B176" s="4">
        <v>152.30000000000001</v>
      </c>
      <c r="C176" s="5">
        <v>215974</v>
      </c>
      <c r="D176" s="4">
        <v>0.51000000000001899</v>
      </c>
      <c r="E176" s="4">
        <v>0.33599051320904999</v>
      </c>
      <c r="F176" s="4">
        <v>0.33599667104911002</v>
      </c>
      <c r="G176" s="4">
        <v>166.27869999999999</v>
      </c>
      <c r="H176" s="4">
        <v>4.0607672570248399</v>
      </c>
      <c r="I176" s="4">
        <v>151.13999999999999</v>
      </c>
      <c r="J176" s="4">
        <v>153.19</v>
      </c>
      <c r="K176" s="4">
        <v>150.68</v>
      </c>
      <c r="L176" s="4">
        <v>-4.68740221540771</v>
      </c>
    </row>
    <row r="177" spans="1:12" ht="15" customHeight="1" x14ac:dyDescent="0.2">
      <c r="A177" s="6">
        <v>45798</v>
      </c>
      <c r="B177" s="7">
        <v>151.79</v>
      </c>
      <c r="C177" s="8">
        <v>336018</v>
      </c>
      <c r="D177" s="7">
        <v>-1.68</v>
      </c>
      <c r="E177" s="7">
        <v>-1.09467648400338</v>
      </c>
      <c r="F177" s="7">
        <v>-1.09468417411746</v>
      </c>
      <c r="G177" s="7">
        <v>165.72188</v>
      </c>
      <c r="H177" s="7">
        <v>3.7122973903248</v>
      </c>
      <c r="I177" s="7">
        <v>152.69</v>
      </c>
      <c r="J177" s="7">
        <v>154.26</v>
      </c>
      <c r="K177" s="7">
        <v>150.4</v>
      </c>
      <c r="L177" s="7">
        <v>-5.00657112460103</v>
      </c>
    </row>
    <row r="178" spans="1:12" ht="15" customHeight="1" x14ac:dyDescent="0.2">
      <c r="A178" s="3">
        <v>45797</v>
      </c>
      <c r="B178" s="4">
        <v>153.47</v>
      </c>
      <c r="C178" s="5">
        <v>289527</v>
      </c>
      <c r="D178" s="4">
        <v>-4.1400000000000103</v>
      </c>
      <c r="E178" s="4">
        <v>-2.6267368821775299</v>
      </c>
      <c r="F178" s="4">
        <v>-2.6267392888075798</v>
      </c>
      <c r="G178" s="4">
        <v>167.55609000000001</v>
      </c>
      <c r="H178" s="4">
        <v>4.8601852431316201</v>
      </c>
      <c r="I178" s="4">
        <v>156.66</v>
      </c>
      <c r="J178" s="4">
        <v>156.76</v>
      </c>
      <c r="K178" s="4">
        <v>153</v>
      </c>
      <c r="L178" s="4">
        <v>-3.9551911884348101</v>
      </c>
    </row>
    <row r="179" spans="1:12" ht="15" customHeight="1" x14ac:dyDescent="0.2">
      <c r="A179" s="6">
        <v>45796</v>
      </c>
      <c r="B179" s="7">
        <v>157.61000000000001</v>
      </c>
      <c r="C179" s="8">
        <v>457688</v>
      </c>
      <c r="D179" s="7">
        <v>3.1100000000000101</v>
      </c>
      <c r="E179" s="7">
        <v>2.0129449838187798</v>
      </c>
      <c r="F179" s="7">
        <v>2.0129460033436901</v>
      </c>
      <c r="G179" s="7">
        <v>172.07607999999999</v>
      </c>
      <c r="H179" s="7">
        <v>7.6888916703172896</v>
      </c>
      <c r="I179" s="7">
        <v>154.69999999999999</v>
      </c>
      <c r="J179" s="7">
        <v>159.96</v>
      </c>
      <c r="K179" s="7">
        <v>151.91999999999999</v>
      </c>
      <c r="L179" s="7">
        <v>-1.3642906314537599</v>
      </c>
    </row>
    <row r="180" spans="1:12" ht="15" customHeight="1" x14ac:dyDescent="0.2">
      <c r="A180" s="3">
        <v>45793</v>
      </c>
      <c r="B180" s="4">
        <v>154.5</v>
      </c>
      <c r="C180" s="5">
        <v>534407</v>
      </c>
      <c r="D180" s="4">
        <v>6.7899999999999903</v>
      </c>
      <c r="E180" s="4">
        <v>4.5968451695890398</v>
      </c>
      <c r="F180" s="4">
        <v>4.5968364473843302</v>
      </c>
      <c r="G180" s="4">
        <v>168.68063000000001</v>
      </c>
      <c r="H180" s="4">
        <v>5.5639464296889702</v>
      </c>
      <c r="I180" s="4">
        <v>148.72999999999999</v>
      </c>
      <c r="J180" s="4">
        <v>155.5</v>
      </c>
      <c r="K180" s="4">
        <v>148</v>
      </c>
      <c r="L180" s="4">
        <v>-3.3105951561424298</v>
      </c>
    </row>
    <row r="181" spans="1:12" ht="15" customHeight="1" x14ac:dyDescent="0.2">
      <c r="A181" s="6">
        <v>45792</v>
      </c>
      <c r="B181" s="7">
        <v>147.71</v>
      </c>
      <c r="C181" s="8">
        <v>559476</v>
      </c>
      <c r="D181" s="7">
        <v>1.5999999999999901</v>
      </c>
      <c r="E181" s="7">
        <v>1.09506536171377</v>
      </c>
      <c r="F181" s="7">
        <v>1.09508148009771</v>
      </c>
      <c r="G181" s="7">
        <v>161.26742999999999</v>
      </c>
      <c r="H181" s="7">
        <v>0.92460729707741296</v>
      </c>
      <c r="I181" s="7">
        <v>146.85</v>
      </c>
      <c r="J181" s="7">
        <v>149</v>
      </c>
      <c r="K181" s="7">
        <v>146.15</v>
      </c>
      <c r="L181" s="7">
        <v>-7.5599223981475498</v>
      </c>
    </row>
    <row r="182" spans="1:12" ht="15" customHeight="1" x14ac:dyDescent="0.2">
      <c r="A182" s="3">
        <v>45791</v>
      </c>
      <c r="B182" s="4">
        <v>146.11000000000001</v>
      </c>
      <c r="C182" s="5">
        <v>574228</v>
      </c>
      <c r="D182" s="4">
        <v>-4.2999999999999803</v>
      </c>
      <c r="E182" s="4">
        <v>-2.8588524699155502</v>
      </c>
      <c r="F182" s="4">
        <v>-2.8588637692823098</v>
      </c>
      <c r="G182" s="4">
        <v>159.52054999999999</v>
      </c>
      <c r="H182" s="4">
        <v>-0.16862757369047199</v>
      </c>
      <c r="I182" s="4">
        <v>149.65</v>
      </c>
      <c r="J182" s="4">
        <v>150</v>
      </c>
      <c r="K182" s="4">
        <v>145.69999999999999</v>
      </c>
      <c r="L182" s="4">
        <v>-8.5612366230677601</v>
      </c>
    </row>
    <row r="183" spans="1:12" ht="15" customHeight="1" x14ac:dyDescent="0.2">
      <c r="A183" s="6">
        <v>45790</v>
      </c>
      <c r="B183" s="7">
        <v>150.41</v>
      </c>
      <c r="C183" s="8">
        <v>676360</v>
      </c>
      <c r="D183" s="7">
        <v>2.97999999999998</v>
      </c>
      <c r="E183" s="7">
        <v>2.02129824323407</v>
      </c>
      <c r="F183" s="7">
        <v>2.0213131446797399</v>
      </c>
      <c r="G183" s="7">
        <v>164.21523999999999</v>
      </c>
      <c r="H183" s="7">
        <v>2.7694098504286799</v>
      </c>
      <c r="I183" s="7">
        <v>148.66</v>
      </c>
      <c r="J183" s="7">
        <v>152.88999999999999</v>
      </c>
      <c r="K183" s="7">
        <v>142.03</v>
      </c>
      <c r="L183" s="7">
        <v>-5.8702046435947102</v>
      </c>
    </row>
    <row r="184" spans="1:12" ht="15" customHeight="1" x14ac:dyDescent="0.2">
      <c r="A184" s="3">
        <v>45789</v>
      </c>
      <c r="B184" s="4">
        <v>147.43</v>
      </c>
      <c r="C184" s="5">
        <v>602171</v>
      </c>
      <c r="D184" s="4">
        <v>2.4800000000000102</v>
      </c>
      <c r="E184" s="4">
        <v>1.71093480510522</v>
      </c>
      <c r="F184" s="4">
        <v>1.7109257650149901</v>
      </c>
      <c r="G184" s="4">
        <v>160.96170000000001</v>
      </c>
      <c r="H184" s="4">
        <v>0.73327492333688904</v>
      </c>
      <c r="I184" s="4">
        <v>144.94999999999999</v>
      </c>
      <c r="J184" s="4">
        <v>149.47999999999999</v>
      </c>
      <c r="K184" s="4">
        <v>142.5</v>
      </c>
      <c r="L184" s="4">
        <v>-7.7351523875085899</v>
      </c>
    </row>
    <row r="185" spans="1:12" ht="15" customHeight="1" x14ac:dyDescent="0.2">
      <c r="A185" s="6">
        <v>45786</v>
      </c>
      <c r="B185" s="7">
        <v>144.94999999999999</v>
      </c>
      <c r="C185" s="8">
        <v>665020</v>
      </c>
      <c r="D185" s="7">
        <v>-1.37</v>
      </c>
      <c r="E185" s="7">
        <v>-0.93630399125205199</v>
      </c>
      <c r="F185" s="7">
        <v>2.2074890803888798</v>
      </c>
      <c r="G185" s="7">
        <v>158.25408999999999</v>
      </c>
      <c r="H185" s="7">
        <v>-0.96120533199824798</v>
      </c>
      <c r="I185" s="7">
        <v>142.71</v>
      </c>
      <c r="J185" s="7">
        <v>145.47999999999999</v>
      </c>
      <c r="K185" s="7">
        <v>142.34</v>
      </c>
      <c r="L185" s="7">
        <v>-9.2871894361349305</v>
      </c>
    </row>
    <row r="186" spans="1:12" ht="15" customHeight="1" x14ac:dyDescent="0.2">
      <c r="A186" s="3">
        <v>45785</v>
      </c>
      <c r="B186" s="4">
        <v>146.32</v>
      </c>
      <c r="C186" s="5">
        <v>790199</v>
      </c>
      <c r="D186" s="4">
        <v>-3.26000000000001</v>
      </c>
      <c r="E186" s="4">
        <v>-2.1794357534429798</v>
      </c>
      <c r="F186" s="4">
        <v>-2.1794368971981299</v>
      </c>
      <c r="G186" s="4">
        <v>154.83609999999999</v>
      </c>
      <c r="H186" s="4">
        <v>-3.1002565867701302</v>
      </c>
      <c r="I186" s="4">
        <v>149.55000000000001</v>
      </c>
      <c r="J186" s="4">
        <v>149.96</v>
      </c>
      <c r="K186" s="4">
        <v>145.22</v>
      </c>
      <c r="L186" s="4">
        <v>-8.4298141310469994</v>
      </c>
    </row>
    <row r="187" spans="1:12" ht="15" customHeight="1" x14ac:dyDescent="0.2">
      <c r="A187" s="6">
        <v>45784</v>
      </c>
      <c r="B187" s="7">
        <v>149.58000000000001</v>
      </c>
      <c r="C187" s="8">
        <v>594507</v>
      </c>
      <c r="D187" s="7">
        <v>1.96</v>
      </c>
      <c r="E187" s="7">
        <v>1.32773336946214</v>
      </c>
      <c r="F187" s="7">
        <v>1.32773614483314</v>
      </c>
      <c r="G187" s="7">
        <v>158.28584000000001</v>
      </c>
      <c r="H187" s="7">
        <v>-0.94133550284747702</v>
      </c>
      <c r="I187" s="7">
        <v>146.87</v>
      </c>
      <c r="J187" s="7">
        <v>151.34</v>
      </c>
      <c r="K187" s="7">
        <v>145.13999999999999</v>
      </c>
      <c r="L187" s="7">
        <v>-6.3896363977720601</v>
      </c>
    </row>
    <row r="188" spans="1:12" ht="15" customHeight="1" x14ac:dyDescent="0.2">
      <c r="A188" s="3">
        <v>45783</v>
      </c>
      <c r="B188" s="4">
        <v>147.62</v>
      </c>
      <c r="C188" s="5">
        <v>582660</v>
      </c>
      <c r="D188" s="4">
        <v>4.9099999999999904</v>
      </c>
      <c r="E188" s="4">
        <v>3.4405437600728699</v>
      </c>
      <c r="F188" s="4">
        <v>3.4405429517761799</v>
      </c>
      <c r="G188" s="4">
        <v>156.21176</v>
      </c>
      <c r="H188" s="4">
        <v>-2.2393391326115402</v>
      </c>
      <c r="I188" s="4">
        <v>144.94999999999999</v>
      </c>
      <c r="J188" s="4">
        <v>147.97999999999999</v>
      </c>
      <c r="K188" s="4">
        <v>139.63</v>
      </c>
      <c r="L188" s="4">
        <v>-7.6162463232993201</v>
      </c>
    </row>
    <row r="189" spans="1:12" ht="15" customHeight="1" x14ac:dyDescent="0.2">
      <c r="A189" s="6">
        <v>45782</v>
      </c>
      <c r="B189" s="7">
        <v>142.71</v>
      </c>
      <c r="C189" s="8">
        <v>392790</v>
      </c>
      <c r="D189" s="7">
        <v>-2.42999999999997</v>
      </c>
      <c r="E189" s="7">
        <v>-1.6742455560148599</v>
      </c>
      <c r="F189" s="7">
        <v>-1.67424519534218</v>
      </c>
      <c r="G189" s="7">
        <v>151.01598999999999</v>
      </c>
      <c r="H189" s="7">
        <v>-5.4909631391200904</v>
      </c>
      <c r="I189" s="7">
        <v>144.41</v>
      </c>
      <c r="J189" s="7">
        <v>144.41</v>
      </c>
      <c r="K189" s="7">
        <v>140.57</v>
      </c>
      <c r="L189" s="7">
        <v>-10.6890293510232</v>
      </c>
    </row>
    <row r="190" spans="1:12" ht="15" customHeight="1" x14ac:dyDescent="0.2">
      <c r="A190" s="3">
        <v>45779</v>
      </c>
      <c r="B190" s="4">
        <v>145.13999999999999</v>
      </c>
      <c r="C190" s="5">
        <v>470800</v>
      </c>
      <c r="D190" s="4">
        <v>7.8199999999999896</v>
      </c>
      <c r="E190" s="4">
        <v>5.6947276434605199</v>
      </c>
      <c r="F190" s="4">
        <v>5.6947213480704297</v>
      </c>
      <c r="G190" s="4">
        <v>153.58742000000001</v>
      </c>
      <c r="H190" s="4">
        <v>-3.8817072407534701</v>
      </c>
      <c r="I190" s="4">
        <v>138.4</v>
      </c>
      <c r="J190" s="4">
        <v>145.97999999999999</v>
      </c>
      <c r="K190" s="4">
        <v>138.4</v>
      </c>
      <c r="L190" s="4">
        <v>-9.16828337192565</v>
      </c>
    </row>
    <row r="191" spans="1:12" ht="15" customHeight="1" x14ac:dyDescent="0.2">
      <c r="A191" s="6">
        <v>45777</v>
      </c>
      <c r="B191" s="7">
        <v>137.32</v>
      </c>
      <c r="C191" s="8">
        <v>1103617</v>
      </c>
      <c r="D191" s="7">
        <v>-3.54000000000002</v>
      </c>
      <c r="E191" s="7">
        <v>-2.5131336078375801</v>
      </c>
      <c r="F191" s="7">
        <v>-2.5131304310957101</v>
      </c>
      <c r="G191" s="7">
        <v>145.31228999999999</v>
      </c>
      <c r="H191" s="7">
        <v>-9.0604606045434597</v>
      </c>
      <c r="I191" s="7">
        <v>139.5</v>
      </c>
      <c r="J191" s="7">
        <v>141.44</v>
      </c>
      <c r="K191" s="7">
        <v>136.85</v>
      </c>
      <c r="L191" s="7">
        <v>-14.0622066462231</v>
      </c>
    </row>
    <row r="192" spans="1:12" ht="15" customHeight="1" x14ac:dyDescent="0.2">
      <c r="A192" s="3">
        <v>45776</v>
      </c>
      <c r="B192" s="4">
        <v>140.86000000000001</v>
      </c>
      <c r="C192" s="5">
        <v>1912116</v>
      </c>
      <c r="D192" s="4">
        <v>-6.4899999999999798</v>
      </c>
      <c r="E192" s="4">
        <v>-4.4044791313199703</v>
      </c>
      <c r="F192" s="4">
        <v>-4.4044850488750802</v>
      </c>
      <c r="G192" s="4">
        <v>149.05832000000001</v>
      </c>
      <c r="H192" s="4">
        <v>-6.7161149008072902</v>
      </c>
      <c r="I192" s="4">
        <v>146.28</v>
      </c>
      <c r="J192" s="4">
        <v>146.29</v>
      </c>
      <c r="K192" s="4">
        <v>138.94999999999999</v>
      </c>
      <c r="L192" s="4">
        <v>-11.8467989235871</v>
      </c>
    </row>
    <row r="193" spans="1:12" ht="15" customHeight="1" x14ac:dyDescent="0.2">
      <c r="A193" s="6">
        <v>45775</v>
      </c>
      <c r="B193" s="7">
        <v>147.35</v>
      </c>
      <c r="C193" s="8">
        <v>367521</v>
      </c>
      <c r="D193" s="7">
        <v>0.51999999999998103</v>
      </c>
      <c r="E193" s="7">
        <v>0.35415105904785799</v>
      </c>
      <c r="F193" s="7">
        <v>0.354160732129571</v>
      </c>
      <c r="G193" s="7">
        <v>155.92606000000001</v>
      </c>
      <c r="H193" s="7">
        <v>-2.4181363038988501</v>
      </c>
      <c r="I193" s="7">
        <v>146.13999999999999</v>
      </c>
      <c r="J193" s="7">
        <v>148.79</v>
      </c>
      <c r="K193" s="7">
        <v>144.83000000000001</v>
      </c>
      <c r="L193" s="7">
        <v>-7.7852180987546102</v>
      </c>
    </row>
    <row r="194" spans="1:12" ht="15" customHeight="1" x14ac:dyDescent="0.2">
      <c r="A194" s="3">
        <v>45772</v>
      </c>
      <c r="B194" s="4">
        <v>146.83000000000001</v>
      </c>
      <c r="C194" s="5">
        <v>473673</v>
      </c>
      <c r="D194" s="4">
        <v>0.19000000000002601</v>
      </c>
      <c r="E194" s="4">
        <v>0.129569012547747</v>
      </c>
      <c r="F194" s="4">
        <v>0.129563621602546</v>
      </c>
      <c r="G194" s="4">
        <v>155.37577999999999</v>
      </c>
      <c r="H194" s="4">
        <v>-2.7625132987045502</v>
      </c>
      <c r="I194" s="4">
        <v>146.97999999999999</v>
      </c>
      <c r="J194" s="4">
        <v>148.94</v>
      </c>
      <c r="K194" s="4">
        <v>145.21</v>
      </c>
      <c r="L194" s="4">
        <v>-8.1106452218536695</v>
      </c>
    </row>
    <row r="195" spans="1:12" ht="15" customHeight="1" x14ac:dyDescent="0.2">
      <c r="A195" s="6">
        <v>45771</v>
      </c>
      <c r="B195" s="7">
        <v>146.63999999999999</v>
      </c>
      <c r="C195" s="8">
        <v>785379</v>
      </c>
      <c r="D195" s="7">
        <v>3.9499999999999802</v>
      </c>
      <c r="E195" s="7">
        <v>2.76823883944214</v>
      </c>
      <c r="F195" s="7">
        <v>2.7682404755182599</v>
      </c>
      <c r="G195" s="7">
        <v>155.17473000000001</v>
      </c>
      <c r="H195" s="7">
        <v>-2.88833468927966</v>
      </c>
      <c r="I195" s="7">
        <v>141.96</v>
      </c>
      <c r="J195" s="7">
        <v>149</v>
      </c>
      <c r="K195" s="7">
        <v>141.96</v>
      </c>
      <c r="L195" s="7">
        <v>-8.2295512860629607</v>
      </c>
    </row>
    <row r="196" spans="1:12" ht="15" customHeight="1" x14ac:dyDescent="0.2">
      <c r="A196" s="3">
        <v>45770</v>
      </c>
      <c r="B196" s="4">
        <v>142.69</v>
      </c>
      <c r="C196" s="5">
        <v>894585</v>
      </c>
      <c r="D196" s="4">
        <v>8.9</v>
      </c>
      <c r="E196" s="4">
        <v>6.6522161596531904</v>
      </c>
      <c r="F196" s="4">
        <v>6.6522184456312603</v>
      </c>
      <c r="G196" s="4">
        <v>150.99483000000001</v>
      </c>
      <c r="H196" s="4">
        <v>-5.5042055197446498</v>
      </c>
      <c r="I196" s="4">
        <v>135.4</v>
      </c>
      <c r="J196" s="4">
        <v>145.97999999999999</v>
      </c>
      <c r="K196" s="4">
        <v>134.34</v>
      </c>
      <c r="L196" s="4">
        <v>-10.701545778834699</v>
      </c>
    </row>
    <row r="197" spans="1:12" ht="15" customHeight="1" x14ac:dyDescent="0.2">
      <c r="A197" s="6">
        <v>45769</v>
      </c>
      <c r="B197" s="7">
        <v>133.79</v>
      </c>
      <c r="C197" s="8">
        <v>400421</v>
      </c>
      <c r="D197" s="7">
        <v>1.42999999999997</v>
      </c>
      <c r="E197" s="7">
        <v>1.0803868238138099</v>
      </c>
      <c r="F197" s="7">
        <v>1.0803877667002699</v>
      </c>
      <c r="G197" s="7">
        <v>141.57683</v>
      </c>
      <c r="H197" s="7">
        <v>-11.398191376181201</v>
      </c>
      <c r="I197" s="7">
        <v>131.69999999999999</v>
      </c>
      <c r="J197" s="7">
        <v>134.91</v>
      </c>
      <c r="K197" s="7">
        <v>129.07</v>
      </c>
      <c r="L197" s="7">
        <v>-16.271356154953299</v>
      </c>
    </row>
    <row r="198" spans="1:12" ht="15" customHeight="1" x14ac:dyDescent="0.2">
      <c r="A198" s="3">
        <v>45768</v>
      </c>
      <c r="B198" s="4">
        <v>132.36000000000001</v>
      </c>
      <c r="C198" s="5">
        <v>348015</v>
      </c>
      <c r="D198" s="4">
        <v>-1.1199999999999699</v>
      </c>
      <c r="E198" s="4">
        <v>-0.83907701528317302</v>
      </c>
      <c r="F198" s="4">
        <v>-0.83907273393795101</v>
      </c>
      <c r="G198" s="4">
        <v>140.06360000000001</v>
      </c>
      <c r="H198" s="4">
        <v>-12.3452030790412</v>
      </c>
      <c r="I198" s="4">
        <v>133.04</v>
      </c>
      <c r="J198" s="4">
        <v>135.22999999999999</v>
      </c>
      <c r="K198" s="4">
        <v>130.25</v>
      </c>
      <c r="L198" s="4">
        <v>-17.166280743475799</v>
      </c>
    </row>
    <row r="199" spans="1:12" ht="15" customHeight="1" x14ac:dyDescent="0.2">
      <c r="A199" s="6">
        <v>45763</v>
      </c>
      <c r="B199" s="7">
        <v>133.47999999999999</v>
      </c>
      <c r="C199" s="8">
        <v>331807</v>
      </c>
      <c r="D199" s="7">
        <v>3.06</v>
      </c>
      <c r="E199" s="7">
        <v>2.34626591013649</v>
      </c>
      <c r="F199" s="7">
        <v>2.34626769464507</v>
      </c>
      <c r="G199" s="7">
        <v>141.24878000000001</v>
      </c>
      <c r="H199" s="7">
        <v>-11.603492083359299</v>
      </c>
      <c r="I199" s="7">
        <v>130.59</v>
      </c>
      <c r="J199" s="7">
        <v>138.37</v>
      </c>
      <c r="K199" s="7">
        <v>130.59</v>
      </c>
      <c r="L199" s="7">
        <v>-16.465360786031599</v>
      </c>
    </row>
    <row r="200" spans="1:12" ht="15" customHeight="1" x14ac:dyDescent="0.2">
      <c r="A200" s="3">
        <v>45762</v>
      </c>
      <c r="B200" s="4">
        <v>130.41999999999999</v>
      </c>
      <c r="C200" s="5">
        <v>335292</v>
      </c>
      <c r="D200" s="4">
        <v>1.2999999999999801</v>
      </c>
      <c r="E200" s="4">
        <v>1.0068153655514001</v>
      </c>
      <c r="F200" s="4">
        <v>1.00680623409679</v>
      </c>
      <c r="G200" s="4">
        <v>138.01068000000001</v>
      </c>
      <c r="H200" s="4">
        <v>-13.6299643281807</v>
      </c>
      <c r="I200" s="4">
        <v>128.44</v>
      </c>
      <c r="J200" s="4">
        <v>131.47</v>
      </c>
      <c r="K200" s="4">
        <v>127.41</v>
      </c>
      <c r="L200" s="4">
        <v>-18.3803742411915</v>
      </c>
    </row>
    <row r="201" spans="1:12" ht="15" customHeight="1" x14ac:dyDescent="0.2">
      <c r="A201" s="6">
        <v>45761</v>
      </c>
      <c r="B201" s="7">
        <v>129.12</v>
      </c>
      <c r="C201" s="8">
        <v>280714</v>
      </c>
      <c r="D201" s="7">
        <v>1.57</v>
      </c>
      <c r="E201" s="7">
        <v>1.2308898471187799</v>
      </c>
      <c r="F201" s="7">
        <v>1.23089210375506</v>
      </c>
      <c r="G201" s="7">
        <v>136.63503</v>
      </c>
      <c r="H201" s="7">
        <v>-14.4908755241254</v>
      </c>
      <c r="I201" s="7">
        <v>127.56</v>
      </c>
      <c r="J201" s="7">
        <v>129.93</v>
      </c>
      <c r="K201" s="7">
        <v>127.35</v>
      </c>
      <c r="L201" s="7">
        <v>-19.193942048939199</v>
      </c>
    </row>
    <row r="202" spans="1:12" ht="15" customHeight="1" x14ac:dyDescent="0.2">
      <c r="A202" s="3">
        <v>45758</v>
      </c>
      <c r="B202" s="4">
        <v>127.55</v>
      </c>
      <c r="C202" s="5">
        <v>336464</v>
      </c>
      <c r="D202" s="4">
        <v>-0.70999999999999297</v>
      </c>
      <c r="E202" s="4">
        <v>-0.55356307500389301</v>
      </c>
      <c r="F202" s="4">
        <v>-0.55355330368122002</v>
      </c>
      <c r="G202" s="4">
        <v>134.97364999999999</v>
      </c>
      <c r="H202" s="4">
        <v>-15.530602665999099</v>
      </c>
      <c r="I202" s="4">
        <v>128.47</v>
      </c>
      <c r="J202" s="4">
        <v>129.88999999999999</v>
      </c>
      <c r="K202" s="4">
        <v>126.86</v>
      </c>
      <c r="L202" s="4">
        <v>-20.176481632142099</v>
      </c>
    </row>
    <row r="203" spans="1:12" ht="15" customHeight="1" x14ac:dyDescent="0.2">
      <c r="A203" s="6">
        <v>45757</v>
      </c>
      <c r="B203" s="7">
        <v>128.26</v>
      </c>
      <c r="C203" s="8">
        <v>368108</v>
      </c>
      <c r="D203" s="7">
        <v>-6.4800000000000102</v>
      </c>
      <c r="E203" s="7">
        <v>-4.8092622829152596</v>
      </c>
      <c r="F203" s="7">
        <v>-4.8092706154179696</v>
      </c>
      <c r="G203" s="7">
        <v>135.72496000000001</v>
      </c>
      <c r="H203" s="7">
        <v>-15.0604167970461</v>
      </c>
      <c r="I203" s="7">
        <v>134.30000000000001</v>
      </c>
      <c r="J203" s="7">
        <v>134.30000000000001</v>
      </c>
      <c r="K203" s="7">
        <v>127.7</v>
      </c>
      <c r="L203" s="7">
        <v>-19.7321484448338</v>
      </c>
    </row>
    <row r="204" spans="1:12" ht="15" customHeight="1" x14ac:dyDescent="0.2">
      <c r="A204" s="3">
        <v>45756</v>
      </c>
      <c r="B204" s="4">
        <v>134.74</v>
      </c>
      <c r="C204" s="5">
        <v>644321</v>
      </c>
      <c r="D204" s="4">
        <v>8.3699999999999992</v>
      </c>
      <c r="E204" s="4">
        <v>6.6234074543008497</v>
      </c>
      <c r="F204" s="4">
        <v>6.6233997567245897</v>
      </c>
      <c r="G204" s="4">
        <v>142.58212</v>
      </c>
      <c r="H204" s="4">
        <v>-10.7690593904499</v>
      </c>
      <c r="I204" s="4">
        <v>127.42</v>
      </c>
      <c r="J204" s="4">
        <v>135.38</v>
      </c>
      <c r="K204" s="4">
        <v>122.88</v>
      </c>
      <c r="L204" s="4">
        <v>-15.6768258339069</v>
      </c>
    </row>
    <row r="205" spans="1:12" ht="15" customHeight="1" x14ac:dyDescent="0.2">
      <c r="A205" s="6">
        <v>45755</v>
      </c>
      <c r="B205" s="7">
        <v>126.37</v>
      </c>
      <c r="C205" s="8">
        <v>1026641</v>
      </c>
      <c r="D205" s="7">
        <v>2.89</v>
      </c>
      <c r="E205" s="7">
        <v>2.3404599935212098</v>
      </c>
      <c r="F205" s="7">
        <v>2.3404571536851102</v>
      </c>
      <c r="G205" s="7">
        <v>133.72497999999999</v>
      </c>
      <c r="H205" s="7">
        <v>-16.312047061768499</v>
      </c>
      <c r="I205" s="7">
        <v>124.63</v>
      </c>
      <c r="J205" s="7">
        <v>128.47</v>
      </c>
      <c r="K205" s="7">
        <v>124.63</v>
      </c>
      <c r="L205" s="7">
        <v>-20.9149508730208</v>
      </c>
    </row>
    <row r="206" spans="1:12" ht="15" customHeight="1" x14ac:dyDescent="0.2">
      <c r="A206" s="3">
        <v>45754</v>
      </c>
      <c r="B206" s="4">
        <v>123.48</v>
      </c>
      <c r="C206" s="5">
        <v>588150</v>
      </c>
      <c r="D206" s="4">
        <v>-8.39</v>
      </c>
      <c r="E206" s="4">
        <v>-6.3623265337074404</v>
      </c>
      <c r="F206" s="4">
        <v>-6.3623100407631803</v>
      </c>
      <c r="G206" s="4">
        <v>130.66677999999999</v>
      </c>
      <c r="H206" s="4">
        <v>-18.2259340384254</v>
      </c>
      <c r="I206" s="4">
        <v>130.25</v>
      </c>
      <c r="J206" s="4">
        <v>134.24</v>
      </c>
      <c r="K206" s="4">
        <v>121.9</v>
      </c>
      <c r="L206" s="4">
        <v>-22.7235746917829</v>
      </c>
    </row>
    <row r="207" spans="1:12" ht="15" customHeight="1" x14ac:dyDescent="0.2">
      <c r="A207" s="6">
        <v>45751</v>
      </c>
      <c r="B207" s="7">
        <v>131.87</v>
      </c>
      <c r="C207" s="8">
        <v>562804</v>
      </c>
      <c r="D207" s="7">
        <v>-8.1399999999999793</v>
      </c>
      <c r="E207" s="7">
        <v>-5.8138704378258597</v>
      </c>
      <c r="F207" s="7">
        <v>-5.8138751626295004</v>
      </c>
      <c r="G207" s="7">
        <v>139.54507000000001</v>
      </c>
      <c r="H207" s="7">
        <v>-12.6697102446961</v>
      </c>
      <c r="I207" s="7">
        <v>136.96</v>
      </c>
      <c r="J207" s="7">
        <v>137.16999999999999</v>
      </c>
      <c r="K207" s="7">
        <v>130.13999999999999</v>
      </c>
      <c r="L207" s="7">
        <v>-17.472933224857599</v>
      </c>
    </row>
    <row r="208" spans="1:12" ht="15" customHeight="1" x14ac:dyDescent="0.2">
      <c r="A208" s="3">
        <v>45750</v>
      </c>
      <c r="B208" s="4">
        <v>140.01</v>
      </c>
      <c r="C208" s="5">
        <v>2220612</v>
      </c>
      <c r="D208" s="4">
        <v>11</v>
      </c>
      <c r="E208" s="4">
        <v>8.5264708162158005</v>
      </c>
      <c r="F208" s="4">
        <v>8.5264706015926599</v>
      </c>
      <c r="G208" s="4">
        <v>148.15884</v>
      </c>
      <c r="H208" s="4">
        <v>-7.2790287252018198</v>
      </c>
      <c r="I208" s="4">
        <v>128</v>
      </c>
      <c r="J208" s="4">
        <v>145</v>
      </c>
      <c r="K208" s="4">
        <v>127.38</v>
      </c>
      <c r="L208" s="4">
        <v>-12.378747105576</v>
      </c>
    </row>
    <row r="209" spans="1:12" ht="15" customHeight="1" x14ac:dyDescent="0.2">
      <c r="A209" s="6">
        <v>45749</v>
      </c>
      <c r="B209" s="7">
        <v>129.01</v>
      </c>
      <c r="C209" s="8">
        <v>1826610</v>
      </c>
      <c r="D209" s="7">
        <v>-0.57000000000002105</v>
      </c>
      <c r="E209" s="7">
        <v>-0.439882697947235</v>
      </c>
      <c r="F209" s="7">
        <v>-0.43988629087424702</v>
      </c>
      <c r="G209" s="7">
        <v>136.51862</v>
      </c>
      <c r="H209" s="7">
        <v>-14.5637273922022</v>
      </c>
      <c r="I209" s="7">
        <v>128.84</v>
      </c>
      <c r="J209" s="7">
        <v>130.63999999999999</v>
      </c>
      <c r="K209" s="7">
        <v>128.47</v>
      </c>
      <c r="L209" s="7">
        <v>-19.262782401902498</v>
      </c>
    </row>
    <row r="210" spans="1:12" ht="15" customHeight="1" x14ac:dyDescent="0.2">
      <c r="A210" s="3">
        <v>45748</v>
      </c>
      <c r="B210" s="4">
        <v>129.58000000000001</v>
      </c>
      <c r="C210" s="5">
        <v>1469467</v>
      </c>
      <c r="D210" s="4">
        <v>-0.65999999999999603</v>
      </c>
      <c r="E210" s="4">
        <v>-0.50675675675675402</v>
      </c>
      <c r="F210" s="4">
        <v>-0.50676163483123204</v>
      </c>
      <c r="G210" s="4">
        <v>137.12180000000001</v>
      </c>
      <c r="H210" s="4">
        <v>-14.186244445835101</v>
      </c>
      <c r="I210" s="4">
        <v>131.01</v>
      </c>
      <c r="J210" s="4">
        <v>131.36000000000001</v>
      </c>
      <c r="K210" s="4">
        <v>129</v>
      </c>
      <c r="L210" s="4">
        <v>-18.9060642092746</v>
      </c>
    </row>
    <row r="211" spans="1:12" ht="15" customHeight="1" x14ac:dyDescent="0.2">
      <c r="A211" s="6">
        <v>45747</v>
      </c>
      <c r="B211" s="7">
        <v>130.24</v>
      </c>
      <c r="C211" s="8">
        <v>659196</v>
      </c>
      <c r="D211" s="7">
        <v>-6.4399999999999897</v>
      </c>
      <c r="E211" s="7">
        <v>-4.7117354404448299</v>
      </c>
      <c r="F211" s="7">
        <v>-4.7117285487478204</v>
      </c>
      <c r="G211" s="7">
        <v>137.82022000000001</v>
      </c>
      <c r="H211" s="7">
        <v>-13.7491582702296</v>
      </c>
      <c r="I211" s="7">
        <v>134.75</v>
      </c>
      <c r="J211" s="7">
        <v>134.78</v>
      </c>
      <c r="K211" s="7">
        <v>129.74</v>
      </c>
      <c r="L211" s="7">
        <v>-18.493022091495</v>
      </c>
    </row>
    <row r="212" spans="1:12" ht="15" customHeight="1" x14ac:dyDescent="0.2">
      <c r="A212" s="3">
        <v>45744</v>
      </c>
      <c r="B212" s="4">
        <v>136.68</v>
      </c>
      <c r="C212" s="5">
        <v>712468</v>
      </c>
      <c r="D212" s="4">
        <v>-4.3099999999999996</v>
      </c>
      <c r="E212" s="4">
        <v>-3.0569543939286401</v>
      </c>
      <c r="F212" s="4">
        <v>-3.0569608854506498</v>
      </c>
      <c r="G212" s="4">
        <v>144.63503</v>
      </c>
      <c r="H212" s="4">
        <v>-9.4843043995243708</v>
      </c>
      <c r="I212" s="4">
        <v>140.99</v>
      </c>
      <c r="J212" s="4">
        <v>141.29</v>
      </c>
      <c r="K212" s="4">
        <v>134.25</v>
      </c>
      <c r="L212" s="4">
        <v>-14.4627323361912</v>
      </c>
    </row>
    <row r="213" spans="1:12" ht="15" customHeight="1" x14ac:dyDescent="0.2">
      <c r="A213" s="6">
        <v>45743</v>
      </c>
      <c r="B213" s="7">
        <v>140.99</v>
      </c>
      <c r="C213" s="8">
        <v>1811885</v>
      </c>
      <c r="D213" s="7">
        <v>-3.6399999999999801</v>
      </c>
      <c r="E213" s="7">
        <v>-2.5167669224918598</v>
      </c>
      <c r="F213" s="7">
        <v>-2.5167637235283702</v>
      </c>
      <c r="G213" s="7">
        <v>149.19588999999999</v>
      </c>
      <c r="H213" s="7">
        <v>-6.6300206521058804</v>
      </c>
      <c r="I213" s="7">
        <v>144.63999999999999</v>
      </c>
      <c r="J213" s="7">
        <v>144.63999999999999</v>
      </c>
      <c r="K213" s="7">
        <v>140.5</v>
      </c>
      <c r="L213" s="7">
        <v>-11.7654421428124</v>
      </c>
    </row>
    <row r="214" spans="1:12" ht="15" customHeight="1" x14ac:dyDescent="0.2">
      <c r="A214" s="3">
        <v>45742</v>
      </c>
      <c r="B214" s="4">
        <v>144.63</v>
      </c>
      <c r="C214" s="5">
        <v>769840</v>
      </c>
      <c r="D214" s="4">
        <v>-0.24000000000000901</v>
      </c>
      <c r="E214" s="4">
        <v>-0.16566576931041899</v>
      </c>
      <c r="F214" s="4">
        <v>-0.16566026338912199</v>
      </c>
      <c r="G214" s="4">
        <v>153.04774</v>
      </c>
      <c r="H214" s="4">
        <v>-4.2194505288190598</v>
      </c>
      <c r="I214" s="4">
        <v>145.25</v>
      </c>
      <c r="J214" s="4">
        <v>145.72999999999999</v>
      </c>
      <c r="K214" s="4">
        <v>143.13999999999999</v>
      </c>
      <c r="L214" s="4">
        <v>-9.4874522811189603</v>
      </c>
    </row>
    <row r="215" spans="1:12" ht="15" customHeight="1" x14ac:dyDescent="0.2">
      <c r="A215" s="6">
        <v>45741</v>
      </c>
      <c r="B215" s="7">
        <v>144.87</v>
      </c>
      <c r="C215" s="8">
        <v>869722</v>
      </c>
      <c r="D215" s="7">
        <v>2.0200000000000098</v>
      </c>
      <c r="E215" s="7">
        <v>1.4140707035351801</v>
      </c>
      <c r="F215" s="7">
        <v>1.41406553167966</v>
      </c>
      <c r="G215" s="7">
        <v>153.30170000000001</v>
      </c>
      <c r="H215" s="7">
        <v>-4.0605169284685996</v>
      </c>
      <c r="I215" s="7">
        <v>143.25</v>
      </c>
      <c r="J215" s="7">
        <v>145.26</v>
      </c>
      <c r="K215" s="7">
        <v>141.33000000000001</v>
      </c>
      <c r="L215" s="7">
        <v>-9.3372551473809295</v>
      </c>
    </row>
    <row r="216" spans="1:12" ht="15" customHeight="1" x14ac:dyDescent="0.2">
      <c r="A216" s="3">
        <v>45740</v>
      </c>
      <c r="B216" s="4">
        <v>142.85</v>
      </c>
      <c r="C216" s="5">
        <v>601969</v>
      </c>
      <c r="D216" s="4">
        <v>5.6599999999999904</v>
      </c>
      <c r="E216" s="4">
        <v>4.1256651359428496</v>
      </c>
      <c r="F216" s="4">
        <v>4.1256703733039997</v>
      </c>
      <c r="G216" s="4">
        <v>151.16414</v>
      </c>
      <c r="H216" s="4">
        <v>-5.3982477001063804</v>
      </c>
      <c r="I216" s="4">
        <v>139.31</v>
      </c>
      <c r="J216" s="4">
        <v>143.22</v>
      </c>
      <c r="K216" s="4">
        <v>137.88</v>
      </c>
      <c r="L216" s="4">
        <v>-10.601414356342699</v>
      </c>
    </row>
    <row r="217" spans="1:12" ht="15" customHeight="1" x14ac:dyDescent="0.2">
      <c r="A217" s="6">
        <v>45737</v>
      </c>
      <c r="B217" s="7">
        <v>137.19</v>
      </c>
      <c r="C217" s="8">
        <v>1305131</v>
      </c>
      <c r="D217" s="7">
        <v>-2.47999999999998</v>
      </c>
      <c r="E217" s="7">
        <v>-1.7756139471611501</v>
      </c>
      <c r="F217" s="7">
        <v>-1.7756202238363199</v>
      </c>
      <c r="G217" s="7">
        <v>145.17471</v>
      </c>
      <c r="H217" s="7">
        <v>-9.1465611114587801</v>
      </c>
      <c r="I217" s="7">
        <v>138.96</v>
      </c>
      <c r="J217" s="7">
        <v>138.96</v>
      </c>
      <c r="K217" s="7">
        <v>135.46</v>
      </c>
      <c r="L217" s="7">
        <v>-14.1435634269979</v>
      </c>
    </row>
    <row r="218" spans="1:12" ht="15" customHeight="1" x14ac:dyDescent="0.2">
      <c r="A218" s="3">
        <v>45736</v>
      </c>
      <c r="B218" s="4">
        <v>139.66999999999999</v>
      </c>
      <c r="C218" s="5">
        <v>892793</v>
      </c>
      <c r="D218" s="4">
        <v>-1.28</v>
      </c>
      <c r="E218" s="4">
        <v>-0.90812344803121703</v>
      </c>
      <c r="F218" s="4">
        <v>-0.90811784231753501</v>
      </c>
      <c r="G218" s="4">
        <v>147.79906</v>
      </c>
      <c r="H218" s="4">
        <v>-7.50418674510294</v>
      </c>
      <c r="I218" s="4">
        <v>140.94999999999999</v>
      </c>
      <c r="J218" s="4">
        <v>142</v>
      </c>
      <c r="K218" s="4">
        <v>138.09</v>
      </c>
      <c r="L218" s="4">
        <v>-12.591526378371601</v>
      </c>
    </row>
    <row r="219" spans="1:12" ht="15" customHeight="1" x14ac:dyDescent="0.2">
      <c r="A219" s="6">
        <v>45735</v>
      </c>
      <c r="B219" s="7">
        <v>140.94999999999999</v>
      </c>
      <c r="C219" s="8">
        <v>521568</v>
      </c>
      <c r="D219" s="7">
        <v>3.7099999999999702</v>
      </c>
      <c r="E219" s="7">
        <v>2.7032935004371601</v>
      </c>
      <c r="F219" s="7">
        <v>2.7032872463731401</v>
      </c>
      <c r="G219" s="7">
        <v>149.15355</v>
      </c>
      <c r="H219" s="7">
        <v>-6.6565179297828303</v>
      </c>
      <c r="I219" s="7">
        <v>137.21</v>
      </c>
      <c r="J219" s="7">
        <v>141.87</v>
      </c>
      <c r="K219" s="7">
        <v>137.08000000000001</v>
      </c>
      <c r="L219" s="7">
        <v>-11.7904749984354</v>
      </c>
    </row>
    <row r="220" spans="1:12" ht="15" customHeight="1" x14ac:dyDescent="0.2">
      <c r="A220" s="3">
        <v>45734</v>
      </c>
      <c r="B220" s="4">
        <v>137.24</v>
      </c>
      <c r="C220" s="5">
        <v>480863</v>
      </c>
      <c r="D220" s="4">
        <v>2.99</v>
      </c>
      <c r="E220" s="4">
        <v>2.2271880819366898</v>
      </c>
      <c r="F220" s="4">
        <v>2.22719260950727</v>
      </c>
      <c r="G220" s="4">
        <v>145.22763</v>
      </c>
      <c r="H220" s="4">
        <v>-9.1134426434695399</v>
      </c>
      <c r="I220" s="4">
        <v>134.97999999999999</v>
      </c>
      <c r="J220" s="4">
        <v>138.5</v>
      </c>
      <c r="K220" s="4">
        <v>134.91999999999999</v>
      </c>
      <c r="L220" s="4">
        <v>-14.1122723574691</v>
      </c>
    </row>
    <row r="221" spans="1:12" ht="15" customHeight="1" x14ac:dyDescent="0.2">
      <c r="A221" s="6">
        <v>45730</v>
      </c>
      <c r="B221" s="7">
        <v>134.25</v>
      </c>
      <c r="C221" s="8">
        <v>345129</v>
      </c>
      <c r="D221" s="7">
        <v>2.30000000000001</v>
      </c>
      <c r="E221" s="7">
        <v>1.7430845017051899</v>
      </c>
      <c r="F221" s="7">
        <v>1.7430886674349499</v>
      </c>
      <c r="G221" s="7">
        <v>142.06360000000001</v>
      </c>
      <c r="H221" s="7">
        <v>-11.0935602978909</v>
      </c>
      <c r="I221" s="7">
        <v>132.69</v>
      </c>
      <c r="J221" s="7">
        <v>134.97</v>
      </c>
      <c r="K221" s="7">
        <v>130.84</v>
      </c>
      <c r="L221" s="7">
        <v>-15.983478315288799</v>
      </c>
    </row>
    <row r="222" spans="1:12" ht="15" customHeight="1" x14ac:dyDescent="0.2">
      <c r="A222" s="3">
        <v>45729</v>
      </c>
      <c r="B222" s="4">
        <v>131.94999999999999</v>
      </c>
      <c r="C222" s="5">
        <v>597553</v>
      </c>
      <c r="D222" s="4">
        <v>-1.80000000000001</v>
      </c>
      <c r="E222" s="4">
        <v>-1.34579439252336</v>
      </c>
      <c r="F222" s="4">
        <v>-1.3457990807894999</v>
      </c>
      <c r="G222" s="4">
        <v>139.62973</v>
      </c>
      <c r="H222" s="4">
        <v>-12.61672820577</v>
      </c>
      <c r="I222" s="4">
        <v>133.41999999999999</v>
      </c>
      <c r="J222" s="4">
        <v>133.41999999999999</v>
      </c>
      <c r="K222" s="4">
        <v>129.38</v>
      </c>
      <c r="L222" s="4">
        <v>-17.4228675136116</v>
      </c>
    </row>
    <row r="223" spans="1:12" ht="15" customHeight="1" x14ac:dyDescent="0.2">
      <c r="A223" s="6">
        <v>45728</v>
      </c>
      <c r="B223" s="7">
        <v>133.75</v>
      </c>
      <c r="C223" s="8">
        <v>674491</v>
      </c>
      <c r="D223" s="7">
        <v>4.6500000000000004</v>
      </c>
      <c r="E223" s="7">
        <v>3.60185902401239</v>
      </c>
      <c r="F223" s="7">
        <v>3.6018448491471098</v>
      </c>
      <c r="G223" s="7">
        <v>141.53450000000001</v>
      </c>
      <c r="H223" s="7">
        <v>-11.424682395644201</v>
      </c>
      <c r="I223" s="7">
        <v>129.13</v>
      </c>
      <c r="J223" s="7">
        <v>134.86000000000001</v>
      </c>
      <c r="K223" s="7">
        <v>129.13</v>
      </c>
      <c r="L223" s="7">
        <v>-16.296389010576299</v>
      </c>
    </row>
    <row r="224" spans="1:12" ht="15" customHeight="1" x14ac:dyDescent="0.2">
      <c r="A224" s="3">
        <v>45727</v>
      </c>
      <c r="B224" s="4">
        <v>129.1</v>
      </c>
      <c r="C224" s="5">
        <v>678334</v>
      </c>
      <c r="D224" s="4">
        <v>-0.42000000000001497</v>
      </c>
      <c r="E224" s="4">
        <v>-0.32427424336011201</v>
      </c>
      <c r="F224" s="4">
        <v>-0.324270719209174</v>
      </c>
      <c r="G224" s="4">
        <v>136.61387999999999</v>
      </c>
      <c r="H224" s="4">
        <v>-14.504111646536</v>
      </c>
      <c r="I224" s="4">
        <v>128</v>
      </c>
      <c r="J224" s="4">
        <v>130.13</v>
      </c>
      <c r="K224" s="4">
        <v>124.8</v>
      </c>
      <c r="L224" s="4">
        <v>-19.206458476750701</v>
      </c>
    </row>
    <row r="225" spans="1:12" ht="15" customHeight="1" x14ac:dyDescent="0.2">
      <c r="A225" s="6">
        <v>45726</v>
      </c>
      <c r="B225" s="7">
        <v>129.52000000000001</v>
      </c>
      <c r="C225" s="8">
        <v>430319</v>
      </c>
      <c r="D225" s="7">
        <v>-0.94999999999998797</v>
      </c>
      <c r="E225" s="7">
        <v>-0.72813673641449705</v>
      </c>
      <c r="F225" s="7">
        <v>-0.72812819599082901</v>
      </c>
      <c r="G225" s="7">
        <v>137.05832000000001</v>
      </c>
      <c r="H225" s="7">
        <v>-14.2259715877088</v>
      </c>
      <c r="I225" s="7">
        <v>131.12</v>
      </c>
      <c r="J225" s="7">
        <v>131.12</v>
      </c>
      <c r="K225" s="7">
        <v>127.03</v>
      </c>
      <c r="L225" s="7">
        <v>-18.943613492709101</v>
      </c>
    </row>
    <row r="226" spans="1:12" ht="15" customHeight="1" x14ac:dyDescent="0.2">
      <c r="A226" s="3">
        <v>45723</v>
      </c>
      <c r="B226" s="4">
        <v>130.47</v>
      </c>
      <c r="C226" s="5">
        <v>598796</v>
      </c>
      <c r="D226" s="4">
        <v>-7</v>
      </c>
      <c r="E226" s="4">
        <v>-5.09202007710772</v>
      </c>
      <c r="F226" s="4">
        <v>-5.09201799038859</v>
      </c>
      <c r="G226" s="4">
        <v>138.06360000000001</v>
      </c>
      <c r="H226" s="4">
        <v>-13.596845860191401</v>
      </c>
      <c r="I226" s="4">
        <v>138.16999999999999</v>
      </c>
      <c r="J226" s="4">
        <v>139.32</v>
      </c>
      <c r="K226" s="4">
        <v>129.61000000000001</v>
      </c>
      <c r="L226" s="4">
        <v>-18.349083171662802</v>
      </c>
    </row>
    <row r="227" spans="1:12" ht="15" customHeight="1" x14ac:dyDescent="0.2">
      <c r="A227" s="6">
        <v>45722</v>
      </c>
      <c r="B227" s="7">
        <v>137.47</v>
      </c>
      <c r="C227" s="8">
        <v>515226</v>
      </c>
      <c r="D227" s="7">
        <v>0.19999999999998799</v>
      </c>
      <c r="E227" s="7">
        <v>0.14569825890580201</v>
      </c>
      <c r="F227" s="7">
        <v>0.14569110786513101</v>
      </c>
      <c r="G227" s="7">
        <v>145.47101000000001</v>
      </c>
      <c r="H227" s="7">
        <v>-8.9611302334313692</v>
      </c>
      <c r="I227" s="7">
        <v>136.80000000000001</v>
      </c>
      <c r="J227" s="7">
        <v>140.29</v>
      </c>
      <c r="K227" s="7">
        <v>136.80000000000001</v>
      </c>
      <c r="L227" s="7">
        <v>-13.968333437636799</v>
      </c>
    </row>
    <row r="228" spans="1:12" ht="15" customHeight="1" x14ac:dyDescent="0.2">
      <c r="A228" s="3">
        <v>45721</v>
      </c>
      <c r="B228" s="4">
        <v>137.27000000000001</v>
      </c>
      <c r="C228" s="5">
        <v>503806</v>
      </c>
      <c r="D228" s="4">
        <v>2.34</v>
      </c>
      <c r="E228" s="4">
        <v>1.73423256503373</v>
      </c>
      <c r="F228" s="4">
        <v>1.7342450094083</v>
      </c>
      <c r="G228" s="4">
        <v>145.25937999999999</v>
      </c>
      <c r="H228" s="4">
        <v>-9.0935728143187902</v>
      </c>
      <c r="I228" s="4">
        <v>134.24</v>
      </c>
      <c r="J228" s="4">
        <v>137.91999999999999</v>
      </c>
      <c r="K228" s="4">
        <v>133.53</v>
      </c>
      <c r="L228" s="4">
        <v>-14.0934977157519</v>
      </c>
    </row>
    <row r="229" spans="1:12" ht="15" customHeight="1" x14ac:dyDescent="0.2">
      <c r="A229" s="6">
        <v>45720</v>
      </c>
      <c r="B229" s="7">
        <v>134.93</v>
      </c>
      <c r="C229" s="8">
        <v>403591</v>
      </c>
      <c r="D229" s="7">
        <v>1.43999999999999</v>
      </c>
      <c r="E229" s="7">
        <v>1.0787324893250401</v>
      </c>
      <c r="F229" s="7">
        <v>1.07872490157645</v>
      </c>
      <c r="G229" s="7">
        <v>142.78317000000001</v>
      </c>
      <c r="H229" s="7">
        <v>-10.643237999874801</v>
      </c>
      <c r="I229" s="7">
        <v>131.41999999999999</v>
      </c>
      <c r="J229" s="7">
        <v>135.52000000000001</v>
      </c>
      <c r="K229" s="7">
        <v>128</v>
      </c>
      <c r="L229" s="7">
        <v>-15.557919769697699</v>
      </c>
    </row>
    <row r="230" spans="1:12" ht="15" customHeight="1" x14ac:dyDescent="0.2">
      <c r="A230" s="3">
        <v>45719</v>
      </c>
      <c r="B230" s="4">
        <v>133.49</v>
      </c>
      <c r="C230" s="5">
        <v>1105848</v>
      </c>
      <c r="D230" s="4">
        <v>0.83000000000001195</v>
      </c>
      <c r="E230" s="4">
        <v>0.62565958088347495</v>
      </c>
      <c r="F230" s="4">
        <v>0.62565415693156501</v>
      </c>
      <c r="G230" s="4">
        <v>141.25936999999999</v>
      </c>
      <c r="H230" s="4">
        <v>-11.596864634833199</v>
      </c>
      <c r="I230" s="4">
        <v>133.25</v>
      </c>
      <c r="J230" s="4">
        <v>135.13999999999999</v>
      </c>
      <c r="K230" s="4">
        <v>131.74</v>
      </c>
      <c r="L230" s="4">
        <v>-16.4591025721259</v>
      </c>
    </row>
    <row r="231" spans="1:12" ht="15" customHeight="1" x14ac:dyDescent="0.2">
      <c r="A231" s="6">
        <v>45716</v>
      </c>
      <c r="B231" s="7">
        <v>132.66</v>
      </c>
      <c r="C231" s="8">
        <v>1221171</v>
      </c>
      <c r="D231" s="7">
        <v>-0.56000000000000205</v>
      </c>
      <c r="E231" s="7">
        <v>-0.420357303708152</v>
      </c>
      <c r="F231" s="7">
        <v>-0.42035512165889899</v>
      </c>
      <c r="G231" s="7">
        <v>140.38106999999999</v>
      </c>
      <c r="H231" s="7">
        <v>-12.1465235621753</v>
      </c>
      <c r="I231" s="7">
        <v>132.86000000000001</v>
      </c>
      <c r="J231" s="7">
        <v>136.86000000000001</v>
      </c>
      <c r="K231" s="7">
        <v>131.55000000000001</v>
      </c>
      <c r="L231" s="7">
        <v>-16.978534326303201</v>
      </c>
    </row>
    <row r="232" spans="1:12" ht="15" customHeight="1" x14ac:dyDescent="0.2">
      <c r="A232" s="3">
        <v>45715</v>
      </c>
      <c r="B232" s="4">
        <v>133.22</v>
      </c>
      <c r="C232" s="5">
        <v>840594</v>
      </c>
      <c r="D232" s="4">
        <v>-2.84</v>
      </c>
      <c r="E232" s="4">
        <v>-2.0873144201087701</v>
      </c>
      <c r="F232" s="4">
        <v>-2.0873052683954998</v>
      </c>
      <c r="G232" s="4">
        <v>140.97366</v>
      </c>
      <c r="H232" s="4">
        <v>-11.7756680643344</v>
      </c>
      <c r="I232" s="4">
        <v>135.37</v>
      </c>
      <c r="J232" s="4">
        <v>136.87</v>
      </c>
      <c r="K232" s="4">
        <v>132.22</v>
      </c>
      <c r="L232" s="4">
        <v>-16.628074347581101</v>
      </c>
    </row>
    <row r="233" spans="1:12" ht="15" customHeight="1" x14ac:dyDescent="0.2">
      <c r="A233" s="6">
        <v>45714</v>
      </c>
      <c r="B233" s="7">
        <v>136.06</v>
      </c>
      <c r="C233" s="8">
        <v>938264</v>
      </c>
      <c r="D233" s="7">
        <v>1.53999999999999</v>
      </c>
      <c r="E233" s="7">
        <v>1.1448111804936101</v>
      </c>
      <c r="F233" s="7">
        <v>1.1448035016956699</v>
      </c>
      <c r="G233" s="7">
        <v>143.97893999999999</v>
      </c>
      <c r="H233" s="7">
        <v>-9.8948995556668091</v>
      </c>
      <c r="I233" s="7">
        <v>134.77000000000001</v>
      </c>
      <c r="J233" s="7">
        <v>137</v>
      </c>
      <c r="K233" s="7">
        <v>130.56</v>
      </c>
      <c r="L233" s="7">
        <v>-14.850741598347801</v>
      </c>
    </row>
    <row r="234" spans="1:12" ht="15" customHeight="1" x14ac:dyDescent="0.2">
      <c r="A234" s="3">
        <v>45713</v>
      </c>
      <c r="B234" s="4">
        <v>134.52000000000001</v>
      </c>
      <c r="C234" s="5">
        <v>585034</v>
      </c>
      <c r="D234" s="4">
        <v>-7.3299999999999796</v>
      </c>
      <c r="E234" s="4">
        <v>-5.16743038420866</v>
      </c>
      <c r="F234" s="4">
        <v>-5.1674304161447502</v>
      </c>
      <c r="G234" s="4">
        <v>142.34932000000001</v>
      </c>
      <c r="H234" s="4">
        <v>-10.914750610175799</v>
      </c>
      <c r="I234" s="4">
        <v>141.1</v>
      </c>
      <c r="J234" s="4">
        <v>142.58000000000001</v>
      </c>
      <c r="K234" s="4">
        <v>133.66999999999999</v>
      </c>
      <c r="L234" s="4">
        <v>-15.8145065398335</v>
      </c>
    </row>
    <row r="235" spans="1:12" ht="15" customHeight="1" x14ac:dyDescent="0.2">
      <c r="A235" s="6">
        <v>45712</v>
      </c>
      <c r="B235" s="7">
        <v>141.85</v>
      </c>
      <c r="C235" s="8">
        <v>846744</v>
      </c>
      <c r="D235" s="7">
        <v>2.01999999999998</v>
      </c>
      <c r="E235" s="7">
        <v>1.44461131373809</v>
      </c>
      <c r="F235" s="7">
        <v>1.4446127912337099</v>
      </c>
      <c r="G235" s="7">
        <v>150.10594</v>
      </c>
      <c r="H235" s="7">
        <v>-6.0604918956129801</v>
      </c>
      <c r="I235" s="7">
        <v>137.88999999999999</v>
      </c>
      <c r="J235" s="7">
        <v>142.62</v>
      </c>
      <c r="K235" s="7">
        <v>137.21</v>
      </c>
      <c r="L235" s="7">
        <v>-11.227235746917801</v>
      </c>
    </row>
    <row r="236" spans="1:12" ht="15" customHeight="1" x14ac:dyDescent="0.2">
      <c r="A236" s="3">
        <v>45709</v>
      </c>
      <c r="B236" s="4">
        <v>139.83000000000001</v>
      </c>
      <c r="C236" s="5">
        <v>736375</v>
      </c>
      <c r="D236" s="4">
        <v>0.71000000000000796</v>
      </c>
      <c r="E236" s="4">
        <v>0.510350776308232</v>
      </c>
      <c r="F236" s="4">
        <v>0.51035532299792397</v>
      </c>
      <c r="G236" s="4">
        <v>147.96836999999999</v>
      </c>
      <c r="H236" s="4">
        <v>-7.3982289254646698</v>
      </c>
      <c r="I236" s="4">
        <v>139.19999999999999</v>
      </c>
      <c r="J236" s="4">
        <v>140.43</v>
      </c>
      <c r="K236" s="4">
        <v>137.4</v>
      </c>
      <c r="L236" s="4">
        <v>-12.4913949558795</v>
      </c>
    </row>
    <row r="237" spans="1:12" ht="15" customHeight="1" x14ac:dyDescent="0.2">
      <c r="A237" s="6">
        <v>45708</v>
      </c>
      <c r="B237" s="7">
        <v>139.12</v>
      </c>
      <c r="C237" s="8">
        <v>714860</v>
      </c>
      <c r="D237" s="7">
        <v>-1.43999999999999</v>
      </c>
      <c r="E237" s="7">
        <v>-1.0244735344336799</v>
      </c>
      <c r="F237" s="7">
        <v>-1.02447975626872</v>
      </c>
      <c r="G237" s="7">
        <v>147.21704</v>
      </c>
      <c r="H237" s="7">
        <v>-7.8684273108454796</v>
      </c>
      <c r="I237" s="7">
        <v>139.99</v>
      </c>
      <c r="J237" s="7">
        <v>141.41999999999999</v>
      </c>
      <c r="K237" s="7">
        <v>138.04</v>
      </c>
      <c r="L237" s="7">
        <v>-12.9357281431879</v>
      </c>
    </row>
    <row r="238" spans="1:12" ht="15" customHeight="1" x14ac:dyDescent="0.2">
      <c r="A238" s="3">
        <v>45707</v>
      </c>
      <c r="B238" s="4">
        <v>140.56</v>
      </c>
      <c r="C238" s="5">
        <v>678513</v>
      </c>
      <c r="D238" s="4">
        <v>0.15999999999999601</v>
      </c>
      <c r="E238" s="4">
        <v>0.11396011396012</v>
      </c>
      <c r="F238" s="4">
        <v>0.113972037576792</v>
      </c>
      <c r="G238" s="4">
        <v>148.74086</v>
      </c>
      <c r="H238" s="4">
        <v>-6.9147881594592802</v>
      </c>
      <c r="I238" s="4">
        <v>139.69999999999999</v>
      </c>
      <c r="J238" s="4">
        <v>142.66</v>
      </c>
      <c r="K238" s="4">
        <v>139.15</v>
      </c>
      <c r="L238" s="4">
        <v>-12.034545340759699</v>
      </c>
    </row>
    <row r="239" spans="1:12" ht="15" customHeight="1" x14ac:dyDescent="0.2">
      <c r="A239" s="6">
        <v>45706</v>
      </c>
      <c r="B239" s="7">
        <v>140.4</v>
      </c>
      <c r="C239" s="8">
        <v>746369</v>
      </c>
      <c r="D239" s="7">
        <v>0.15000000000000499</v>
      </c>
      <c r="E239" s="7">
        <v>0.106951871657767</v>
      </c>
      <c r="F239" s="7">
        <v>0.106944946329079</v>
      </c>
      <c r="G239" s="7">
        <v>148.57153</v>
      </c>
      <c r="H239" s="7">
        <v>-7.0207584955253699</v>
      </c>
      <c r="I239" s="7">
        <v>140.91</v>
      </c>
      <c r="J239" s="7">
        <v>141.91</v>
      </c>
      <c r="K239" s="7">
        <v>139.52000000000001</v>
      </c>
      <c r="L239" s="7">
        <v>-12.134676763251701</v>
      </c>
    </row>
    <row r="240" spans="1:12" ht="15" customHeight="1" x14ac:dyDescent="0.2">
      <c r="A240" s="3">
        <v>45705</v>
      </c>
      <c r="B240" s="4">
        <v>140.25</v>
      </c>
      <c r="C240" s="5">
        <v>61925</v>
      </c>
      <c r="D240" s="4">
        <v>-2.00999999999999</v>
      </c>
      <c r="E240" s="4">
        <v>-1.41290594685785</v>
      </c>
      <c r="F240" s="4">
        <v>-1.4129087457270399</v>
      </c>
      <c r="G240" s="4">
        <v>148.41281000000001</v>
      </c>
      <c r="H240" s="4">
        <v>-7.1200888666374498</v>
      </c>
      <c r="I240" s="4">
        <v>142.54</v>
      </c>
      <c r="J240" s="4">
        <v>143.1</v>
      </c>
      <c r="K240" s="4">
        <v>138.06</v>
      </c>
      <c r="L240" s="4">
        <v>-12.228549971838</v>
      </c>
    </row>
    <row r="241" spans="1:12" ht="15" customHeight="1" x14ac:dyDescent="0.2">
      <c r="A241" s="6">
        <v>45702</v>
      </c>
      <c r="B241" s="7">
        <v>142.26</v>
      </c>
      <c r="C241" s="8">
        <v>502339</v>
      </c>
      <c r="D241" s="7">
        <v>-1.1400000000000099</v>
      </c>
      <c r="E241" s="7">
        <v>-0.79497907949791502</v>
      </c>
      <c r="F241" s="7">
        <v>-0.79497244542759904</v>
      </c>
      <c r="G241" s="7">
        <v>150.53980000000001</v>
      </c>
      <c r="H241" s="7">
        <v>-5.7889730270980504</v>
      </c>
      <c r="I241" s="7">
        <v>143.99</v>
      </c>
      <c r="J241" s="7">
        <v>143.99</v>
      </c>
      <c r="K241" s="7">
        <v>140.79</v>
      </c>
      <c r="L241" s="7">
        <v>-10.970648976782</v>
      </c>
    </row>
    <row r="242" spans="1:12" ht="15" customHeight="1" x14ac:dyDescent="0.2">
      <c r="A242" s="3">
        <v>45701</v>
      </c>
      <c r="B242" s="4">
        <v>143.4</v>
      </c>
      <c r="C242" s="5">
        <v>751905</v>
      </c>
      <c r="D242" s="4">
        <v>5.5100000000000104</v>
      </c>
      <c r="E242" s="4">
        <v>3.99593879179056</v>
      </c>
      <c r="F242" s="4">
        <v>3.9959373733213299</v>
      </c>
      <c r="G242" s="4">
        <v>151.74614</v>
      </c>
      <c r="H242" s="4">
        <v>-5.0340196507916604</v>
      </c>
      <c r="I242" s="4">
        <v>139.26</v>
      </c>
      <c r="J242" s="4">
        <v>143.84</v>
      </c>
      <c r="K242" s="4">
        <v>138.88999999999999</v>
      </c>
      <c r="L242" s="4">
        <v>-10.257212591526301</v>
      </c>
    </row>
    <row r="243" spans="1:12" ht="15" customHeight="1" x14ac:dyDescent="0.2">
      <c r="A243" s="6">
        <v>45700</v>
      </c>
      <c r="B243" s="7">
        <v>137.88999999999999</v>
      </c>
      <c r="C243" s="8">
        <v>678066</v>
      </c>
      <c r="D243" s="7">
        <v>0.40999999999999598</v>
      </c>
      <c r="E243" s="7">
        <v>0.29822519639219802</v>
      </c>
      <c r="F243" s="7">
        <v>0.29821640674834099</v>
      </c>
      <c r="G243" s="7">
        <v>145.91544999999999</v>
      </c>
      <c r="H243" s="7">
        <v>-8.6829901746041607</v>
      </c>
      <c r="I243" s="7">
        <v>137.63</v>
      </c>
      <c r="J243" s="7">
        <v>138.51</v>
      </c>
      <c r="K243" s="7">
        <v>135.86000000000001</v>
      </c>
      <c r="L243" s="7">
        <v>-13.705488453595301</v>
      </c>
    </row>
    <row r="244" spans="1:12" ht="15" customHeight="1" x14ac:dyDescent="0.2">
      <c r="A244" s="3">
        <v>45699</v>
      </c>
      <c r="B244" s="4">
        <v>137.47999999999999</v>
      </c>
      <c r="C244" s="5">
        <v>667887</v>
      </c>
      <c r="D244" s="4">
        <v>-1.98000000000001</v>
      </c>
      <c r="E244" s="4">
        <v>-1.41976193890722</v>
      </c>
      <c r="F244" s="4">
        <v>-1.4197620710675301</v>
      </c>
      <c r="G244" s="4">
        <v>145.48159999999999</v>
      </c>
      <c r="H244" s="4">
        <v>-8.9545027849051895</v>
      </c>
      <c r="I244" s="4">
        <v>137.53</v>
      </c>
      <c r="J244" s="4">
        <v>138.19999999999999</v>
      </c>
      <c r="K244" s="4">
        <v>136.44999999999999</v>
      </c>
      <c r="L244" s="4">
        <v>-13.9620752237311</v>
      </c>
    </row>
    <row r="245" spans="1:12" ht="15" customHeight="1" x14ac:dyDescent="0.2">
      <c r="A245" s="6">
        <v>45698</v>
      </c>
      <c r="B245" s="7">
        <v>139.46</v>
      </c>
      <c r="C245" s="8">
        <v>642016</v>
      </c>
      <c r="D245" s="7">
        <v>1.49</v>
      </c>
      <c r="E245" s="7">
        <v>1.0799449155613501</v>
      </c>
      <c r="F245" s="7">
        <v>1.07994431785398</v>
      </c>
      <c r="G245" s="7">
        <v>147.57684</v>
      </c>
      <c r="H245" s="7">
        <v>-7.6432567745165398</v>
      </c>
      <c r="I245" s="7">
        <v>138.65</v>
      </c>
      <c r="J245" s="7">
        <v>140.41</v>
      </c>
      <c r="K245" s="7">
        <v>138.27000000000001</v>
      </c>
      <c r="L245" s="7">
        <v>-12.722948870392299</v>
      </c>
    </row>
    <row r="246" spans="1:12" ht="15" customHeight="1" x14ac:dyDescent="0.2">
      <c r="A246" s="3">
        <v>45695</v>
      </c>
      <c r="B246" s="4">
        <v>137.97</v>
      </c>
      <c r="C246" s="5">
        <v>692618</v>
      </c>
      <c r="D246" s="4">
        <v>-0.71999999999999797</v>
      </c>
      <c r="E246" s="4">
        <v>-0.51914341336793901</v>
      </c>
      <c r="F246" s="4">
        <v>-0.51913976109078097</v>
      </c>
      <c r="G246" s="4">
        <v>146.00012000000001</v>
      </c>
      <c r="H246" s="4">
        <v>-8.63000187746416</v>
      </c>
      <c r="I246" s="4">
        <v>138.25</v>
      </c>
      <c r="J246" s="4">
        <v>139</v>
      </c>
      <c r="K246" s="4">
        <v>137.06</v>
      </c>
      <c r="L246" s="4">
        <v>-13.6554227423493</v>
      </c>
    </row>
    <row r="247" spans="1:12" ht="15" customHeight="1" x14ac:dyDescent="0.2">
      <c r="A247" s="6">
        <v>45694</v>
      </c>
      <c r="B247" s="7">
        <v>138.69</v>
      </c>
      <c r="C247" s="8">
        <v>293082</v>
      </c>
      <c r="D247" s="7">
        <v>-1.68</v>
      </c>
      <c r="E247" s="7">
        <v>-1.1968369309681499</v>
      </c>
      <c r="F247" s="7">
        <v>-1.19683748059442</v>
      </c>
      <c r="G247" s="7">
        <v>146.76202000000001</v>
      </c>
      <c r="H247" s="7">
        <v>-8.1531885599849705</v>
      </c>
      <c r="I247" s="7">
        <v>140.41999999999999</v>
      </c>
      <c r="J247" s="7">
        <v>140.51</v>
      </c>
      <c r="K247" s="7">
        <v>137.05000000000001</v>
      </c>
      <c r="L247" s="7">
        <v>-13.204831341135201</v>
      </c>
    </row>
    <row r="248" spans="1:12" ht="15" customHeight="1" x14ac:dyDescent="0.2">
      <c r="A248" s="3">
        <v>45693</v>
      </c>
      <c r="B248" s="4">
        <v>140.37</v>
      </c>
      <c r="C248" s="5">
        <v>405010</v>
      </c>
      <c r="D248" s="4">
        <v>-2.4099999999999899</v>
      </c>
      <c r="E248" s="4">
        <v>-1.6879114721949799</v>
      </c>
      <c r="F248" s="4">
        <v>-1.6879071991896599</v>
      </c>
      <c r="G248" s="4">
        <v>148.53980000000001</v>
      </c>
      <c r="H248" s="4">
        <v>-7.0406158082483099</v>
      </c>
      <c r="I248" s="4">
        <v>143.44</v>
      </c>
      <c r="J248" s="4">
        <v>143.44</v>
      </c>
      <c r="K248" s="4">
        <v>135.54</v>
      </c>
      <c r="L248" s="4">
        <v>-12.153451404968999</v>
      </c>
    </row>
    <row r="249" spans="1:12" ht="15" customHeight="1" x14ac:dyDescent="0.2">
      <c r="A249" s="6">
        <v>45692</v>
      </c>
      <c r="B249" s="7">
        <v>142.78</v>
      </c>
      <c r="C249" s="8">
        <v>541060</v>
      </c>
      <c r="D249" s="7">
        <v>7.4</v>
      </c>
      <c r="E249" s="7">
        <v>5.4660954350716597</v>
      </c>
      <c r="F249" s="7">
        <v>5.4660927239872796</v>
      </c>
      <c r="G249" s="7">
        <v>151.09005999999999</v>
      </c>
      <c r="H249" s="7">
        <v>-5.4446085487201898</v>
      </c>
      <c r="I249" s="7">
        <v>137.78</v>
      </c>
      <c r="J249" s="7">
        <v>143.15</v>
      </c>
      <c r="K249" s="7">
        <v>137.5</v>
      </c>
      <c r="L249" s="7">
        <v>-10.6452218536829</v>
      </c>
    </row>
    <row r="250" spans="1:12" ht="15" customHeight="1" x14ac:dyDescent="0.2">
      <c r="A250" s="3">
        <v>45688</v>
      </c>
      <c r="B250" s="4">
        <v>135.38</v>
      </c>
      <c r="C250" s="5">
        <v>498865</v>
      </c>
      <c r="D250" s="4">
        <v>-5.8799999999999901</v>
      </c>
      <c r="E250" s="4">
        <v>-4.1625371655104004</v>
      </c>
      <c r="F250" s="4">
        <v>-4.1625390683535599</v>
      </c>
      <c r="G250" s="4">
        <v>143.25936999999999</v>
      </c>
      <c r="H250" s="4">
        <v>-10.345221853682901</v>
      </c>
      <c r="I250" s="4">
        <v>140.28</v>
      </c>
      <c r="J250" s="4">
        <v>141.06</v>
      </c>
      <c r="K250" s="4">
        <v>134.38</v>
      </c>
      <c r="L250" s="4">
        <v>-15.276300143938901</v>
      </c>
    </row>
    <row r="251" spans="1:12" ht="15" customHeight="1" x14ac:dyDescent="0.2">
      <c r="A251" s="6">
        <v>45687</v>
      </c>
      <c r="B251" s="7">
        <v>141.26</v>
      </c>
      <c r="C251" s="8">
        <v>544664</v>
      </c>
      <c r="D251" s="7">
        <v>-0.52000000000001001</v>
      </c>
      <c r="E251" s="7">
        <v>-0.36676541120045297</v>
      </c>
      <c r="F251" s="7">
        <v>-0.366762099730022</v>
      </c>
      <c r="G251" s="7">
        <v>149.48159999999999</v>
      </c>
      <c r="H251" s="7">
        <v>-6.4512172226046696</v>
      </c>
      <c r="I251" s="7">
        <v>142.43</v>
      </c>
      <c r="J251" s="7">
        <v>145.43</v>
      </c>
      <c r="K251" s="7">
        <v>140.22999999999999</v>
      </c>
      <c r="L251" s="7">
        <v>-11.596470367357099</v>
      </c>
    </row>
    <row r="252" spans="1:12" ht="15" customHeight="1" x14ac:dyDescent="0.2">
      <c r="A252" s="3">
        <v>45686</v>
      </c>
      <c r="B252" s="4">
        <v>141.78</v>
      </c>
      <c r="C252" s="5">
        <v>578059</v>
      </c>
      <c r="D252" s="4">
        <v>1.74</v>
      </c>
      <c r="E252" s="4">
        <v>1.2425021422450799</v>
      </c>
      <c r="F252" s="4">
        <v>1.24250812703479</v>
      </c>
      <c r="G252" s="4">
        <v>150.03185999999999</v>
      </c>
      <c r="H252" s="4">
        <v>-6.1068527442267904</v>
      </c>
      <c r="I252" s="4">
        <v>140.05000000000001</v>
      </c>
      <c r="J252" s="4">
        <v>142.87</v>
      </c>
      <c r="K252" s="4">
        <v>138.82</v>
      </c>
      <c r="L252" s="4">
        <v>-11.271043244257999</v>
      </c>
    </row>
    <row r="253" spans="1:12" ht="15" customHeight="1" x14ac:dyDescent="0.2">
      <c r="A253" s="6">
        <v>45685</v>
      </c>
      <c r="B253" s="7">
        <v>140.04</v>
      </c>
      <c r="C253" s="8">
        <v>1542342</v>
      </c>
      <c r="D253" s="7">
        <v>-0.59000000000000297</v>
      </c>
      <c r="E253" s="7">
        <v>-0.41954063855507101</v>
      </c>
      <c r="F253" s="7">
        <v>-0.41955464955333299</v>
      </c>
      <c r="G253" s="7">
        <v>148.19058000000001</v>
      </c>
      <c r="H253" s="7">
        <v>-7.2591651542649602</v>
      </c>
      <c r="I253" s="7">
        <v>140.63</v>
      </c>
      <c r="J253" s="7">
        <v>141.80000000000001</v>
      </c>
      <c r="K253" s="7">
        <v>136.31</v>
      </c>
      <c r="L253" s="7">
        <v>-12.359972463858799</v>
      </c>
    </row>
    <row r="254" spans="1:12" ht="15" customHeight="1" x14ac:dyDescent="0.2">
      <c r="A254" s="3">
        <v>45684</v>
      </c>
      <c r="B254" s="4">
        <v>140.63</v>
      </c>
      <c r="C254" s="5">
        <v>813922</v>
      </c>
      <c r="D254" s="4">
        <v>3.5799999999999801</v>
      </c>
      <c r="E254" s="4">
        <v>2.6121853338197698</v>
      </c>
      <c r="F254" s="4">
        <v>2.6121903041628798</v>
      </c>
      <c r="G254" s="4">
        <v>148.81494000000001</v>
      </c>
      <c r="H254" s="4">
        <v>-6.8684273108454699</v>
      </c>
      <c r="I254" s="4">
        <v>135.71</v>
      </c>
      <c r="J254" s="4">
        <v>141.02000000000001</v>
      </c>
      <c r="K254" s="4">
        <v>135.21</v>
      </c>
      <c r="L254" s="4">
        <v>-11.990737843419399</v>
      </c>
    </row>
    <row r="255" spans="1:12" ht="15" customHeight="1" x14ac:dyDescent="0.2">
      <c r="A255" s="6">
        <v>45681</v>
      </c>
      <c r="B255" s="7">
        <v>137.05000000000001</v>
      </c>
      <c r="C255" s="8">
        <v>1727433</v>
      </c>
      <c r="D255" s="7">
        <v>2.8300000000000098</v>
      </c>
      <c r="E255" s="7">
        <v>2.10847861719565</v>
      </c>
      <c r="F255" s="7">
        <v>2.1084776331169599</v>
      </c>
      <c r="G255" s="7">
        <v>145.02656999999999</v>
      </c>
      <c r="H255" s="7">
        <v>-9.2392702922585794</v>
      </c>
      <c r="I255" s="7">
        <v>134.84</v>
      </c>
      <c r="J255" s="7">
        <v>137.72</v>
      </c>
      <c r="K255" s="7">
        <v>134.53</v>
      </c>
      <c r="L255" s="7">
        <v>-14.231178421678401</v>
      </c>
    </row>
    <row r="256" spans="1:12" ht="15" customHeight="1" x14ac:dyDescent="0.2">
      <c r="A256" s="3">
        <v>45680</v>
      </c>
      <c r="B256" s="4">
        <v>134.22</v>
      </c>
      <c r="C256" s="5">
        <v>1025132</v>
      </c>
      <c r="D256" s="4">
        <v>1.05000000000001</v>
      </c>
      <c r="E256" s="4">
        <v>0.788465870691612</v>
      </c>
      <c r="F256" s="4">
        <v>0.78846443834565905</v>
      </c>
      <c r="G256" s="4">
        <v>142.03185999999999</v>
      </c>
      <c r="H256" s="4">
        <v>-11.1134238688278</v>
      </c>
      <c r="I256" s="4">
        <v>132.5</v>
      </c>
      <c r="J256" s="4">
        <v>135.18</v>
      </c>
      <c r="K256" s="4">
        <v>129.63</v>
      </c>
      <c r="L256" s="4">
        <v>-16.002252957006</v>
      </c>
    </row>
    <row r="257" spans="1:12" ht="15" customHeight="1" x14ac:dyDescent="0.2">
      <c r="A257" s="6">
        <v>45679</v>
      </c>
      <c r="B257" s="7">
        <v>133.16999999999999</v>
      </c>
      <c r="C257" s="8">
        <v>630826</v>
      </c>
      <c r="D257" s="7">
        <v>2.9199999999999799</v>
      </c>
      <c r="E257" s="7">
        <v>2.2418426103646598</v>
      </c>
      <c r="F257" s="7">
        <v>2.2418428972334099</v>
      </c>
      <c r="G257" s="7">
        <v>140.92075</v>
      </c>
      <c r="H257" s="7">
        <v>-11.808780274109701</v>
      </c>
      <c r="I257" s="7">
        <v>129.61000000000001</v>
      </c>
      <c r="J257" s="7">
        <v>134.04</v>
      </c>
      <c r="K257" s="7">
        <v>129.33000000000001</v>
      </c>
      <c r="L257" s="7">
        <v>-16.6593654171099</v>
      </c>
    </row>
    <row r="258" spans="1:12" ht="15" customHeight="1" x14ac:dyDescent="0.2">
      <c r="A258" s="3">
        <v>45678</v>
      </c>
      <c r="B258" s="4">
        <v>130.25</v>
      </c>
      <c r="C258" s="5">
        <v>796085</v>
      </c>
      <c r="D258" s="4">
        <v>3.89</v>
      </c>
      <c r="E258" s="4">
        <v>3.0785058562836398</v>
      </c>
      <c r="F258" s="4">
        <v>3.0785093511625798</v>
      </c>
      <c r="G258" s="4">
        <v>137.83080000000001</v>
      </c>
      <c r="H258" s="4">
        <v>-13.7425370799173</v>
      </c>
      <c r="I258" s="4">
        <v>125.56</v>
      </c>
      <c r="J258" s="4">
        <v>131</v>
      </c>
      <c r="K258" s="4">
        <v>125.51</v>
      </c>
      <c r="L258" s="4">
        <v>-18.486763877589301</v>
      </c>
    </row>
    <row r="259" spans="1:12" ht="15" customHeight="1" x14ac:dyDescent="0.2">
      <c r="A259" s="6">
        <v>45677</v>
      </c>
      <c r="B259" s="7">
        <v>126.36</v>
      </c>
      <c r="C259" s="8">
        <v>87778</v>
      </c>
      <c r="D259" s="7">
        <v>1.84</v>
      </c>
      <c r="E259" s="7">
        <v>1.4776742691936899</v>
      </c>
      <c r="F259" s="7">
        <v>1.4776808417324301</v>
      </c>
      <c r="G259" s="7">
        <v>133.71439000000001</v>
      </c>
      <c r="H259" s="7">
        <v>-16.318674510294699</v>
      </c>
      <c r="I259" s="7">
        <v>125</v>
      </c>
      <c r="J259" s="7">
        <v>126.78</v>
      </c>
      <c r="K259" s="7">
        <v>123.68</v>
      </c>
      <c r="L259" s="7">
        <v>-20.921209086926499</v>
      </c>
    </row>
    <row r="260" spans="1:12" ht="15" customHeight="1" x14ac:dyDescent="0.2">
      <c r="A260" s="3">
        <v>45674</v>
      </c>
      <c r="B260" s="4">
        <v>124.52</v>
      </c>
      <c r="C260" s="5">
        <v>572584</v>
      </c>
      <c r="D260" s="4">
        <v>-3.14</v>
      </c>
      <c r="E260" s="4">
        <v>-2.4596584678051001</v>
      </c>
      <c r="F260" s="4">
        <v>-2.4596702377658199</v>
      </c>
      <c r="G260" s="4">
        <v>131.76729</v>
      </c>
      <c r="H260" s="4">
        <v>-17.537211339883498</v>
      </c>
      <c r="I260" s="4">
        <v>128.38</v>
      </c>
      <c r="J260" s="4">
        <v>130</v>
      </c>
      <c r="K260" s="4">
        <v>123.48</v>
      </c>
      <c r="L260" s="4">
        <v>-22.0727204455848</v>
      </c>
    </row>
    <row r="261" spans="1:12" ht="15" customHeight="1" x14ac:dyDescent="0.2">
      <c r="A261" s="6">
        <v>45673</v>
      </c>
      <c r="B261" s="7">
        <v>127.66</v>
      </c>
      <c r="C261" s="8">
        <v>838809</v>
      </c>
      <c r="D261" s="7">
        <v>-0.96999999999999797</v>
      </c>
      <c r="E261" s="7">
        <v>-0.75410090958563103</v>
      </c>
      <c r="F261" s="7">
        <v>-0.754103910385028</v>
      </c>
      <c r="G261" s="7">
        <v>135.09005999999999</v>
      </c>
      <c r="H261" s="7">
        <v>-15.4577507979222</v>
      </c>
      <c r="I261" s="7">
        <v>128.5</v>
      </c>
      <c r="J261" s="7">
        <v>128.74</v>
      </c>
      <c r="K261" s="7">
        <v>126.71</v>
      </c>
      <c r="L261" s="7">
        <v>-20.1076412791789</v>
      </c>
    </row>
    <row r="262" spans="1:12" ht="15" customHeight="1" x14ac:dyDescent="0.2">
      <c r="A262" s="3">
        <v>45672</v>
      </c>
      <c r="B262" s="4">
        <v>128.63</v>
      </c>
      <c r="C262" s="5">
        <v>732272</v>
      </c>
      <c r="D262" s="4">
        <v>7.1599999999999904</v>
      </c>
      <c r="E262" s="4">
        <v>5.8944595373343098</v>
      </c>
      <c r="F262" s="4">
        <v>5.89447095677306</v>
      </c>
      <c r="G262" s="4">
        <v>136.11652000000001</v>
      </c>
      <c r="H262" s="4">
        <v>-14.8153701733525</v>
      </c>
      <c r="I262" s="4">
        <v>120.99</v>
      </c>
      <c r="J262" s="4">
        <v>129.27000000000001</v>
      </c>
      <c r="K262" s="4">
        <v>120.99</v>
      </c>
      <c r="L262" s="4">
        <v>-19.500594530320999</v>
      </c>
    </row>
    <row r="263" spans="1:12" ht="15" customHeight="1" x14ac:dyDescent="0.2">
      <c r="A263" s="6">
        <v>45671</v>
      </c>
      <c r="B263" s="7">
        <v>121.47</v>
      </c>
      <c r="C263" s="8">
        <v>1141128</v>
      </c>
      <c r="D263" s="7">
        <v>5.0199999999999898</v>
      </c>
      <c r="E263" s="7">
        <v>4.31086303134391</v>
      </c>
      <c r="F263" s="7">
        <v>4.3108602041376898</v>
      </c>
      <c r="G263" s="7">
        <v>128.53978000000001</v>
      </c>
      <c r="H263" s="7">
        <v>-19.557056136178701</v>
      </c>
      <c r="I263" s="7">
        <v>116.26</v>
      </c>
      <c r="J263" s="7">
        <v>122.03</v>
      </c>
      <c r="K263" s="7">
        <v>116.26</v>
      </c>
      <c r="L263" s="7">
        <v>-23.981475686838898</v>
      </c>
    </row>
    <row r="264" spans="1:12" ht="15" customHeight="1" x14ac:dyDescent="0.2">
      <c r="A264" s="3">
        <v>45670</v>
      </c>
      <c r="B264" s="4">
        <v>116.45</v>
      </c>
      <c r="C264" s="5">
        <v>341218</v>
      </c>
      <c r="D264" s="4">
        <v>-2.0199999999999898</v>
      </c>
      <c r="E264" s="4">
        <v>-1.70507301426521</v>
      </c>
      <c r="F264" s="4">
        <v>-1.70507472649104</v>
      </c>
      <c r="G264" s="4">
        <v>123.22761</v>
      </c>
      <c r="H264" s="4">
        <v>-22.8815257525502</v>
      </c>
      <c r="I264" s="4">
        <v>118.24</v>
      </c>
      <c r="J264" s="4">
        <v>118.24</v>
      </c>
      <c r="K264" s="4">
        <v>116.08</v>
      </c>
      <c r="L264" s="4">
        <v>-27.123099067526098</v>
      </c>
    </row>
    <row r="265" spans="1:12" ht="15" customHeight="1" x14ac:dyDescent="0.2">
      <c r="A265" s="6">
        <v>45667</v>
      </c>
      <c r="B265" s="7">
        <v>118.47</v>
      </c>
      <c r="C265" s="8">
        <v>599499</v>
      </c>
      <c r="D265" s="7">
        <v>-0.68999999999999695</v>
      </c>
      <c r="E265" s="7">
        <v>-0.57905337361530096</v>
      </c>
      <c r="F265" s="7">
        <v>-0.57905391269812401</v>
      </c>
      <c r="G265" s="7">
        <v>125.36518</v>
      </c>
      <c r="H265" s="7">
        <v>-21.543788722698501</v>
      </c>
      <c r="I265" s="7">
        <v>118.35</v>
      </c>
      <c r="J265" s="7">
        <v>119.37</v>
      </c>
      <c r="K265" s="7">
        <v>116.35</v>
      </c>
      <c r="L265" s="7">
        <v>-25.858939858564302</v>
      </c>
    </row>
    <row r="266" spans="1:12" ht="15" customHeight="1" x14ac:dyDescent="0.2">
      <c r="A266" s="3">
        <v>45666</v>
      </c>
      <c r="B266" s="4">
        <v>119.16</v>
      </c>
      <c r="C266" s="5">
        <v>91402</v>
      </c>
      <c r="D266" s="4">
        <v>0.29999999999999699</v>
      </c>
      <c r="E266" s="4">
        <v>0.25239777889953702</v>
      </c>
      <c r="F266" s="4">
        <v>0.25239732137321003</v>
      </c>
      <c r="G266" s="4">
        <v>126.09533999999999</v>
      </c>
      <c r="H266" s="4">
        <v>-21.086838976156201</v>
      </c>
      <c r="I266" s="4">
        <v>119.21</v>
      </c>
      <c r="J266" s="4">
        <v>120.48</v>
      </c>
      <c r="K266" s="4">
        <v>117.51</v>
      </c>
      <c r="L266" s="4">
        <v>-25.427123099067501</v>
      </c>
    </row>
    <row r="267" spans="1:12" ht="15" customHeight="1" x14ac:dyDescent="0.2">
      <c r="A267" s="6">
        <v>45665</v>
      </c>
      <c r="B267" s="7">
        <v>118.86</v>
      </c>
      <c r="C267" s="8">
        <v>682444</v>
      </c>
      <c r="D267" s="7">
        <v>-1.46999999999999</v>
      </c>
      <c r="E267" s="7">
        <v>-1.22164048865619</v>
      </c>
      <c r="F267" s="7">
        <v>-1.2216390769635601</v>
      </c>
      <c r="G267" s="7">
        <v>125.77788</v>
      </c>
      <c r="H267" s="7">
        <v>-21.285512234808099</v>
      </c>
      <c r="I267" s="7">
        <v>120.29</v>
      </c>
      <c r="J267" s="7">
        <v>120.29</v>
      </c>
      <c r="K267" s="7">
        <v>116.34</v>
      </c>
      <c r="L267" s="7">
        <v>-25.614869516239999</v>
      </c>
    </row>
    <row r="268" spans="1:12" ht="15" customHeight="1" x14ac:dyDescent="0.2">
      <c r="A268" s="3">
        <v>45664</v>
      </c>
      <c r="B268" s="4">
        <v>120.33</v>
      </c>
      <c r="C268" s="5">
        <v>261661</v>
      </c>
      <c r="D268" s="4">
        <v>3.1599999999999899</v>
      </c>
      <c r="E268" s="4">
        <v>2.6969360757873102</v>
      </c>
      <c r="F268" s="4">
        <v>2.6969418622591501</v>
      </c>
      <c r="G268" s="4">
        <v>127.33343499999999</v>
      </c>
      <c r="H268" s="4">
        <v>-20.312012641591998</v>
      </c>
      <c r="I268" s="4">
        <v>118.72</v>
      </c>
      <c r="J268" s="4">
        <v>120.97</v>
      </c>
      <c r="K268" s="4">
        <v>116.24</v>
      </c>
      <c r="L268" s="4">
        <v>-24.694912072094599</v>
      </c>
    </row>
    <row r="269" spans="1:12" ht="15" customHeight="1" x14ac:dyDescent="0.2">
      <c r="A269" s="6">
        <v>45663</v>
      </c>
      <c r="B269" s="7">
        <v>117.17</v>
      </c>
      <c r="C269" s="8">
        <v>1064598</v>
      </c>
      <c r="D269" s="7">
        <v>0.15999999999999601</v>
      </c>
      <c r="E269" s="7">
        <v>0.13674044953422201</v>
      </c>
      <c r="F269" s="7">
        <v>0.136733741179528</v>
      </c>
      <c r="G269" s="7">
        <v>123.98951</v>
      </c>
      <c r="H269" s="7">
        <v>-22.404712435071001</v>
      </c>
      <c r="I269" s="7">
        <v>119.49</v>
      </c>
      <c r="J269" s="7">
        <v>119.81</v>
      </c>
      <c r="K269" s="7">
        <v>115.01</v>
      </c>
      <c r="L269" s="7">
        <v>-26.672507666312001</v>
      </c>
    </row>
    <row r="270" spans="1:12" ht="15" customHeight="1" x14ac:dyDescent="0.2">
      <c r="A270" s="3">
        <v>45660</v>
      </c>
      <c r="B270" s="4">
        <v>117.01</v>
      </c>
      <c r="C270" s="5">
        <v>476892</v>
      </c>
      <c r="D270" s="4">
        <v>-0.11999999999999</v>
      </c>
      <c r="E270" s="4">
        <v>-0.102450268931952</v>
      </c>
      <c r="F270" s="4">
        <v>-0.102442024094462</v>
      </c>
      <c r="G270" s="4">
        <v>123.820206</v>
      </c>
      <c r="H270" s="4">
        <v>-22.5106664997809</v>
      </c>
      <c r="I270" s="4">
        <v>116.03</v>
      </c>
      <c r="J270" s="4">
        <v>119.03</v>
      </c>
      <c r="K270" s="4">
        <v>114.62</v>
      </c>
      <c r="L270" s="4">
        <v>-26.772639088803999</v>
      </c>
    </row>
    <row r="271" spans="1:12" ht="15" customHeight="1" x14ac:dyDescent="0.2">
      <c r="A271" s="6">
        <v>45659</v>
      </c>
      <c r="B271" s="7">
        <v>117.13</v>
      </c>
      <c r="C271" s="8">
        <v>236455</v>
      </c>
      <c r="D271" s="7">
        <v>6.9999999999993096E-2</v>
      </c>
      <c r="E271" s="7">
        <v>5.9798393985976903E-2</v>
      </c>
      <c r="F271" s="7">
        <v>5.9795059638045801E-2</v>
      </c>
      <c r="G271" s="7">
        <v>123.94718</v>
      </c>
      <c r="H271" s="7">
        <v>-22.431203454534</v>
      </c>
      <c r="I271" s="7">
        <v>118.04</v>
      </c>
      <c r="J271" s="7">
        <v>119.67</v>
      </c>
      <c r="K271" s="7">
        <v>116.03</v>
      </c>
      <c r="L271" s="7">
        <v>-26.697540521935</v>
      </c>
    </row>
    <row r="272" spans="1:12" ht="15" customHeight="1" x14ac:dyDescent="0.2">
      <c r="A272" s="3">
        <v>45657</v>
      </c>
      <c r="B272" s="4">
        <v>117.06</v>
      </c>
      <c r="C272" s="5">
        <v>158348</v>
      </c>
      <c r="D272" s="4">
        <v>0.54000000000000603</v>
      </c>
      <c r="E272" s="4">
        <v>0.46343975283213901</v>
      </c>
      <c r="F272" s="4">
        <v>0.46344056301583703</v>
      </c>
      <c r="G272" s="4">
        <v>123.87311</v>
      </c>
      <c r="H272" s="4">
        <v>-22.4775580449339</v>
      </c>
      <c r="I272" s="4">
        <v>115.93</v>
      </c>
      <c r="J272" s="4">
        <v>117.49</v>
      </c>
      <c r="K272" s="4">
        <v>114.84</v>
      </c>
      <c r="L272" s="4">
        <v>-26.7413480192752</v>
      </c>
    </row>
    <row r="273" spans="1:12" ht="15" customHeight="1" x14ac:dyDescent="0.2">
      <c r="A273" s="6">
        <v>45656</v>
      </c>
      <c r="B273" s="7">
        <v>116.52</v>
      </c>
      <c r="C273" s="8">
        <v>285615</v>
      </c>
      <c r="D273" s="7">
        <v>0.46999999999999797</v>
      </c>
      <c r="E273" s="7">
        <v>0.40499784575613801</v>
      </c>
      <c r="F273" s="7">
        <v>0.40499386300141199</v>
      </c>
      <c r="G273" s="7">
        <v>123.30168</v>
      </c>
      <c r="H273" s="7">
        <v>-22.835171162150299</v>
      </c>
      <c r="I273" s="7">
        <v>117.71</v>
      </c>
      <c r="J273" s="7">
        <v>117.71</v>
      </c>
      <c r="K273" s="7">
        <v>113.57</v>
      </c>
      <c r="L273" s="7">
        <v>-27.079291570185799</v>
      </c>
    </row>
    <row r="274" spans="1:12" ht="15" customHeight="1" x14ac:dyDescent="0.2">
      <c r="A274" s="3">
        <v>45653</v>
      </c>
      <c r="B274" s="4">
        <v>116.05</v>
      </c>
      <c r="C274" s="5">
        <v>437373</v>
      </c>
      <c r="D274" s="4">
        <v>-0.60000000000000797</v>
      </c>
      <c r="E274" s="4">
        <v>-0.51435919417059905</v>
      </c>
      <c r="F274" s="4">
        <v>-0.51436230719312803</v>
      </c>
      <c r="G274" s="4">
        <v>122.80432999999999</v>
      </c>
      <c r="H274" s="4">
        <v>-23.146423430752801</v>
      </c>
      <c r="I274" s="4">
        <v>118.02</v>
      </c>
      <c r="J274" s="4">
        <v>122.54</v>
      </c>
      <c r="K274" s="4">
        <v>115.88</v>
      </c>
      <c r="L274" s="4">
        <v>-27.373427623756101</v>
      </c>
    </row>
    <row r="275" spans="1:12" ht="15" customHeight="1" x14ac:dyDescent="0.2">
      <c r="A275" s="6">
        <v>45652</v>
      </c>
      <c r="B275" s="7">
        <v>116.65</v>
      </c>
      <c r="C275" s="8">
        <v>100747</v>
      </c>
      <c r="D275" s="7">
        <v>-1.18999999999999</v>
      </c>
      <c r="E275" s="7">
        <v>-1.0098438560760301</v>
      </c>
      <c r="F275" s="7">
        <v>-1.0098396524545401</v>
      </c>
      <c r="G275" s="7">
        <v>123.439255</v>
      </c>
      <c r="H275" s="7">
        <v>-22.749073784341899</v>
      </c>
      <c r="I275" s="7">
        <v>118.21</v>
      </c>
      <c r="J275" s="7">
        <v>121.98</v>
      </c>
      <c r="K275" s="7">
        <v>116.3</v>
      </c>
      <c r="L275" s="7">
        <v>-26.997934789411001</v>
      </c>
    </row>
    <row r="276" spans="1:12" ht="15" customHeight="1" x14ac:dyDescent="0.2">
      <c r="A276" s="3">
        <v>45650</v>
      </c>
      <c r="B276" s="4">
        <v>117.84</v>
      </c>
      <c r="C276" s="5">
        <v>44421</v>
      </c>
      <c r="D276" s="4">
        <v>-1.2999999999999901</v>
      </c>
      <c r="E276" s="4">
        <v>-1.0911532650663001</v>
      </c>
      <c r="F276" s="4">
        <v>-1.09115134368918</v>
      </c>
      <c r="G276" s="4">
        <v>124.69851</v>
      </c>
      <c r="H276" s="4">
        <v>-21.961005069153199</v>
      </c>
      <c r="I276" s="4">
        <v>119.21</v>
      </c>
      <c r="J276" s="4">
        <v>119.21</v>
      </c>
      <c r="K276" s="4">
        <v>117.35</v>
      </c>
      <c r="L276" s="4">
        <v>-26.253207334626602</v>
      </c>
    </row>
    <row r="277" spans="1:12" ht="15" customHeight="1" x14ac:dyDescent="0.2">
      <c r="A277" s="6">
        <v>45649</v>
      </c>
      <c r="B277" s="7">
        <v>119.14</v>
      </c>
      <c r="C277" s="8">
        <v>151548</v>
      </c>
      <c r="D277" s="7">
        <v>-1.89</v>
      </c>
      <c r="E277" s="7">
        <v>-1.5615962984384</v>
      </c>
      <c r="F277" s="7">
        <v>-1.56159512882263</v>
      </c>
      <c r="G277" s="7">
        <v>126.07417</v>
      </c>
      <c r="H277" s="7">
        <v>-21.1000876149946</v>
      </c>
      <c r="I277" s="7">
        <v>121.03</v>
      </c>
      <c r="J277" s="7">
        <v>121.05</v>
      </c>
      <c r="K277" s="7">
        <v>118.02</v>
      </c>
      <c r="L277" s="7">
        <v>-25.439639526878999</v>
      </c>
    </row>
    <row r="278" spans="1:12" ht="15" customHeight="1" x14ac:dyDescent="0.2">
      <c r="A278" s="3">
        <v>45646</v>
      </c>
      <c r="B278" s="4">
        <v>121.03</v>
      </c>
      <c r="C278" s="5">
        <v>1314650</v>
      </c>
      <c r="D278" s="4">
        <v>2.89</v>
      </c>
      <c r="E278" s="4">
        <v>2.44625021161333</v>
      </c>
      <c r="F278" s="4">
        <v>2.4462474674235599</v>
      </c>
      <c r="G278" s="4">
        <v>128.07417000000001</v>
      </c>
      <c r="H278" s="4">
        <v>-19.8484448338444</v>
      </c>
      <c r="I278" s="4">
        <v>117.54</v>
      </c>
      <c r="J278" s="4">
        <v>122.59</v>
      </c>
      <c r="K278" s="4">
        <v>117.54</v>
      </c>
      <c r="L278" s="4">
        <v>-24.256837098691999</v>
      </c>
    </row>
    <row r="279" spans="1:12" ht="15" customHeight="1" x14ac:dyDescent="0.2">
      <c r="A279" s="6">
        <v>45645</v>
      </c>
      <c r="B279" s="7">
        <v>118.14</v>
      </c>
      <c r="C279" s="8">
        <v>742648</v>
      </c>
      <c r="D279" s="7">
        <v>-4.6099999999999897</v>
      </c>
      <c r="E279" s="7">
        <v>-3.7556008146639499</v>
      </c>
      <c r="F279" s="7">
        <v>-3.75560773302661</v>
      </c>
      <c r="G279" s="7">
        <v>125.01597</v>
      </c>
      <c r="H279" s="7">
        <v>-21.762331810501198</v>
      </c>
      <c r="I279" s="7">
        <v>121.05</v>
      </c>
      <c r="J279" s="7">
        <v>123.26</v>
      </c>
      <c r="K279" s="7">
        <v>117.34</v>
      </c>
      <c r="L279" s="7">
        <v>-26.0654609174541</v>
      </c>
    </row>
    <row r="280" spans="1:12" ht="15" customHeight="1" x14ac:dyDescent="0.2">
      <c r="A280" s="3">
        <v>45644</v>
      </c>
      <c r="B280" s="4">
        <v>122.75</v>
      </c>
      <c r="C280" s="5">
        <v>710985</v>
      </c>
      <c r="D280" s="4">
        <v>-7.5500000000000096</v>
      </c>
      <c r="E280" s="4">
        <v>-5.7943207981581004</v>
      </c>
      <c r="F280" s="4">
        <v>-5.7943175448354198</v>
      </c>
      <c r="G280" s="4">
        <v>129.89429000000001</v>
      </c>
      <c r="H280" s="4">
        <v>-18.709374804430801</v>
      </c>
      <c r="I280" s="4">
        <v>129.09</v>
      </c>
      <c r="J280" s="4">
        <v>130.65</v>
      </c>
      <c r="K280" s="4">
        <v>122.26</v>
      </c>
      <c r="L280" s="4">
        <v>-23.1804243069028</v>
      </c>
    </row>
    <row r="281" spans="1:12" ht="15" customHeight="1" x14ac:dyDescent="0.2">
      <c r="A281" s="6">
        <v>45643</v>
      </c>
      <c r="B281" s="7">
        <v>130.30000000000001</v>
      </c>
      <c r="C281" s="8">
        <v>1448857</v>
      </c>
      <c r="D281" s="7">
        <v>0.84000000000000297</v>
      </c>
      <c r="E281" s="7">
        <v>0.64884906534836695</v>
      </c>
      <c r="F281" s="7">
        <v>0.64884200374568601</v>
      </c>
      <c r="G281" s="7">
        <v>137.88371000000001</v>
      </c>
      <c r="H281" s="7">
        <v>-13.709424870142</v>
      </c>
      <c r="I281" s="7">
        <v>127.31</v>
      </c>
      <c r="J281" s="7">
        <v>133.81</v>
      </c>
      <c r="K281" s="7">
        <v>127.31</v>
      </c>
      <c r="L281" s="7">
        <v>-18.455472808060499</v>
      </c>
    </row>
    <row r="282" spans="1:12" ht="15" customHeight="1" x14ac:dyDescent="0.2">
      <c r="A282" s="3">
        <v>45642</v>
      </c>
      <c r="B282" s="4">
        <v>129.46</v>
      </c>
      <c r="C282" s="5">
        <v>713787</v>
      </c>
      <c r="D282" s="4">
        <v>3.6400000000000099</v>
      </c>
      <c r="E282" s="4">
        <v>2.8930217771419602</v>
      </c>
      <c r="F282" s="4">
        <v>2.8930331727640799</v>
      </c>
      <c r="G282" s="4">
        <v>136.99483000000001</v>
      </c>
      <c r="H282" s="4">
        <v>-14.265704987796401</v>
      </c>
      <c r="I282" s="4">
        <v>126.39</v>
      </c>
      <c r="J282" s="4">
        <v>129.99</v>
      </c>
      <c r="K282" s="4">
        <v>125.5</v>
      </c>
      <c r="L282" s="4">
        <v>-18.981162776143599</v>
      </c>
    </row>
    <row r="283" spans="1:12" ht="15" customHeight="1" x14ac:dyDescent="0.2">
      <c r="A283" s="6">
        <v>45639</v>
      </c>
      <c r="B283" s="7">
        <v>125.82</v>
      </c>
      <c r="C283" s="8">
        <v>718909</v>
      </c>
      <c r="D283" s="7">
        <v>4.3699999999999903</v>
      </c>
      <c r="E283" s="7">
        <v>3.5981885549608701</v>
      </c>
      <c r="F283" s="7">
        <v>3.5981867841406698</v>
      </c>
      <c r="G283" s="7">
        <v>133.14295999999999</v>
      </c>
      <c r="H283" s="7">
        <v>-16.676287627511101</v>
      </c>
      <c r="I283" s="7">
        <v>123.36</v>
      </c>
      <c r="J283" s="7">
        <v>127.6</v>
      </c>
      <c r="K283" s="7">
        <v>123.04</v>
      </c>
      <c r="L283" s="7">
        <v>-21.259152637837101</v>
      </c>
    </row>
    <row r="284" spans="1:12" ht="15" customHeight="1" x14ac:dyDescent="0.2">
      <c r="A284" s="3">
        <v>45637</v>
      </c>
      <c r="B284" s="4">
        <v>121.45</v>
      </c>
      <c r="C284" s="5">
        <v>597233</v>
      </c>
      <c r="D284" s="4">
        <v>-0.75</v>
      </c>
      <c r="E284" s="4">
        <v>-0.61374795417348205</v>
      </c>
      <c r="F284" s="4">
        <v>-0.61374686253672295</v>
      </c>
      <c r="G284" s="4">
        <v>128.51862</v>
      </c>
      <c r="H284" s="4">
        <v>-19.570298516803302</v>
      </c>
      <c r="I284" s="4">
        <v>122.29</v>
      </c>
      <c r="J284" s="4">
        <v>122.85</v>
      </c>
      <c r="K284" s="4">
        <v>119.92</v>
      </c>
      <c r="L284" s="4">
        <v>-23.9939921146504</v>
      </c>
    </row>
    <row r="285" spans="1:12" ht="15" customHeight="1" x14ac:dyDescent="0.2">
      <c r="A285" s="6">
        <v>45636</v>
      </c>
      <c r="B285" s="7">
        <v>122.2</v>
      </c>
      <c r="C285" s="8">
        <v>355274</v>
      </c>
      <c r="D285" s="7">
        <v>-2.8499999999999899</v>
      </c>
      <c r="E285" s="7">
        <v>-2.2790883646541298</v>
      </c>
      <c r="F285" s="7">
        <v>-2.2790991728442198</v>
      </c>
      <c r="G285" s="7">
        <v>129.31227000000001</v>
      </c>
      <c r="H285" s="7">
        <v>-19.0736153701733</v>
      </c>
      <c r="I285" s="7">
        <v>125.75</v>
      </c>
      <c r="J285" s="7">
        <v>125.75</v>
      </c>
      <c r="K285" s="7">
        <v>121.49</v>
      </c>
      <c r="L285" s="7">
        <v>-23.524626071719101</v>
      </c>
    </row>
    <row r="286" spans="1:12" ht="15" customHeight="1" x14ac:dyDescent="0.2">
      <c r="A286" s="3">
        <v>45635</v>
      </c>
      <c r="B286" s="4">
        <v>125.05</v>
      </c>
      <c r="C286" s="5">
        <v>425820</v>
      </c>
      <c r="D286" s="4">
        <v>1.03</v>
      </c>
      <c r="E286" s="4">
        <v>0.83051120786969901</v>
      </c>
      <c r="F286" s="4">
        <v>0.83052806503960397</v>
      </c>
      <c r="G286" s="4">
        <v>132.32816</v>
      </c>
      <c r="H286" s="4">
        <v>-17.186206896551699</v>
      </c>
      <c r="I286" s="4">
        <v>125.65</v>
      </c>
      <c r="J286" s="4">
        <v>127.98</v>
      </c>
      <c r="K286" s="4">
        <v>123.78</v>
      </c>
      <c r="L286" s="4">
        <v>-21.74103510858</v>
      </c>
    </row>
    <row r="287" spans="1:12" ht="15" customHeight="1" x14ac:dyDescent="0.2">
      <c r="A287" s="6">
        <v>45632</v>
      </c>
      <c r="B287" s="7">
        <v>124.02</v>
      </c>
      <c r="C287" s="8">
        <v>339627</v>
      </c>
      <c r="D287" s="7">
        <v>-0.93000000000000604</v>
      </c>
      <c r="E287" s="7">
        <v>-0.74429771908763798</v>
      </c>
      <c r="F287" s="7">
        <v>-0.744299449593677</v>
      </c>
      <c r="G287" s="7">
        <v>131.23819</v>
      </c>
      <c r="H287" s="7">
        <v>-17.868333437636799</v>
      </c>
      <c r="I287" s="7">
        <v>125.99</v>
      </c>
      <c r="J287" s="7">
        <v>125.99</v>
      </c>
      <c r="K287" s="7">
        <v>120.81</v>
      </c>
      <c r="L287" s="7">
        <v>-22.385631140872299</v>
      </c>
    </row>
    <row r="288" spans="1:12" ht="15" customHeight="1" x14ac:dyDescent="0.2">
      <c r="A288" s="3">
        <v>45631</v>
      </c>
      <c r="B288" s="4">
        <v>124.95</v>
      </c>
      <c r="C288" s="5">
        <v>396823</v>
      </c>
      <c r="D288" s="4">
        <v>3.56</v>
      </c>
      <c r="E288" s="4">
        <v>2.9326962682263802</v>
      </c>
      <c r="F288" s="4">
        <v>2.9326974277086002</v>
      </c>
      <c r="G288" s="4">
        <v>132.22232</v>
      </c>
      <c r="H288" s="4">
        <v>-17.252443832530101</v>
      </c>
      <c r="I288" s="4">
        <v>121.34</v>
      </c>
      <c r="J288" s="4">
        <v>127.29</v>
      </c>
      <c r="K288" s="4">
        <v>120.9</v>
      </c>
      <c r="L288" s="4">
        <v>-21.803617247637501</v>
      </c>
    </row>
    <row r="289" spans="1:12" ht="15" customHeight="1" x14ac:dyDescent="0.2">
      <c r="A289" s="6">
        <v>45630</v>
      </c>
      <c r="B289" s="7">
        <v>121.39</v>
      </c>
      <c r="C289" s="8">
        <v>628729</v>
      </c>
      <c r="D289" s="7">
        <v>1.17</v>
      </c>
      <c r="E289" s="7">
        <v>0.97321577108633295</v>
      </c>
      <c r="F289" s="7">
        <v>0.97321089794346605</v>
      </c>
      <c r="G289" s="7">
        <v>128.45511999999999</v>
      </c>
      <c r="H289" s="7">
        <v>-19.610038175104801</v>
      </c>
      <c r="I289" s="7">
        <v>119.61</v>
      </c>
      <c r="J289" s="7">
        <v>122.48</v>
      </c>
      <c r="K289" s="7">
        <v>118</v>
      </c>
      <c r="L289" s="7">
        <v>-24.031541398084901</v>
      </c>
    </row>
    <row r="290" spans="1:12" ht="15" customHeight="1" x14ac:dyDescent="0.2">
      <c r="A290" s="3">
        <v>45629</v>
      </c>
      <c r="B290" s="4">
        <v>120.22</v>
      </c>
      <c r="C290" s="5">
        <v>477810</v>
      </c>
      <c r="D290" s="4">
        <v>0.62000000000000399</v>
      </c>
      <c r="E290" s="4">
        <v>0.51839464882943398</v>
      </c>
      <c r="F290" s="4">
        <v>0.51839848850678805</v>
      </c>
      <c r="G290" s="4">
        <v>127.21702999999999</v>
      </c>
      <c r="H290" s="4">
        <v>-20.384861380561901</v>
      </c>
      <c r="I290" s="4">
        <v>119.86</v>
      </c>
      <c r="J290" s="4">
        <v>120.58</v>
      </c>
      <c r="K290" s="4">
        <v>115.82</v>
      </c>
      <c r="L290" s="4">
        <v>-24.763752425057799</v>
      </c>
    </row>
    <row r="291" spans="1:12" ht="15" customHeight="1" x14ac:dyDescent="0.2">
      <c r="A291" s="6">
        <v>45628</v>
      </c>
      <c r="B291" s="7">
        <v>119.6</v>
      </c>
      <c r="C291" s="8">
        <v>2312398</v>
      </c>
      <c r="D291" s="7">
        <v>6.46999999999999</v>
      </c>
      <c r="E291" s="7">
        <v>5.7190842393706403</v>
      </c>
      <c r="F291" s="7">
        <v>5.7190790279329802</v>
      </c>
      <c r="G291" s="7">
        <v>126.56094</v>
      </c>
      <c r="H291" s="7">
        <v>-20.7954565367044</v>
      </c>
      <c r="I291" s="7">
        <v>113.64</v>
      </c>
      <c r="J291" s="7">
        <v>120.5</v>
      </c>
      <c r="K291" s="7">
        <v>113.64</v>
      </c>
      <c r="L291" s="7">
        <v>-25.1517616872144</v>
      </c>
    </row>
    <row r="292" spans="1:12" ht="15" customHeight="1" x14ac:dyDescent="0.2">
      <c r="A292" s="3">
        <v>45625</v>
      </c>
      <c r="B292" s="4">
        <v>113.13</v>
      </c>
      <c r="C292" s="5">
        <v>309757</v>
      </c>
      <c r="D292" s="4">
        <v>-2.39</v>
      </c>
      <c r="E292" s="4">
        <v>-2.0689058171745098</v>
      </c>
      <c r="F292" s="4">
        <v>-2.0689037975685798</v>
      </c>
      <c r="G292" s="4">
        <v>119.71438000000001</v>
      </c>
      <c r="H292" s="4">
        <v>-25.080180236560398</v>
      </c>
      <c r="I292" s="4">
        <v>114.84</v>
      </c>
      <c r="J292" s="4">
        <v>115.42</v>
      </c>
      <c r="K292" s="4">
        <v>112.21</v>
      </c>
      <c r="L292" s="4">
        <v>-29.200826084235501</v>
      </c>
    </row>
    <row r="293" spans="1:12" ht="15" customHeight="1" x14ac:dyDescent="0.2">
      <c r="A293" s="6">
        <v>45624</v>
      </c>
      <c r="B293" s="7">
        <v>115.52</v>
      </c>
      <c r="C293" s="8">
        <v>135576</v>
      </c>
      <c r="D293" s="7">
        <v>0.84999999999999398</v>
      </c>
      <c r="E293" s="7">
        <v>0.74125752158367098</v>
      </c>
      <c r="F293" s="7">
        <v>0.74125620209848297</v>
      </c>
      <c r="G293" s="7">
        <v>122.24348000000001</v>
      </c>
      <c r="H293" s="7">
        <v>-23.497415357656902</v>
      </c>
      <c r="I293" s="7">
        <v>114.97</v>
      </c>
      <c r="J293" s="7">
        <v>116.63</v>
      </c>
      <c r="K293" s="7">
        <v>114.8</v>
      </c>
      <c r="L293" s="7">
        <v>-27.705112960760999</v>
      </c>
    </row>
    <row r="294" spans="1:12" ht="15" customHeight="1" x14ac:dyDescent="0.2">
      <c r="A294" s="3">
        <v>45623</v>
      </c>
      <c r="B294" s="4">
        <v>114.67</v>
      </c>
      <c r="C294" s="5">
        <v>547518</v>
      </c>
      <c r="D294" s="4">
        <v>0.219999999999998</v>
      </c>
      <c r="E294" s="4">
        <v>0.192223678462211</v>
      </c>
      <c r="F294" s="4">
        <v>3.5124448915106101</v>
      </c>
      <c r="G294" s="4">
        <v>121.34401</v>
      </c>
      <c r="H294" s="4">
        <v>-24.0603229238375</v>
      </c>
      <c r="I294" s="4">
        <v>113</v>
      </c>
      <c r="J294" s="4">
        <v>115.95</v>
      </c>
      <c r="K294" s="4">
        <v>112.13</v>
      </c>
      <c r="L294" s="4">
        <v>-28.237061142749798</v>
      </c>
    </row>
    <row r="295" spans="1:12" ht="15" customHeight="1" x14ac:dyDescent="0.2">
      <c r="A295" s="6">
        <v>45622</v>
      </c>
      <c r="B295" s="7">
        <v>114.45</v>
      </c>
      <c r="C295" s="8">
        <v>454826</v>
      </c>
      <c r="D295" s="7">
        <v>-2.3299999999999899</v>
      </c>
      <c r="E295" s="7">
        <v>-1.9952046583319001</v>
      </c>
      <c r="F295" s="7">
        <v>-1.99520095697948</v>
      </c>
      <c r="G295" s="7">
        <v>117.226494</v>
      </c>
      <c r="H295" s="7">
        <v>-26.637152512672799</v>
      </c>
      <c r="I295" s="7">
        <v>117.32</v>
      </c>
      <c r="J295" s="7">
        <v>117.32</v>
      </c>
      <c r="K295" s="7">
        <v>114.01</v>
      </c>
      <c r="L295" s="7">
        <v>-28.374741848676301</v>
      </c>
    </row>
    <row r="296" spans="1:12" ht="15" customHeight="1" x14ac:dyDescent="0.2">
      <c r="A296" s="3">
        <v>45621</v>
      </c>
      <c r="B296" s="4">
        <v>116.78</v>
      </c>
      <c r="C296" s="5">
        <v>1802027</v>
      </c>
      <c r="D296" s="4">
        <v>2.6899999999999902</v>
      </c>
      <c r="E296" s="4">
        <v>2.3577877114558699</v>
      </c>
      <c r="F296" s="4">
        <v>2.3577843696473502</v>
      </c>
      <c r="G296" s="4">
        <v>119.61301400000001</v>
      </c>
      <c r="H296" s="4">
        <v>-25.143617247637501</v>
      </c>
      <c r="I296" s="4">
        <v>114.61</v>
      </c>
      <c r="J296" s="4">
        <v>117.55</v>
      </c>
      <c r="K296" s="4">
        <v>114.38</v>
      </c>
      <c r="L296" s="4">
        <v>-26.9165780086363</v>
      </c>
    </row>
    <row r="297" spans="1:12" ht="15" customHeight="1" x14ac:dyDescent="0.2">
      <c r="A297" s="6">
        <v>45618</v>
      </c>
      <c r="B297" s="7">
        <v>114.09</v>
      </c>
      <c r="C297" s="8">
        <v>680053</v>
      </c>
      <c r="D297" s="7">
        <v>-1.3599999999999901</v>
      </c>
      <c r="E297" s="7">
        <v>-1.17799913382417</v>
      </c>
      <c r="F297" s="7">
        <v>-1.1779967568916001</v>
      </c>
      <c r="G297" s="7">
        <v>116.85776</v>
      </c>
      <c r="H297" s="7">
        <v>-26.867914137305199</v>
      </c>
      <c r="I297" s="7">
        <v>116.25</v>
      </c>
      <c r="J297" s="7">
        <v>116.25</v>
      </c>
      <c r="K297" s="7">
        <v>113.94</v>
      </c>
      <c r="L297" s="7">
        <v>-28.6000375492834</v>
      </c>
    </row>
    <row r="298" spans="1:12" ht="15" customHeight="1" x14ac:dyDescent="0.2">
      <c r="A298" s="3">
        <v>45617</v>
      </c>
      <c r="B298" s="4">
        <v>115.45</v>
      </c>
      <c r="C298" s="5">
        <v>577991</v>
      </c>
      <c r="D298" s="4">
        <v>-1.00999999999999</v>
      </c>
      <c r="E298" s="4">
        <v>-0.86725055813153795</v>
      </c>
      <c r="F298" s="4">
        <v>-0.86725303978266699</v>
      </c>
      <c r="G298" s="4">
        <v>118.25075</v>
      </c>
      <c r="H298" s="4">
        <v>-25.996151198447901</v>
      </c>
      <c r="I298" s="4">
        <v>116.11</v>
      </c>
      <c r="J298" s="4">
        <v>117.01</v>
      </c>
      <c r="K298" s="4">
        <v>115.03</v>
      </c>
      <c r="L298" s="4">
        <v>-27.7489204581012</v>
      </c>
    </row>
    <row r="299" spans="1:12" ht="15" customHeight="1" x14ac:dyDescent="0.2">
      <c r="A299" s="6">
        <v>45616</v>
      </c>
      <c r="B299" s="7">
        <v>116.46</v>
      </c>
      <c r="C299" s="8">
        <v>325601</v>
      </c>
      <c r="D299" s="7">
        <v>-3.14</v>
      </c>
      <c r="E299" s="7">
        <v>-2.6254180602006598</v>
      </c>
      <c r="F299" s="7">
        <v>-2.6254183318513</v>
      </c>
      <c r="G299" s="7">
        <v>119.28525500000001</v>
      </c>
      <c r="H299" s="7">
        <v>-25.348735840791001</v>
      </c>
      <c r="I299" s="7">
        <v>120.07</v>
      </c>
      <c r="J299" s="7">
        <v>120.07</v>
      </c>
      <c r="K299" s="7">
        <v>116.02</v>
      </c>
      <c r="L299" s="7">
        <v>-27.1168408536203</v>
      </c>
    </row>
    <row r="300" spans="1:12" ht="15" customHeight="1" x14ac:dyDescent="0.2">
      <c r="A300" s="3">
        <v>45615</v>
      </c>
      <c r="B300" s="4">
        <v>119.6</v>
      </c>
      <c r="C300" s="5">
        <v>518961</v>
      </c>
      <c r="D300" s="4">
        <v>-1.06</v>
      </c>
      <c r="E300" s="4">
        <v>-0.87850157467264101</v>
      </c>
      <c r="F300" s="4">
        <v>-0.87850557278810104</v>
      </c>
      <c r="G300" s="4">
        <v>122.50143</v>
      </c>
      <c r="H300" s="4">
        <v>-23.335984729958</v>
      </c>
      <c r="I300" s="4">
        <v>121.21</v>
      </c>
      <c r="J300" s="4">
        <v>121.73</v>
      </c>
      <c r="K300" s="4">
        <v>119.26</v>
      </c>
      <c r="L300" s="4">
        <v>-25.1517616872144</v>
      </c>
    </row>
    <row r="301" spans="1:12" ht="15" customHeight="1" x14ac:dyDescent="0.2">
      <c r="A301" s="6">
        <v>45611</v>
      </c>
      <c r="B301" s="7">
        <v>120.66</v>
      </c>
      <c r="C301" s="8">
        <v>450064</v>
      </c>
      <c r="D301" s="7">
        <v>-1.5</v>
      </c>
      <c r="E301" s="7">
        <v>-1.2278978388998001</v>
      </c>
      <c r="F301" s="7">
        <v>-1.2278944964270799</v>
      </c>
      <c r="G301" s="7">
        <v>123.58714999999999</v>
      </c>
      <c r="H301" s="7">
        <v>-22.656517929782801</v>
      </c>
      <c r="I301" s="7">
        <v>120.12</v>
      </c>
      <c r="J301" s="7">
        <v>122.86</v>
      </c>
      <c r="K301" s="7">
        <v>119.71</v>
      </c>
      <c r="L301" s="7">
        <v>-24.488391013204801</v>
      </c>
    </row>
    <row r="302" spans="1:12" ht="15" customHeight="1" x14ac:dyDescent="0.2">
      <c r="A302" s="3">
        <v>45610</v>
      </c>
      <c r="B302" s="4">
        <v>122.16</v>
      </c>
      <c r="C302" s="5">
        <v>428735</v>
      </c>
      <c r="D302" s="4">
        <v>1.46999999999999</v>
      </c>
      <c r="E302" s="4">
        <v>1.2179965200099301</v>
      </c>
      <c r="F302" s="4">
        <v>1.2179961936572301</v>
      </c>
      <c r="G302" s="4">
        <v>125.123535</v>
      </c>
      <c r="H302" s="4">
        <v>-21.695015332623999</v>
      </c>
      <c r="I302" s="4">
        <v>121.32</v>
      </c>
      <c r="J302" s="4">
        <v>122.87</v>
      </c>
      <c r="K302" s="4">
        <v>119.85</v>
      </c>
      <c r="L302" s="4">
        <v>-23.549658927342101</v>
      </c>
    </row>
    <row r="303" spans="1:12" ht="15" customHeight="1" x14ac:dyDescent="0.2">
      <c r="A303" s="6">
        <v>45609</v>
      </c>
      <c r="B303" s="7">
        <v>120.69</v>
      </c>
      <c r="C303" s="8">
        <v>635126</v>
      </c>
      <c r="D303" s="7">
        <v>-0.60000000000000797</v>
      </c>
      <c r="E303" s="7">
        <v>-0.494682166707893</v>
      </c>
      <c r="F303" s="7">
        <v>-0.49468242712470401</v>
      </c>
      <c r="G303" s="7">
        <v>123.617874</v>
      </c>
      <c r="H303" s="7">
        <v>-22.637290193378799</v>
      </c>
      <c r="I303" s="7">
        <v>122.15</v>
      </c>
      <c r="J303" s="7">
        <v>123.02</v>
      </c>
      <c r="K303" s="7">
        <v>120.21</v>
      </c>
      <c r="L303" s="7">
        <v>-24.469616371487501</v>
      </c>
    </row>
    <row r="304" spans="1:12" ht="15" customHeight="1" x14ac:dyDescent="0.2">
      <c r="A304" s="3">
        <v>45608</v>
      </c>
      <c r="B304" s="4">
        <v>121.29</v>
      </c>
      <c r="C304" s="5">
        <v>185775</v>
      </c>
      <c r="D304" s="4">
        <v>-0.46999999999999797</v>
      </c>
      <c r="E304" s="4">
        <v>-0.386005256241783</v>
      </c>
      <c r="F304" s="4">
        <v>-0.38600370143392299</v>
      </c>
      <c r="G304" s="4">
        <v>124.23242999999999</v>
      </c>
      <c r="H304" s="4">
        <v>-22.252687902872498</v>
      </c>
      <c r="I304" s="4">
        <v>122.73</v>
      </c>
      <c r="J304" s="4">
        <v>122.73</v>
      </c>
      <c r="K304" s="4">
        <v>121.01</v>
      </c>
      <c r="L304" s="4">
        <v>-24.094123537142401</v>
      </c>
    </row>
    <row r="305" spans="1:12" ht="15" customHeight="1" x14ac:dyDescent="0.2">
      <c r="A305" s="6">
        <v>45607</v>
      </c>
      <c r="B305" s="7">
        <v>121.76</v>
      </c>
      <c r="C305" s="8">
        <v>788184</v>
      </c>
      <c r="D305" s="7">
        <v>-3.6999999999999802</v>
      </c>
      <c r="E305" s="7">
        <v>-2.9491471385301899</v>
      </c>
      <c r="F305" s="7">
        <v>-2.9491471794679001</v>
      </c>
      <c r="G305" s="7">
        <v>124.71383</v>
      </c>
      <c r="H305" s="7">
        <v>-21.9514174854496</v>
      </c>
      <c r="I305" s="7">
        <v>125.08</v>
      </c>
      <c r="J305" s="7">
        <v>125.08</v>
      </c>
      <c r="K305" s="7">
        <v>120.96</v>
      </c>
      <c r="L305" s="7">
        <v>-23.799987483572099</v>
      </c>
    </row>
    <row r="306" spans="1:12" ht="15" customHeight="1" x14ac:dyDescent="0.2">
      <c r="A306" s="3">
        <v>45604</v>
      </c>
      <c r="B306" s="4">
        <v>125.46</v>
      </c>
      <c r="C306" s="5">
        <v>265460</v>
      </c>
      <c r="D306" s="4">
        <v>2.8599999999999901</v>
      </c>
      <c r="E306" s="4">
        <v>2.33278955954323</v>
      </c>
      <c r="F306" s="4">
        <v>2.3327960679821098</v>
      </c>
      <c r="G306" s="4">
        <v>128.50359</v>
      </c>
      <c r="H306" s="4">
        <v>-19.579704612303601</v>
      </c>
      <c r="I306" s="4">
        <v>121.97</v>
      </c>
      <c r="J306" s="4">
        <v>126.19</v>
      </c>
      <c r="K306" s="4">
        <v>121.06</v>
      </c>
      <c r="L306" s="4">
        <v>-21.484448338444199</v>
      </c>
    </row>
    <row r="307" spans="1:12" ht="15" customHeight="1" x14ac:dyDescent="0.2">
      <c r="A307" s="6">
        <v>45603</v>
      </c>
      <c r="B307" s="7">
        <v>122.6</v>
      </c>
      <c r="C307" s="8">
        <v>489601</v>
      </c>
      <c r="D307" s="7">
        <v>-1.51</v>
      </c>
      <c r="E307" s="7">
        <v>-1.2166626379824299</v>
      </c>
      <c r="F307" s="7">
        <v>-1.2166691157799101</v>
      </c>
      <c r="G307" s="7">
        <v>125.5742</v>
      </c>
      <c r="H307" s="7">
        <v>-21.412979535640499</v>
      </c>
      <c r="I307" s="7">
        <v>124.63</v>
      </c>
      <c r="J307" s="7">
        <v>125</v>
      </c>
      <c r="K307" s="7">
        <v>121.32</v>
      </c>
      <c r="L307" s="7">
        <v>-23.274297515489</v>
      </c>
    </row>
    <row r="308" spans="1:12" ht="15" customHeight="1" x14ac:dyDescent="0.2">
      <c r="A308" s="3">
        <v>45602</v>
      </c>
      <c r="B308" s="4">
        <v>124.11</v>
      </c>
      <c r="C308" s="5">
        <v>1041342</v>
      </c>
      <c r="D308" s="4">
        <v>-0.209999999999993</v>
      </c>
      <c r="E308" s="4">
        <v>-0.168918918918914</v>
      </c>
      <c r="F308" s="4">
        <v>-0.16892324350846699</v>
      </c>
      <c r="G308" s="4">
        <v>127.12084</v>
      </c>
      <c r="H308" s="4">
        <v>-20.445059140121401</v>
      </c>
      <c r="I308" s="4">
        <v>124</v>
      </c>
      <c r="J308" s="4">
        <v>124.93</v>
      </c>
      <c r="K308" s="4">
        <v>116.73</v>
      </c>
      <c r="L308" s="4">
        <v>-22.329307215720601</v>
      </c>
    </row>
    <row r="309" spans="1:12" ht="15" customHeight="1" x14ac:dyDescent="0.2">
      <c r="A309" s="6">
        <v>45601</v>
      </c>
      <c r="B309" s="7">
        <v>124.32</v>
      </c>
      <c r="C309" s="8">
        <v>303372</v>
      </c>
      <c r="D309" s="7">
        <v>-0.74000000000000898</v>
      </c>
      <c r="E309" s="7">
        <v>-0.59171597633136397</v>
      </c>
      <c r="F309" s="7">
        <v>-0.59171440573785306</v>
      </c>
      <c r="G309" s="7">
        <v>127.33593999999999</v>
      </c>
      <c r="H309" s="7">
        <v>-20.310444959008699</v>
      </c>
      <c r="I309" s="7">
        <v>125.81</v>
      </c>
      <c r="J309" s="7">
        <v>125.81</v>
      </c>
      <c r="K309" s="7">
        <v>120.44</v>
      </c>
      <c r="L309" s="7">
        <v>-22.197884723699801</v>
      </c>
    </row>
    <row r="310" spans="1:12" ht="15" customHeight="1" x14ac:dyDescent="0.2">
      <c r="A310" s="3">
        <v>45600</v>
      </c>
      <c r="B310" s="4">
        <v>125.06</v>
      </c>
      <c r="C310" s="5">
        <v>936163</v>
      </c>
      <c r="D310" s="4">
        <v>-1.45999999999999</v>
      </c>
      <c r="E310" s="4">
        <v>-1.1539677521340399</v>
      </c>
      <c r="F310" s="4">
        <v>-1.1539610137565499</v>
      </c>
      <c r="G310" s="4">
        <v>128.09388999999999</v>
      </c>
      <c r="H310" s="4">
        <v>-19.836103636022202</v>
      </c>
      <c r="I310" s="4">
        <v>124.47</v>
      </c>
      <c r="J310" s="4">
        <v>125.7</v>
      </c>
      <c r="K310" s="4">
        <v>122.87</v>
      </c>
      <c r="L310" s="4">
        <v>-21.734776894674201</v>
      </c>
    </row>
    <row r="311" spans="1:12" ht="15" customHeight="1" x14ac:dyDescent="0.2">
      <c r="A311" s="6">
        <v>45597</v>
      </c>
      <c r="B311" s="7">
        <v>126.52</v>
      </c>
      <c r="C311" s="8">
        <v>451190</v>
      </c>
      <c r="D311" s="7">
        <v>-0.54999999999999705</v>
      </c>
      <c r="E311" s="7">
        <v>-0.43283229715904697</v>
      </c>
      <c r="F311" s="7">
        <v>-0.432837902263216</v>
      </c>
      <c r="G311" s="7">
        <v>129.58930000000001</v>
      </c>
      <c r="H311" s="7">
        <v>-18.9002440703423</v>
      </c>
      <c r="I311" s="7">
        <v>127.97</v>
      </c>
      <c r="J311" s="7">
        <v>128.57</v>
      </c>
      <c r="K311" s="7">
        <v>126</v>
      </c>
      <c r="L311" s="7">
        <v>-20.821077664434501</v>
      </c>
    </row>
    <row r="312" spans="1:12" ht="15" customHeight="1" x14ac:dyDescent="0.2">
      <c r="A312" s="3">
        <v>45596</v>
      </c>
      <c r="B312" s="4">
        <v>127.07</v>
      </c>
      <c r="C312" s="5">
        <v>729289</v>
      </c>
      <c r="D312" s="4">
        <v>5.9899999999999904</v>
      </c>
      <c r="E312" s="4">
        <v>4.9471423851998599</v>
      </c>
      <c r="F312" s="4">
        <v>4.9471439210263704</v>
      </c>
      <c r="G312" s="4">
        <v>130.15264999999999</v>
      </c>
      <c r="H312" s="4">
        <v>-18.5476875899618</v>
      </c>
      <c r="I312" s="4">
        <v>121.68</v>
      </c>
      <c r="J312" s="4">
        <v>127.77</v>
      </c>
      <c r="K312" s="4">
        <v>121.05</v>
      </c>
      <c r="L312" s="4">
        <v>-20.4768758996182</v>
      </c>
    </row>
    <row r="313" spans="1:12" ht="15" customHeight="1" x14ac:dyDescent="0.2">
      <c r="A313" s="6">
        <v>45595</v>
      </c>
      <c r="B313" s="7">
        <v>121.08</v>
      </c>
      <c r="C313" s="8">
        <v>620231</v>
      </c>
      <c r="D313" s="7">
        <v>2.64</v>
      </c>
      <c r="E313" s="7">
        <v>2.2289766970618099</v>
      </c>
      <c r="F313" s="7">
        <v>2.22897590198074</v>
      </c>
      <c r="G313" s="7">
        <v>124.01733400000001</v>
      </c>
      <c r="H313" s="7">
        <v>-22.387299580699601</v>
      </c>
      <c r="I313" s="7">
        <v>119.26</v>
      </c>
      <c r="J313" s="7">
        <v>125.93</v>
      </c>
      <c r="K313" s="7">
        <v>118.21</v>
      </c>
      <c r="L313" s="7">
        <v>-24.225546029163201</v>
      </c>
    </row>
    <row r="314" spans="1:12" ht="15" customHeight="1" x14ac:dyDescent="0.2">
      <c r="A314" s="3">
        <v>45594</v>
      </c>
      <c r="B314" s="4">
        <v>118.44</v>
      </c>
      <c r="C314" s="5">
        <v>342250</v>
      </c>
      <c r="D314" s="4">
        <v>2.0299999999999998</v>
      </c>
      <c r="E314" s="4">
        <v>1.7438364401683699</v>
      </c>
      <c r="F314" s="4">
        <v>1.7438307262061401</v>
      </c>
      <c r="G314" s="4">
        <v>121.31328999999999</v>
      </c>
      <c r="H314" s="4">
        <v>-24.079548156956001</v>
      </c>
      <c r="I314" s="4">
        <v>117.49</v>
      </c>
      <c r="J314" s="4">
        <v>121.58</v>
      </c>
      <c r="K314" s="4">
        <v>115.6</v>
      </c>
      <c r="L314" s="4">
        <v>-25.877714500281598</v>
      </c>
    </row>
    <row r="315" spans="1:12" ht="15" customHeight="1" x14ac:dyDescent="0.2">
      <c r="A315" s="6">
        <v>45593</v>
      </c>
      <c r="B315" s="7">
        <v>116.41</v>
      </c>
      <c r="C315" s="8">
        <v>380134</v>
      </c>
      <c r="D315" s="7">
        <v>-2.0799999999999899</v>
      </c>
      <c r="E315" s="7">
        <v>-1.75542239851463</v>
      </c>
      <c r="F315" s="7">
        <v>-1.75541447457865</v>
      </c>
      <c r="G315" s="7">
        <v>119.23405</v>
      </c>
      <c r="H315" s="7">
        <v>-25.380781025095398</v>
      </c>
      <c r="I315" s="7">
        <v>118.76</v>
      </c>
      <c r="J315" s="7">
        <v>119.88</v>
      </c>
      <c r="K315" s="7">
        <v>115.52</v>
      </c>
      <c r="L315" s="7">
        <v>-27.148131923149101</v>
      </c>
    </row>
    <row r="316" spans="1:12" ht="15" customHeight="1" x14ac:dyDescent="0.2">
      <c r="A316" s="3">
        <v>45590</v>
      </c>
      <c r="B316" s="4">
        <v>118.49</v>
      </c>
      <c r="C316" s="5">
        <v>393919</v>
      </c>
      <c r="D316" s="4">
        <v>0.36999999999999</v>
      </c>
      <c r="E316" s="4">
        <v>0.31324077209615703</v>
      </c>
      <c r="F316" s="4">
        <v>0.31323580596786998</v>
      </c>
      <c r="G316" s="4">
        <v>121.36450000000001</v>
      </c>
      <c r="H316" s="4">
        <v>-24.0474998435446</v>
      </c>
      <c r="I316" s="4">
        <v>118.67</v>
      </c>
      <c r="J316" s="4">
        <v>119.83</v>
      </c>
      <c r="K316" s="4">
        <v>118</v>
      </c>
      <c r="L316" s="4">
        <v>-25.8464234307528</v>
      </c>
    </row>
    <row r="317" spans="1:12" ht="15" customHeight="1" x14ac:dyDescent="0.2">
      <c r="A317" s="6">
        <v>45589</v>
      </c>
      <c r="B317" s="7">
        <v>118.12</v>
      </c>
      <c r="C317" s="8">
        <v>350558</v>
      </c>
      <c r="D317" s="7">
        <v>-0.15999999999999601</v>
      </c>
      <c r="E317" s="7">
        <v>-0.13527223537368399</v>
      </c>
      <c r="F317" s="7">
        <v>-0.135270984811242</v>
      </c>
      <c r="G317" s="7">
        <v>120.98553</v>
      </c>
      <c r="H317" s="7">
        <v>-24.284667375930901</v>
      </c>
      <c r="I317" s="7">
        <v>118.65</v>
      </c>
      <c r="J317" s="7">
        <v>120.97</v>
      </c>
      <c r="K317" s="7">
        <v>117.55</v>
      </c>
      <c r="L317" s="7">
        <v>-26.077977345265602</v>
      </c>
    </row>
    <row r="318" spans="1:12" ht="15" customHeight="1" x14ac:dyDescent="0.2">
      <c r="A318" s="3">
        <v>45588</v>
      </c>
      <c r="B318" s="4">
        <v>118.28</v>
      </c>
      <c r="C318" s="5">
        <v>715037</v>
      </c>
      <c r="D318" s="4">
        <v>-2.3299999999999899</v>
      </c>
      <c r="E318" s="4">
        <v>-1.9318464472265899</v>
      </c>
      <c r="F318" s="4">
        <v>-1.9318460003710201</v>
      </c>
      <c r="G318" s="4">
        <v>121.14941</v>
      </c>
      <c r="H318" s="4">
        <v>-24.182107766443401</v>
      </c>
      <c r="I318" s="4">
        <v>119.11</v>
      </c>
      <c r="J318" s="4">
        <v>120</v>
      </c>
      <c r="K318" s="4">
        <v>117.6</v>
      </c>
      <c r="L318" s="4">
        <v>-25.9778459227736</v>
      </c>
    </row>
    <row r="319" spans="1:12" ht="15" customHeight="1" x14ac:dyDescent="0.2">
      <c r="A319" s="6">
        <v>45587</v>
      </c>
      <c r="B319" s="7">
        <v>120.61</v>
      </c>
      <c r="C319" s="8">
        <v>735281</v>
      </c>
      <c r="D319" s="7">
        <v>-2.9099999999999899</v>
      </c>
      <c r="E319" s="7">
        <v>-2.3558937823834198</v>
      </c>
      <c r="F319" s="7">
        <v>-2.3558906632947698</v>
      </c>
      <c r="G319" s="7">
        <v>123.535934</v>
      </c>
      <c r="H319" s="7">
        <v>-22.6885699981225</v>
      </c>
      <c r="I319" s="7">
        <v>123.59</v>
      </c>
      <c r="J319" s="7">
        <v>123.59</v>
      </c>
      <c r="K319" s="7">
        <v>117.68</v>
      </c>
      <c r="L319" s="7">
        <v>-24.5196820827335</v>
      </c>
    </row>
    <row r="320" spans="1:12" ht="15" customHeight="1" x14ac:dyDescent="0.2">
      <c r="A320" s="3">
        <v>45586</v>
      </c>
      <c r="B320" s="4">
        <v>123.52</v>
      </c>
      <c r="C320" s="5">
        <v>383571</v>
      </c>
      <c r="D320" s="4">
        <v>-1.98</v>
      </c>
      <c r="E320" s="4">
        <v>-1.5776892430278899</v>
      </c>
      <c r="F320" s="4">
        <v>-1.5776902577596299</v>
      </c>
      <c r="G320" s="4">
        <v>126.516525</v>
      </c>
      <c r="H320" s="4">
        <v>-20.823252393766801</v>
      </c>
      <c r="I320" s="4">
        <v>126.84</v>
      </c>
      <c r="J320" s="4">
        <v>126.84</v>
      </c>
      <c r="K320" s="4">
        <v>121.13</v>
      </c>
      <c r="L320" s="4">
        <v>-22.698541836159901</v>
      </c>
    </row>
    <row r="321" spans="1:12" ht="15" customHeight="1" x14ac:dyDescent="0.2">
      <c r="A321" s="6">
        <v>45583</v>
      </c>
      <c r="B321" s="7">
        <v>125.5</v>
      </c>
      <c r="C321" s="8">
        <v>541423</v>
      </c>
      <c r="D321" s="7">
        <v>0.37000000000000399</v>
      </c>
      <c r="E321" s="7">
        <v>0.295692479820997</v>
      </c>
      <c r="F321" s="7">
        <v>0.29568778952289099</v>
      </c>
      <c r="G321" s="7">
        <v>128.54455999999999</v>
      </c>
      <c r="H321" s="7">
        <v>-19.554064709931701</v>
      </c>
      <c r="I321" s="7">
        <v>126.96</v>
      </c>
      <c r="J321" s="7">
        <v>127.99</v>
      </c>
      <c r="K321" s="7">
        <v>125.05</v>
      </c>
      <c r="L321" s="7">
        <v>-21.4594154828212</v>
      </c>
    </row>
    <row r="322" spans="1:12" ht="15" customHeight="1" x14ac:dyDescent="0.2">
      <c r="A322" s="3">
        <v>45582</v>
      </c>
      <c r="B322" s="4">
        <v>125.13</v>
      </c>
      <c r="C322" s="5">
        <v>661553</v>
      </c>
      <c r="D322" s="4">
        <v>-3.0699999999999901</v>
      </c>
      <c r="E322" s="4">
        <v>-2.3946957878315098</v>
      </c>
      <c r="F322" s="4">
        <v>-2.3946908561308802</v>
      </c>
      <c r="G322" s="4">
        <v>128.16559000000001</v>
      </c>
      <c r="H322" s="4">
        <v>-19.791232242317999</v>
      </c>
      <c r="I322" s="4">
        <v>128.59</v>
      </c>
      <c r="J322" s="4">
        <v>129.37</v>
      </c>
      <c r="K322" s="4">
        <v>124.74</v>
      </c>
      <c r="L322" s="4">
        <v>-21.690969397333902</v>
      </c>
    </row>
    <row r="323" spans="1:12" ht="15" customHeight="1" x14ac:dyDescent="0.2">
      <c r="A323" s="6">
        <v>45581</v>
      </c>
      <c r="B323" s="7">
        <v>128.19999999999999</v>
      </c>
      <c r="C323" s="8">
        <v>1066043</v>
      </c>
      <c r="D323" s="7">
        <v>0.82999999999998397</v>
      </c>
      <c r="E323" s="7">
        <v>0.65164481432047305</v>
      </c>
      <c r="F323" s="7">
        <v>0.65164069917864598</v>
      </c>
      <c r="G323" s="7">
        <v>131.31005999999999</v>
      </c>
      <c r="H323" s="7">
        <v>-17.823355654296201</v>
      </c>
      <c r="I323" s="7">
        <v>125.87</v>
      </c>
      <c r="J323" s="7">
        <v>128.59</v>
      </c>
      <c r="K323" s="7">
        <v>125.87</v>
      </c>
      <c r="L323" s="7">
        <v>-19.769697728268302</v>
      </c>
    </row>
    <row r="324" spans="1:12" ht="15" customHeight="1" x14ac:dyDescent="0.2">
      <c r="A324" s="3">
        <v>45580</v>
      </c>
      <c r="B324" s="4">
        <v>127.37</v>
      </c>
      <c r="C324" s="5">
        <v>2025935</v>
      </c>
      <c r="D324" s="4">
        <v>0.78000000000000103</v>
      </c>
      <c r="E324" s="4">
        <v>0.61616241409274597</v>
      </c>
      <c r="F324" s="4">
        <v>0.61616831583901599</v>
      </c>
      <c r="G324" s="4">
        <v>130.45993000000001</v>
      </c>
      <c r="H324" s="4">
        <v>-18.3553851930658</v>
      </c>
      <c r="I324" s="4">
        <v>126.6</v>
      </c>
      <c r="J324" s="4">
        <v>129.84</v>
      </c>
      <c r="K324" s="4">
        <v>126.6</v>
      </c>
      <c r="L324" s="4">
        <v>-20.289129482445698</v>
      </c>
    </row>
    <row r="325" spans="1:12" ht="15" customHeight="1" x14ac:dyDescent="0.2">
      <c r="A325" s="6">
        <v>45579</v>
      </c>
      <c r="B325" s="7">
        <v>126.59</v>
      </c>
      <c r="C325" s="8">
        <v>902654</v>
      </c>
      <c r="D325" s="7">
        <v>1.7</v>
      </c>
      <c r="E325" s="7">
        <v>1.3611978541116101</v>
      </c>
      <c r="F325" s="7">
        <v>1.3611970504009601</v>
      </c>
      <c r="G325" s="7">
        <v>129.661</v>
      </c>
      <c r="H325" s="7">
        <v>-18.855372676638002</v>
      </c>
      <c r="I325" s="7">
        <v>124.01</v>
      </c>
      <c r="J325" s="7">
        <v>126.86</v>
      </c>
      <c r="K325" s="7">
        <v>123.53</v>
      </c>
      <c r="L325" s="7">
        <v>-20.777270167094301</v>
      </c>
    </row>
    <row r="326" spans="1:12" ht="15" customHeight="1" x14ac:dyDescent="0.2">
      <c r="A326" s="3">
        <v>45576</v>
      </c>
      <c r="B326" s="4">
        <v>124.89</v>
      </c>
      <c r="C326" s="5">
        <v>879123</v>
      </c>
      <c r="D326" s="4">
        <v>0.85999999999999899</v>
      </c>
      <c r="E326" s="4">
        <v>0.69338063371764402</v>
      </c>
      <c r="F326" s="4">
        <v>0.69338213308609498</v>
      </c>
      <c r="G326" s="4">
        <v>127.91976</v>
      </c>
      <c r="H326" s="4">
        <v>-19.9450779147631</v>
      </c>
      <c r="I326" s="4">
        <v>121.82</v>
      </c>
      <c r="J326" s="4">
        <v>125.46</v>
      </c>
      <c r="K326" s="4">
        <v>121.82</v>
      </c>
      <c r="L326" s="4">
        <v>-21.841166531071998</v>
      </c>
    </row>
    <row r="327" spans="1:12" ht="15" customHeight="1" x14ac:dyDescent="0.2">
      <c r="A327" s="6">
        <v>45575</v>
      </c>
      <c r="B327" s="7">
        <v>124.03</v>
      </c>
      <c r="C327" s="8">
        <v>825432</v>
      </c>
      <c r="D327" s="7">
        <v>1</v>
      </c>
      <c r="E327" s="7">
        <v>0.81280988376819496</v>
      </c>
      <c r="F327" s="7">
        <v>0.812806353293549</v>
      </c>
      <c r="G327" s="7">
        <v>127.038895</v>
      </c>
      <c r="H327" s="7">
        <v>-20.496342073971999</v>
      </c>
      <c r="I327" s="7">
        <v>121.74</v>
      </c>
      <c r="J327" s="7">
        <v>125.27</v>
      </c>
      <c r="K327" s="7">
        <v>121.03</v>
      </c>
      <c r="L327" s="7">
        <v>-22.3793729269666</v>
      </c>
    </row>
    <row r="328" spans="1:12" ht="15" customHeight="1" x14ac:dyDescent="0.2">
      <c r="A328" s="3">
        <v>45574</v>
      </c>
      <c r="B328" s="4">
        <v>123.03</v>
      </c>
      <c r="C328" s="5">
        <v>956589</v>
      </c>
      <c r="D328" s="4">
        <v>-1.6599999999999899</v>
      </c>
      <c r="E328" s="4">
        <v>-1.3313016280375201</v>
      </c>
      <c r="F328" s="4">
        <v>-1.33130109867359</v>
      </c>
      <c r="G328" s="4">
        <v>126.01464</v>
      </c>
      <c r="H328" s="4">
        <v>-21.137342762375599</v>
      </c>
      <c r="I328" s="4">
        <v>124.63</v>
      </c>
      <c r="J328" s="4">
        <v>125.67</v>
      </c>
      <c r="K328" s="4">
        <v>122.3</v>
      </c>
      <c r="L328" s="4">
        <v>-23.005194317541701</v>
      </c>
    </row>
    <row r="329" spans="1:12" ht="15" customHeight="1" x14ac:dyDescent="0.2">
      <c r="A329" s="6">
        <v>45573</v>
      </c>
      <c r="B329" s="7">
        <v>124.69</v>
      </c>
      <c r="C329" s="8">
        <v>670449</v>
      </c>
      <c r="D329" s="7">
        <v>-4.6999999999999797</v>
      </c>
      <c r="E329" s="7">
        <v>-3.6324290903469998</v>
      </c>
      <c r="F329" s="7">
        <v>-3.63242953821478</v>
      </c>
      <c r="G329" s="7">
        <v>127.71491</v>
      </c>
      <c r="H329" s="7">
        <v>-20.073277426622401</v>
      </c>
      <c r="I329" s="7">
        <v>129.04</v>
      </c>
      <c r="J329" s="7">
        <v>129.75</v>
      </c>
      <c r="K329" s="7">
        <v>124.2</v>
      </c>
      <c r="L329" s="7">
        <v>-21.966330809186999</v>
      </c>
    </row>
    <row r="330" spans="1:12" ht="15" customHeight="1" x14ac:dyDescent="0.2">
      <c r="A330" s="3">
        <v>45572</v>
      </c>
      <c r="B330" s="4">
        <v>129.38999999999999</v>
      </c>
      <c r="C330" s="5">
        <v>867024</v>
      </c>
      <c r="D330" s="4">
        <v>-7.00000000000216E-2</v>
      </c>
      <c r="E330" s="4">
        <v>-5.4070755445712E-2</v>
      </c>
      <c r="F330" s="4">
        <v>-5.4072141286198798E-2</v>
      </c>
      <c r="G330" s="4">
        <v>132.52893</v>
      </c>
      <c r="H330" s="4">
        <v>-17.0605607359659</v>
      </c>
      <c r="I330" s="4">
        <v>129.86000000000001</v>
      </c>
      <c r="J330" s="4">
        <v>131.91999999999999</v>
      </c>
      <c r="K330" s="4">
        <v>128.66</v>
      </c>
      <c r="L330" s="4">
        <v>-19.024970273483898</v>
      </c>
    </row>
    <row r="331" spans="1:12" ht="15" customHeight="1" x14ac:dyDescent="0.2">
      <c r="A331" s="6">
        <v>45569</v>
      </c>
      <c r="B331" s="7">
        <v>129.46</v>
      </c>
      <c r="C331" s="8">
        <v>1034920</v>
      </c>
      <c r="D331" s="7">
        <v>1.51</v>
      </c>
      <c r="E331" s="7">
        <v>1.1801484955060499</v>
      </c>
      <c r="F331" s="7">
        <v>1.1801471149297</v>
      </c>
      <c r="G331" s="7">
        <v>132.60063</v>
      </c>
      <c r="H331" s="7">
        <v>-17.015689342261702</v>
      </c>
      <c r="I331" s="7">
        <v>128.29</v>
      </c>
      <c r="J331" s="7">
        <v>131.30000000000001</v>
      </c>
      <c r="K331" s="7">
        <v>127.45</v>
      </c>
      <c r="L331" s="7">
        <v>-18.981162776143599</v>
      </c>
    </row>
    <row r="332" spans="1:12" ht="15" customHeight="1" x14ac:dyDescent="0.2">
      <c r="A332" s="3">
        <v>45568</v>
      </c>
      <c r="B332" s="4">
        <v>127.95</v>
      </c>
      <c r="C332" s="5">
        <v>1003231</v>
      </c>
      <c r="D332" s="4">
        <v>3.7699999999999898</v>
      </c>
      <c r="E332" s="4">
        <v>3.0359156063778299</v>
      </c>
      <c r="F332" s="4">
        <v>3.0359210939541401</v>
      </c>
      <c r="G332" s="4">
        <v>131.054</v>
      </c>
      <c r="H332" s="4">
        <v>-17.983603479566899</v>
      </c>
      <c r="I332" s="4">
        <v>123.46</v>
      </c>
      <c r="J332" s="4">
        <v>128.19</v>
      </c>
      <c r="K332" s="4">
        <v>122.31</v>
      </c>
      <c r="L332" s="4">
        <v>-19.926153075912101</v>
      </c>
    </row>
    <row r="333" spans="1:12" ht="15" customHeight="1" x14ac:dyDescent="0.2">
      <c r="A333" s="6">
        <v>45567</v>
      </c>
      <c r="B333" s="7">
        <v>124.18</v>
      </c>
      <c r="C333" s="8">
        <v>2428896</v>
      </c>
      <c r="D333" s="7">
        <v>9.8699999999999992</v>
      </c>
      <c r="E333" s="7">
        <v>8.6344151867728094</v>
      </c>
      <c r="F333" s="7">
        <v>8.6344193683306401</v>
      </c>
      <c r="G333" s="7">
        <v>127.19253500000001</v>
      </c>
      <c r="H333" s="7">
        <v>-20.4001908755241</v>
      </c>
      <c r="I333" s="7">
        <v>114.27</v>
      </c>
      <c r="J333" s="7">
        <v>125.43</v>
      </c>
      <c r="K333" s="7">
        <v>114</v>
      </c>
      <c r="L333" s="7">
        <v>-22.285499718380301</v>
      </c>
    </row>
    <row r="334" spans="1:12" ht="15" customHeight="1" x14ac:dyDescent="0.2">
      <c r="A334" s="3">
        <v>45565</v>
      </c>
      <c r="B334" s="4">
        <v>114.31</v>
      </c>
      <c r="C334" s="5">
        <v>676092</v>
      </c>
      <c r="D334" s="4">
        <v>-2.67</v>
      </c>
      <c r="E334" s="4">
        <v>-2.2824414429817002</v>
      </c>
      <c r="F334" s="4">
        <v>-2.2824475180538601</v>
      </c>
      <c r="G334" s="4">
        <v>117.08309</v>
      </c>
      <c r="H334" s="4">
        <v>-26.726897803366899</v>
      </c>
      <c r="I334" s="4">
        <v>117.66</v>
      </c>
      <c r="J334" s="4">
        <v>117.66</v>
      </c>
      <c r="K334" s="4">
        <v>113.8</v>
      </c>
      <c r="L334" s="4">
        <v>-28.462356843356901</v>
      </c>
    </row>
    <row r="335" spans="1:12" ht="15" customHeight="1" x14ac:dyDescent="0.2">
      <c r="A335" s="6">
        <v>45562</v>
      </c>
      <c r="B335" s="7">
        <v>116.98</v>
      </c>
      <c r="C335" s="8">
        <v>682736</v>
      </c>
      <c r="D335" s="7">
        <v>-2.2899999999999898</v>
      </c>
      <c r="E335" s="7">
        <v>-1.9200134149408701</v>
      </c>
      <c r="F335" s="7">
        <v>-1.9200100979491299</v>
      </c>
      <c r="G335" s="7">
        <v>119.81787</v>
      </c>
      <c r="H335" s="7">
        <v>-25.0154139808498</v>
      </c>
      <c r="I335" s="7">
        <v>119.01</v>
      </c>
      <c r="J335" s="7">
        <v>120.55</v>
      </c>
      <c r="K335" s="7">
        <v>116.59</v>
      </c>
      <c r="L335" s="7">
        <v>-26.791413730521299</v>
      </c>
    </row>
    <row r="336" spans="1:12" ht="15" customHeight="1" x14ac:dyDescent="0.2">
      <c r="A336" s="3">
        <v>45561</v>
      </c>
      <c r="B336" s="4">
        <v>119.27</v>
      </c>
      <c r="C336" s="5">
        <v>631744</v>
      </c>
      <c r="D336" s="4">
        <v>-4.0000000000006197E-2</v>
      </c>
      <c r="E336" s="4">
        <v>-3.3526108456971501E-2</v>
      </c>
      <c r="F336" s="4">
        <v>-3.3525800505207398E-2</v>
      </c>
      <c r="G336" s="4">
        <v>122.16342</v>
      </c>
      <c r="H336" s="4">
        <v>-23.547518618186299</v>
      </c>
      <c r="I336" s="4">
        <v>119.61</v>
      </c>
      <c r="J336" s="4">
        <v>121.18</v>
      </c>
      <c r="K336" s="4">
        <v>118.99</v>
      </c>
      <c r="L336" s="4">
        <v>-25.358282746104202</v>
      </c>
    </row>
    <row r="337" spans="1:12" ht="15" customHeight="1" x14ac:dyDescent="0.2">
      <c r="A337" s="6">
        <v>45560</v>
      </c>
      <c r="B337" s="7">
        <v>119.31</v>
      </c>
      <c r="C337" s="8">
        <v>560377</v>
      </c>
      <c r="D337" s="7">
        <v>-0.23000000000000301</v>
      </c>
      <c r="E337" s="7">
        <v>-0.19240421616195599</v>
      </c>
      <c r="F337" s="7">
        <v>-0.19240449013504499</v>
      </c>
      <c r="G337" s="7">
        <v>122.20439</v>
      </c>
      <c r="H337" s="7">
        <v>-23.521878715814498</v>
      </c>
      <c r="I337" s="7">
        <v>119.85</v>
      </c>
      <c r="J337" s="7">
        <v>120</v>
      </c>
      <c r="K337" s="7">
        <v>118.95</v>
      </c>
      <c r="L337" s="7">
        <v>-25.333249890481198</v>
      </c>
    </row>
    <row r="338" spans="1:12" ht="15" customHeight="1" x14ac:dyDescent="0.2">
      <c r="A338" s="3">
        <v>45559</v>
      </c>
      <c r="B338" s="4">
        <v>119.54</v>
      </c>
      <c r="C338" s="5">
        <v>734739</v>
      </c>
      <c r="D338" s="4">
        <v>1.43</v>
      </c>
      <c r="E338" s="4">
        <v>1.2107357548048501</v>
      </c>
      <c r="F338" s="4">
        <v>1.2107349534549601</v>
      </c>
      <c r="G338" s="4">
        <v>122.43997</v>
      </c>
      <c r="H338" s="4">
        <v>-23.3744477126228</v>
      </c>
      <c r="I338" s="4">
        <v>118.21</v>
      </c>
      <c r="J338" s="4">
        <v>120.01</v>
      </c>
      <c r="K338" s="4">
        <v>118.21</v>
      </c>
      <c r="L338" s="4">
        <v>-25.189310970648901</v>
      </c>
    </row>
    <row r="339" spans="1:12" ht="15" customHeight="1" x14ac:dyDescent="0.2">
      <c r="A339" s="6">
        <v>45558</v>
      </c>
      <c r="B339" s="7">
        <v>118.11</v>
      </c>
      <c r="C339" s="8">
        <v>409829</v>
      </c>
      <c r="D339" s="7">
        <v>-1.1599999999999899</v>
      </c>
      <c r="E339" s="7">
        <v>-0.97258321455521102</v>
      </c>
      <c r="F339" s="7">
        <v>-0.97258246371950596</v>
      </c>
      <c r="G339" s="7">
        <v>120.97528</v>
      </c>
      <c r="H339" s="7">
        <v>-24.2910820451843</v>
      </c>
      <c r="I339" s="7">
        <v>119.28</v>
      </c>
      <c r="J339" s="7">
        <v>120.79</v>
      </c>
      <c r="K339" s="7">
        <v>117.82</v>
      </c>
      <c r="L339" s="7">
        <v>-26.0842355591714</v>
      </c>
    </row>
    <row r="340" spans="1:12" ht="15" customHeight="1" x14ac:dyDescent="0.2">
      <c r="A340" s="3">
        <v>45555</v>
      </c>
      <c r="B340" s="4">
        <v>119.27</v>
      </c>
      <c r="C340" s="5">
        <v>1416089</v>
      </c>
      <c r="D340" s="4">
        <v>-0.91000000000001002</v>
      </c>
      <c r="E340" s="4">
        <v>-0.75719753702779802</v>
      </c>
      <c r="F340" s="4">
        <v>-0.75720071001783495</v>
      </c>
      <c r="G340" s="4">
        <v>122.16342</v>
      </c>
      <c r="H340" s="4">
        <v>-23.547518618186299</v>
      </c>
      <c r="I340" s="4">
        <v>120.41</v>
      </c>
      <c r="J340" s="4">
        <v>120.88</v>
      </c>
      <c r="K340" s="4">
        <v>118.36</v>
      </c>
      <c r="L340" s="4">
        <v>-25.358282746104202</v>
      </c>
    </row>
    <row r="341" spans="1:12" ht="15" customHeight="1" x14ac:dyDescent="0.2">
      <c r="A341" s="6">
        <v>45554</v>
      </c>
      <c r="B341" s="7">
        <v>120.18</v>
      </c>
      <c r="C341" s="8">
        <v>1206870</v>
      </c>
      <c r="D341" s="7">
        <v>-2.8999999999999901</v>
      </c>
      <c r="E341" s="7">
        <v>-2.3561910952226102</v>
      </c>
      <c r="F341" s="7">
        <v>-2.3561969910013598</v>
      </c>
      <c r="G341" s="7">
        <v>123.0955</v>
      </c>
      <c r="H341" s="7">
        <v>-22.964203016459098</v>
      </c>
      <c r="I341" s="7">
        <v>122.89</v>
      </c>
      <c r="J341" s="7">
        <v>124.14</v>
      </c>
      <c r="K341" s="7">
        <v>119.58</v>
      </c>
      <c r="L341" s="7">
        <v>-24.788785280680798</v>
      </c>
    </row>
    <row r="342" spans="1:12" ht="15" customHeight="1" x14ac:dyDescent="0.2">
      <c r="A342" s="3">
        <v>45553</v>
      </c>
      <c r="B342" s="4">
        <v>123.08</v>
      </c>
      <c r="C342" s="5">
        <v>877444</v>
      </c>
      <c r="D342" s="4">
        <v>2.48</v>
      </c>
      <c r="E342" s="4">
        <v>2.0563847429519102</v>
      </c>
      <c r="F342" s="4">
        <v>2.0563900513326399</v>
      </c>
      <c r="G342" s="4">
        <v>126.06586</v>
      </c>
      <c r="H342" s="4">
        <v>-21.105288190750301</v>
      </c>
      <c r="I342" s="4">
        <v>120.48</v>
      </c>
      <c r="J342" s="4">
        <v>123.4</v>
      </c>
      <c r="K342" s="4">
        <v>120.48</v>
      </c>
      <c r="L342" s="4">
        <v>-22.973903248012999</v>
      </c>
    </row>
    <row r="343" spans="1:12" ht="15" customHeight="1" x14ac:dyDescent="0.2">
      <c r="A343" s="6">
        <v>45552</v>
      </c>
      <c r="B343" s="7">
        <v>120.6</v>
      </c>
      <c r="C343" s="8">
        <v>1202935</v>
      </c>
      <c r="D343" s="7">
        <v>-0.20000000000000201</v>
      </c>
      <c r="E343" s="7">
        <v>-0.165562913907291</v>
      </c>
      <c r="F343" s="7">
        <v>-0.16556542283072601</v>
      </c>
      <c r="G343" s="7">
        <v>123.52569</v>
      </c>
      <c r="H343" s="7">
        <v>-22.694980912447502</v>
      </c>
      <c r="I343" s="7">
        <v>120.82</v>
      </c>
      <c r="J343" s="7">
        <v>121.21</v>
      </c>
      <c r="K343" s="7">
        <v>118.95</v>
      </c>
      <c r="L343" s="7">
        <v>-24.525940296639298</v>
      </c>
    </row>
    <row r="344" spans="1:12" ht="15" customHeight="1" x14ac:dyDescent="0.2">
      <c r="A344" s="3">
        <v>45548</v>
      </c>
      <c r="B344" s="4">
        <v>120.8</v>
      </c>
      <c r="C344" s="5">
        <v>1040135</v>
      </c>
      <c r="D344" s="4">
        <v>1.4299999999999899</v>
      </c>
      <c r="E344" s="4">
        <v>1.1979559353271201</v>
      </c>
      <c r="F344" s="4">
        <v>1.19795589044837</v>
      </c>
      <c r="G344" s="4">
        <v>123.73054500000001</v>
      </c>
      <c r="H344" s="4">
        <v>-22.566778271481301</v>
      </c>
      <c r="I344" s="4">
        <v>117.11</v>
      </c>
      <c r="J344" s="4">
        <v>121.11</v>
      </c>
      <c r="K344" s="4">
        <v>117.11</v>
      </c>
      <c r="L344" s="4">
        <v>-24.400776018524301</v>
      </c>
    </row>
    <row r="345" spans="1:12" ht="15" customHeight="1" x14ac:dyDescent="0.2">
      <c r="A345" s="6">
        <v>45547</v>
      </c>
      <c r="B345" s="7">
        <v>119.37</v>
      </c>
      <c r="C345" s="8">
        <v>984971</v>
      </c>
      <c r="D345" s="7">
        <v>3.9399999999999902</v>
      </c>
      <c r="E345" s="7">
        <v>3.4133240925235899</v>
      </c>
      <c r="F345" s="7">
        <v>3.4133255383752301</v>
      </c>
      <c r="G345" s="7">
        <v>122.265854</v>
      </c>
      <c r="H345" s="7">
        <v>-23.483413229864102</v>
      </c>
      <c r="I345" s="7">
        <v>114</v>
      </c>
      <c r="J345" s="7">
        <v>120.5</v>
      </c>
      <c r="K345" s="7">
        <v>114</v>
      </c>
      <c r="L345" s="7">
        <v>-25.295700607046701</v>
      </c>
    </row>
    <row r="346" spans="1:12" ht="15" customHeight="1" x14ac:dyDescent="0.2">
      <c r="A346" s="3">
        <v>45546</v>
      </c>
      <c r="B346" s="4">
        <v>115.43</v>
      </c>
      <c r="C346" s="5">
        <v>1944851</v>
      </c>
      <c r="D346" s="4">
        <v>-1.20999999999999</v>
      </c>
      <c r="E346" s="4">
        <v>-1.03737997256515</v>
      </c>
      <c r="F346" s="4">
        <v>-1.03737669877915</v>
      </c>
      <c r="G346" s="4">
        <v>118.23027</v>
      </c>
      <c r="H346" s="4">
        <v>-26.0089680205269</v>
      </c>
      <c r="I346" s="4">
        <v>116.77</v>
      </c>
      <c r="J346" s="4">
        <v>117.06</v>
      </c>
      <c r="K346" s="4">
        <v>113.46</v>
      </c>
      <c r="L346" s="4">
        <v>-27.761436885912701</v>
      </c>
    </row>
    <row r="347" spans="1:12" ht="15" customHeight="1" x14ac:dyDescent="0.2">
      <c r="A347" s="6">
        <v>45545</v>
      </c>
      <c r="B347" s="7">
        <v>116.64</v>
      </c>
      <c r="C347" s="8">
        <v>1691461</v>
      </c>
      <c r="D347" s="7">
        <v>-3.84</v>
      </c>
      <c r="E347" s="7">
        <v>-3.1872509960159401</v>
      </c>
      <c r="F347" s="7">
        <v>-3.1872539662396502</v>
      </c>
      <c r="G347" s="7">
        <v>119.46962000000001</v>
      </c>
      <c r="H347" s="7">
        <v>-25.233356280117601</v>
      </c>
      <c r="I347" s="7">
        <v>120.5</v>
      </c>
      <c r="J347" s="7">
        <v>120.5</v>
      </c>
      <c r="K347" s="7">
        <v>115.66</v>
      </c>
      <c r="L347" s="7">
        <v>-27.0041930033168</v>
      </c>
    </row>
    <row r="348" spans="1:12" ht="15" customHeight="1" x14ac:dyDescent="0.2">
      <c r="A348" s="3">
        <v>45544</v>
      </c>
      <c r="B348" s="4">
        <v>120.48</v>
      </c>
      <c r="C348" s="5">
        <v>1157492</v>
      </c>
      <c r="D348" s="4">
        <v>1.1000000000000001</v>
      </c>
      <c r="E348" s="4">
        <v>0.92142737476965597</v>
      </c>
      <c r="F348" s="4">
        <v>0.92143116450649198</v>
      </c>
      <c r="G348" s="4">
        <v>123.40278000000001</v>
      </c>
      <c r="H348" s="4">
        <v>-22.771900619563102</v>
      </c>
      <c r="I348" s="4">
        <v>119.97</v>
      </c>
      <c r="J348" s="4">
        <v>121.81</v>
      </c>
      <c r="K348" s="4">
        <v>117.51</v>
      </c>
      <c r="L348" s="4">
        <v>-24.6010388635083</v>
      </c>
    </row>
    <row r="349" spans="1:12" ht="15" customHeight="1" x14ac:dyDescent="0.2">
      <c r="A349" s="6">
        <v>45541</v>
      </c>
      <c r="B349" s="7">
        <v>119.38</v>
      </c>
      <c r="C349" s="8">
        <v>478444</v>
      </c>
      <c r="D349" s="7">
        <v>-2.78</v>
      </c>
      <c r="E349" s="7">
        <v>-2.2757039947609599</v>
      </c>
      <c r="F349" s="7">
        <v>-2.2757069643213099</v>
      </c>
      <c r="G349" s="7">
        <v>122.27609</v>
      </c>
      <c r="H349" s="7">
        <v>-23.4770073221102</v>
      </c>
      <c r="I349" s="7">
        <v>121</v>
      </c>
      <c r="J349" s="7">
        <v>122.79</v>
      </c>
      <c r="K349" s="7">
        <v>117.15</v>
      </c>
      <c r="L349" s="7">
        <v>-25.289442393140899</v>
      </c>
    </row>
    <row r="350" spans="1:12" ht="15" customHeight="1" x14ac:dyDescent="0.2">
      <c r="A350" s="3">
        <v>45540</v>
      </c>
      <c r="B350" s="4">
        <v>122.16</v>
      </c>
      <c r="C350" s="5">
        <v>810543</v>
      </c>
      <c r="D350" s="4">
        <v>-3.7700000000000098</v>
      </c>
      <c r="E350" s="4">
        <v>-2.9937266735488</v>
      </c>
      <c r="F350" s="4">
        <v>-2.9937243085416401</v>
      </c>
      <c r="G350" s="4">
        <v>125.123535</v>
      </c>
      <c r="H350" s="4">
        <v>-21.695015332623999</v>
      </c>
      <c r="I350" s="4">
        <v>125.2</v>
      </c>
      <c r="J350" s="4">
        <v>126.28</v>
      </c>
      <c r="K350" s="4">
        <v>121.01</v>
      </c>
      <c r="L350" s="4">
        <v>-23.549658927342101</v>
      </c>
    </row>
    <row r="351" spans="1:12" ht="15" customHeight="1" x14ac:dyDescent="0.2">
      <c r="A351" s="6">
        <v>45539</v>
      </c>
      <c r="B351" s="7">
        <v>125.93</v>
      </c>
      <c r="C351" s="8">
        <v>893259</v>
      </c>
      <c r="D351" s="7">
        <v>0.260000000000005</v>
      </c>
      <c r="E351" s="7">
        <v>0.206891063897507</v>
      </c>
      <c r="F351" s="7">
        <v>0.206885262738465</v>
      </c>
      <c r="G351" s="7">
        <v>128.98499000000001</v>
      </c>
      <c r="H351" s="7">
        <v>-19.278434194880699</v>
      </c>
      <c r="I351" s="7">
        <v>126.72</v>
      </c>
      <c r="J351" s="7">
        <v>127.83</v>
      </c>
      <c r="K351" s="7">
        <v>124.82</v>
      </c>
      <c r="L351" s="7">
        <v>-21.190312284873801</v>
      </c>
    </row>
    <row r="352" spans="1:12" ht="15" customHeight="1" x14ac:dyDescent="0.2">
      <c r="A352" s="3">
        <v>45538</v>
      </c>
      <c r="B352" s="4">
        <v>125.67</v>
      </c>
      <c r="C352" s="5">
        <v>497221</v>
      </c>
      <c r="D352" s="4">
        <v>-6.6600000000000099</v>
      </c>
      <c r="E352" s="4">
        <v>-5.0328723645431896</v>
      </c>
      <c r="F352" s="4">
        <v>-5.0328666208008102</v>
      </c>
      <c r="G352" s="4">
        <v>128.71869000000001</v>
      </c>
      <c r="H352" s="4">
        <v>-19.445090431190899</v>
      </c>
      <c r="I352" s="4">
        <v>132.11000000000001</v>
      </c>
      <c r="J352" s="4">
        <v>132.11000000000001</v>
      </c>
      <c r="K352" s="4">
        <v>124.72</v>
      </c>
      <c r="L352" s="4">
        <v>-21.3530258464234</v>
      </c>
    </row>
    <row r="353" spans="1:12" ht="15" customHeight="1" x14ac:dyDescent="0.2">
      <c r="A353" s="6">
        <v>45537</v>
      </c>
      <c r="B353" s="7">
        <v>132.33000000000001</v>
      </c>
      <c r="C353" s="8">
        <v>71175</v>
      </c>
      <c r="D353" s="7">
        <v>7.57</v>
      </c>
      <c r="E353" s="7">
        <v>6.0676498877845404</v>
      </c>
      <c r="F353" s="7">
        <v>6.0676466806655203</v>
      </c>
      <c r="G353" s="7">
        <v>135.54024999999999</v>
      </c>
      <c r="H353" s="7">
        <v>-15.1760122660992</v>
      </c>
      <c r="I353" s="7">
        <v>125</v>
      </c>
      <c r="J353" s="7">
        <v>132.97999999999999</v>
      </c>
      <c r="K353" s="7">
        <v>124.96</v>
      </c>
      <c r="L353" s="7">
        <v>-17.185055385192999</v>
      </c>
    </row>
    <row r="354" spans="1:12" ht="15" customHeight="1" x14ac:dyDescent="0.2">
      <c r="A354" s="3">
        <v>45534</v>
      </c>
      <c r="B354" s="4">
        <v>124.76</v>
      </c>
      <c r="C354" s="5">
        <v>914156</v>
      </c>
      <c r="D354" s="4">
        <v>-0.92999999999999206</v>
      </c>
      <c r="E354" s="4">
        <v>-0.73991566552629096</v>
      </c>
      <c r="F354" s="4">
        <v>-0.73991466622008695</v>
      </c>
      <c r="G354" s="4">
        <v>127.78661</v>
      </c>
      <c r="H354" s="4">
        <v>-20.028406032918198</v>
      </c>
      <c r="I354" s="4">
        <v>126.8</v>
      </c>
      <c r="J354" s="4">
        <v>126.82</v>
      </c>
      <c r="K354" s="4">
        <v>124.33</v>
      </c>
      <c r="L354" s="4">
        <v>-21.9225233118467</v>
      </c>
    </row>
    <row r="355" spans="1:12" ht="15" customHeight="1" x14ac:dyDescent="0.2">
      <c r="A355" s="6">
        <v>45533</v>
      </c>
      <c r="B355" s="7">
        <v>125.69</v>
      </c>
      <c r="C355" s="8">
        <v>783378</v>
      </c>
      <c r="D355" s="7">
        <v>-0.79000000000000603</v>
      </c>
      <c r="E355" s="7">
        <v>-0.62460468058191898</v>
      </c>
      <c r="F355" s="7">
        <v>-0.62460854380688102</v>
      </c>
      <c r="G355" s="7">
        <v>128.73917</v>
      </c>
      <c r="H355" s="7">
        <v>-19.432273609111899</v>
      </c>
      <c r="I355" s="7">
        <v>126.55</v>
      </c>
      <c r="J355" s="7">
        <v>127.86</v>
      </c>
      <c r="K355" s="7">
        <v>125</v>
      </c>
      <c r="L355" s="7">
        <v>-21.340509418611902</v>
      </c>
    </row>
    <row r="356" spans="1:12" ht="15" customHeight="1" x14ac:dyDescent="0.2">
      <c r="A356" s="3">
        <v>45532</v>
      </c>
      <c r="B356" s="4">
        <v>126.48</v>
      </c>
      <c r="C356" s="5">
        <v>803782</v>
      </c>
      <c r="D356" s="4">
        <v>0.62000000000000399</v>
      </c>
      <c r="E356" s="4">
        <v>0.49261083743843398</v>
      </c>
      <c r="F356" s="4">
        <v>0.49261014961219302</v>
      </c>
      <c r="G356" s="4">
        <v>129.54834</v>
      </c>
      <c r="H356" s="4">
        <v>-18.925877714500199</v>
      </c>
      <c r="I356" s="4">
        <v>126.51</v>
      </c>
      <c r="J356" s="4">
        <v>127.78</v>
      </c>
      <c r="K356" s="4">
        <v>125.59</v>
      </c>
      <c r="L356" s="4">
        <v>-20.846110520057501</v>
      </c>
    </row>
    <row r="357" spans="1:12" ht="15" customHeight="1" x14ac:dyDescent="0.2">
      <c r="A357" s="6">
        <v>45531</v>
      </c>
      <c r="B357" s="7">
        <v>125.86</v>
      </c>
      <c r="C357" s="8">
        <v>701076</v>
      </c>
      <c r="D357" s="7">
        <v>-0.90999999999999603</v>
      </c>
      <c r="E357" s="7">
        <v>-0.71783545002760396</v>
      </c>
      <c r="F357" s="7">
        <v>-0.71783075515130501</v>
      </c>
      <c r="G357" s="7">
        <v>128.91329999999999</v>
      </c>
      <c r="H357" s="7">
        <v>-19.3232993303711</v>
      </c>
      <c r="I357" s="7">
        <v>126.35</v>
      </c>
      <c r="J357" s="7">
        <v>128.59</v>
      </c>
      <c r="K357" s="7">
        <v>125.56</v>
      </c>
      <c r="L357" s="7">
        <v>-21.234119782214101</v>
      </c>
    </row>
    <row r="358" spans="1:12" ht="15" customHeight="1" x14ac:dyDescent="0.2">
      <c r="A358" s="3">
        <v>45530</v>
      </c>
      <c r="B358" s="4">
        <v>126.77</v>
      </c>
      <c r="C358" s="5">
        <v>787064</v>
      </c>
      <c r="D358" s="4">
        <v>-2.8999999999999901</v>
      </c>
      <c r="E358" s="4">
        <v>-2.2364463638466701</v>
      </c>
      <c r="F358" s="4">
        <v>-2.2364446015878099</v>
      </c>
      <c r="G358" s="4">
        <v>129.84537</v>
      </c>
      <c r="H358" s="4">
        <v>-18.739989986857701</v>
      </c>
      <c r="I358" s="4">
        <v>127.16</v>
      </c>
      <c r="J358" s="4">
        <v>129</v>
      </c>
      <c r="K358" s="4">
        <v>125.5</v>
      </c>
      <c r="L358" s="4">
        <v>-20.664622316790702</v>
      </c>
    </row>
    <row r="359" spans="1:12" ht="15" customHeight="1" x14ac:dyDescent="0.2">
      <c r="A359" s="6">
        <v>45527</v>
      </c>
      <c r="B359" s="7">
        <v>129.66999999999999</v>
      </c>
      <c r="C359" s="8">
        <v>801655</v>
      </c>
      <c r="D359" s="7">
        <v>1.4099999999999899</v>
      </c>
      <c r="E359" s="7">
        <v>1.09932948697957</v>
      </c>
      <c r="F359" s="7">
        <v>1.0993404201063299</v>
      </c>
      <c r="G359" s="7">
        <v>132.81572</v>
      </c>
      <c r="H359" s="7">
        <v>-16.8810814193629</v>
      </c>
      <c r="I359" s="7">
        <v>127.35</v>
      </c>
      <c r="J359" s="7">
        <v>130.47</v>
      </c>
      <c r="K359" s="7">
        <v>127.35</v>
      </c>
      <c r="L359" s="7">
        <v>-18.849740284122898</v>
      </c>
    </row>
    <row r="360" spans="1:12" ht="15" customHeight="1" x14ac:dyDescent="0.2">
      <c r="A360" s="3">
        <v>45526</v>
      </c>
      <c r="B360" s="4">
        <v>128.26</v>
      </c>
      <c r="C360" s="5">
        <v>839594</v>
      </c>
      <c r="D360" s="4">
        <v>-1.5</v>
      </c>
      <c r="E360" s="4">
        <v>-1.15598027127004</v>
      </c>
      <c r="F360" s="4">
        <v>-1.1559884702113301</v>
      </c>
      <c r="G360" s="4">
        <v>131.3715</v>
      </c>
      <c r="H360" s="4">
        <v>-17.784905188059302</v>
      </c>
      <c r="I360" s="4">
        <v>130.06</v>
      </c>
      <c r="J360" s="4">
        <v>132</v>
      </c>
      <c r="K360" s="4">
        <v>127.54</v>
      </c>
      <c r="L360" s="4">
        <v>-19.7321484448338</v>
      </c>
    </row>
    <row r="361" spans="1:12" ht="15" customHeight="1" x14ac:dyDescent="0.2">
      <c r="A361" s="6">
        <v>45525</v>
      </c>
      <c r="B361" s="7">
        <v>129.76</v>
      </c>
      <c r="C361" s="8">
        <v>770032</v>
      </c>
      <c r="D361" s="7">
        <v>-1.52000000000001</v>
      </c>
      <c r="E361" s="7">
        <v>-1.15783059110299</v>
      </c>
      <c r="F361" s="7">
        <v>-1.1578347876670501</v>
      </c>
      <c r="G361" s="7">
        <v>132.90790000000001</v>
      </c>
      <c r="H361" s="7">
        <v>-16.823393203579599</v>
      </c>
      <c r="I361" s="7">
        <v>132.15</v>
      </c>
      <c r="J361" s="7">
        <v>132.99</v>
      </c>
      <c r="K361" s="7">
        <v>129.43</v>
      </c>
      <c r="L361" s="7">
        <v>-18.793416358971101</v>
      </c>
    </row>
    <row r="362" spans="1:12" ht="15" customHeight="1" x14ac:dyDescent="0.2">
      <c r="A362" s="3">
        <v>45524</v>
      </c>
      <c r="B362" s="4">
        <v>131.28</v>
      </c>
      <c r="C362" s="5">
        <v>171829</v>
      </c>
      <c r="D362" s="4">
        <v>-2.4300000000000002</v>
      </c>
      <c r="E362" s="4">
        <v>-1.8173659412160601</v>
      </c>
      <c r="F362" s="4">
        <v>-1.8173727858764599</v>
      </c>
      <c r="G362" s="4">
        <v>134.46477999999999</v>
      </c>
      <c r="H362" s="4">
        <v>-15.849064397020999</v>
      </c>
      <c r="I362" s="4">
        <v>133.53</v>
      </c>
      <c r="J362" s="4">
        <v>133.55000000000001</v>
      </c>
      <c r="K362" s="4">
        <v>130.07</v>
      </c>
      <c r="L362" s="4">
        <v>-17.842167845296899</v>
      </c>
    </row>
    <row r="363" spans="1:12" ht="15" customHeight="1" x14ac:dyDescent="0.2">
      <c r="A363" s="6">
        <v>45523</v>
      </c>
      <c r="B363" s="7">
        <v>133.71</v>
      </c>
      <c r="C363" s="8">
        <v>668471</v>
      </c>
      <c r="D363" s="7">
        <v>1.5999999999999901</v>
      </c>
      <c r="E363" s="7">
        <v>1.21111195216108</v>
      </c>
      <c r="F363" s="7">
        <v>1.21112300189241</v>
      </c>
      <c r="G363" s="7">
        <v>136.95374000000001</v>
      </c>
      <c r="H363" s="7">
        <v>-14.2914199887352</v>
      </c>
      <c r="I363" s="7">
        <v>131.44999999999999</v>
      </c>
      <c r="J363" s="7">
        <v>134</v>
      </c>
      <c r="K363" s="7">
        <v>130.63</v>
      </c>
      <c r="L363" s="7">
        <v>-16.321421866199302</v>
      </c>
    </row>
    <row r="364" spans="1:12" ht="15" customHeight="1" x14ac:dyDescent="0.2">
      <c r="A364" s="3">
        <v>45520</v>
      </c>
      <c r="B364" s="4">
        <v>132.11000000000001</v>
      </c>
      <c r="C364" s="5">
        <v>572677</v>
      </c>
      <c r="D364" s="4">
        <v>2.4500000000000099</v>
      </c>
      <c r="E364" s="4">
        <v>1.88955730371742</v>
      </c>
      <c r="F364" s="4">
        <v>1.88955305157589</v>
      </c>
      <c r="G364" s="4">
        <v>135.31491</v>
      </c>
      <c r="H364" s="4">
        <v>-15.3170348582514</v>
      </c>
      <c r="I364" s="4">
        <v>130.32</v>
      </c>
      <c r="J364" s="4">
        <v>132.47999999999999</v>
      </c>
      <c r="K364" s="4">
        <v>130</v>
      </c>
      <c r="L364" s="4">
        <v>-17.322736091119499</v>
      </c>
    </row>
    <row r="365" spans="1:12" ht="15" customHeight="1" x14ac:dyDescent="0.2">
      <c r="A365" s="6">
        <v>45519</v>
      </c>
      <c r="B365" s="7">
        <v>129.66</v>
      </c>
      <c r="C365" s="8">
        <v>1119359</v>
      </c>
      <c r="D365" s="7">
        <v>1.5799999999999801</v>
      </c>
      <c r="E365" s="7">
        <v>1.23360399750154</v>
      </c>
      <c r="F365" s="7">
        <v>1.23360405344576</v>
      </c>
      <c r="G365" s="7">
        <v>132.80547999999999</v>
      </c>
      <c r="H365" s="7">
        <v>-16.887489830402401</v>
      </c>
      <c r="I365" s="7">
        <v>128.80000000000001</v>
      </c>
      <c r="J365" s="7">
        <v>131.26</v>
      </c>
      <c r="K365" s="7">
        <v>128.66999999999999</v>
      </c>
      <c r="L365" s="7">
        <v>-18.855998498028601</v>
      </c>
    </row>
    <row r="366" spans="1:12" ht="15" customHeight="1" x14ac:dyDescent="0.2">
      <c r="A366" s="3">
        <v>45518</v>
      </c>
      <c r="B366" s="4">
        <v>128.08000000000001</v>
      </c>
      <c r="C366" s="5">
        <v>634389</v>
      </c>
      <c r="D366" s="4">
        <v>-0.36999999999997601</v>
      </c>
      <c r="E366" s="4">
        <v>-0.288049824834546</v>
      </c>
      <c r="F366" s="4">
        <v>-0.28804528095836002</v>
      </c>
      <c r="G366" s="4">
        <v>131.18715</v>
      </c>
      <c r="H366" s="4">
        <v>-17.900275361411801</v>
      </c>
      <c r="I366" s="4">
        <v>127.04</v>
      </c>
      <c r="J366" s="4">
        <v>130.02000000000001</v>
      </c>
      <c r="K366" s="4">
        <v>125.91</v>
      </c>
      <c r="L366" s="4">
        <v>-19.8447962951373</v>
      </c>
    </row>
    <row r="367" spans="1:12" ht="15" customHeight="1" x14ac:dyDescent="0.2">
      <c r="A367" s="6">
        <v>45517</v>
      </c>
      <c r="B367" s="7">
        <v>128.44999999999999</v>
      </c>
      <c r="C367" s="8">
        <v>469871</v>
      </c>
      <c r="D367" s="7">
        <v>1.44999999999998</v>
      </c>
      <c r="E367" s="7">
        <v>1.14173228346454</v>
      </c>
      <c r="F367" s="7">
        <v>1.1417275165964</v>
      </c>
      <c r="G367" s="7">
        <v>131.56612000000001</v>
      </c>
      <c r="H367" s="7">
        <v>-17.663107829025499</v>
      </c>
      <c r="I367" s="7">
        <v>127.25</v>
      </c>
      <c r="J367" s="7">
        <v>129.56</v>
      </c>
      <c r="K367" s="7">
        <v>126.77</v>
      </c>
      <c r="L367" s="7">
        <v>-19.613242380624499</v>
      </c>
    </row>
    <row r="368" spans="1:12" ht="15" customHeight="1" x14ac:dyDescent="0.2">
      <c r="A368" s="3">
        <v>45516</v>
      </c>
      <c r="B368" s="4">
        <v>127</v>
      </c>
      <c r="C368" s="5">
        <v>215217</v>
      </c>
      <c r="D368" s="4">
        <v>-0.5</v>
      </c>
      <c r="E368" s="4">
        <v>-0.39215686274509598</v>
      </c>
      <c r="F368" s="4">
        <v>-0.39215707294749602</v>
      </c>
      <c r="G368" s="4">
        <v>130.08095</v>
      </c>
      <c r="H368" s="4">
        <v>-18.592558983665999</v>
      </c>
      <c r="I368" s="4">
        <v>127.5</v>
      </c>
      <c r="J368" s="4">
        <v>128.76</v>
      </c>
      <c r="K368" s="4">
        <v>126.44</v>
      </c>
      <c r="L368" s="4">
        <v>-20.5206833969585</v>
      </c>
    </row>
    <row r="369" spans="1:12" ht="15" customHeight="1" x14ac:dyDescent="0.2">
      <c r="A369" s="6">
        <v>45513</v>
      </c>
      <c r="B369" s="7">
        <v>127.5</v>
      </c>
      <c r="C369" s="8">
        <v>628787</v>
      </c>
      <c r="D369" s="7">
        <v>0.76999999999999602</v>
      </c>
      <c r="E369" s="7">
        <v>0.607590941371416</v>
      </c>
      <c r="F369" s="7">
        <v>0.60759111401462695</v>
      </c>
      <c r="G369" s="7">
        <v>130.59307999999999</v>
      </c>
      <c r="H369" s="7">
        <v>-18.272057074910801</v>
      </c>
      <c r="I369" s="7">
        <v>127.24</v>
      </c>
      <c r="J369" s="7">
        <v>128</v>
      </c>
      <c r="K369" s="7">
        <v>126.1</v>
      </c>
      <c r="L369" s="7">
        <v>-20.207772701670901</v>
      </c>
    </row>
    <row r="370" spans="1:12" ht="15" customHeight="1" x14ac:dyDescent="0.2">
      <c r="A370" s="3">
        <v>45512</v>
      </c>
      <c r="B370" s="4">
        <v>126.73</v>
      </c>
      <c r="C370" s="5">
        <v>670718</v>
      </c>
      <c r="D370" s="4">
        <v>0.21000000000000699</v>
      </c>
      <c r="E370" s="4">
        <v>0.16598166297818701</v>
      </c>
      <c r="F370" s="4">
        <v>0.16598592630716599</v>
      </c>
      <c r="G370" s="4">
        <v>129.80439999999999</v>
      </c>
      <c r="H370" s="4">
        <v>-18.765629889229601</v>
      </c>
      <c r="I370" s="4">
        <v>127.15</v>
      </c>
      <c r="J370" s="4">
        <v>128.30000000000001</v>
      </c>
      <c r="K370" s="4">
        <v>126.21</v>
      </c>
      <c r="L370" s="4">
        <v>-20.689655172413701</v>
      </c>
    </row>
    <row r="371" spans="1:12" ht="15" customHeight="1" x14ac:dyDescent="0.2">
      <c r="A371" s="6">
        <v>45511</v>
      </c>
      <c r="B371" s="7">
        <v>126.52</v>
      </c>
      <c r="C371" s="8">
        <v>263386</v>
      </c>
      <c r="D371" s="7">
        <v>1.78</v>
      </c>
      <c r="E371" s="7">
        <v>1.42696809363476</v>
      </c>
      <c r="F371" s="7">
        <v>1.4269667107367801</v>
      </c>
      <c r="G371" s="7">
        <v>129.58930000000001</v>
      </c>
      <c r="H371" s="7">
        <v>-18.9002440703423</v>
      </c>
      <c r="I371" s="7">
        <v>125.46</v>
      </c>
      <c r="J371" s="7">
        <v>128.28</v>
      </c>
      <c r="K371" s="7">
        <v>123.68</v>
      </c>
      <c r="L371" s="7">
        <v>-20.821077664434501</v>
      </c>
    </row>
    <row r="372" spans="1:12" ht="15" customHeight="1" x14ac:dyDescent="0.2">
      <c r="A372" s="3">
        <v>45510</v>
      </c>
      <c r="B372" s="4">
        <v>124.74</v>
      </c>
      <c r="C372" s="5">
        <v>804004</v>
      </c>
      <c r="D372" s="4">
        <v>0.149999999999991</v>
      </c>
      <c r="E372" s="4">
        <v>0.120394895256437</v>
      </c>
      <c r="F372" s="4">
        <v>0.120395748127455</v>
      </c>
      <c r="G372" s="4">
        <v>127.76612</v>
      </c>
      <c r="H372" s="4">
        <v>-20.041229113210999</v>
      </c>
      <c r="I372" s="4">
        <v>125.5</v>
      </c>
      <c r="J372" s="4">
        <v>126.86</v>
      </c>
      <c r="K372" s="4">
        <v>122.55</v>
      </c>
      <c r="L372" s="4">
        <v>-21.935039739658301</v>
      </c>
    </row>
    <row r="373" spans="1:12" ht="15" customHeight="1" x14ac:dyDescent="0.2">
      <c r="A373" s="6">
        <v>45509</v>
      </c>
      <c r="B373" s="7">
        <v>124.59</v>
      </c>
      <c r="C373" s="8">
        <v>262739</v>
      </c>
      <c r="D373" s="7">
        <v>-4.93</v>
      </c>
      <c r="E373" s="7">
        <v>-3.8063619518221099</v>
      </c>
      <c r="F373" s="7">
        <v>-3.8063772546944401</v>
      </c>
      <c r="G373" s="7">
        <v>127.61248000000001</v>
      </c>
      <c r="H373" s="7">
        <v>-20.137380311659001</v>
      </c>
      <c r="I373" s="7">
        <v>129.36000000000001</v>
      </c>
      <c r="J373" s="7">
        <v>129.36000000000001</v>
      </c>
      <c r="K373" s="7">
        <v>124.17</v>
      </c>
      <c r="L373" s="7">
        <v>-22.0289129482445</v>
      </c>
    </row>
    <row r="374" spans="1:12" ht="15" customHeight="1" x14ac:dyDescent="0.2">
      <c r="A374" s="3">
        <v>45506</v>
      </c>
      <c r="B374" s="4">
        <v>129.52000000000001</v>
      </c>
      <c r="C374" s="5">
        <v>339087</v>
      </c>
      <c r="D374" s="4">
        <v>-1.59</v>
      </c>
      <c r="E374" s="4">
        <v>-1.21272214171306</v>
      </c>
      <c r="F374" s="4">
        <v>-1.2127054266249999</v>
      </c>
      <c r="G374" s="4">
        <v>132.66210000000001</v>
      </c>
      <c r="H374" s="4">
        <v>-16.977220101383001</v>
      </c>
      <c r="I374" s="4">
        <v>130.38999999999999</v>
      </c>
      <c r="J374" s="4">
        <v>130.38999999999999</v>
      </c>
      <c r="K374" s="4">
        <v>128.54</v>
      </c>
      <c r="L374" s="4">
        <v>-18.943613492709101</v>
      </c>
    </row>
    <row r="375" spans="1:12" ht="15" customHeight="1" x14ac:dyDescent="0.2">
      <c r="A375" s="6">
        <v>45505</v>
      </c>
      <c r="B375" s="7">
        <v>131.11000000000001</v>
      </c>
      <c r="C375" s="8">
        <v>420611</v>
      </c>
      <c r="D375" s="7">
        <v>-4.1099999999999799</v>
      </c>
      <c r="E375" s="7">
        <v>-3.03949119952668</v>
      </c>
      <c r="F375" s="7">
        <v>-3.0395009053044402</v>
      </c>
      <c r="G375" s="7">
        <v>134.29065</v>
      </c>
      <c r="H375" s="7">
        <v>-15.9580386757619</v>
      </c>
      <c r="I375" s="7">
        <v>135.99</v>
      </c>
      <c r="J375" s="7">
        <v>136</v>
      </c>
      <c r="K375" s="7">
        <v>130.21</v>
      </c>
      <c r="L375" s="7">
        <v>-17.948557481694699</v>
      </c>
    </row>
    <row r="376" spans="1:12" ht="15" customHeight="1" x14ac:dyDescent="0.2">
      <c r="A376" s="3">
        <v>45504</v>
      </c>
      <c r="B376" s="4">
        <v>135.22</v>
      </c>
      <c r="C376" s="5">
        <v>521719</v>
      </c>
      <c r="D376" s="4">
        <v>4.87</v>
      </c>
      <c r="E376" s="4">
        <v>3.7360951285001902</v>
      </c>
      <c r="F376" s="4">
        <v>3.7360999614866701</v>
      </c>
      <c r="G376" s="4">
        <v>138.50037</v>
      </c>
      <c r="H376" s="4">
        <v>-13.3235058514299</v>
      </c>
      <c r="I376" s="4">
        <v>130.36000000000001</v>
      </c>
      <c r="J376" s="4">
        <v>135.53</v>
      </c>
      <c r="K376" s="4">
        <v>130.32</v>
      </c>
      <c r="L376" s="4">
        <v>-15.376431566430901</v>
      </c>
    </row>
    <row r="377" spans="1:12" ht="15" customHeight="1" x14ac:dyDescent="0.2">
      <c r="A377" s="6">
        <v>45503</v>
      </c>
      <c r="B377" s="7">
        <v>130.35</v>
      </c>
      <c r="C377" s="8">
        <v>419322</v>
      </c>
      <c r="D377" s="7">
        <v>0.53000000000000103</v>
      </c>
      <c r="E377" s="7">
        <v>0.40825758742875001</v>
      </c>
      <c r="F377" s="7">
        <v>0.40824436422881499</v>
      </c>
      <c r="G377" s="7">
        <v>133.51222000000001</v>
      </c>
      <c r="H377" s="7">
        <v>-16.445196820827299</v>
      </c>
      <c r="I377" s="7">
        <v>131.05000000000001</v>
      </c>
      <c r="J377" s="7">
        <v>132.94999999999999</v>
      </c>
      <c r="K377" s="7">
        <v>129.77000000000001</v>
      </c>
      <c r="L377" s="7">
        <v>-18.4241817385318</v>
      </c>
    </row>
    <row r="378" spans="1:12" ht="15" customHeight="1" x14ac:dyDescent="0.2">
      <c r="A378" s="3">
        <v>45502</v>
      </c>
      <c r="B378" s="4">
        <v>129.82</v>
      </c>
      <c r="C378" s="5">
        <v>336580</v>
      </c>
      <c r="D378" s="4">
        <v>-4.09</v>
      </c>
      <c r="E378" s="4">
        <v>-3.0542901949070198</v>
      </c>
      <c r="F378" s="4">
        <v>-3.05427484011572</v>
      </c>
      <c r="G378" s="4">
        <v>132.96938</v>
      </c>
      <c r="H378" s="4">
        <v>-16.7849177044871</v>
      </c>
      <c r="I378" s="4">
        <v>133.61000000000001</v>
      </c>
      <c r="J378" s="4">
        <v>136.41</v>
      </c>
      <c r="K378" s="4">
        <v>128.47</v>
      </c>
      <c r="L378" s="4">
        <v>-18.755867075536599</v>
      </c>
    </row>
    <row r="379" spans="1:12" ht="15" customHeight="1" x14ac:dyDescent="0.2">
      <c r="A379" s="6">
        <v>45499</v>
      </c>
      <c r="B379" s="7">
        <v>133.91</v>
      </c>
      <c r="C379" s="8">
        <v>402450</v>
      </c>
      <c r="D379" s="7">
        <v>1.34</v>
      </c>
      <c r="E379" s="7">
        <v>1.0107867541676101</v>
      </c>
      <c r="F379" s="7">
        <v>1.01077363668105</v>
      </c>
      <c r="G379" s="7">
        <v>137.15858</v>
      </c>
      <c r="H379" s="7">
        <v>-14.163226735089699</v>
      </c>
      <c r="I379" s="7">
        <v>132.71</v>
      </c>
      <c r="J379" s="7">
        <v>134.44</v>
      </c>
      <c r="K379" s="7">
        <v>131.96</v>
      </c>
      <c r="L379" s="7">
        <v>-16.1962575880843</v>
      </c>
    </row>
    <row r="380" spans="1:12" ht="15" customHeight="1" x14ac:dyDescent="0.2">
      <c r="A380" s="3">
        <v>45498</v>
      </c>
      <c r="B380" s="4">
        <v>132.57</v>
      </c>
      <c r="C380" s="5">
        <v>501150</v>
      </c>
      <c r="D380" s="4">
        <v>-2.8199999999999901</v>
      </c>
      <c r="E380" s="4">
        <v>-2.0828717039663101</v>
      </c>
      <c r="F380" s="4">
        <v>-2.0828561967565902</v>
      </c>
      <c r="G380" s="4">
        <v>135.78609</v>
      </c>
      <c r="H380" s="4">
        <v>-15.0221603354402</v>
      </c>
      <c r="I380" s="4">
        <v>136.47</v>
      </c>
      <c r="J380" s="4">
        <v>136.47</v>
      </c>
      <c r="K380" s="4">
        <v>131.05000000000001</v>
      </c>
      <c r="L380" s="4">
        <v>-17.034858251454999</v>
      </c>
    </row>
    <row r="381" spans="1:12" ht="15" customHeight="1" x14ac:dyDescent="0.2">
      <c r="A381" s="6">
        <v>45497</v>
      </c>
      <c r="B381" s="7">
        <v>135.38999999999999</v>
      </c>
      <c r="C381" s="8">
        <v>556447</v>
      </c>
      <c r="D381" s="7">
        <v>-2.31</v>
      </c>
      <c r="E381" s="7">
        <v>-1.6775599128540299</v>
      </c>
      <c r="F381" s="7">
        <v>-1.6775674339851101</v>
      </c>
      <c r="G381" s="7">
        <v>138.67447999999999</v>
      </c>
      <c r="H381" s="7">
        <v>-13.214544089116901</v>
      </c>
      <c r="I381" s="7">
        <v>137.55000000000001</v>
      </c>
      <c r="J381" s="7">
        <v>137.80000000000001</v>
      </c>
      <c r="K381" s="7">
        <v>135.03</v>
      </c>
      <c r="L381" s="7">
        <v>-15.2700419300331</v>
      </c>
    </row>
    <row r="382" spans="1:12" ht="15" customHeight="1" x14ac:dyDescent="0.2">
      <c r="A382" s="3">
        <v>45496</v>
      </c>
      <c r="B382" s="4">
        <v>137.69999999999999</v>
      </c>
      <c r="C382" s="5">
        <v>823701</v>
      </c>
      <c r="D382" s="4">
        <v>-4.1700000000000097</v>
      </c>
      <c r="E382" s="4">
        <v>-2.93931063649821</v>
      </c>
      <c r="F382" s="4">
        <v>-2.93930260802159</v>
      </c>
      <c r="G382" s="4">
        <v>141.04052999999999</v>
      </c>
      <c r="H382" s="4">
        <v>-11.7338193879466</v>
      </c>
      <c r="I382" s="4">
        <v>137.16</v>
      </c>
      <c r="J382" s="4">
        <v>140.88</v>
      </c>
      <c r="K382" s="4">
        <v>137.16</v>
      </c>
      <c r="L382" s="4">
        <v>-13.824394517804601</v>
      </c>
    </row>
    <row r="383" spans="1:12" ht="15" customHeight="1" x14ac:dyDescent="0.2">
      <c r="A383" s="6">
        <v>45495</v>
      </c>
      <c r="B383" s="7">
        <v>141.87</v>
      </c>
      <c r="C383" s="8">
        <v>352113</v>
      </c>
      <c r="D383" s="7">
        <v>0.90000000000000502</v>
      </c>
      <c r="E383" s="7">
        <v>0.63843370929985699</v>
      </c>
      <c r="F383" s="7">
        <v>0.63842433256739906</v>
      </c>
      <c r="G383" s="7">
        <v>145.31168</v>
      </c>
      <c r="H383" s="7">
        <v>-9.0608423555917099</v>
      </c>
      <c r="I383" s="7">
        <v>141.13999999999999</v>
      </c>
      <c r="J383" s="7">
        <v>144.25</v>
      </c>
      <c r="K383" s="7">
        <v>140.82</v>
      </c>
      <c r="L383" s="7">
        <v>-11.214719319106299</v>
      </c>
    </row>
    <row r="384" spans="1:12" ht="15" customHeight="1" x14ac:dyDescent="0.2">
      <c r="A384" s="3">
        <v>45492</v>
      </c>
      <c r="B384" s="4">
        <v>140.97</v>
      </c>
      <c r="C384" s="5">
        <v>937744</v>
      </c>
      <c r="D384" s="4">
        <v>2.87</v>
      </c>
      <c r="E384" s="4">
        <v>2.0782041998551799</v>
      </c>
      <c r="F384" s="4">
        <v>2.0782007863684</v>
      </c>
      <c r="G384" s="4">
        <v>144.38986</v>
      </c>
      <c r="H384" s="4">
        <v>-9.6377370298516691</v>
      </c>
      <c r="I384" s="4">
        <v>137.38999999999999</v>
      </c>
      <c r="J384" s="4">
        <v>143.47999999999999</v>
      </c>
      <c r="K384" s="4">
        <v>137</v>
      </c>
      <c r="L384" s="4">
        <v>-11.7779585706239</v>
      </c>
    </row>
    <row r="385" spans="1:12" ht="15" customHeight="1" x14ac:dyDescent="0.2">
      <c r="A385" s="6">
        <v>45491</v>
      </c>
      <c r="B385" s="7">
        <v>138.1</v>
      </c>
      <c r="C385" s="8">
        <v>2089436</v>
      </c>
      <c r="D385" s="7">
        <v>-6.4</v>
      </c>
      <c r="E385" s="7">
        <v>-4.4290657439446299</v>
      </c>
      <c r="F385" s="7">
        <v>-4.4290651360929099</v>
      </c>
      <c r="G385" s="7">
        <v>141.45024000000001</v>
      </c>
      <c r="H385" s="7">
        <v>-11.4774141060141</v>
      </c>
      <c r="I385" s="7">
        <v>144.46</v>
      </c>
      <c r="J385" s="7">
        <v>144.46</v>
      </c>
      <c r="K385" s="7">
        <v>135.31</v>
      </c>
      <c r="L385" s="7">
        <v>-13.574065961574499</v>
      </c>
    </row>
    <row r="386" spans="1:12" ht="15" customHeight="1" x14ac:dyDescent="0.2">
      <c r="A386" s="3">
        <v>45490</v>
      </c>
      <c r="B386" s="4">
        <v>144.5</v>
      </c>
      <c r="C386" s="5">
        <v>689874</v>
      </c>
      <c r="D386" s="4">
        <v>-0.90000000000000502</v>
      </c>
      <c r="E386" s="4">
        <v>-0.618982118294364</v>
      </c>
      <c r="F386" s="4">
        <v>-0.61897306686241604</v>
      </c>
      <c r="G386" s="4">
        <v>148.00550000000001</v>
      </c>
      <c r="H386" s="4">
        <v>-7.3749921772325999</v>
      </c>
      <c r="I386" s="4">
        <v>142.08000000000001</v>
      </c>
      <c r="J386" s="4">
        <v>146.47999999999999</v>
      </c>
      <c r="K386" s="4">
        <v>142.08000000000001</v>
      </c>
      <c r="L386" s="4">
        <v>-9.5688090618937292</v>
      </c>
    </row>
    <row r="387" spans="1:12" ht="15" customHeight="1" x14ac:dyDescent="0.2">
      <c r="A387" s="6">
        <v>45489</v>
      </c>
      <c r="B387" s="7">
        <v>145.4</v>
      </c>
      <c r="C387" s="8">
        <v>341194</v>
      </c>
      <c r="D387" s="7">
        <v>1.53</v>
      </c>
      <c r="E387" s="7">
        <v>1.0634600681170601</v>
      </c>
      <c r="F387" s="7">
        <v>1.0634621831403701</v>
      </c>
      <c r="G387" s="7">
        <v>148.92732000000001</v>
      </c>
      <c r="H387" s="7">
        <v>-6.7980975029726398</v>
      </c>
      <c r="I387" s="7">
        <v>145.27000000000001</v>
      </c>
      <c r="J387" s="7">
        <v>145.81</v>
      </c>
      <c r="K387" s="7">
        <v>144</v>
      </c>
      <c r="L387" s="7">
        <v>-9.0055698103761106</v>
      </c>
    </row>
    <row r="388" spans="1:12" ht="15" customHeight="1" x14ac:dyDescent="0.2">
      <c r="A388" s="3">
        <v>45488</v>
      </c>
      <c r="B388" s="4">
        <v>143.87</v>
      </c>
      <c r="C388" s="5">
        <v>166522</v>
      </c>
      <c r="D388" s="4">
        <v>-1.3299999999999801</v>
      </c>
      <c r="E388" s="4">
        <v>-0.91597796143250099</v>
      </c>
      <c r="F388" s="4">
        <v>-0.91598129052051702</v>
      </c>
      <c r="G388" s="4">
        <v>147.36019999999999</v>
      </c>
      <c r="H388" s="4">
        <v>-7.7788347205707398</v>
      </c>
      <c r="I388" s="4">
        <v>146.26</v>
      </c>
      <c r="J388" s="4">
        <v>146.26</v>
      </c>
      <c r="K388" s="4">
        <v>143.44</v>
      </c>
      <c r="L388" s="4">
        <v>-9.9630765379560593</v>
      </c>
    </row>
    <row r="389" spans="1:12" ht="15" customHeight="1" x14ac:dyDescent="0.2">
      <c r="A389" s="6">
        <v>45485</v>
      </c>
      <c r="B389" s="7">
        <v>145.19999999999999</v>
      </c>
      <c r="C389" s="8">
        <v>653481</v>
      </c>
      <c r="D389" s="7">
        <v>1.18999999999999</v>
      </c>
      <c r="E389" s="7">
        <v>0.82633150475661599</v>
      </c>
      <c r="F389" s="7">
        <v>0.82633237426068495</v>
      </c>
      <c r="G389" s="7">
        <v>148.72246999999999</v>
      </c>
      <c r="H389" s="7">
        <v>-6.9262970148319702</v>
      </c>
      <c r="I389" s="7">
        <v>144.19999999999999</v>
      </c>
      <c r="J389" s="7">
        <v>145.6</v>
      </c>
      <c r="K389" s="7">
        <v>143.5</v>
      </c>
      <c r="L389" s="7">
        <v>-9.1307340884911401</v>
      </c>
    </row>
    <row r="390" spans="1:12" ht="15" customHeight="1" x14ac:dyDescent="0.2">
      <c r="A390" s="3">
        <v>45484</v>
      </c>
      <c r="B390" s="4">
        <v>144.01</v>
      </c>
      <c r="C390" s="5">
        <v>377230</v>
      </c>
      <c r="D390" s="4">
        <v>-0.189999999999997</v>
      </c>
      <c r="E390" s="4">
        <v>-0.13176144244104701</v>
      </c>
      <c r="F390" s="4">
        <v>-0.131761921826933</v>
      </c>
      <c r="G390" s="4">
        <v>147.50360000000001</v>
      </c>
      <c r="H390" s="4">
        <v>-7.6890919331622598</v>
      </c>
      <c r="I390" s="4">
        <v>143.46</v>
      </c>
      <c r="J390" s="4">
        <v>146.18</v>
      </c>
      <c r="K390" s="4">
        <v>142.87</v>
      </c>
      <c r="L390" s="4">
        <v>-9.8754615432755504</v>
      </c>
    </row>
    <row r="391" spans="1:12" ht="15" customHeight="1" x14ac:dyDescent="0.2">
      <c r="A391" s="6">
        <v>45483</v>
      </c>
      <c r="B391" s="7">
        <v>144.19999999999999</v>
      </c>
      <c r="C391" s="8">
        <v>439428</v>
      </c>
      <c r="D391" s="7">
        <v>3.17999999999997</v>
      </c>
      <c r="E391" s="7">
        <v>2.2549992908807099</v>
      </c>
      <c r="F391" s="7">
        <v>2.2549957570931798</v>
      </c>
      <c r="G391" s="7">
        <v>147.69820999999999</v>
      </c>
      <c r="H391" s="7">
        <v>-7.5673008323424504</v>
      </c>
      <c r="I391" s="7">
        <v>141.22999999999999</v>
      </c>
      <c r="J391" s="7">
        <v>145.19</v>
      </c>
      <c r="K391" s="7">
        <v>141.16999999999999</v>
      </c>
      <c r="L391" s="7">
        <v>-9.7565554790662699</v>
      </c>
    </row>
    <row r="392" spans="1:12" ht="15" customHeight="1" x14ac:dyDescent="0.2">
      <c r="A392" s="3">
        <v>45482</v>
      </c>
      <c r="B392" s="4">
        <v>141.02000000000001</v>
      </c>
      <c r="C392" s="5">
        <v>475379</v>
      </c>
      <c r="D392" s="4">
        <v>-1.0799999999999801</v>
      </c>
      <c r="E392" s="4">
        <v>-0.76002814919069395</v>
      </c>
      <c r="F392" s="4">
        <v>-0.76002799640282304</v>
      </c>
      <c r="G392" s="4">
        <v>144.44107</v>
      </c>
      <c r="H392" s="4">
        <v>-9.6056887164403193</v>
      </c>
      <c r="I392" s="4">
        <v>141.38</v>
      </c>
      <c r="J392" s="4">
        <v>142.80000000000001</v>
      </c>
      <c r="K392" s="4">
        <v>140.12</v>
      </c>
      <c r="L392" s="4">
        <v>-11.7466675010951</v>
      </c>
    </row>
    <row r="393" spans="1:12" ht="15" customHeight="1" x14ac:dyDescent="0.2">
      <c r="A393" s="6">
        <v>45481</v>
      </c>
      <c r="B393" s="7">
        <v>142.1</v>
      </c>
      <c r="C393" s="8">
        <v>534110</v>
      </c>
      <c r="D393" s="7">
        <v>3.31</v>
      </c>
      <c r="E393" s="7">
        <v>2.3848980474097501</v>
      </c>
      <c r="F393" s="7">
        <v>2.3848988902900699</v>
      </c>
      <c r="G393" s="7">
        <v>145.54727</v>
      </c>
      <c r="H393" s="7">
        <v>-8.9134050941861105</v>
      </c>
      <c r="I393" s="7">
        <v>138.1</v>
      </c>
      <c r="J393" s="7">
        <v>142.88</v>
      </c>
      <c r="K393" s="7">
        <v>136.99</v>
      </c>
      <c r="L393" s="7">
        <v>-11.070780399274</v>
      </c>
    </row>
    <row r="394" spans="1:12" ht="15" customHeight="1" x14ac:dyDescent="0.2">
      <c r="A394" s="3">
        <v>45478</v>
      </c>
      <c r="B394" s="4">
        <v>138.79</v>
      </c>
      <c r="C394" s="5">
        <v>367283</v>
      </c>
      <c r="D394" s="4">
        <v>0.68999999999999695</v>
      </c>
      <c r="E394" s="4">
        <v>0.499637943519193</v>
      </c>
      <c r="F394" s="4">
        <v>0.499631531201361</v>
      </c>
      <c r="G394" s="4">
        <v>142.15697</v>
      </c>
      <c r="H394" s="4">
        <v>-11.0351273546529</v>
      </c>
      <c r="I394" s="4">
        <v>138.19</v>
      </c>
      <c r="J394" s="4">
        <v>140</v>
      </c>
      <c r="K394" s="4">
        <v>137.04</v>
      </c>
      <c r="L394" s="4">
        <v>-13.1422492020777</v>
      </c>
    </row>
    <row r="395" spans="1:12" ht="15" customHeight="1" x14ac:dyDescent="0.2">
      <c r="A395" s="6">
        <v>45477</v>
      </c>
      <c r="B395" s="7">
        <v>138.1</v>
      </c>
      <c r="C395" s="8">
        <v>168665</v>
      </c>
      <c r="D395" s="7">
        <v>-0.83000000000001195</v>
      </c>
      <c r="E395" s="7">
        <v>-0.597423162743837</v>
      </c>
      <c r="F395" s="7">
        <v>-0.59740541748491904</v>
      </c>
      <c r="G395" s="7">
        <v>141.45024000000001</v>
      </c>
      <c r="H395" s="7">
        <v>-11.4774141060141</v>
      </c>
      <c r="I395" s="7">
        <v>137.93</v>
      </c>
      <c r="J395" s="7">
        <v>139.35</v>
      </c>
      <c r="K395" s="7">
        <v>137.44999999999999</v>
      </c>
      <c r="L395" s="7">
        <v>-13.574065961574499</v>
      </c>
    </row>
    <row r="396" spans="1:12" ht="15" customHeight="1" x14ac:dyDescent="0.2">
      <c r="A396" s="3">
        <v>45476</v>
      </c>
      <c r="B396" s="4">
        <v>138.93</v>
      </c>
      <c r="C396" s="5">
        <v>336332</v>
      </c>
      <c r="D396" s="4">
        <v>3.0999999999999899</v>
      </c>
      <c r="E396" s="4">
        <v>2.2822645954501999</v>
      </c>
      <c r="F396" s="4">
        <v>2.28224698665238</v>
      </c>
      <c r="G396" s="4">
        <v>142.30035000000001</v>
      </c>
      <c r="H396" s="4">
        <v>-10.945397083672299</v>
      </c>
      <c r="I396" s="4">
        <v>132.44</v>
      </c>
      <c r="J396" s="4">
        <v>139.97</v>
      </c>
      <c r="K396" s="4">
        <v>132.44</v>
      </c>
      <c r="L396" s="4">
        <v>-13.0546342073972</v>
      </c>
    </row>
    <row r="397" spans="1:12" ht="15" customHeight="1" x14ac:dyDescent="0.2">
      <c r="A397" s="6">
        <v>45475</v>
      </c>
      <c r="B397" s="7">
        <v>135.83000000000001</v>
      </c>
      <c r="C397" s="8">
        <v>775135</v>
      </c>
      <c r="D397" s="7">
        <v>-2.51999999999998</v>
      </c>
      <c r="E397" s="7">
        <v>-1.8214672930972</v>
      </c>
      <c r="F397" s="7">
        <v>-1.82146453615682</v>
      </c>
      <c r="G397" s="7">
        <v>139.12517</v>
      </c>
      <c r="H397" s="7">
        <v>-12.9324926465986</v>
      </c>
      <c r="I397" s="7">
        <v>135.38</v>
      </c>
      <c r="J397" s="7">
        <v>137.97</v>
      </c>
      <c r="K397" s="7">
        <v>133.08000000000001</v>
      </c>
      <c r="L397" s="7">
        <v>-14.9946805181801</v>
      </c>
    </row>
    <row r="398" spans="1:12" ht="15" customHeight="1" x14ac:dyDescent="0.2">
      <c r="A398" s="3">
        <v>45474</v>
      </c>
      <c r="B398" s="4">
        <v>138.35</v>
      </c>
      <c r="C398" s="5">
        <v>540279</v>
      </c>
      <c r="D398" s="4">
        <v>1.8299999999999801</v>
      </c>
      <c r="E398" s="4">
        <v>1.34046293583356</v>
      </c>
      <c r="F398" s="4">
        <v>1.34045941301954</v>
      </c>
      <c r="G398" s="4">
        <v>141.7063</v>
      </c>
      <c r="H398" s="4">
        <v>-11.3171662807434</v>
      </c>
      <c r="I398" s="4">
        <v>137.49</v>
      </c>
      <c r="J398" s="4">
        <v>140</v>
      </c>
      <c r="K398" s="4">
        <v>137.36000000000001</v>
      </c>
      <c r="L398" s="4">
        <v>-13.4176106139307</v>
      </c>
    </row>
    <row r="399" spans="1:12" ht="15" customHeight="1" x14ac:dyDescent="0.2">
      <c r="A399" s="6">
        <v>45471</v>
      </c>
      <c r="B399" s="7">
        <v>136.52000000000001</v>
      </c>
      <c r="C399" s="8">
        <v>702495</v>
      </c>
      <c r="D399" s="7">
        <v>2.26000000000001</v>
      </c>
      <c r="E399" s="7">
        <v>1.6833010576493499</v>
      </c>
      <c r="F399" s="7">
        <v>1.6833110245877101</v>
      </c>
      <c r="G399" s="7">
        <v>139.83190999999999</v>
      </c>
      <c r="H399" s="7">
        <v>-12.490199637023499</v>
      </c>
      <c r="I399" s="7">
        <v>134.56</v>
      </c>
      <c r="J399" s="7">
        <v>138.05000000000001</v>
      </c>
      <c r="K399" s="7">
        <v>134.56</v>
      </c>
      <c r="L399" s="7">
        <v>-14.5628637586832</v>
      </c>
    </row>
    <row r="400" spans="1:12" ht="15" customHeight="1" x14ac:dyDescent="0.2">
      <c r="A400" s="3">
        <v>45470</v>
      </c>
      <c r="B400" s="4">
        <v>134.26</v>
      </c>
      <c r="C400" s="5">
        <v>591535</v>
      </c>
      <c r="D400" s="4">
        <v>-3.15</v>
      </c>
      <c r="E400" s="4">
        <v>-2.2924095771777799</v>
      </c>
      <c r="F400" s="4">
        <v>-2.29241847758512</v>
      </c>
      <c r="G400" s="4">
        <v>137.51706999999999</v>
      </c>
      <c r="H400" s="4">
        <v>-13.9388760247825</v>
      </c>
      <c r="I400" s="4">
        <v>137.4</v>
      </c>
      <c r="J400" s="4">
        <v>137.4</v>
      </c>
      <c r="K400" s="4">
        <v>131.66</v>
      </c>
      <c r="L400" s="4">
        <v>-15.977220101383001</v>
      </c>
    </row>
    <row r="401" spans="1:12" ht="15" customHeight="1" x14ac:dyDescent="0.2">
      <c r="A401" s="6">
        <v>45469</v>
      </c>
      <c r="B401" s="7">
        <v>137.41</v>
      </c>
      <c r="C401" s="8">
        <v>731246</v>
      </c>
      <c r="D401" s="7">
        <v>3.96999999999999</v>
      </c>
      <c r="E401" s="7">
        <v>2.97511990407672</v>
      </c>
      <c r="F401" s="7">
        <v>2.9751196962712001</v>
      </c>
      <c r="G401" s="7">
        <v>140.74350000000001</v>
      </c>
      <c r="H401" s="7">
        <v>-11.919707115589199</v>
      </c>
      <c r="I401" s="7">
        <v>132.97999999999999</v>
      </c>
      <c r="J401" s="7">
        <v>139.5</v>
      </c>
      <c r="K401" s="7">
        <v>129.02000000000001</v>
      </c>
      <c r="L401" s="7">
        <v>-14.0058827210714</v>
      </c>
    </row>
    <row r="402" spans="1:12" ht="15" customHeight="1" x14ac:dyDescent="0.2">
      <c r="A402" s="3">
        <v>45468</v>
      </c>
      <c r="B402" s="4">
        <v>133.44</v>
      </c>
      <c r="C402" s="5">
        <v>702597</v>
      </c>
      <c r="D402" s="4">
        <v>1.56</v>
      </c>
      <c r="E402" s="4">
        <v>1.18289353958143</v>
      </c>
      <c r="F402" s="4">
        <v>1.1828899087832301</v>
      </c>
      <c r="G402" s="4">
        <v>136.67719</v>
      </c>
      <c r="H402" s="4">
        <v>-14.4644908942987</v>
      </c>
      <c r="I402" s="4">
        <v>131.15</v>
      </c>
      <c r="J402" s="4">
        <v>134.91</v>
      </c>
      <c r="K402" s="4">
        <v>126.01</v>
      </c>
      <c r="L402" s="4">
        <v>-16.490393641654599</v>
      </c>
    </row>
    <row r="403" spans="1:12" ht="15" customHeight="1" x14ac:dyDescent="0.2">
      <c r="A403" s="6">
        <v>45467</v>
      </c>
      <c r="B403" s="7">
        <v>131.88</v>
      </c>
      <c r="C403" s="8">
        <v>583825</v>
      </c>
      <c r="D403" s="7">
        <v>-0.75999999999999002</v>
      </c>
      <c r="E403" s="7">
        <v>-0.57297949336548804</v>
      </c>
      <c r="F403" s="7">
        <v>-0.57296686085748205</v>
      </c>
      <c r="G403" s="7">
        <v>135.07935000000001</v>
      </c>
      <c r="H403" s="7">
        <v>-15.464453345015301</v>
      </c>
      <c r="I403" s="7">
        <v>133.19999999999999</v>
      </c>
      <c r="J403" s="7">
        <v>133.38999999999999</v>
      </c>
      <c r="K403" s="7">
        <v>129.71</v>
      </c>
      <c r="L403" s="7">
        <v>-17.4666750109518</v>
      </c>
    </row>
    <row r="404" spans="1:12" ht="15" customHeight="1" x14ac:dyDescent="0.2">
      <c r="A404" s="3">
        <v>45464</v>
      </c>
      <c r="B404" s="4">
        <v>132.63999999999999</v>
      </c>
      <c r="C404" s="5">
        <v>3996619</v>
      </c>
      <c r="D404" s="4">
        <v>0.64999999999997704</v>
      </c>
      <c r="E404" s="4">
        <v>0.49246155011741699</v>
      </c>
      <c r="F404" s="4">
        <v>0.49244770512339903</v>
      </c>
      <c r="G404" s="4">
        <v>135.85776999999999</v>
      </c>
      <c r="H404" s="4">
        <v>-14.977301458163801</v>
      </c>
      <c r="I404" s="4">
        <v>133.77000000000001</v>
      </c>
      <c r="J404" s="4">
        <v>133.79</v>
      </c>
      <c r="K404" s="4">
        <v>129.9</v>
      </c>
      <c r="L404" s="4">
        <v>-16.991050754114699</v>
      </c>
    </row>
    <row r="405" spans="1:12" ht="15" customHeight="1" x14ac:dyDescent="0.2">
      <c r="A405" s="6">
        <v>45463</v>
      </c>
      <c r="B405" s="7">
        <v>131.99</v>
      </c>
      <c r="C405" s="8">
        <v>512917</v>
      </c>
      <c r="D405" s="7">
        <v>-0.84000000000000297</v>
      </c>
      <c r="E405" s="7">
        <v>-0.63238726191372496</v>
      </c>
      <c r="F405" s="7">
        <v>-0.63237409003795697</v>
      </c>
      <c r="G405" s="7">
        <v>135.19202000000001</v>
      </c>
      <c r="H405" s="7">
        <v>-15.3939420489392</v>
      </c>
      <c r="I405" s="7">
        <v>132.84</v>
      </c>
      <c r="J405" s="7">
        <v>132.84</v>
      </c>
      <c r="K405" s="7">
        <v>130.09</v>
      </c>
      <c r="L405" s="7">
        <v>-17.3978346579886</v>
      </c>
    </row>
    <row r="406" spans="1:12" ht="15" customHeight="1" x14ac:dyDescent="0.2">
      <c r="A406" s="3">
        <v>45462</v>
      </c>
      <c r="B406" s="4">
        <v>132.83000000000001</v>
      </c>
      <c r="C406" s="5">
        <v>95199</v>
      </c>
      <c r="D406" s="4">
        <v>0.58000000000001195</v>
      </c>
      <c r="E406" s="4">
        <v>0.43856332703213702</v>
      </c>
      <c r="F406" s="4">
        <v>0.43856297926645399</v>
      </c>
      <c r="G406" s="4">
        <v>136.05238</v>
      </c>
      <c r="H406" s="4">
        <v>-14.855510357344</v>
      </c>
      <c r="I406" s="4">
        <v>132.47999999999999</v>
      </c>
      <c r="J406" s="4">
        <v>133.77000000000001</v>
      </c>
      <c r="K406" s="4">
        <v>132</v>
      </c>
      <c r="L406" s="4">
        <v>-16.872144689905401</v>
      </c>
    </row>
    <row r="407" spans="1:12" ht="15" customHeight="1" x14ac:dyDescent="0.2">
      <c r="A407" s="6">
        <v>45461</v>
      </c>
      <c r="B407" s="7">
        <v>132.25</v>
      </c>
      <c r="C407" s="8">
        <v>541193</v>
      </c>
      <c r="D407" s="7">
        <v>3.65</v>
      </c>
      <c r="E407" s="7">
        <v>2.8382581648522498</v>
      </c>
      <c r="F407" s="7">
        <v>2.8382527543131899</v>
      </c>
      <c r="G407" s="7">
        <v>135.45831000000001</v>
      </c>
      <c r="H407" s="7">
        <v>-15.2272920708429</v>
      </c>
      <c r="I407" s="7">
        <v>129</v>
      </c>
      <c r="J407" s="7">
        <v>133.19</v>
      </c>
      <c r="K407" s="7">
        <v>129</v>
      </c>
      <c r="L407" s="7">
        <v>-17.235121096438998</v>
      </c>
    </row>
    <row r="408" spans="1:12" ht="15" customHeight="1" x14ac:dyDescent="0.2">
      <c r="A408" s="3">
        <v>45460</v>
      </c>
      <c r="B408" s="4">
        <v>128.6</v>
      </c>
      <c r="C408" s="5">
        <v>716405</v>
      </c>
      <c r="D408" s="4">
        <v>1.6499999999999899</v>
      </c>
      <c r="E408" s="4">
        <v>1.2997243009058499</v>
      </c>
      <c r="F408" s="4">
        <v>1.2997257396654101</v>
      </c>
      <c r="G408" s="4">
        <v>131.71977000000001</v>
      </c>
      <c r="H408" s="4">
        <v>-17.566950372363699</v>
      </c>
      <c r="I408" s="4">
        <v>127</v>
      </c>
      <c r="J408" s="4">
        <v>129.9</v>
      </c>
      <c r="K408" s="4">
        <v>127</v>
      </c>
      <c r="L408" s="4">
        <v>-19.519369172038299</v>
      </c>
    </row>
    <row r="409" spans="1:12" ht="15" customHeight="1" x14ac:dyDescent="0.2">
      <c r="A409" s="6">
        <v>45457</v>
      </c>
      <c r="B409" s="7">
        <v>126.95</v>
      </c>
      <c r="C409" s="8">
        <v>448591</v>
      </c>
      <c r="D409" s="7">
        <v>-0.82999999999999796</v>
      </c>
      <c r="E409" s="7">
        <v>-0.64955392080137098</v>
      </c>
      <c r="F409" s="7">
        <v>-0.64954985056143699</v>
      </c>
      <c r="G409" s="7">
        <v>130.02974</v>
      </c>
      <c r="H409" s="7">
        <v>-18.6246072970774</v>
      </c>
      <c r="I409" s="7">
        <v>127.35</v>
      </c>
      <c r="J409" s="7">
        <v>127.55</v>
      </c>
      <c r="K409" s="7">
        <v>125.28</v>
      </c>
      <c r="L409" s="7">
        <v>-20.551974466487199</v>
      </c>
    </row>
    <row r="410" spans="1:12" ht="15" customHeight="1" x14ac:dyDescent="0.2">
      <c r="A410" s="3">
        <v>45456</v>
      </c>
      <c r="B410" s="4">
        <v>127.78</v>
      </c>
      <c r="C410" s="5">
        <v>2276057</v>
      </c>
      <c r="D410" s="4">
        <v>-2.0200000000000098</v>
      </c>
      <c r="E410" s="4">
        <v>-1.55624036979969</v>
      </c>
      <c r="F410" s="4">
        <v>-1.5562447761876499</v>
      </c>
      <c r="G410" s="4">
        <v>130.87987000000001</v>
      </c>
      <c r="H410" s="4">
        <v>-18.092577758307701</v>
      </c>
      <c r="I410" s="4">
        <v>129.80000000000001</v>
      </c>
      <c r="J410" s="4">
        <v>129.81</v>
      </c>
      <c r="K410" s="4">
        <v>125.24</v>
      </c>
      <c r="L410" s="4">
        <v>-20.032542712309901</v>
      </c>
    </row>
    <row r="411" spans="1:12" ht="15" customHeight="1" x14ac:dyDescent="0.2">
      <c r="A411" s="6">
        <v>45455</v>
      </c>
      <c r="B411" s="7">
        <v>129.80000000000001</v>
      </c>
      <c r="C411" s="8">
        <v>1176390</v>
      </c>
      <c r="D411" s="7">
        <v>-5.3399999999999697</v>
      </c>
      <c r="E411" s="7">
        <v>-3.9514577475210699</v>
      </c>
      <c r="F411" s="7">
        <v>-3.95146079897019</v>
      </c>
      <c r="G411" s="7">
        <v>132.94888</v>
      </c>
      <c r="H411" s="7">
        <v>-16.797747042993901</v>
      </c>
      <c r="I411" s="7">
        <v>134.1</v>
      </c>
      <c r="J411" s="7">
        <v>134.94999999999999</v>
      </c>
      <c r="K411" s="7">
        <v>128.51</v>
      </c>
      <c r="L411" s="7">
        <v>-18.768383503348101</v>
      </c>
    </row>
    <row r="412" spans="1:12" ht="15" customHeight="1" x14ac:dyDescent="0.2">
      <c r="A412" s="3">
        <v>45454</v>
      </c>
      <c r="B412" s="4">
        <v>135.13999999999999</v>
      </c>
      <c r="C412" s="5">
        <v>1358302</v>
      </c>
      <c r="D412" s="4">
        <v>1.99999999999818E-2</v>
      </c>
      <c r="E412" s="4">
        <v>1.48016577856679E-2</v>
      </c>
      <c r="F412" s="4">
        <v>1.4812360271565499E-2</v>
      </c>
      <c r="G412" s="4">
        <v>138.41843</v>
      </c>
      <c r="H412" s="4">
        <v>-13.3747856561737</v>
      </c>
      <c r="I412" s="4">
        <v>135.86000000000001</v>
      </c>
      <c r="J412" s="4">
        <v>137.97999999999999</v>
      </c>
      <c r="K412" s="4">
        <v>134.04</v>
      </c>
      <c r="L412" s="4">
        <v>-15.4264972776769</v>
      </c>
    </row>
    <row r="413" spans="1:12" ht="15" customHeight="1" x14ac:dyDescent="0.2">
      <c r="A413" s="6">
        <v>45453</v>
      </c>
      <c r="B413" s="7">
        <v>135.12</v>
      </c>
      <c r="C413" s="8">
        <v>560618</v>
      </c>
      <c r="D413" s="7">
        <v>9.0000000000003397E-2</v>
      </c>
      <c r="E413" s="7">
        <v>6.6651855143295899E-2</v>
      </c>
      <c r="F413" s="7">
        <v>6.6642199139077499E-2</v>
      </c>
      <c r="G413" s="7">
        <v>138.39793</v>
      </c>
      <c r="H413" s="7">
        <v>-13.387614994680501</v>
      </c>
      <c r="I413" s="7">
        <v>136.72</v>
      </c>
      <c r="J413" s="7">
        <v>136.96</v>
      </c>
      <c r="K413" s="7">
        <v>133.38</v>
      </c>
      <c r="L413" s="7">
        <v>-15.439013705488399</v>
      </c>
    </row>
    <row r="414" spans="1:12" ht="15" customHeight="1" x14ac:dyDescent="0.2">
      <c r="A414" s="3">
        <v>45450</v>
      </c>
      <c r="B414" s="4">
        <v>135.03</v>
      </c>
      <c r="C414" s="5">
        <v>958242</v>
      </c>
      <c r="D414" s="4">
        <v>-4.7299999999999898</v>
      </c>
      <c r="E414" s="4">
        <v>-3.38437321121922</v>
      </c>
      <c r="F414" s="4">
        <v>-3.3843681999014898</v>
      </c>
      <c r="G414" s="4">
        <v>138.30575999999999</v>
      </c>
      <c r="H414" s="4">
        <v>-13.4452969522498</v>
      </c>
      <c r="I414" s="4">
        <v>141.93</v>
      </c>
      <c r="J414" s="4">
        <v>142.25</v>
      </c>
      <c r="K414" s="4">
        <v>134.66999999999999</v>
      </c>
      <c r="L414" s="4">
        <v>-15.495337630640201</v>
      </c>
    </row>
    <row r="415" spans="1:12" ht="15" customHeight="1" x14ac:dyDescent="0.2">
      <c r="A415" s="6">
        <v>45449</v>
      </c>
      <c r="B415" s="7">
        <v>139.76</v>
      </c>
      <c r="C415" s="8">
        <v>1533110</v>
      </c>
      <c r="D415" s="7">
        <v>6.8199999999999896</v>
      </c>
      <c r="E415" s="7">
        <v>5.1301338949902098</v>
      </c>
      <c r="F415" s="7">
        <v>5.1301343479842796</v>
      </c>
      <c r="G415" s="7">
        <v>143.15049999999999</v>
      </c>
      <c r="H415" s="7">
        <v>-10.4133550284748</v>
      </c>
      <c r="I415" s="7">
        <v>132.96</v>
      </c>
      <c r="J415" s="7">
        <v>144.97999999999999</v>
      </c>
      <c r="K415" s="7">
        <v>132.96</v>
      </c>
      <c r="L415" s="7">
        <v>-12.535202453219799</v>
      </c>
    </row>
    <row r="416" spans="1:12" ht="15" customHeight="1" x14ac:dyDescent="0.2">
      <c r="A416" s="3">
        <v>45448</v>
      </c>
      <c r="B416" s="4">
        <v>132.94</v>
      </c>
      <c r="C416" s="5">
        <v>2005369</v>
      </c>
      <c r="D416" s="4">
        <v>3.9399999999999902</v>
      </c>
      <c r="E416" s="4">
        <v>3.0542635658914601</v>
      </c>
      <c r="F416" s="4">
        <v>3.0542618539225201</v>
      </c>
      <c r="G416" s="4">
        <v>136.16505000000001</v>
      </c>
      <c r="H416" s="4">
        <v>-14.7849990612679</v>
      </c>
      <c r="I416" s="4">
        <v>129.16</v>
      </c>
      <c r="J416" s="4">
        <v>133.80000000000001</v>
      </c>
      <c r="K416" s="4">
        <v>128.22999999999999</v>
      </c>
      <c r="L416" s="4">
        <v>-16.803304336942201</v>
      </c>
    </row>
    <row r="417" spans="1:12" ht="15" customHeight="1" x14ac:dyDescent="0.2">
      <c r="A417" s="6">
        <v>45447</v>
      </c>
      <c r="B417" s="7">
        <v>129</v>
      </c>
      <c r="C417" s="8">
        <v>996669</v>
      </c>
      <c r="D417" s="7">
        <v>1.43999999999999</v>
      </c>
      <c r="E417" s="7">
        <v>1.1288805268108999</v>
      </c>
      <c r="F417" s="7">
        <v>1.12888546612199</v>
      </c>
      <c r="G417" s="7">
        <v>132.12947</v>
      </c>
      <c r="H417" s="7">
        <v>-17.310551348644999</v>
      </c>
      <c r="I417" s="7">
        <v>131.81</v>
      </c>
      <c r="J417" s="7">
        <v>132</v>
      </c>
      <c r="K417" s="7">
        <v>127.57</v>
      </c>
      <c r="L417" s="7">
        <v>-19.269040615808201</v>
      </c>
    </row>
    <row r="418" spans="1:12" ht="15" customHeight="1" x14ac:dyDescent="0.2">
      <c r="A418" s="3">
        <v>45446</v>
      </c>
      <c r="B418" s="4">
        <v>127.56</v>
      </c>
      <c r="C418" s="5">
        <v>1163761</v>
      </c>
      <c r="D418" s="4">
        <v>-19.759999999999899</v>
      </c>
      <c r="E418" s="4">
        <v>-13.412978550095</v>
      </c>
      <c r="F418" s="4">
        <v>-13.4129809091023</v>
      </c>
      <c r="G418" s="4">
        <v>130.65452999999999</v>
      </c>
      <c r="H418" s="4">
        <v>-18.233600350459898</v>
      </c>
      <c r="I418" s="4">
        <v>146.56</v>
      </c>
      <c r="J418" s="4">
        <v>146.56</v>
      </c>
      <c r="K418" s="4">
        <v>121.02</v>
      </c>
      <c r="L418" s="4">
        <v>-20.1702234182364</v>
      </c>
    </row>
    <row r="419" spans="1:12" ht="15" customHeight="1" x14ac:dyDescent="0.2">
      <c r="A419" s="6">
        <v>45443</v>
      </c>
      <c r="B419" s="7">
        <v>147.32</v>
      </c>
      <c r="C419" s="8">
        <v>832462</v>
      </c>
      <c r="D419" s="7">
        <v>1.75</v>
      </c>
      <c r="E419" s="7">
        <v>1.2021707769457901</v>
      </c>
      <c r="F419" s="7">
        <v>1.2021612665630499</v>
      </c>
      <c r="G419" s="7">
        <v>150.8939</v>
      </c>
      <c r="H419" s="7">
        <v>-5.5673696726954001</v>
      </c>
      <c r="I419" s="7">
        <v>146.31</v>
      </c>
      <c r="J419" s="7">
        <v>147.5</v>
      </c>
      <c r="K419" s="7">
        <v>145.05000000000001</v>
      </c>
      <c r="L419" s="7">
        <v>-7.8039927404718696</v>
      </c>
    </row>
    <row r="420" spans="1:12" ht="15" customHeight="1" x14ac:dyDescent="0.2">
      <c r="A420" s="3">
        <v>45442</v>
      </c>
      <c r="B420" s="4">
        <v>145.57</v>
      </c>
      <c r="C420" s="5">
        <v>654049</v>
      </c>
      <c r="D420" s="4">
        <v>1.25</v>
      </c>
      <c r="E420" s="4">
        <v>0.86613082039910205</v>
      </c>
      <c r="F420" s="4">
        <v>0.86612780824175595</v>
      </c>
      <c r="G420" s="4">
        <v>149.10146</v>
      </c>
      <c r="H420" s="4">
        <v>-6.68911696601789</v>
      </c>
      <c r="I420" s="4">
        <v>144.4</v>
      </c>
      <c r="J420" s="4">
        <v>147.91</v>
      </c>
      <c r="K420" s="4">
        <v>142.79</v>
      </c>
      <c r="L420" s="4">
        <v>-8.8991801739783405</v>
      </c>
    </row>
    <row r="421" spans="1:12" ht="15" customHeight="1" x14ac:dyDescent="0.2">
      <c r="A421" s="6">
        <v>45441</v>
      </c>
      <c r="B421" s="7">
        <v>144.32</v>
      </c>
      <c r="C421" s="8">
        <v>598250</v>
      </c>
      <c r="D421" s="7">
        <v>2.3299999999999801</v>
      </c>
      <c r="E421" s="7">
        <v>1.64096063103034</v>
      </c>
      <c r="F421" s="7">
        <v>1.64097126818516</v>
      </c>
      <c r="G421" s="7">
        <v>147.82114000000001</v>
      </c>
      <c r="H421" s="7">
        <v>-7.49036860879903</v>
      </c>
      <c r="I421" s="7">
        <v>141.99</v>
      </c>
      <c r="J421" s="7">
        <v>145.32</v>
      </c>
      <c r="K421" s="7">
        <v>140.63</v>
      </c>
      <c r="L421" s="7">
        <v>-9.68145691219725</v>
      </c>
    </row>
    <row r="422" spans="1:12" ht="15" customHeight="1" x14ac:dyDescent="0.2">
      <c r="A422" s="3">
        <v>45440</v>
      </c>
      <c r="B422" s="4">
        <v>141.99</v>
      </c>
      <c r="C422" s="5">
        <v>611056</v>
      </c>
      <c r="D422" s="4">
        <v>-3.1699999999999799</v>
      </c>
      <c r="E422" s="4">
        <v>-2.1837971893083399</v>
      </c>
      <c r="F422" s="4">
        <v>-2.18379556299876</v>
      </c>
      <c r="G422" s="4">
        <v>145.43459999999999</v>
      </c>
      <c r="H422" s="4">
        <v>-8.9839163902622197</v>
      </c>
      <c r="I422" s="4">
        <v>141.01</v>
      </c>
      <c r="J422" s="4">
        <v>144.53</v>
      </c>
      <c r="K422" s="4">
        <v>139.34</v>
      </c>
      <c r="L422" s="4">
        <v>-11.139620752237301</v>
      </c>
    </row>
    <row r="423" spans="1:12" ht="15" customHeight="1" x14ac:dyDescent="0.2">
      <c r="A423" s="6">
        <v>45439</v>
      </c>
      <c r="B423" s="7">
        <v>145.16</v>
      </c>
      <c r="C423" s="8">
        <v>173484</v>
      </c>
      <c r="D423" s="7">
        <v>0.37999999999999501</v>
      </c>
      <c r="E423" s="7">
        <v>0.26246719160105603</v>
      </c>
      <c r="F423" s="7">
        <v>0.26246814736410301</v>
      </c>
      <c r="G423" s="7">
        <v>148.6815</v>
      </c>
      <c r="H423" s="7">
        <v>-6.9519369172038203</v>
      </c>
      <c r="I423" s="7">
        <v>145.29</v>
      </c>
      <c r="J423" s="7">
        <v>145.65</v>
      </c>
      <c r="K423" s="7">
        <v>143.02000000000001</v>
      </c>
      <c r="L423" s="7">
        <v>-9.1557669441141396</v>
      </c>
    </row>
    <row r="424" spans="1:12" ht="15" customHeight="1" x14ac:dyDescent="0.2">
      <c r="A424" s="3">
        <v>45436</v>
      </c>
      <c r="B424" s="4">
        <v>144.78</v>
      </c>
      <c r="C424" s="5">
        <v>499523</v>
      </c>
      <c r="D424" s="4">
        <v>-0.96000000000000796</v>
      </c>
      <c r="E424" s="4">
        <v>-0.65870728694936698</v>
      </c>
      <c r="F424" s="4">
        <v>-0.65870791851605404</v>
      </c>
      <c r="G424" s="4">
        <v>148.29228000000001</v>
      </c>
      <c r="H424" s="4">
        <v>-7.1955191188434702</v>
      </c>
      <c r="I424" s="4">
        <v>145.69</v>
      </c>
      <c r="J424" s="4">
        <v>145.69</v>
      </c>
      <c r="K424" s="4">
        <v>143.46</v>
      </c>
      <c r="L424" s="4">
        <v>-9.39357907253269</v>
      </c>
    </row>
    <row r="425" spans="1:12" ht="15" customHeight="1" x14ac:dyDescent="0.2">
      <c r="A425" s="6">
        <v>45435</v>
      </c>
      <c r="B425" s="7">
        <v>145.74</v>
      </c>
      <c r="C425" s="8">
        <v>237731</v>
      </c>
      <c r="D425" s="7">
        <v>-2.12</v>
      </c>
      <c r="E425" s="7">
        <v>-1.4337887190585701</v>
      </c>
      <c r="F425" s="7">
        <v>-1.4337887181654401</v>
      </c>
      <c r="G425" s="7">
        <v>149.27556999999999</v>
      </c>
      <c r="H425" s="7">
        <v>-6.5801552037048596</v>
      </c>
      <c r="I425" s="7">
        <v>147.31</v>
      </c>
      <c r="J425" s="7">
        <v>148.63</v>
      </c>
      <c r="K425" s="7">
        <v>144.27000000000001</v>
      </c>
      <c r="L425" s="7">
        <v>-8.7927905375805597</v>
      </c>
    </row>
    <row r="426" spans="1:12" ht="15" customHeight="1" x14ac:dyDescent="0.2">
      <c r="A426" s="3">
        <v>45434</v>
      </c>
      <c r="B426" s="4">
        <v>147.86000000000001</v>
      </c>
      <c r="C426" s="5">
        <v>544559</v>
      </c>
      <c r="D426" s="4">
        <v>2.4500000000000099</v>
      </c>
      <c r="E426" s="4">
        <v>1.6848909978680999</v>
      </c>
      <c r="F426" s="4">
        <v>1.68488033711842</v>
      </c>
      <c r="G426" s="4">
        <v>151.447</v>
      </c>
      <c r="H426" s="4">
        <v>-5.2212278615683001</v>
      </c>
      <c r="I426" s="4">
        <v>145.5</v>
      </c>
      <c r="J426" s="4">
        <v>150.15</v>
      </c>
      <c r="K426" s="4">
        <v>145.5</v>
      </c>
      <c r="L426" s="4">
        <v>-7.4660491895612804</v>
      </c>
    </row>
    <row r="427" spans="1:12" ht="15" customHeight="1" x14ac:dyDescent="0.2">
      <c r="A427" s="6">
        <v>45433</v>
      </c>
      <c r="B427" s="7">
        <v>145.41</v>
      </c>
      <c r="C427" s="8">
        <v>959350</v>
      </c>
      <c r="D427" s="7">
        <v>-8.0699999999999896</v>
      </c>
      <c r="E427" s="7">
        <v>-5.2580140734949099</v>
      </c>
      <c r="F427" s="7">
        <v>-5.25800533245667</v>
      </c>
      <c r="G427" s="7">
        <v>148.93758</v>
      </c>
      <c r="H427" s="7">
        <v>-6.7916765755053401</v>
      </c>
      <c r="I427" s="7">
        <v>152.51</v>
      </c>
      <c r="J427" s="7">
        <v>152.51</v>
      </c>
      <c r="K427" s="7">
        <v>145</v>
      </c>
      <c r="L427" s="7">
        <v>-8.9993115964703598</v>
      </c>
    </row>
    <row r="428" spans="1:12" ht="15" customHeight="1" x14ac:dyDescent="0.2">
      <c r="A428" s="3">
        <v>45432</v>
      </c>
      <c r="B428" s="4">
        <v>153.47999999999999</v>
      </c>
      <c r="C428" s="5">
        <v>335730</v>
      </c>
      <c r="D428" s="4">
        <v>-1.8900000000000099</v>
      </c>
      <c r="E428" s="4">
        <v>-1.21645105232671</v>
      </c>
      <c r="F428" s="4">
        <v>-1.21645083150166</v>
      </c>
      <c r="G428" s="4">
        <v>157.20334</v>
      </c>
      <c r="H428" s="4">
        <v>-1.6187871581450599</v>
      </c>
      <c r="I428" s="4">
        <v>154.63999999999999</v>
      </c>
      <c r="J428" s="4">
        <v>156.19999999999999</v>
      </c>
      <c r="K428" s="4">
        <v>152.87</v>
      </c>
      <c r="L428" s="4">
        <v>-3.94893297452907</v>
      </c>
    </row>
    <row r="429" spans="1:12" ht="15" customHeight="1" x14ac:dyDescent="0.2">
      <c r="A429" s="6">
        <v>45429</v>
      </c>
      <c r="B429" s="7">
        <v>155.37</v>
      </c>
      <c r="C429" s="8">
        <v>310852</v>
      </c>
      <c r="D429" s="7">
        <v>-1.3899999999999799</v>
      </c>
      <c r="E429" s="7">
        <v>-0.88670579229393998</v>
      </c>
      <c r="F429" s="7">
        <v>-0.88670540413098298</v>
      </c>
      <c r="G429" s="7">
        <v>159.13919000000001</v>
      </c>
      <c r="H429" s="7">
        <v>-0.40729081920018601</v>
      </c>
      <c r="I429" s="7">
        <v>157.01</v>
      </c>
      <c r="J429" s="7">
        <v>158.71</v>
      </c>
      <c r="K429" s="7">
        <v>155</v>
      </c>
      <c r="L429" s="7">
        <v>-2.76613054634206</v>
      </c>
    </row>
    <row r="430" spans="1:12" ht="15" customHeight="1" x14ac:dyDescent="0.2">
      <c r="A430" s="3">
        <v>45428</v>
      </c>
      <c r="B430" s="4">
        <v>156.76</v>
      </c>
      <c r="C430" s="5">
        <v>252510</v>
      </c>
      <c r="D430" s="4">
        <v>-1.21999999999999</v>
      </c>
      <c r="E430" s="4">
        <v>-0.77224965185466099</v>
      </c>
      <c r="F430" s="4">
        <v>-0.77224565469293704</v>
      </c>
      <c r="G430" s="4">
        <v>160.56290999999999</v>
      </c>
      <c r="H430" s="4">
        <v>0.483703610989421</v>
      </c>
      <c r="I430" s="4">
        <v>158.80000000000001</v>
      </c>
      <c r="J430" s="4">
        <v>158.80000000000001</v>
      </c>
      <c r="K430" s="4">
        <v>154.96</v>
      </c>
      <c r="L430" s="4">
        <v>-1.89623881344264</v>
      </c>
    </row>
    <row r="431" spans="1:12" ht="15" customHeight="1" x14ac:dyDescent="0.2">
      <c r="A431" s="6">
        <v>45427</v>
      </c>
      <c r="B431" s="7">
        <v>157.97999999999999</v>
      </c>
      <c r="C431" s="8">
        <v>1035196.99999999</v>
      </c>
      <c r="D431" s="7">
        <v>4.09</v>
      </c>
      <c r="E431" s="7">
        <v>2.6577425433751398</v>
      </c>
      <c r="F431" s="7">
        <v>2.65773541460783</v>
      </c>
      <c r="G431" s="7">
        <v>161.8125</v>
      </c>
      <c r="H431" s="7">
        <v>1.2657237624382001</v>
      </c>
      <c r="I431" s="7">
        <v>154.18</v>
      </c>
      <c r="J431" s="7">
        <v>158.80000000000001</v>
      </c>
      <c r="K431" s="7">
        <v>154.18</v>
      </c>
      <c r="L431" s="7">
        <v>-1.1327367169409801</v>
      </c>
    </row>
    <row r="432" spans="1:12" ht="15" customHeight="1" x14ac:dyDescent="0.2">
      <c r="A432" s="3">
        <v>45426</v>
      </c>
      <c r="B432" s="4">
        <v>153.88999999999999</v>
      </c>
      <c r="C432" s="5">
        <v>531562</v>
      </c>
      <c r="D432" s="4">
        <v>-2.29000000000002</v>
      </c>
      <c r="E432" s="4">
        <v>-1.46625688308363</v>
      </c>
      <c r="F432" s="4">
        <v>-1.46624814346645</v>
      </c>
      <c r="G432" s="4">
        <v>157.62329</v>
      </c>
      <c r="H432" s="4">
        <v>-1.35597346517303</v>
      </c>
      <c r="I432" s="4">
        <v>156.18</v>
      </c>
      <c r="J432" s="4">
        <v>156.18</v>
      </c>
      <c r="K432" s="4">
        <v>152.05000000000001</v>
      </c>
      <c r="L432" s="4">
        <v>-3.69234620439327</v>
      </c>
    </row>
    <row r="433" spans="1:12" ht="15" customHeight="1" x14ac:dyDescent="0.2">
      <c r="A433" s="6">
        <v>45425</v>
      </c>
      <c r="B433" s="7">
        <v>156.18</v>
      </c>
      <c r="C433" s="8">
        <v>664234</v>
      </c>
      <c r="D433" s="7">
        <v>0.37999999999999501</v>
      </c>
      <c r="E433" s="7">
        <v>0.24390243902438999</v>
      </c>
      <c r="F433" s="7">
        <v>0.24389705903546899</v>
      </c>
      <c r="G433" s="7">
        <v>159.96883</v>
      </c>
      <c r="H433" s="7">
        <v>0.111915639276553</v>
      </c>
      <c r="I433" s="7">
        <v>156</v>
      </c>
      <c r="J433" s="7">
        <v>157.94</v>
      </c>
      <c r="K433" s="7">
        <v>154</v>
      </c>
      <c r="L433" s="7">
        <v>-2.2592152199762001</v>
      </c>
    </row>
    <row r="434" spans="1:12" ht="15" customHeight="1" x14ac:dyDescent="0.2">
      <c r="A434" s="3">
        <v>45422</v>
      </c>
      <c r="B434" s="4">
        <v>155.80000000000001</v>
      </c>
      <c r="C434" s="5">
        <v>168922</v>
      </c>
      <c r="D434" s="4">
        <v>0.51000000000001899</v>
      </c>
      <c r="E434" s="4">
        <v>0.32841779895680301</v>
      </c>
      <c r="F434" s="4">
        <v>0.328422648349735</v>
      </c>
      <c r="G434" s="4">
        <v>159.57962000000001</v>
      </c>
      <c r="H434" s="4">
        <v>-0.131660304149187</v>
      </c>
      <c r="I434" s="4">
        <v>155.66</v>
      </c>
      <c r="J434" s="4">
        <v>158.08000000000001</v>
      </c>
      <c r="K434" s="4">
        <v>155.08000000000001</v>
      </c>
      <c r="L434" s="4">
        <v>-2.49702734839475</v>
      </c>
    </row>
    <row r="435" spans="1:12" ht="15" customHeight="1" x14ac:dyDescent="0.2">
      <c r="A435" s="6">
        <v>45421</v>
      </c>
      <c r="B435" s="7">
        <v>155.29</v>
      </c>
      <c r="C435" s="8">
        <v>435917</v>
      </c>
      <c r="D435" s="7"/>
      <c r="E435" s="7"/>
      <c r="F435" s="7"/>
      <c r="G435" s="7">
        <v>159.05724000000001</v>
      </c>
      <c r="H435" s="7">
        <v>-0.458576882157822</v>
      </c>
      <c r="I435" s="7">
        <v>154.57</v>
      </c>
      <c r="J435" s="7">
        <v>156.13999999999999</v>
      </c>
      <c r="K435" s="7">
        <v>153.53</v>
      </c>
      <c r="L435" s="7">
        <v>-2.8161962575880799</v>
      </c>
    </row>
    <row r="436" spans="1:12" ht="15" customHeight="1" x14ac:dyDescent="0.2">
      <c r="A436" s="3">
        <v>45420</v>
      </c>
      <c r="B436" s="4">
        <v>155.29</v>
      </c>
      <c r="C436" s="5">
        <v>360079</v>
      </c>
      <c r="D436" s="4">
        <v>-1.3499999999999901</v>
      </c>
      <c r="E436" s="4">
        <v>-0.86184882533196705</v>
      </c>
      <c r="F436" s="4">
        <v>-0.86185489902766899</v>
      </c>
      <c r="G436" s="4">
        <v>159.05724000000001</v>
      </c>
      <c r="H436" s="4">
        <v>-0.458576882157822</v>
      </c>
      <c r="I436" s="4">
        <v>157.01</v>
      </c>
      <c r="J436" s="4">
        <v>157.01</v>
      </c>
      <c r="K436" s="4">
        <v>153.84</v>
      </c>
      <c r="L436" s="4">
        <v>-2.8161962575880799</v>
      </c>
    </row>
    <row r="437" spans="1:12" ht="15" customHeight="1" x14ac:dyDescent="0.2">
      <c r="A437" s="6">
        <v>45419</v>
      </c>
      <c r="B437" s="7">
        <v>156.63999999999999</v>
      </c>
      <c r="C437" s="8">
        <v>612466</v>
      </c>
      <c r="D437" s="7">
        <v>-1.9200000000000099</v>
      </c>
      <c r="E437" s="7">
        <v>-1.21089808274471</v>
      </c>
      <c r="F437" s="7">
        <v>1.1856710393541801</v>
      </c>
      <c r="G437" s="7">
        <v>160.44</v>
      </c>
      <c r="H437" s="7">
        <v>0.406783903873838</v>
      </c>
      <c r="I437" s="7">
        <v>157.05000000000001</v>
      </c>
      <c r="J437" s="7">
        <v>158.09</v>
      </c>
      <c r="K437" s="7">
        <v>155.04</v>
      </c>
      <c r="L437" s="7">
        <v>-1.9713373803116601</v>
      </c>
    </row>
    <row r="438" spans="1:12" ht="15" customHeight="1" x14ac:dyDescent="0.2">
      <c r="A438" s="3">
        <v>45418</v>
      </c>
      <c r="B438" s="4">
        <v>158.56</v>
      </c>
      <c r="C438" s="5">
        <v>510515</v>
      </c>
      <c r="D438" s="4">
        <v>-1.24</v>
      </c>
      <c r="E438" s="4">
        <v>-0.77596996245307104</v>
      </c>
      <c r="F438" s="4">
        <v>-0.77596996245307104</v>
      </c>
      <c r="G438" s="4">
        <v>158.56</v>
      </c>
      <c r="H438" s="4">
        <v>-0.769760310407403</v>
      </c>
      <c r="I438" s="4">
        <v>159.81</v>
      </c>
      <c r="J438" s="4">
        <v>161.21</v>
      </c>
      <c r="K438" s="4">
        <v>157.08000000000001</v>
      </c>
      <c r="L438" s="4">
        <v>-0.769760310407403</v>
      </c>
    </row>
    <row r="439" spans="1:12" ht="15" customHeight="1" x14ac:dyDescent="0.2">
      <c r="A439" s="6">
        <v>45415</v>
      </c>
      <c r="B439" s="7">
        <v>159.80000000000001</v>
      </c>
      <c r="C439" s="8">
        <v>421341</v>
      </c>
      <c r="D439" s="7">
        <v>-0.19999999999998799</v>
      </c>
      <c r="E439" s="7">
        <v>-0.124999999999997</v>
      </c>
      <c r="F439" s="7">
        <v>-0.124999999999997</v>
      </c>
      <c r="G439" s="7">
        <v>159.80000000000001</v>
      </c>
      <c r="H439" s="7">
        <v>6.25821390576339E-3</v>
      </c>
      <c r="I439" s="7">
        <v>159.80000000000001</v>
      </c>
      <c r="J439" s="7">
        <v>162.15</v>
      </c>
      <c r="K439" s="7">
        <v>159</v>
      </c>
      <c r="L439" s="7">
        <v>6.25821390576339E-3</v>
      </c>
    </row>
    <row r="440" spans="1:12" ht="15" customHeight="1" x14ac:dyDescent="0.2">
      <c r="A440" s="3">
        <v>45414</v>
      </c>
      <c r="B440" s="4">
        <v>160</v>
      </c>
      <c r="C440" s="5">
        <v>462330</v>
      </c>
      <c r="D440" s="4">
        <v>5.28</v>
      </c>
      <c r="E440" s="4">
        <v>3.4126163391933799</v>
      </c>
      <c r="F440" s="4">
        <v>3.4126163391933799</v>
      </c>
      <c r="G440" s="4">
        <v>160</v>
      </c>
      <c r="H440" s="4">
        <v>0.13142249202078199</v>
      </c>
      <c r="I440" s="4">
        <v>154.1</v>
      </c>
      <c r="J440" s="4">
        <v>160.87</v>
      </c>
      <c r="K440" s="4">
        <v>154.09</v>
      </c>
      <c r="L440" s="4">
        <v>0.13142249202078199</v>
      </c>
    </row>
    <row r="441" spans="1:12" ht="15" customHeight="1" x14ac:dyDescent="0.2">
      <c r="A441" s="6">
        <v>45412</v>
      </c>
      <c r="B441" s="7">
        <v>154.72</v>
      </c>
      <c r="C441" s="8">
        <v>690862</v>
      </c>
      <c r="D441" s="7">
        <v>1.8199999999999901</v>
      </c>
      <c r="E441" s="7">
        <v>1.190320470896</v>
      </c>
      <c r="F441" s="7">
        <v>1.190320470896</v>
      </c>
      <c r="G441" s="7">
        <v>154.72</v>
      </c>
      <c r="H441" s="7">
        <v>-3.1729144502159001</v>
      </c>
      <c r="I441" s="7">
        <v>152.69999999999999</v>
      </c>
      <c r="J441" s="7">
        <v>156.47999999999999</v>
      </c>
      <c r="K441" s="7">
        <v>152.69999999999999</v>
      </c>
      <c r="L441" s="7">
        <v>-3.1729144502159001</v>
      </c>
    </row>
    <row r="442" spans="1:12" ht="15" customHeight="1" x14ac:dyDescent="0.2">
      <c r="A442" s="3">
        <v>45411</v>
      </c>
      <c r="B442" s="4">
        <v>152.9</v>
      </c>
      <c r="C442" s="5">
        <v>584934</v>
      </c>
      <c r="D442" s="4">
        <v>-1.46</v>
      </c>
      <c r="E442" s="4">
        <v>-0.94584089142265504</v>
      </c>
      <c r="F442" s="4">
        <v>-0.94584089142265504</v>
      </c>
      <c r="G442" s="4">
        <v>152.9</v>
      </c>
      <c r="H442" s="4">
        <v>-4.3119093810626303</v>
      </c>
      <c r="I442" s="4">
        <v>154.24</v>
      </c>
      <c r="J442" s="4">
        <v>155.61000000000001</v>
      </c>
      <c r="K442" s="4">
        <v>152.28</v>
      </c>
      <c r="L442" s="4">
        <v>-4.3119093810626303</v>
      </c>
    </row>
    <row r="443" spans="1:12" ht="15" customHeight="1" x14ac:dyDescent="0.2">
      <c r="A443" s="6">
        <v>45408</v>
      </c>
      <c r="B443" s="7">
        <v>154.36000000000001</v>
      </c>
      <c r="C443" s="8">
        <v>225405</v>
      </c>
      <c r="D443" s="7">
        <v>3.6900000000000199</v>
      </c>
      <c r="E443" s="7">
        <v>2.4490608614853699</v>
      </c>
      <c r="F443" s="7">
        <v>2.4490608614853699</v>
      </c>
      <c r="G443" s="7">
        <v>154.36000000000001</v>
      </c>
      <c r="H443" s="7">
        <v>-3.3982101508229401</v>
      </c>
      <c r="I443" s="7">
        <v>151</v>
      </c>
      <c r="J443" s="7">
        <v>154.5</v>
      </c>
      <c r="K443" s="7">
        <v>150.69</v>
      </c>
      <c r="L443" s="7">
        <v>-3.3982101508229401</v>
      </c>
    </row>
    <row r="444" spans="1:12" ht="15" customHeight="1" x14ac:dyDescent="0.2">
      <c r="A444" s="3">
        <v>45407</v>
      </c>
      <c r="B444" s="4">
        <v>150.66999999999999</v>
      </c>
      <c r="C444" s="5">
        <v>654271</v>
      </c>
      <c r="D444" s="4">
        <v>-0.87000000000000399</v>
      </c>
      <c r="E444" s="4">
        <v>-0.57410584664114805</v>
      </c>
      <c r="F444" s="4">
        <v>-0.57410584664114805</v>
      </c>
      <c r="G444" s="4">
        <v>150.66999999999999</v>
      </c>
      <c r="H444" s="4">
        <v>-5.7074910820451796</v>
      </c>
      <c r="I444" s="4">
        <v>150.57</v>
      </c>
      <c r="J444" s="4">
        <v>151.96</v>
      </c>
      <c r="K444" s="4">
        <v>149.6</v>
      </c>
      <c r="L444" s="4">
        <v>-5.7074910820451796</v>
      </c>
    </row>
    <row r="445" spans="1:12" ht="15" customHeight="1" x14ac:dyDescent="0.2">
      <c r="A445" s="6">
        <v>45406</v>
      </c>
      <c r="B445" s="7">
        <v>151.54</v>
      </c>
      <c r="C445" s="8">
        <v>690980</v>
      </c>
      <c r="D445" s="7">
        <v>1.5499999999999801</v>
      </c>
      <c r="E445" s="7">
        <v>1.03340222681511</v>
      </c>
      <c r="F445" s="7">
        <v>1.03340222681511</v>
      </c>
      <c r="G445" s="7">
        <v>151.54</v>
      </c>
      <c r="H445" s="7">
        <v>-5.1630264722448196</v>
      </c>
      <c r="I445" s="7">
        <v>150.51</v>
      </c>
      <c r="J445" s="7">
        <v>153</v>
      </c>
      <c r="K445" s="7">
        <v>149.94999999999999</v>
      </c>
      <c r="L445" s="7">
        <v>-5.1630264722448196</v>
      </c>
    </row>
    <row r="446" spans="1:12" ht="15" customHeight="1" x14ac:dyDescent="0.2">
      <c r="A446" s="3">
        <v>45405</v>
      </c>
      <c r="B446" s="4">
        <v>149.99</v>
      </c>
      <c r="C446" s="5">
        <v>1133505</v>
      </c>
      <c r="D446" s="4">
        <v>-4.9599999999999698</v>
      </c>
      <c r="E446" s="4">
        <v>-3.2010325911584201</v>
      </c>
      <c r="F446" s="4">
        <v>-3.2010325911584201</v>
      </c>
      <c r="G446" s="4">
        <v>149.99</v>
      </c>
      <c r="H446" s="4">
        <v>-6.13304962763626</v>
      </c>
      <c r="I446" s="4">
        <v>155</v>
      </c>
      <c r="J446" s="4">
        <v>157.49</v>
      </c>
      <c r="K446" s="4">
        <v>149.04</v>
      </c>
      <c r="L446" s="4">
        <v>-6.13304962763626</v>
      </c>
    </row>
    <row r="447" spans="1:12" ht="15" customHeight="1" x14ac:dyDescent="0.2">
      <c r="A447" s="6">
        <v>45404</v>
      </c>
      <c r="B447" s="7">
        <v>154.94999999999999</v>
      </c>
      <c r="C447" s="8">
        <v>996439</v>
      </c>
      <c r="D447" s="7">
        <v>5.8599999999999799</v>
      </c>
      <c r="E447" s="7">
        <v>3.9305117714132298</v>
      </c>
      <c r="F447" s="7">
        <v>3.9305117714132298</v>
      </c>
      <c r="G447" s="7">
        <v>154.94999999999999</v>
      </c>
      <c r="H447" s="7">
        <v>-3.0289755303836299</v>
      </c>
      <c r="I447" s="7">
        <v>149.1</v>
      </c>
      <c r="J447" s="7">
        <v>155.44</v>
      </c>
      <c r="K447" s="7">
        <v>149.1</v>
      </c>
      <c r="L447" s="7">
        <v>-3.0289755303836299</v>
      </c>
    </row>
    <row r="448" spans="1:12" ht="15" customHeight="1" x14ac:dyDescent="0.2">
      <c r="A448" s="3">
        <v>45401</v>
      </c>
      <c r="B448" s="4">
        <v>149.09</v>
      </c>
      <c r="C448" s="5">
        <v>311273</v>
      </c>
      <c r="D448" s="4">
        <v>-1.97999999999998</v>
      </c>
      <c r="E448" s="4">
        <v>-1.3106506917323</v>
      </c>
      <c r="F448" s="4">
        <v>-1.3106506917323</v>
      </c>
      <c r="G448" s="4">
        <v>149.09</v>
      </c>
      <c r="H448" s="4">
        <v>-6.6962888791538804</v>
      </c>
      <c r="I448" s="4">
        <v>151.44999999999999</v>
      </c>
      <c r="J448" s="4">
        <v>151.84</v>
      </c>
      <c r="K448" s="4">
        <v>148.61000000000001</v>
      </c>
      <c r="L448" s="4">
        <v>-6.6962888791538804</v>
      </c>
    </row>
    <row r="449" spans="1:12" ht="15" customHeight="1" x14ac:dyDescent="0.2">
      <c r="A449" s="6">
        <v>45400</v>
      </c>
      <c r="B449" s="7">
        <v>151.07</v>
      </c>
      <c r="C449" s="8">
        <v>398792</v>
      </c>
      <c r="D449" s="7">
        <v>-1.3300000000000101</v>
      </c>
      <c r="E449" s="7">
        <v>-0.872703412073494</v>
      </c>
      <c r="F449" s="7">
        <v>-0.872703412073494</v>
      </c>
      <c r="G449" s="7">
        <v>151.07</v>
      </c>
      <c r="H449" s="7">
        <v>-5.4571625258151304</v>
      </c>
      <c r="I449" s="7">
        <v>152.28</v>
      </c>
      <c r="J449" s="7">
        <v>153.1</v>
      </c>
      <c r="K449" s="7">
        <v>150.24</v>
      </c>
      <c r="L449" s="7">
        <v>-5.4571625258151304</v>
      </c>
    </row>
    <row r="450" spans="1:12" ht="15" customHeight="1" x14ac:dyDescent="0.2">
      <c r="A450" s="3">
        <v>45399</v>
      </c>
      <c r="B450" s="4">
        <v>152.4</v>
      </c>
      <c r="C450" s="5">
        <v>437792</v>
      </c>
      <c r="D450" s="4">
        <v>-1.26999999999998</v>
      </c>
      <c r="E450" s="4">
        <v>-0.82644628099172102</v>
      </c>
      <c r="F450" s="4">
        <v>-0.82644628099172102</v>
      </c>
      <c r="G450" s="4">
        <v>152.4</v>
      </c>
      <c r="H450" s="4">
        <v>-4.6248200763501996</v>
      </c>
      <c r="I450" s="4">
        <v>154.54</v>
      </c>
      <c r="J450" s="4">
        <v>155.93</v>
      </c>
      <c r="K450" s="4">
        <v>151.88</v>
      </c>
      <c r="L450" s="4">
        <v>-4.6248200763501996</v>
      </c>
    </row>
    <row r="451" spans="1:12" ht="15" customHeight="1" x14ac:dyDescent="0.2">
      <c r="A451" s="6">
        <v>45398</v>
      </c>
      <c r="B451" s="7">
        <v>153.66999999999999</v>
      </c>
      <c r="C451" s="8">
        <v>399030</v>
      </c>
      <c r="D451" s="7">
        <v>-0.90000000000000502</v>
      </c>
      <c r="E451" s="7">
        <v>-0.58226046451446101</v>
      </c>
      <c r="F451" s="7">
        <v>-0.58226046451446101</v>
      </c>
      <c r="G451" s="7">
        <v>153.66999999999999</v>
      </c>
      <c r="H451" s="7">
        <v>-3.8300269103197899</v>
      </c>
      <c r="I451" s="7">
        <v>155.24</v>
      </c>
      <c r="J451" s="7">
        <v>155.24</v>
      </c>
      <c r="K451" s="7">
        <v>151.84</v>
      </c>
      <c r="L451" s="7">
        <v>-3.8300269103197899</v>
      </c>
    </row>
    <row r="452" spans="1:12" ht="15" customHeight="1" x14ac:dyDescent="0.2">
      <c r="A452" s="3">
        <v>45397</v>
      </c>
      <c r="B452" s="4">
        <v>154.57</v>
      </c>
      <c r="C452" s="5">
        <v>435345</v>
      </c>
      <c r="D452" s="4">
        <v>-1.7000000000000099</v>
      </c>
      <c r="E452" s="4">
        <v>-1.0878607538235201</v>
      </c>
      <c r="F452" s="4">
        <v>-1.0878607538235201</v>
      </c>
      <c r="G452" s="4">
        <v>154.57</v>
      </c>
      <c r="H452" s="4">
        <v>-3.26678765880217</v>
      </c>
      <c r="I452" s="4">
        <v>155.80000000000001</v>
      </c>
      <c r="J452" s="4">
        <v>158.72999999999999</v>
      </c>
      <c r="K452" s="4">
        <v>154.05000000000001</v>
      </c>
      <c r="L452" s="4">
        <v>-3.26678765880217</v>
      </c>
    </row>
    <row r="453" spans="1:12" ht="15" customHeight="1" x14ac:dyDescent="0.2">
      <c r="A453" s="6">
        <v>45394</v>
      </c>
      <c r="B453" s="7">
        <v>156.27000000000001</v>
      </c>
      <c r="C453" s="8">
        <v>1184007</v>
      </c>
      <c r="D453" s="7">
        <v>0.59000000000000297</v>
      </c>
      <c r="E453" s="7">
        <v>0.37898252826311601</v>
      </c>
      <c r="F453" s="7">
        <v>0.37898252826311601</v>
      </c>
      <c r="G453" s="7">
        <v>156.27000000000001</v>
      </c>
      <c r="H453" s="7">
        <v>-2.2028912948244401</v>
      </c>
      <c r="I453" s="7">
        <v>154.69</v>
      </c>
      <c r="J453" s="7">
        <v>156.85</v>
      </c>
      <c r="K453" s="7">
        <v>150.09</v>
      </c>
      <c r="L453" s="7">
        <v>-2.2028912948244401</v>
      </c>
    </row>
    <row r="454" spans="1:12" ht="15" customHeight="1" x14ac:dyDescent="0.2">
      <c r="A454" s="3">
        <v>45393</v>
      </c>
      <c r="B454" s="4">
        <v>155.68</v>
      </c>
      <c r="C454" s="5">
        <v>1860941</v>
      </c>
      <c r="D454" s="4">
        <v>-0.53999999999999204</v>
      </c>
      <c r="E454" s="4">
        <v>-0.34566636794264299</v>
      </c>
      <c r="F454" s="4">
        <v>-0.34566636794264299</v>
      </c>
      <c r="G454" s="4">
        <v>155.68</v>
      </c>
      <c r="H454" s="4">
        <v>-2.5721259152637699</v>
      </c>
      <c r="I454" s="4">
        <v>155.38999999999999</v>
      </c>
      <c r="J454" s="4">
        <v>156.57</v>
      </c>
      <c r="K454" s="4">
        <v>152.69999999999999</v>
      </c>
      <c r="L454" s="4">
        <v>-2.5721259152637699</v>
      </c>
    </row>
    <row r="455" spans="1:12" ht="15" customHeight="1" x14ac:dyDescent="0.2">
      <c r="A455" s="6">
        <v>45392</v>
      </c>
      <c r="B455" s="7">
        <v>156.22</v>
      </c>
      <c r="C455" s="8">
        <v>338047</v>
      </c>
      <c r="D455" s="7">
        <v>-3.8199999999999901</v>
      </c>
      <c r="E455" s="7">
        <v>-2.3869032741814502</v>
      </c>
      <c r="F455" s="7">
        <v>-2.3869032741814502</v>
      </c>
      <c r="G455" s="7">
        <v>156.22</v>
      </c>
      <c r="H455" s="7">
        <v>-2.2341823643532002</v>
      </c>
      <c r="I455" s="7">
        <v>158.71</v>
      </c>
      <c r="J455" s="7">
        <v>159.79</v>
      </c>
      <c r="K455" s="7">
        <v>154.02000000000001</v>
      </c>
      <c r="L455" s="7">
        <v>-2.2341823643532002</v>
      </c>
    </row>
    <row r="456" spans="1:12" ht="15" customHeight="1" x14ac:dyDescent="0.2">
      <c r="A456" s="3">
        <v>45391</v>
      </c>
      <c r="B456" s="4">
        <v>160.04</v>
      </c>
      <c r="C456" s="5">
        <v>501401</v>
      </c>
      <c r="D456" s="4">
        <v>-1.6700000000000099</v>
      </c>
      <c r="E456" s="4">
        <v>-1.0327128810834301</v>
      </c>
      <c r="F456" s="4">
        <v>-1.0327128810834301</v>
      </c>
      <c r="G456" s="4">
        <v>160.04</v>
      </c>
      <c r="H456" s="4">
        <v>0.15645534764378199</v>
      </c>
      <c r="I456" s="4">
        <v>161.96</v>
      </c>
      <c r="J456" s="4">
        <v>163.96</v>
      </c>
      <c r="K456" s="4">
        <v>159.57</v>
      </c>
      <c r="L456" s="4">
        <v>0.15645534764378199</v>
      </c>
    </row>
    <row r="457" spans="1:12" ht="15" customHeight="1" x14ac:dyDescent="0.2">
      <c r="A457" s="6">
        <v>45390</v>
      </c>
      <c r="B457" s="7">
        <v>161.71</v>
      </c>
      <c r="C457" s="8">
        <v>741726</v>
      </c>
      <c r="D457" s="7">
        <v>-0.34000000000000302</v>
      </c>
      <c r="E457" s="7">
        <v>-0.20981178648565799</v>
      </c>
      <c r="F457" s="7">
        <v>-0.20981178648565799</v>
      </c>
      <c r="G457" s="7">
        <v>161.71</v>
      </c>
      <c r="H457" s="7">
        <v>1.2015770699042501</v>
      </c>
      <c r="I457" s="7">
        <v>162.05000000000001</v>
      </c>
      <c r="J457" s="7">
        <v>162.83000000000001</v>
      </c>
      <c r="K457" s="7">
        <v>161.31</v>
      </c>
      <c r="L457" s="7">
        <v>1.2015770699042501</v>
      </c>
    </row>
    <row r="458" spans="1:12" ht="15" customHeight="1" x14ac:dyDescent="0.2">
      <c r="A458" s="3">
        <v>45387</v>
      </c>
      <c r="B458" s="4">
        <v>162.05000000000001</v>
      </c>
      <c r="C458" s="5">
        <v>902158</v>
      </c>
      <c r="D458" s="4">
        <v>-1.8999999999999699</v>
      </c>
      <c r="E458" s="4">
        <v>-1.1588899054589701</v>
      </c>
      <c r="F458" s="4">
        <v>-1.1588899054589701</v>
      </c>
      <c r="G458" s="4">
        <v>162.05000000000001</v>
      </c>
      <c r="H458" s="4">
        <v>1.4143563426998</v>
      </c>
      <c r="I458" s="4">
        <v>163.65</v>
      </c>
      <c r="J458" s="4">
        <v>164.75</v>
      </c>
      <c r="K458" s="4">
        <v>161.36000000000001</v>
      </c>
      <c r="L458" s="4">
        <v>1.4143563426998</v>
      </c>
    </row>
    <row r="459" spans="1:12" ht="15" customHeight="1" x14ac:dyDescent="0.2">
      <c r="A459" s="6">
        <v>45386</v>
      </c>
      <c r="B459" s="7">
        <v>163.95</v>
      </c>
      <c r="C459" s="8">
        <v>1027406.99999999</v>
      </c>
      <c r="D459" s="7">
        <v>-0.100000000000022</v>
      </c>
      <c r="E459" s="7">
        <v>-6.0957025297181298E-2</v>
      </c>
      <c r="F459" s="7">
        <v>-6.0957025297181298E-2</v>
      </c>
      <c r="G459" s="7">
        <v>163.95</v>
      </c>
      <c r="H459" s="7">
        <v>2.6034169847925299</v>
      </c>
      <c r="I459" s="7">
        <v>164.17</v>
      </c>
      <c r="J459" s="7">
        <v>167.48</v>
      </c>
      <c r="K459" s="7">
        <v>163.53</v>
      </c>
      <c r="L459" s="7">
        <v>2.6034169847925299</v>
      </c>
    </row>
    <row r="460" spans="1:12" ht="15" customHeight="1" x14ac:dyDescent="0.2">
      <c r="A460" s="3">
        <v>45385</v>
      </c>
      <c r="B460" s="4">
        <v>164.05</v>
      </c>
      <c r="C460" s="5">
        <v>530697</v>
      </c>
      <c r="D460" s="4">
        <v>0.46000000000000701</v>
      </c>
      <c r="E460" s="4">
        <v>0.28119078183264001</v>
      </c>
      <c r="F460" s="4">
        <v>0.28119078183264001</v>
      </c>
      <c r="G460" s="4">
        <v>164.05</v>
      </c>
      <c r="H460" s="4">
        <v>2.6659991238500602</v>
      </c>
      <c r="I460" s="4">
        <v>164.29</v>
      </c>
      <c r="J460" s="4">
        <v>165.84</v>
      </c>
      <c r="K460" s="4">
        <v>162.56</v>
      </c>
      <c r="L460" s="4">
        <v>2.6659991238500602</v>
      </c>
    </row>
    <row r="461" spans="1:12" ht="15" customHeight="1" x14ac:dyDescent="0.2">
      <c r="A461" s="6">
        <v>45384</v>
      </c>
      <c r="B461" s="7">
        <v>163.59</v>
      </c>
      <c r="C461" s="8">
        <v>429743</v>
      </c>
      <c r="D461" s="7">
        <v>-0.53999999999999204</v>
      </c>
      <c r="E461" s="7">
        <v>-0.32900749405958502</v>
      </c>
      <c r="F461" s="7">
        <v>-0.32900749405958502</v>
      </c>
      <c r="G461" s="7">
        <v>163.59</v>
      </c>
      <c r="H461" s="7">
        <v>2.3781212841855002</v>
      </c>
      <c r="I461" s="7">
        <v>164.65</v>
      </c>
      <c r="J461" s="7">
        <v>165.85</v>
      </c>
      <c r="K461" s="7">
        <v>161.63</v>
      </c>
      <c r="L461" s="7">
        <v>2.3781212841855002</v>
      </c>
    </row>
    <row r="462" spans="1:12" ht="15" customHeight="1" x14ac:dyDescent="0.2">
      <c r="A462" s="3">
        <v>45383</v>
      </c>
      <c r="B462" s="4">
        <v>164.13</v>
      </c>
      <c r="C462" s="5">
        <v>339335</v>
      </c>
      <c r="D462" s="4">
        <v>0.439999999999997</v>
      </c>
      <c r="E462" s="4">
        <v>0.268800781965916</v>
      </c>
      <c r="F462" s="4">
        <v>0.268800781965916</v>
      </c>
      <c r="G462" s="4">
        <v>164.13</v>
      </c>
      <c r="H462" s="4">
        <v>2.7160648350960601</v>
      </c>
      <c r="I462" s="4">
        <v>163.68</v>
      </c>
      <c r="J462" s="4">
        <v>166.03</v>
      </c>
      <c r="K462" s="4">
        <v>162.65</v>
      </c>
      <c r="L462" s="4">
        <v>2.7160648350960601</v>
      </c>
    </row>
    <row r="463" spans="1:12" ht="15" customHeight="1" x14ac:dyDescent="0.2">
      <c r="A463" s="6">
        <v>45378</v>
      </c>
      <c r="B463" s="7">
        <v>163.69</v>
      </c>
      <c r="C463" s="8">
        <v>221959</v>
      </c>
      <c r="D463" s="7">
        <v>5.0000000000011299E-2</v>
      </c>
      <c r="E463" s="7">
        <v>3.05548765582974E-2</v>
      </c>
      <c r="F463" s="7">
        <v>3.05548765582974E-2</v>
      </c>
      <c r="G463" s="7">
        <v>163.69</v>
      </c>
      <c r="H463" s="7">
        <v>2.44070342324301</v>
      </c>
      <c r="I463" s="7">
        <v>164.13</v>
      </c>
      <c r="J463" s="7">
        <v>165</v>
      </c>
      <c r="K463" s="7">
        <v>161.53</v>
      </c>
      <c r="L463" s="7">
        <v>2.44070342324301</v>
      </c>
    </row>
    <row r="464" spans="1:12" ht="15" customHeight="1" x14ac:dyDescent="0.2">
      <c r="A464" s="3">
        <v>45377</v>
      </c>
      <c r="B464" s="4">
        <v>163.63999999999999</v>
      </c>
      <c r="C464" s="5">
        <v>718402</v>
      </c>
      <c r="D464" s="4">
        <v>2.7399999999999798</v>
      </c>
      <c r="E464" s="4">
        <v>1.7029210689869201</v>
      </c>
      <c r="F464" s="4">
        <v>1.7029210689869201</v>
      </c>
      <c r="G464" s="4">
        <v>163.63999999999999</v>
      </c>
      <c r="H464" s="4">
        <v>2.4094123537142398</v>
      </c>
      <c r="I464" s="4">
        <v>160.5</v>
      </c>
      <c r="J464" s="4">
        <v>163.9</v>
      </c>
      <c r="K464" s="4">
        <v>160</v>
      </c>
      <c r="L464" s="4">
        <v>2.4094123537142398</v>
      </c>
    </row>
    <row r="465" spans="1:12" ht="15" customHeight="1" x14ac:dyDescent="0.2">
      <c r="A465" s="6">
        <v>45376</v>
      </c>
      <c r="B465" s="7">
        <v>160.9</v>
      </c>
      <c r="C465" s="8">
        <v>278451</v>
      </c>
      <c r="D465" s="7">
        <v>-0.23999999999998001</v>
      </c>
      <c r="E465" s="7">
        <v>-0.14893881097181</v>
      </c>
      <c r="F465" s="7">
        <v>-0.14893881097181</v>
      </c>
      <c r="G465" s="7">
        <v>160.9</v>
      </c>
      <c r="H465" s="7">
        <v>0.69466174353840204</v>
      </c>
      <c r="I465" s="7">
        <v>159.86000000000001</v>
      </c>
      <c r="J465" s="7">
        <v>162.84</v>
      </c>
      <c r="K465" s="7">
        <v>159.66999999999999</v>
      </c>
      <c r="L465" s="7">
        <v>0.69466174353840204</v>
      </c>
    </row>
    <row r="466" spans="1:12" ht="15" customHeight="1" x14ac:dyDescent="0.2">
      <c r="A466" s="3">
        <v>45373</v>
      </c>
      <c r="B466" s="4">
        <v>161.13999999999999</v>
      </c>
      <c r="C466" s="5">
        <v>731613</v>
      </c>
      <c r="D466" s="4">
        <v>1.3799999999999899</v>
      </c>
      <c r="E466" s="4">
        <v>0.86379569354031405</v>
      </c>
      <c r="F466" s="4">
        <v>0.86379569354031405</v>
      </c>
      <c r="G466" s="4">
        <v>161.13999999999999</v>
      </c>
      <c r="H466" s="4">
        <v>0.84485887727642095</v>
      </c>
      <c r="I466" s="4">
        <v>160.49</v>
      </c>
      <c r="J466" s="4">
        <v>161.80000000000001</v>
      </c>
      <c r="K466" s="4">
        <v>158.06</v>
      </c>
      <c r="L466" s="4">
        <v>0.84485887727642095</v>
      </c>
    </row>
    <row r="467" spans="1:12" ht="15" customHeight="1" x14ac:dyDescent="0.2">
      <c r="A467" s="6">
        <v>45372</v>
      </c>
      <c r="B467" s="7">
        <v>159.76</v>
      </c>
      <c r="C467" s="8">
        <v>201716</v>
      </c>
      <c r="D467" s="7">
        <v>-0.96999999999999797</v>
      </c>
      <c r="E467" s="7">
        <v>-0.60349654700428901</v>
      </c>
      <c r="F467" s="7">
        <v>-0.60349654700428901</v>
      </c>
      <c r="G467" s="7">
        <v>159.76</v>
      </c>
      <c r="H467" s="7">
        <v>-1.8774641717254601E-2</v>
      </c>
      <c r="I467" s="7">
        <v>159.93</v>
      </c>
      <c r="J467" s="7">
        <v>162.97999999999999</v>
      </c>
      <c r="K467" s="7">
        <v>158.25</v>
      </c>
      <c r="L467" s="7">
        <v>-1.8774641717254601E-2</v>
      </c>
    </row>
    <row r="468" spans="1:12" ht="15" customHeight="1" x14ac:dyDescent="0.2">
      <c r="A468" s="3">
        <v>45371</v>
      </c>
      <c r="B468" s="4">
        <v>160.72999999999999</v>
      </c>
      <c r="C468" s="5">
        <v>695207</v>
      </c>
      <c r="D468" s="4">
        <v>1.1399999999999799</v>
      </c>
      <c r="E468" s="4">
        <v>0.71433047183406795</v>
      </c>
      <c r="F468" s="4">
        <v>0.71433047183406795</v>
      </c>
      <c r="G468" s="4">
        <v>160.72999999999999</v>
      </c>
      <c r="H468" s="4">
        <v>0.58827210714061995</v>
      </c>
      <c r="I468" s="4">
        <v>159.06</v>
      </c>
      <c r="J468" s="4">
        <v>162.03</v>
      </c>
      <c r="K468" s="4">
        <v>157.96</v>
      </c>
      <c r="L468" s="4">
        <v>0.58827210714061995</v>
      </c>
    </row>
    <row r="469" spans="1:12" ht="15" customHeight="1" x14ac:dyDescent="0.2">
      <c r="A469" s="6">
        <v>45370</v>
      </c>
      <c r="B469" s="7">
        <v>159.59</v>
      </c>
      <c r="C469" s="8">
        <v>553948</v>
      </c>
      <c r="D469" s="7">
        <v>-8.9399999999999906</v>
      </c>
      <c r="E469" s="7">
        <v>-5.3046935263751198</v>
      </c>
      <c r="F469" s="7">
        <v>-5.3046935263751198</v>
      </c>
      <c r="G469" s="7">
        <v>159.59</v>
      </c>
      <c r="H469" s="7">
        <v>-0.12516427811501801</v>
      </c>
      <c r="I469" s="7">
        <v>167.68</v>
      </c>
      <c r="J469" s="7">
        <v>167.68</v>
      </c>
      <c r="K469" s="7">
        <v>158.57</v>
      </c>
      <c r="L469" s="7">
        <v>-0.12516427811501801</v>
      </c>
    </row>
    <row r="470" spans="1:12" ht="15" customHeight="1" x14ac:dyDescent="0.2">
      <c r="A470" s="3">
        <v>45366</v>
      </c>
      <c r="B470" s="4">
        <v>168.53</v>
      </c>
      <c r="C470" s="5">
        <v>1985199</v>
      </c>
      <c r="D470" s="4">
        <v>4.5699999999999896</v>
      </c>
      <c r="E470" s="4">
        <v>2.7872651866308802</v>
      </c>
      <c r="F470" s="4">
        <v>2.7872651866308802</v>
      </c>
      <c r="G470" s="4">
        <v>168.53</v>
      </c>
      <c r="H470" s="4">
        <v>5.4696789536266399</v>
      </c>
      <c r="I470" s="4">
        <v>164.24</v>
      </c>
      <c r="J470" s="4">
        <v>172.16</v>
      </c>
      <c r="K470" s="4">
        <v>163.78</v>
      </c>
      <c r="L470" s="4">
        <v>5.4696789536266399</v>
      </c>
    </row>
    <row r="471" spans="1:12" ht="15" customHeight="1" x14ac:dyDescent="0.2">
      <c r="A471" s="6">
        <v>45365</v>
      </c>
      <c r="B471" s="7">
        <v>163.96</v>
      </c>
      <c r="C471" s="8">
        <v>930359</v>
      </c>
      <c r="D471" s="7">
        <v>2.0700000000000198</v>
      </c>
      <c r="E471" s="7">
        <v>1.2786459941935999</v>
      </c>
      <c r="F471" s="7">
        <v>1.2786459941935999</v>
      </c>
      <c r="G471" s="7">
        <v>163.96</v>
      </c>
      <c r="H471" s="7">
        <v>2.6096751986982998</v>
      </c>
      <c r="I471" s="7">
        <v>161.9</v>
      </c>
      <c r="J471" s="7">
        <v>165.36</v>
      </c>
      <c r="K471" s="7">
        <v>161.26</v>
      </c>
      <c r="L471" s="7">
        <v>2.6096751986982998</v>
      </c>
    </row>
    <row r="472" spans="1:12" ht="15" customHeight="1" x14ac:dyDescent="0.2">
      <c r="A472" s="3">
        <v>45364</v>
      </c>
      <c r="B472" s="4">
        <v>161.88999999999999</v>
      </c>
      <c r="C472" s="5">
        <v>770374</v>
      </c>
      <c r="D472" s="4">
        <v>1.1099999999999799</v>
      </c>
      <c r="E472" s="4">
        <v>0.69038437616617498</v>
      </c>
      <c r="F472" s="4">
        <v>0.69038437616617498</v>
      </c>
      <c r="G472" s="4">
        <v>161.88999999999999</v>
      </c>
      <c r="H472" s="4">
        <v>1.3142249202077601</v>
      </c>
      <c r="I472" s="4">
        <v>160.1</v>
      </c>
      <c r="J472" s="4">
        <v>163.52000000000001</v>
      </c>
      <c r="K472" s="4">
        <v>160.1</v>
      </c>
      <c r="L472" s="4">
        <v>1.3142249202077601</v>
      </c>
    </row>
    <row r="473" spans="1:12" ht="15" customHeight="1" x14ac:dyDescent="0.2">
      <c r="A473" s="6">
        <v>45363</v>
      </c>
      <c r="B473" s="7">
        <v>160.78</v>
      </c>
      <c r="C473" s="8">
        <v>886052</v>
      </c>
      <c r="D473" s="7">
        <v>-0.99000000000000898</v>
      </c>
      <c r="E473" s="7">
        <v>-0.61197997156456896</v>
      </c>
      <c r="F473" s="7">
        <v>-0.61197997156456896</v>
      </c>
      <c r="G473" s="7">
        <v>160.78</v>
      </c>
      <c r="H473" s="7">
        <v>0.61956317666938399</v>
      </c>
      <c r="I473" s="7">
        <v>161.56</v>
      </c>
      <c r="J473" s="7">
        <v>161.56</v>
      </c>
      <c r="K473" s="7">
        <v>159.53</v>
      </c>
      <c r="L473" s="7">
        <v>0.61956317666938399</v>
      </c>
    </row>
    <row r="474" spans="1:12" ht="15" customHeight="1" x14ac:dyDescent="0.2">
      <c r="A474" s="3">
        <v>45362</v>
      </c>
      <c r="B474" s="4">
        <v>161.77000000000001</v>
      </c>
      <c r="C474" s="5">
        <v>874011</v>
      </c>
      <c r="D474" s="4">
        <v>-0.37999999999999501</v>
      </c>
      <c r="E474" s="4">
        <v>-0.234350909651559</v>
      </c>
      <c r="F474" s="4">
        <v>-0.234350909651559</v>
      </c>
      <c r="G474" s="4">
        <v>161.77000000000001</v>
      </c>
      <c r="H474" s="4">
        <v>1.23912635333876</v>
      </c>
      <c r="I474" s="4">
        <v>162.44</v>
      </c>
      <c r="J474" s="4">
        <v>162.75</v>
      </c>
      <c r="K474" s="4">
        <v>160.93</v>
      </c>
      <c r="L474" s="4">
        <v>1.23912635333876</v>
      </c>
    </row>
    <row r="475" spans="1:12" ht="15" customHeight="1" x14ac:dyDescent="0.2">
      <c r="A475" s="6">
        <v>45359</v>
      </c>
      <c r="B475" s="7">
        <v>162.15</v>
      </c>
      <c r="C475" s="8">
        <v>864072</v>
      </c>
      <c r="D475" s="7">
        <v>2.1400000000000099</v>
      </c>
      <c r="E475" s="7">
        <v>1.3374164114742899</v>
      </c>
      <c r="F475" s="7">
        <v>1.3374164114742899</v>
      </c>
      <c r="G475" s="7">
        <v>162.15</v>
      </c>
      <c r="H475" s="7">
        <v>1.4769384817573099</v>
      </c>
      <c r="I475" s="7">
        <v>160</v>
      </c>
      <c r="J475" s="7">
        <v>165</v>
      </c>
      <c r="K475" s="7">
        <v>159.18</v>
      </c>
      <c r="L475" s="7">
        <v>1.4769384817573099</v>
      </c>
    </row>
    <row r="476" spans="1:12" ht="15" customHeight="1" x14ac:dyDescent="0.2">
      <c r="A476" s="3">
        <v>45358</v>
      </c>
      <c r="B476" s="4">
        <v>160.01</v>
      </c>
      <c r="C476" s="5">
        <v>2225039</v>
      </c>
      <c r="D476" s="4">
        <v>1.43999999999999</v>
      </c>
      <c r="E476" s="4">
        <v>0.90811628933593602</v>
      </c>
      <c r="F476" s="4">
        <v>0.90811628933593602</v>
      </c>
      <c r="G476" s="4">
        <v>160.01</v>
      </c>
      <c r="H476" s="4">
        <v>0.13768070592652701</v>
      </c>
      <c r="I476" s="4">
        <v>159.21</v>
      </c>
      <c r="J476" s="4">
        <v>161.33000000000001</v>
      </c>
      <c r="K476" s="4">
        <v>157.81</v>
      </c>
      <c r="L476" s="4">
        <v>0.13768070592652701</v>
      </c>
    </row>
    <row r="477" spans="1:12" ht="15" customHeight="1" x14ac:dyDescent="0.2">
      <c r="A477" s="6">
        <v>45357</v>
      </c>
      <c r="B477" s="7">
        <v>158.57</v>
      </c>
      <c r="C477" s="8">
        <v>977189</v>
      </c>
      <c r="D477" s="7">
        <v>-3.96999999999999</v>
      </c>
      <c r="E477" s="7">
        <v>-2.4424756982896398</v>
      </c>
      <c r="F477" s="7">
        <v>-2.4424756982896398</v>
      </c>
      <c r="G477" s="7">
        <v>158.57</v>
      </c>
      <c r="H477" s="7">
        <v>-0.76350209650165701</v>
      </c>
      <c r="I477" s="7">
        <v>163.25</v>
      </c>
      <c r="J477" s="7">
        <v>163.25</v>
      </c>
      <c r="K477" s="7">
        <v>157.94</v>
      </c>
      <c r="L477" s="7">
        <v>-0.76350209650165701</v>
      </c>
    </row>
    <row r="478" spans="1:12" ht="15" customHeight="1" x14ac:dyDescent="0.2">
      <c r="A478" s="3">
        <v>45356</v>
      </c>
      <c r="B478" s="4">
        <v>162.54</v>
      </c>
      <c r="C478" s="5">
        <v>573725</v>
      </c>
      <c r="D478" s="4">
        <v>2.06</v>
      </c>
      <c r="E478" s="4">
        <v>1.2836490528414799</v>
      </c>
      <c r="F478" s="4">
        <v>1.2836490528414799</v>
      </c>
      <c r="G478" s="4">
        <v>162.54</v>
      </c>
      <c r="H478" s="4">
        <v>1.7210088240815999</v>
      </c>
      <c r="I478" s="4">
        <v>160.54</v>
      </c>
      <c r="J478" s="4">
        <v>163.35</v>
      </c>
      <c r="K478" s="4">
        <v>160.02000000000001</v>
      </c>
      <c r="L478" s="4">
        <v>1.7210088240815999</v>
      </c>
    </row>
    <row r="479" spans="1:12" ht="15" customHeight="1" x14ac:dyDescent="0.2">
      <c r="A479" s="6">
        <v>45355</v>
      </c>
      <c r="B479" s="7">
        <v>160.47999999999999</v>
      </c>
      <c r="C479" s="8">
        <v>463581</v>
      </c>
      <c r="D479" s="7">
        <v>-1.4</v>
      </c>
      <c r="E479" s="7">
        <v>-0.86483815171732803</v>
      </c>
      <c r="F479" s="7">
        <v>-0.86483815171732803</v>
      </c>
      <c r="G479" s="7">
        <v>160.47999999999999</v>
      </c>
      <c r="H479" s="7">
        <v>0.43181675949683801</v>
      </c>
      <c r="I479" s="7">
        <v>162.03</v>
      </c>
      <c r="J479" s="7">
        <v>162.63999999999999</v>
      </c>
      <c r="K479" s="7">
        <v>159.57</v>
      </c>
      <c r="L479" s="7">
        <v>0.43181675949683801</v>
      </c>
    </row>
    <row r="480" spans="1:12" ht="15" customHeight="1" x14ac:dyDescent="0.2">
      <c r="A480" s="3">
        <v>45352</v>
      </c>
      <c r="B480" s="4">
        <v>161.88</v>
      </c>
      <c r="C480" s="5">
        <v>525653</v>
      </c>
      <c r="D480" s="4">
        <v>2.8499999999999899</v>
      </c>
      <c r="E480" s="4">
        <v>1.7921146953405001</v>
      </c>
      <c r="F480" s="4">
        <v>1.7921146953405001</v>
      </c>
      <c r="G480" s="4">
        <v>161.88</v>
      </c>
      <c r="H480" s="4">
        <v>1.3079667063020199</v>
      </c>
      <c r="I480" s="4">
        <v>159.38999999999999</v>
      </c>
      <c r="J480" s="4">
        <v>162.94</v>
      </c>
      <c r="K480" s="4">
        <v>158.80000000000001</v>
      </c>
      <c r="L480" s="4">
        <v>1.3079667063020199</v>
      </c>
    </row>
    <row r="481" spans="1:12" ht="15" customHeight="1" x14ac:dyDescent="0.2">
      <c r="A481" s="6">
        <v>45351</v>
      </c>
      <c r="B481" s="7">
        <v>159.03</v>
      </c>
      <c r="C481" s="8">
        <v>1039942</v>
      </c>
      <c r="D481" s="7">
        <v>0.58000000000001195</v>
      </c>
      <c r="E481" s="7">
        <v>0.36604607131587302</v>
      </c>
      <c r="F481" s="7">
        <v>0.36604607131587302</v>
      </c>
      <c r="G481" s="7">
        <v>159.03</v>
      </c>
      <c r="H481" s="7">
        <v>-0.47562425683709297</v>
      </c>
      <c r="I481" s="7">
        <v>158.96</v>
      </c>
      <c r="J481" s="7">
        <v>160.75</v>
      </c>
      <c r="K481" s="7">
        <v>156.52000000000001</v>
      </c>
      <c r="L481" s="7">
        <v>-0.47562425683709297</v>
      </c>
    </row>
    <row r="482" spans="1:12" ht="15" customHeight="1" x14ac:dyDescent="0.2">
      <c r="A482" s="3">
        <v>45350</v>
      </c>
      <c r="B482" s="4">
        <v>158.44999999999999</v>
      </c>
      <c r="C482" s="5">
        <v>554987</v>
      </c>
      <c r="D482" s="4">
        <v>-6.49</v>
      </c>
      <c r="E482" s="4">
        <v>-3.9347641566630398</v>
      </c>
      <c r="F482" s="4">
        <v>-3.9347641566630398</v>
      </c>
      <c r="G482" s="4">
        <v>158.44999999999999</v>
      </c>
      <c r="H482" s="4">
        <v>-0.83860066337067596</v>
      </c>
      <c r="I482" s="4">
        <v>164.15</v>
      </c>
      <c r="J482" s="4">
        <v>165.05</v>
      </c>
      <c r="K482" s="4">
        <v>157.81</v>
      </c>
      <c r="L482" s="4">
        <v>-0.83860066337067596</v>
      </c>
    </row>
    <row r="483" spans="1:12" ht="15" customHeight="1" x14ac:dyDescent="0.2">
      <c r="A483" s="6">
        <v>45349</v>
      </c>
      <c r="B483" s="7">
        <v>164.94</v>
      </c>
      <c r="C483" s="8">
        <v>754910</v>
      </c>
      <c r="D483" s="7">
        <v>0.40999999999999598</v>
      </c>
      <c r="E483" s="7">
        <v>0.24919467574302501</v>
      </c>
      <c r="F483" s="7">
        <v>0.24919467574302501</v>
      </c>
      <c r="G483" s="7">
        <v>164.94</v>
      </c>
      <c r="H483" s="7">
        <v>3.22298016146192</v>
      </c>
      <c r="I483" s="7">
        <v>163.75</v>
      </c>
      <c r="J483" s="7">
        <v>166.14</v>
      </c>
      <c r="K483" s="7">
        <v>162.68</v>
      </c>
      <c r="L483" s="7">
        <v>3.22298016146192</v>
      </c>
    </row>
    <row r="484" spans="1:12" ht="15" customHeight="1" x14ac:dyDescent="0.2">
      <c r="A484" s="3">
        <v>45348</v>
      </c>
      <c r="B484" s="4">
        <v>164.53</v>
      </c>
      <c r="C484" s="5">
        <v>1608243</v>
      </c>
      <c r="D484" s="4">
        <v>-0.84999999999999398</v>
      </c>
      <c r="E484" s="4">
        <v>-0.51396783166041105</v>
      </c>
      <c r="F484" s="4">
        <v>-0.51396783166041105</v>
      </c>
      <c r="G484" s="4">
        <v>164.53</v>
      </c>
      <c r="H484" s="4">
        <v>2.96639339132612</v>
      </c>
      <c r="I484" s="4">
        <v>166.3</v>
      </c>
      <c r="J484" s="4">
        <v>167.03</v>
      </c>
      <c r="K484" s="4">
        <v>164</v>
      </c>
      <c r="L484" s="4">
        <v>2.96639339132612</v>
      </c>
    </row>
    <row r="485" spans="1:12" ht="15" customHeight="1" x14ac:dyDescent="0.2">
      <c r="A485" s="6">
        <v>45345</v>
      </c>
      <c r="B485" s="7">
        <v>165.38</v>
      </c>
      <c r="C485" s="8">
        <v>1233503</v>
      </c>
      <c r="D485" s="7">
        <v>1.4099999999999899</v>
      </c>
      <c r="E485" s="7">
        <v>0.85991339879245499</v>
      </c>
      <c r="F485" s="7">
        <v>0.85991339879245499</v>
      </c>
      <c r="G485" s="7">
        <v>165.38</v>
      </c>
      <c r="H485" s="7">
        <v>3.4983415733149701</v>
      </c>
      <c r="I485" s="7">
        <v>164.45</v>
      </c>
      <c r="J485" s="7">
        <v>166.55</v>
      </c>
      <c r="K485" s="7">
        <v>164</v>
      </c>
      <c r="L485" s="7">
        <v>3.4983415733149701</v>
      </c>
    </row>
    <row r="486" spans="1:12" ht="15" customHeight="1" x14ac:dyDescent="0.2">
      <c r="A486" s="3">
        <v>45344</v>
      </c>
      <c r="B486" s="4">
        <v>163.97</v>
      </c>
      <c r="C486" s="5">
        <v>684507</v>
      </c>
      <c r="D486" s="4">
        <v>0.33000000000001201</v>
      </c>
      <c r="E486" s="4">
        <v>0.20166218528478899</v>
      </c>
      <c r="F486" s="4">
        <v>0.20166218528478899</v>
      </c>
      <c r="G486" s="4">
        <v>163.97</v>
      </c>
      <c r="H486" s="4">
        <v>2.6159334126040399</v>
      </c>
      <c r="I486" s="4">
        <v>164</v>
      </c>
      <c r="J486" s="4">
        <v>165.9</v>
      </c>
      <c r="K486" s="4">
        <v>162.99</v>
      </c>
      <c r="L486" s="4">
        <v>2.6159334126040399</v>
      </c>
    </row>
    <row r="487" spans="1:12" ht="15" customHeight="1" x14ac:dyDescent="0.2">
      <c r="A487" s="6">
        <v>45343</v>
      </c>
      <c r="B487" s="7">
        <v>163.63999999999999</v>
      </c>
      <c r="C487" s="8">
        <v>610986</v>
      </c>
      <c r="D487" s="7">
        <v>0.31999999999999301</v>
      </c>
      <c r="E487" s="7">
        <v>0.19593436198872499</v>
      </c>
      <c r="F487" s="7">
        <v>0.19593436198872499</v>
      </c>
      <c r="G487" s="7">
        <v>163.63999999999999</v>
      </c>
      <c r="H487" s="7">
        <v>2.4094123537142398</v>
      </c>
      <c r="I487" s="7">
        <v>164.05</v>
      </c>
      <c r="J487" s="7">
        <v>164.36</v>
      </c>
      <c r="K487" s="7">
        <v>163.12</v>
      </c>
      <c r="L487" s="7">
        <v>2.4094123537142398</v>
      </c>
    </row>
    <row r="488" spans="1:12" ht="15" customHeight="1" x14ac:dyDescent="0.2">
      <c r="A488" s="3">
        <v>45342</v>
      </c>
      <c r="B488" s="4">
        <v>163.32</v>
      </c>
      <c r="C488" s="5">
        <v>1179307</v>
      </c>
      <c r="D488" s="4">
        <v>-1.48000000000001</v>
      </c>
      <c r="E488" s="4">
        <v>-0.89805825242719095</v>
      </c>
      <c r="F488" s="4">
        <v>-0.89805825242719095</v>
      </c>
      <c r="G488" s="4">
        <v>163.32</v>
      </c>
      <c r="H488" s="4">
        <v>2.2091495087302002</v>
      </c>
      <c r="I488" s="4">
        <v>162.99</v>
      </c>
      <c r="J488" s="4">
        <v>165.48</v>
      </c>
      <c r="K488" s="4">
        <v>162.53</v>
      </c>
      <c r="L488" s="4">
        <v>2.2091495087302002</v>
      </c>
    </row>
    <row r="489" spans="1:12" ht="15" customHeight="1" x14ac:dyDescent="0.2">
      <c r="A489" s="6">
        <v>45341</v>
      </c>
      <c r="B489" s="7">
        <v>164.8</v>
      </c>
      <c r="C489" s="8">
        <v>105780</v>
      </c>
      <c r="D489" s="7">
        <v>0.56000000000000205</v>
      </c>
      <c r="E489" s="7">
        <v>0.34096444227960099</v>
      </c>
      <c r="F489" s="7">
        <v>0.34096444227960099</v>
      </c>
      <c r="G489" s="7">
        <v>164.8</v>
      </c>
      <c r="H489" s="7">
        <v>3.1353651667814102</v>
      </c>
      <c r="I489" s="7">
        <v>164.02</v>
      </c>
      <c r="J489" s="7">
        <v>165</v>
      </c>
      <c r="K489" s="7">
        <v>162.76</v>
      </c>
      <c r="L489" s="7">
        <v>3.1353651667814102</v>
      </c>
    </row>
    <row r="490" spans="1:12" ht="15" customHeight="1" x14ac:dyDescent="0.2">
      <c r="A490" s="3">
        <v>45338</v>
      </c>
      <c r="B490" s="4">
        <v>164.24</v>
      </c>
      <c r="C490" s="5">
        <v>814425</v>
      </c>
      <c r="D490" s="4">
        <v>1.68</v>
      </c>
      <c r="E490" s="4">
        <v>1.03346456692914</v>
      </c>
      <c r="F490" s="4">
        <v>1.03346456692914</v>
      </c>
      <c r="G490" s="4">
        <v>164.24</v>
      </c>
      <c r="H490" s="4">
        <v>2.7849051880593301</v>
      </c>
      <c r="I490" s="4">
        <v>160.97999999999999</v>
      </c>
      <c r="J490" s="4">
        <v>165</v>
      </c>
      <c r="K490" s="4">
        <v>160.97999999999999</v>
      </c>
      <c r="L490" s="4">
        <v>2.7849051880593301</v>
      </c>
    </row>
    <row r="491" spans="1:12" ht="15" customHeight="1" x14ac:dyDescent="0.2">
      <c r="A491" s="6">
        <v>45337</v>
      </c>
      <c r="B491" s="7">
        <v>162.56</v>
      </c>
      <c r="C491" s="8">
        <v>1304232</v>
      </c>
      <c r="D491" s="7">
        <v>1.71</v>
      </c>
      <c r="E491" s="7">
        <v>1.0631022691948999</v>
      </c>
      <c r="F491" s="7">
        <v>1.0631022691948999</v>
      </c>
      <c r="G491" s="7">
        <v>162.56</v>
      </c>
      <c r="H491" s="7">
        <v>1.7335252518931099</v>
      </c>
      <c r="I491" s="7">
        <v>160.56</v>
      </c>
      <c r="J491" s="7">
        <v>163</v>
      </c>
      <c r="K491" s="7">
        <v>159.77000000000001</v>
      </c>
      <c r="L491" s="7">
        <v>1.7335252518931099</v>
      </c>
    </row>
    <row r="492" spans="1:12" ht="15" customHeight="1" x14ac:dyDescent="0.2">
      <c r="A492" s="3">
        <v>45336</v>
      </c>
      <c r="B492" s="4">
        <v>160.85</v>
      </c>
      <c r="C492" s="5">
        <v>255094</v>
      </c>
      <c r="D492" s="4">
        <v>-0.15999999999999601</v>
      </c>
      <c r="E492" s="4">
        <v>-9.9372709769574005E-2</v>
      </c>
      <c r="F492" s="4">
        <v>-9.9372709769574005E-2</v>
      </c>
      <c r="G492" s="4">
        <v>160.85</v>
      </c>
      <c r="H492" s="4">
        <v>0.66337067400963901</v>
      </c>
      <c r="I492" s="4">
        <v>162.02000000000001</v>
      </c>
      <c r="J492" s="4">
        <v>163.59</v>
      </c>
      <c r="K492" s="4">
        <v>160.09</v>
      </c>
      <c r="L492" s="4">
        <v>0.66337067400963901</v>
      </c>
    </row>
    <row r="493" spans="1:12" ht="15" customHeight="1" x14ac:dyDescent="0.2">
      <c r="A493" s="6">
        <v>45335</v>
      </c>
      <c r="B493" s="7">
        <v>161.01</v>
      </c>
      <c r="C493" s="8">
        <v>747514</v>
      </c>
      <c r="D493" s="7">
        <v>-4.09</v>
      </c>
      <c r="E493" s="7">
        <v>-2.4772864930345202</v>
      </c>
      <c r="F493" s="7">
        <v>-2.4772864930345202</v>
      </c>
      <c r="G493" s="7">
        <v>161.01</v>
      </c>
      <c r="H493" s="7">
        <v>0.76350209650165701</v>
      </c>
      <c r="I493" s="7">
        <v>165</v>
      </c>
      <c r="J493" s="7">
        <v>167.64</v>
      </c>
      <c r="K493" s="7">
        <v>160.02000000000001</v>
      </c>
      <c r="L493" s="7">
        <v>0.76350209650165701</v>
      </c>
    </row>
    <row r="494" spans="1:12" ht="15" customHeight="1" x14ac:dyDescent="0.2">
      <c r="A494" s="3">
        <v>45334</v>
      </c>
      <c r="B494" s="4">
        <v>165.1</v>
      </c>
      <c r="C494" s="5">
        <v>673563</v>
      </c>
      <c r="D494" s="4">
        <v>-3.21</v>
      </c>
      <c r="E494" s="4">
        <v>-1.90719505674054</v>
      </c>
      <c r="F494" s="4">
        <v>-1.90719505674054</v>
      </c>
      <c r="G494" s="4">
        <v>165.1</v>
      </c>
      <c r="H494" s="4">
        <v>3.3231115839539398</v>
      </c>
      <c r="I494" s="4">
        <v>168.5</v>
      </c>
      <c r="J494" s="4">
        <v>169.83</v>
      </c>
      <c r="K494" s="4">
        <v>164.35</v>
      </c>
      <c r="L494" s="4">
        <v>3.3231115839539398</v>
      </c>
    </row>
    <row r="495" spans="1:12" ht="15" customHeight="1" x14ac:dyDescent="0.2">
      <c r="A495" s="6">
        <v>45331</v>
      </c>
      <c r="B495" s="7">
        <v>168.31</v>
      </c>
      <c r="C495" s="8">
        <v>1058082</v>
      </c>
      <c r="D495" s="7">
        <v>1.18</v>
      </c>
      <c r="E495" s="7">
        <v>0.70603721653803497</v>
      </c>
      <c r="F495" s="7">
        <v>0.70603721653803497</v>
      </c>
      <c r="G495" s="7">
        <v>168.31</v>
      </c>
      <c r="H495" s="7">
        <v>5.3319982477001098</v>
      </c>
      <c r="I495" s="7">
        <v>165.73</v>
      </c>
      <c r="J495" s="7">
        <v>172</v>
      </c>
      <c r="K495" s="7">
        <v>165.73</v>
      </c>
      <c r="L495" s="7">
        <v>5.3319982477001098</v>
      </c>
    </row>
    <row r="496" spans="1:12" ht="15" customHeight="1" x14ac:dyDescent="0.2">
      <c r="A496" s="3">
        <v>45330</v>
      </c>
      <c r="B496" s="4">
        <v>167.13</v>
      </c>
      <c r="C496" s="5">
        <v>1485653</v>
      </c>
      <c r="D496" s="4">
        <v>0.56999999999999296</v>
      </c>
      <c r="E496" s="4">
        <v>0.34221902017290601</v>
      </c>
      <c r="F496" s="4">
        <v>0.34221902017290601</v>
      </c>
      <c r="G496" s="4">
        <v>167.13</v>
      </c>
      <c r="H496" s="4">
        <v>4.5935290068214503</v>
      </c>
      <c r="I496" s="4">
        <v>166.58</v>
      </c>
      <c r="J496" s="4">
        <v>169.46</v>
      </c>
      <c r="K496" s="4">
        <v>164.83</v>
      </c>
      <c r="L496" s="4">
        <v>4.5935290068214503</v>
      </c>
    </row>
    <row r="497" spans="1:12" ht="15" customHeight="1" x14ac:dyDescent="0.2">
      <c r="A497" s="6">
        <v>45329</v>
      </c>
      <c r="B497" s="7">
        <v>166.56</v>
      </c>
      <c r="C497" s="8">
        <v>2226173</v>
      </c>
      <c r="D497" s="7">
        <v>4.53</v>
      </c>
      <c r="E497" s="7">
        <v>2.7957785595260098</v>
      </c>
      <c r="F497" s="7">
        <v>2.7957785595260098</v>
      </c>
      <c r="G497" s="7">
        <v>166.56</v>
      </c>
      <c r="H497" s="7">
        <v>4.23681081419363</v>
      </c>
      <c r="I497" s="7">
        <v>162.44</v>
      </c>
      <c r="J497" s="7">
        <v>167.95</v>
      </c>
      <c r="K497" s="7">
        <v>161.03</v>
      </c>
      <c r="L497" s="7">
        <v>4.23681081419363</v>
      </c>
    </row>
    <row r="498" spans="1:12" ht="15" customHeight="1" x14ac:dyDescent="0.2">
      <c r="A498" s="3">
        <v>45328</v>
      </c>
      <c r="B498" s="4">
        <v>162.03</v>
      </c>
      <c r="C498" s="5">
        <v>1231135</v>
      </c>
      <c r="D498" s="4">
        <v>0.110000000000013</v>
      </c>
      <c r="E498" s="4">
        <v>6.7934782608713995E-2</v>
      </c>
      <c r="F498" s="4">
        <v>6.7934782608713995E-2</v>
      </c>
      <c r="G498" s="4">
        <v>162.03</v>
      </c>
      <c r="H498" s="4">
        <v>1.4018399148882901</v>
      </c>
      <c r="I498" s="4">
        <v>160.75</v>
      </c>
      <c r="J498" s="4">
        <v>164.8</v>
      </c>
      <c r="K498" s="4">
        <v>160.75</v>
      </c>
      <c r="L498" s="4">
        <v>1.4018399148882901</v>
      </c>
    </row>
    <row r="499" spans="1:12" ht="15" customHeight="1" x14ac:dyDescent="0.2">
      <c r="A499" s="6">
        <v>45324</v>
      </c>
      <c r="B499" s="7">
        <v>161.91999999999999</v>
      </c>
      <c r="C499" s="8">
        <v>414403</v>
      </c>
      <c r="D499" s="7">
        <v>1.95999999999997</v>
      </c>
      <c r="E499" s="7">
        <v>1.22530632658164</v>
      </c>
      <c r="F499" s="7">
        <v>1.22530632658164</v>
      </c>
      <c r="G499" s="7">
        <v>161.91999999999999</v>
      </c>
      <c r="H499" s="7">
        <v>1.3329995619250199</v>
      </c>
      <c r="I499" s="7">
        <v>161.56</v>
      </c>
      <c r="J499" s="7">
        <v>162</v>
      </c>
      <c r="K499" s="7">
        <v>159.05000000000001</v>
      </c>
      <c r="L499" s="7">
        <v>1.3329995619250199</v>
      </c>
    </row>
    <row r="500" spans="1:12" ht="15" customHeight="1" x14ac:dyDescent="0.2">
      <c r="A500" s="3">
        <v>45323</v>
      </c>
      <c r="B500" s="4">
        <v>159.96</v>
      </c>
      <c r="C500" s="5">
        <v>382064</v>
      </c>
      <c r="D500" s="4">
        <v>0.21000000000000699</v>
      </c>
      <c r="E500" s="4">
        <v>0.13145539906103099</v>
      </c>
      <c r="F500" s="4">
        <v>0.13145539906103099</v>
      </c>
      <c r="G500" s="4">
        <v>159.96</v>
      </c>
      <c r="H500" s="4">
        <v>0.106389636397782</v>
      </c>
      <c r="I500" s="4">
        <v>161.08000000000001</v>
      </c>
      <c r="J500" s="4">
        <v>162.44999999999999</v>
      </c>
      <c r="K500" s="4">
        <v>156.84</v>
      </c>
      <c r="L500" s="4">
        <v>0.106389636397782</v>
      </c>
    </row>
    <row r="501" spans="1:12" ht="15" customHeight="1" x14ac:dyDescent="0.2">
      <c r="A501" s="6">
        <v>45322</v>
      </c>
      <c r="B501" s="7">
        <v>159.75</v>
      </c>
      <c r="C501" s="8">
        <v>363941</v>
      </c>
      <c r="D501" s="7">
        <v>-1.75999999999999</v>
      </c>
      <c r="E501" s="7">
        <v>-1.08971580707076</v>
      </c>
      <c r="F501" s="7">
        <v>-1.08971580707076</v>
      </c>
      <c r="G501" s="7">
        <v>159.75</v>
      </c>
      <c r="H501" s="7">
        <v>-2.50328556230002E-2</v>
      </c>
      <c r="I501" s="7">
        <v>161.24</v>
      </c>
      <c r="J501" s="7">
        <v>162.66999999999999</v>
      </c>
      <c r="K501" s="7">
        <v>158.93</v>
      </c>
      <c r="L501" s="7">
        <v>-2.50328556230002E-2</v>
      </c>
    </row>
    <row r="502" spans="1:12" ht="15" customHeight="1" x14ac:dyDescent="0.2">
      <c r="A502" s="3">
        <v>45321</v>
      </c>
      <c r="B502" s="4">
        <v>161.51</v>
      </c>
      <c r="C502" s="5">
        <v>1052724</v>
      </c>
      <c r="D502" s="4">
        <v>2.59</v>
      </c>
      <c r="E502" s="4">
        <v>1.62975081802165</v>
      </c>
      <c r="F502" s="4">
        <v>1.62975081802165</v>
      </c>
      <c r="G502" s="4">
        <v>161.51</v>
      </c>
      <c r="H502" s="4">
        <v>1.0764127917892199</v>
      </c>
      <c r="I502" s="4">
        <v>159.87</v>
      </c>
      <c r="J502" s="4">
        <v>162.57</v>
      </c>
      <c r="K502" s="4">
        <v>158.75</v>
      </c>
      <c r="L502" s="4">
        <v>1.0764127917892199</v>
      </c>
    </row>
    <row r="503" spans="1:12" ht="15" customHeight="1" x14ac:dyDescent="0.2">
      <c r="A503" s="6">
        <v>45320</v>
      </c>
      <c r="B503" s="7">
        <v>158.91999999999999</v>
      </c>
      <c r="C503" s="8">
        <v>900776</v>
      </c>
      <c r="D503" s="7">
        <v>-0.87000000000000399</v>
      </c>
      <c r="E503" s="7">
        <v>-0.54446460980036504</v>
      </c>
      <c r="F503" s="7">
        <v>-0.54446460980036504</v>
      </c>
      <c r="G503" s="7">
        <v>158.91999999999999</v>
      </c>
      <c r="H503" s="7">
        <v>-0.54446460980036504</v>
      </c>
      <c r="I503" s="7">
        <v>159.99</v>
      </c>
      <c r="J503" s="7">
        <v>160.09</v>
      </c>
      <c r="K503" s="7">
        <v>158.52000000000001</v>
      </c>
      <c r="L503" s="7">
        <v>-0.54446460980036504</v>
      </c>
    </row>
    <row r="504" spans="1:12" ht="15" customHeight="1" x14ac:dyDescent="0.2">
      <c r="A504" s="3">
        <v>45317</v>
      </c>
      <c r="B504" s="4">
        <v>159.79</v>
      </c>
      <c r="C504" s="5">
        <v>1372398</v>
      </c>
      <c r="D504" s="4"/>
      <c r="E504" s="4"/>
      <c r="F504" s="4"/>
      <c r="G504" s="4">
        <v>159.79</v>
      </c>
      <c r="H504" s="4"/>
      <c r="I504" s="4">
        <v>155.68</v>
      </c>
      <c r="J504" s="4">
        <v>162.09</v>
      </c>
      <c r="K504" s="4">
        <v>155.68</v>
      </c>
      <c r="L504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F414-4EA2-4F78-9EE6-166797BCAB33}">
  <sheetPr>
    <outlinePr summaryBelow="0" summaryRight="0"/>
  </sheetPr>
  <dimension ref="A1:L504"/>
  <sheetViews>
    <sheetView workbookViewId="0">
      <pane ySplit="3" topLeftCell="A62" activePane="bottomLeft" state="frozen"/>
      <selection pane="bottomLeft" activeCell="D1" sqref="D1:D1048576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9.2851562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18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16.37</v>
      </c>
      <c r="C4" s="5">
        <v>462147</v>
      </c>
      <c r="D4" s="4">
        <v>-0.189999999999997</v>
      </c>
      <c r="E4" s="4">
        <v>-1.1473429951690599</v>
      </c>
      <c r="F4" s="4">
        <v>-1.1473429951690599</v>
      </c>
      <c r="G4" s="4">
        <v>16.37</v>
      </c>
      <c r="H4" s="4">
        <v>17.012151536811999</v>
      </c>
      <c r="I4" s="4">
        <v>16.47</v>
      </c>
      <c r="J4" s="4">
        <v>16.37</v>
      </c>
      <c r="K4" s="4">
        <v>16.37</v>
      </c>
      <c r="L4" s="4">
        <v>17.012151536811999</v>
      </c>
    </row>
    <row r="5" spans="1:12" ht="15" customHeight="1" x14ac:dyDescent="0.2">
      <c r="A5" s="6">
        <v>46045</v>
      </c>
      <c r="B5" s="7">
        <v>16.559999999999999</v>
      </c>
      <c r="C5" s="8">
        <v>1595902</v>
      </c>
      <c r="D5" s="7">
        <v>-0.21</v>
      </c>
      <c r="E5" s="7">
        <v>-1.25223613595707</v>
      </c>
      <c r="F5" s="7">
        <v>-1.25223613595707</v>
      </c>
      <c r="G5" s="7">
        <v>16.559999999999999</v>
      </c>
      <c r="H5" s="7">
        <v>18.370264474624701</v>
      </c>
      <c r="I5" s="7">
        <v>16.68</v>
      </c>
      <c r="J5" s="7">
        <v>16.899999999999999</v>
      </c>
      <c r="K5" s="7">
        <v>16.25</v>
      </c>
      <c r="L5" s="7">
        <v>18.370264474624701</v>
      </c>
    </row>
    <row r="6" spans="1:12" ht="15" customHeight="1" x14ac:dyDescent="0.2">
      <c r="A6" s="3">
        <v>46044</v>
      </c>
      <c r="B6" s="4">
        <v>16.77</v>
      </c>
      <c r="C6" s="5">
        <v>2634449</v>
      </c>
      <c r="D6" s="4">
        <v>1.1599999999999999</v>
      </c>
      <c r="E6" s="4">
        <v>7.4311338885330001</v>
      </c>
      <c r="F6" s="4">
        <v>7.4311338885330001</v>
      </c>
      <c r="G6" s="4">
        <v>16.77</v>
      </c>
      <c r="H6" s="4">
        <v>19.871336669049299</v>
      </c>
      <c r="I6" s="4">
        <v>15.6</v>
      </c>
      <c r="J6" s="4">
        <v>16.850000000000001</v>
      </c>
      <c r="K6" s="4">
        <v>15.6</v>
      </c>
      <c r="L6" s="4">
        <v>19.871336669049299</v>
      </c>
    </row>
    <row r="7" spans="1:12" ht="15" customHeight="1" x14ac:dyDescent="0.2">
      <c r="A7" s="6">
        <v>46043</v>
      </c>
      <c r="B7" s="7">
        <v>15.61</v>
      </c>
      <c r="C7" s="8">
        <v>2717863</v>
      </c>
      <c r="D7" s="7">
        <v>0.08</v>
      </c>
      <c r="E7" s="7">
        <v>0.51513200257566805</v>
      </c>
      <c r="F7" s="7">
        <v>0.51513200257566805</v>
      </c>
      <c r="G7" s="7">
        <v>15.61</v>
      </c>
      <c r="H7" s="7">
        <v>11.5796997855611</v>
      </c>
      <c r="I7" s="7">
        <v>15.53</v>
      </c>
      <c r="J7" s="7">
        <v>15.8</v>
      </c>
      <c r="K7" s="7">
        <v>15.41</v>
      </c>
      <c r="L7" s="7">
        <v>11.5796997855611</v>
      </c>
    </row>
    <row r="8" spans="1:12" ht="15" customHeight="1" x14ac:dyDescent="0.2">
      <c r="A8" s="3">
        <v>46042</v>
      </c>
      <c r="B8" s="4">
        <v>15.53</v>
      </c>
      <c r="C8" s="5">
        <v>2100409</v>
      </c>
      <c r="D8" s="4">
        <v>0.57999999999999996</v>
      </c>
      <c r="E8" s="4">
        <v>3.8795986622073499</v>
      </c>
      <c r="F8" s="4">
        <v>3.8795986622073499</v>
      </c>
      <c r="G8" s="4">
        <v>15.53</v>
      </c>
      <c r="H8" s="4">
        <v>11.0078627591136</v>
      </c>
      <c r="I8" s="4">
        <v>14.84</v>
      </c>
      <c r="J8" s="4">
        <v>15.77</v>
      </c>
      <c r="K8" s="4">
        <v>14.84</v>
      </c>
      <c r="L8" s="4">
        <v>11.0078627591136</v>
      </c>
    </row>
    <row r="9" spans="1:12" ht="15" customHeight="1" x14ac:dyDescent="0.2">
      <c r="A9" s="6">
        <v>46041</v>
      </c>
      <c r="B9" s="7">
        <v>14.95</v>
      </c>
      <c r="C9" s="8">
        <v>1196074</v>
      </c>
      <c r="D9" s="7">
        <v>-0.440000000000001</v>
      </c>
      <c r="E9" s="7">
        <v>-2.85899935022743</v>
      </c>
      <c r="F9" s="7">
        <v>-2.85899935022743</v>
      </c>
      <c r="G9" s="7">
        <v>14.95</v>
      </c>
      <c r="H9" s="7">
        <v>6.8620443173695396</v>
      </c>
      <c r="I9" s="7">
        <v>15.39</v>
      </c>
      <c r="J9" s="7">
        <v>15.39</v>
      </c>
      <c r="K9" s="7">
        <v>14.85</v>
      </c>
      <c r="L9" s="7">
        <v>6.8620443173695396</v>
      </c>
    </row>
    <row r="10" spans="1:12" ht="15" customHeight="1" x14ac:dyDescent="0.2">
      <c r="A10" s="3">
        <v>46038</v>
      </c>
      <c r="B10" s="4">
        <v>15.39</v>
      </c>
      <c r="C10" s="5">
        <v>4195262</v>
      </c>
      <c r="D10" s="4">
        <v>-0.33</v>
      </c>
      <c r="E10" s="4">
        <v>-2.0992366412213599</v>
      </c>
      <c r="F10" s="4">
        <v>-2.0992366412213599</v>
      </c>
      <c r="G10" s="4">
        <v>15.39</v>
      </c>
      <c r="H10" s="4">
        <v>10.0071479628305</v>
      </c>
      <c r="I10" s="4">
        <v>15.69</v>
      </c>
      <c r="J10" s="4">
        <v>15.69</v>
      </c>
      <c r="K10" s="4">
        <v>15.03</v>
      </c>
      <c r="L10" s="4">
        <v>10.0071479628305</v>
      </c>
    </row>
    <row r="11" spans="1:12" ht="15" customHeight="1" x14ac:dyDescent="0.2">
      <c r="A11" s="6">
        <v>46037</v>
      </c>
      <c r="B11" s="7">
        <v>15.72</v>
      </c>
      <c r="C11" s="8">
        <v>1000755</v>
      </c>
      <c r="D11" s="7">
        <v>0.16</v>
      </c>
      <c r="E11" s="7">
        <v>1.02827763496144</v>
      </c>
      <c r="F11" s="7">
        <v>1.02827763496144</v>
      </c>
      <c r="G11" s="7">
        <v>15.72</v>
      </c>
      <c r="H11" s="7">
        <v>12.3659756969263</v>
      </c>
      <c r="I11" s="7">
        <v>15.5</v>
      </c>
      <c r="J11" s="7">
        <v>15.79</v>
      </c>
      <c r="K11" s="7">
        <v>15.43</v>
      </c>
      <c r="L11" s="7">
        <v>12.3659756969263</v>
      </c>
    </row>
    <row r="12" spans="1:12" ht="15" customHeight="1" x14ac:dyDescent="0.2">
      <c r="A12" s="3">
        <v>46036</v>
      </c>
      <c r="B12" s="4">
        <v>15.56</v>
      </c>
      <c r="C12" s="5">
        <v>3866702</v>
      </c>
      <c r="D12" s="4">
        <v>-0.74</v>
      </c>
      <c r="E12" s="4">
        <v>-4.5398773006134903</v>
      </c>
      <c r="F12" s="4">
        <v>-4.5398773006134903</v>
      </c>
      <c r="G12" s="4">
        <v>15.56</v>
      </c>
      <c r="H12" s="4">
        <v>11.222301644031401</v>
      </c>
      <c r="I12" s="4">
        <v>16.38</v>
      </c>
      <c r="J12" s="4">
        <v>16.38</v>
      </c>
      <c r="K12" s="4">
        <v>15.52</v>
      </c>
      <c r="L12" s="4">
        <v>11.222301644031401</v>
      </c>
    </row>
    <row r="13" spans="1:12" ht="15" customHeight="1" x14ac:dyDescent="0.2">
      <c r="A13" s="6">
        <v>46035</v>
      </c>
      <c r="B13" s="7">
        <v>16.3</v>
      </c>
      <c r="C13" s="8">
        <v>785262</v>
      </c>
      <c r="D13" s="7">
        <v>-0.25</v>
      </c>
      <c r="E13" s="7">
        <v>-1.5105740181268801</v>
      </c>
      <c r="F13" s="7">
        <v>-1.5105740181268801</v>
      </c>
      <c r="G13" s="7">
        <v>16.3</v>
      </c>
      <c r="H13" s="7">
        <v>16.5117941386704</v>
      </c>
      <c r="I13" s="7">
        <v>16.46</v>
      </c>
      <c r="J13" s="7">
        <v>16.66</v>
      </c>
      <c r="K13" s="7">
        <v>16.22</v>
      </c>
      <c r="L13" s="7">
        <v>16.5117941386704</v>
      </c>
    </row>
    <row r="14" spans="1:12" ht="15" customHeight="1" x14ac:dyDescent="0.2">
      <c r="A14" s="3">
        <v>46034</v>
      </c>
      <c r="B14" s="4">
        <v>16.55</v>
      </c>
      <c r="C14" s="5">
        <v>1484021</v>
      </c>
      <c r="D14" s="4">
        <v>-0.39</v>
      </c>
      <c r="E14" s="4">
        <v>-2.3022432113341198</v>
      </c>
      <c r="F14" s="4">
        <v>-2.3022432113341198</v>
      </c>
      <c r="G14" s="4">
        <v>16.55</v>
      </c>
      <c r="H14" s="4">
        <v>18.298784846318799</v>
      </c>
      <c r="I14" s="4">
        <v>16.850000000000001</v>
      </c>
      <c r="J14" s="4">
        <v>17.059999999999999</v>
      </c>
      <c r="K14" s="4">
        <v>16.47</v>
      </c>
      <c r="L14" s="4">
        <v>18.298784846318799</v>
      </c>
    </row>
    <row r="15" spans="1:12" ht="15" customHeight="1" x14ac:dyDescent="0.2">
      <c r="A15" s="6">
        <v>46031</v>
      </c>
      <c r="B15" s="7">
        <v>16.940000000000001</v>
      </c>
      <c r="C15" s="8">
        <v>2297338</v>
      </c>
      <c r="D15" s="7"/>
      <c r="E15" s="7"/>
      <c r="F15" s="7"/>
      <c r="G15" s="7">
        <v>16.940000000000001</v>
      </c>
      <c r="H15" s="7">
        <v>21.086490350250099</v>
      </c>
      <c r="I15" s="7">
        <v>17.02</v>
      </c>
      <c r="J15" s="7">
        <v>17.2</v>
      </c>
      <c r="K15" s="7">
        <v>16.62</v>
      </c>
      <c r="L15" s="7">
        <v>21.086490350250099</v>
      </c>
    </row>
    <row r="16" spans="1:12" ht="15" customHeight="1" x14ac:dyDescent="0.2">
      <c r="A16" s="3">
        <v>46030</v>
      </c>
      <c r="B16" s="4">
        <v>16.940000000000001</v>
      </c>
      <c r="C16" s="5">
        <v>8283375</v>
      </c>
      <c r="D16" s="4">
        <v>0.26000000000000101</v>
      </c>
      <c r="E16" s="4">
        <v>1.5587529976019301</v>
      </c>
      <c r="F16" s="4">
        <v>1.5587529976019301</v>
      </c>
      <c r="G16" s="4">
        <v>16.940000000000001</v>
      </c>
      <c r="H16" s="4">
        <v>21.086490350250099</v>
      </c>
      <c r="I16" s="4">
        <v>16.59</v>
      </c>
      <c r="J16" s="4">
        <v>17.05</v>
      </c>
      <c r="K16" s="4">
        <v>16.47</v>
      </c>
      <c r="L16" s="4">
        <v>21.086490350250099</v>
      </c>
    </row>
    <row r="17" spans="1:12" ht="15" customHeight="1" x14ac:dyDescent="0.2">
      <c r="A17" s="6">
        <v>46029</v>
      </c>
      <c r="B17" s="7">
        <v>16.68</v>
      </c>
      <c r="C17" s="8">
        <v>2189246</v>
      </c>
      <c r="D17" s="7">
        <v>7.0000000000000201E-2</v>
      </c>
      <c r="E17" s="7">
        <v>0.42143287176399302</v>
      </c>
      <c r="F17" s="7">
        <v>0.42143287176399302</v>
      </c>
      <c r="G17" s="7">
        <v>16.68</v>
      </c>
      <c r="H17" s="7">
        <v>19.2280200142959</v>
      </c>
      <c r="I17" s="7">
        <v>16.54</v>
      </c>
      <c r="J17" s="7">
        <v>16.739999999999998</v>
      </c>
      <c r="K17" s="7">
        <v>16.059999999999999</v>
      </c>
      <c r="L17" s="7">
        <v>19.2280200142959</v>
      </c>
    </row>
    <row r="18" spans="1:12" ht="15" customHeight="1" x14ac:dyDescent="0.2">
      <c r="A18" s="3">
        <v>46028</v>
      </c>
      <c r="B18" s="4">
        <v>16.61</v>
      </c>
      <c r="C18" s="5">
        <v>2702281</v>
      </c>
      <c r="D18" s="4">
        <v>-0.12000000000000099</v>
      </c>
      <c r="E18" s="4">
        <v>-0.71727435744173196</v>
      </c>
      <c r="F18" s="4">
        <v>-0.71727435744173196</v>
      </c>
      <c r="G18" s="4">
        <v>16.61</v>
      </c>
      <c r="H18" s="4">
        <v>18.727662616154301</v>
      </c>
      <c r="I18" s="4">
        <v>16.64</v>
      </c>
      <c r="J18" s="4">
        <v>16.670000000000002</v>
      </c>
      <c r="K18" s="4">
        <v>16.09</v>
      </c>
      <c r="L18" s="4">
        <v>18.727662616154301</v>
      </c>
    </row>
    <row r="19" spans="1:12" ht="15" customHeight="1" x14ac:dyDescent="0.2">
      <c r="A19" s="6">
        <v>46027</v>
      </c>
      <c r="B19" s="7">
        <v>16.73</v>
      </c>
      <c r="C19" s="8">
        <v>2542355</v>
      </c>
      <c r="D19" s="7">
        <v>0.41</v>
      </c>
      <c r="E19" s="7">
        <v>2.5122549019607798</v>
      </c>
      <c r="F19" s="7">
        <v>2.5122549019607798</v>
      </c>
      <c r="G19" s="7">
        <v>16.73</v>
      </c>
      <c r="H19" s="7">
        <v>19.585418155825501</v>
      </c>
      <c r="I19" s="7">
        <v>16.3</v>
      </c>
      <c r="J19" s="7">
        <v>16.850000000000001</v>
      </c>
      <c r="K19" s="7">
        <v>16.29</v>
      </c>
      <c r="L19" s="7">
        <v>19.585418155825501</v>
      </c>
    </row>
    <row r="20" spans="1:12" ht="15" customHeight="1" x14ac:dyDescent="0.2">
      <c r="A20" s="3">
        <v>46024</v>
      </c>
      <c r="B20" s="4">
        <v>16.32</v>
      </c>
      <c r="C20" s="5">
        <v>1353225</v>
      </c>
      <c r="D20" s="4">
        <v>0.33999999999999903</v>
      </c>
      <c r="E20" s="4">
        <v>2.12765957446807</v>
      </c>
      <c r="F20" s="4">
        <v>2.12765957446807</v>
      </c>
      <c r="G20" s="4">
        <v>16.32</v>
      </c>
      <c r="H20" s="4">
        <v>16.654753395282299</v>
      </c>
      <c r="I20" s="4">
        <v>16.05</v>
      </c>
      <c r="J20" s="4">
        <v>16.59</v>
      </c>
      <c r="K20" s="4">
        <v>16.04</v>
      </c>
      <c r="L20" s="4">
        <v>16.654753395282299</v>
      </c>
    </row>
    <row r="21" spans="1:12" ht="15" customHeight="1" x14ac:dyDescent="0.2">
      <c r="A21" s="6">
        <v>46022</v>
      </c>
      <c r="B21" s="7">
        <v>15.98</v>
      </c>
      <c r="C21" s="8">
        <v>519361</v>
      </c>
      <c r="D21" s="7"/>
      <c r="E21" s="7"/>
      <c r="F21" s="7"/>
      <c r="G21" s="7">
        <v>15.98</v>
      </c>
      <c r="H21" s="7">
        <v>14.2244460328806</v>
      </c>
      <c r="I21" s="7">
        <v>15.9</v>
      </c>
      <c r="J21" s="7">
        <v>16.190000000000001</v>
      </c>
      <c r="K21" s="7">
        <v>15.81</v>
      </c>
      <c r="L21" s="7">
        <v>14.2244460328806</v>
      </c>
    </row>
    <row r="22" spans="1:12" ht="15" customHeight="1" x14ac:dyDescent="0.2">
      <c r="A22" s="3">
        <v>46021</v>
      </c>
      <c r="B22" s="4">
        <v>15.98</v>
      </c>
      <c r="C22" s="5">
        <v>428946</v>
      </c>
      <c r="D22" s="4">
        <v>-0.190000000000001</v>
      </c>
      <c r="E22" s="4">
        <v>-1.17501546072975</v>
      </c>
      <c r="F22" s="4">
        <v>-1.17501546072975</v>
      </c>
      <c r="G22" s="4">
        <v>15.98</v>
      </c>
      <c r="H22" s="4">
        <v>14.2244460328806</v>
      </c>
      <c r="I22" s="4">
        <v>16.079999999999998</v>
      </c>
      <c r="J22" s="4">
        <v>16.16</v>
      </c>
      <c r="K22" s="4">
        <v>15.86</v>
      </c>
      <c r="L22" s="4">
        <v>14.2244460328806</v>
      </c>
    </row>
    <row r="23" spans="1:12" ht="15" customHeight="1" x14ac:dyDescent="0.2">
      <c r="A23" s="6">
        <v>46020</v>
      </c>
      <c r="B23" s="7">
        <v>16.170000000000002</v>
      </c>
      <c r="C23" s="8">
        <v>541128</v>
      </c>
      <c r="D23" s="7">
        <v>-0.40999999999999598</v>
      </c>
      <c r="E23" s="7">
        <v>-2.4728588661037199</v>
      </c>
      <c r="F23" s="7">
        <v>-2.4728588661037199</v>
      </c>
      <c r="G23" s="7">
        <v>16.170000000000002</v>
      </c>
      <c r="H23" s="7">
        <v>15.582558970693301</v>
      </c>
      <c r="I23" s="7">
        <v>16.66</v>
      </c>
      <c r="J23" s="7">
        <v>16.66</v>
      </c>
      <c r="K23" s="7">
        <v>16.11</v>
      </c>
      <c r="L23" s="7">
        <v>15.582558970693301</v>
      </c>
    </row>
    <row r="24" spans="1:12" ht="15" customHeight="1" x14ac:dyDescent="0.2">
      <c r="A24" s="3">
        <v>46017</v>
      </c>
      <c r="B24" s="4">
        <v>16.579999999999998</v>
      </c>
      <c r="C24" s="5">
        <v>602011</v>
      </c>
      <c r="D24" s="4">
        <v>-0.25</v>
      </c>
      <c r="E24" s="4">
        <v>-1.4854426619132499</v>
      </c>
      <c r="F24" s="4">
        <v>-1.4854426619132499</v>
      </c>
      <c r="G24" s="4">
        <v>16.579999999999998</v>
      </c>
      <c r="H24" s="4">
        <v>18.513223731236501</v>
      </c>
      <c r="I24" s="4">
        <v>16.78</v>
      </c>
      <c r="J24" s="4">
        <v>16.78</v>
      </c>
      <c r="K24" s="4">
        <v>16.489999999999998</v>
      </c>
      <c r="L24" s="4">
        <v>18.513223731236501</v>
      </c>
    </row>
    <row r="25" spans="1:12" ht="15" customHeight="1" x14ac:dyDescent="0.2">
      <c r="A25" s="6">
        <v>46015</v>
      </c>
      <c r="B25" s="7">
        <v>16.829999999999998</v>
      </c>
      <c r="C25" s="8">
        <v>782234</v>
      </c>
      <c r="D25" s="7">
        <v>0.26999999999999902</v>
      </c>
      <c r="E25" s="7">
        <v>1.63043478260869</v>
      </c>
      <c r="F25" s="7">
        <v>1.63043478260869</v>
      </c>
      <c r="G25" s="7">
        <v>16.829999999999998</v>
      </c>
      <c r="H25" s="7">
        <v>20.3002144388849</v>
      </c>
      <c r="I25" s="7">
        <v>16.45</v>
      </c>
      <c r="J25" s="7">
        <v>16.899999999999999</v>
      </c>
      <c r="K25" s="7">
        <v>16.350000000000001</v>
      </c>
      <c r="L25" s="7">
        <v>20.3002144388849</v>
      </c>
    </row>
    <row r="26" spans="1:12" ht="15" customHeight="1" x14ac:dyDescent="0.2">
      <c r="A26" s="3">
        <v>46014</v>
      </c>
      <c r="B26" s="4">
        <v>16.559999999999999</v>
      </c>
      <c r="C26" s="5">
        <v>2307471</v>
      </c>
      <c r="D26" s="4">
        <v>-0.41</v>
      </c>
      <c r="E26" s="4">
        <v>-2.4160282852091899</v>
      </c>
      <c r="F26" s="4">
        <v>-2.4160282852091899</v>
      </c>
      <c r="G26" s="4">
        <v>16.559999999999999</v>
      </c>
      <c r="H26" s="4">
        <v>18.370264474624701</v>
      </c>
      <c r="I26" s="4">
        <v>16.88</v>
      </c>
      <c r="J26" s="4">
        <v>16.96</v>
      </c>
      <c r="K26" s="4">
        <v>16.34</v>
      </c>
      <c r="L26" s="4">
        <v>18.370264474624701</v>
      </c>
    </row>
    <row r="27" spans="1:12" ht="15" customHeight="1" x14ac:dyDescent="0.2">
      <c r="A27" s="6">
        <v>46013</v>
      </c>
      <c r="B27" s="7">
        <v>16.97</v>
      </c>
      <c r="C27" s="8">
        <v>6968146</v>
      </c>
      <c r="D27" s="7">
        <v>-1.9999999999999501E-2</v>
      </c>
      <c r="E27" s="7">
        <v>-0.11771630370805899</v>
      </c>
      <c r="F27" s="7">
        <v>-0.11771630370805899</v>
      </c>
      <c r="G27" s="7">
        <v>16.97</v>
      </c>
      <c r="H27" s="7">
        <v>21.300929235167899</v>
      </c>
      <c r="I27" s="7">
        <v>17.07</v>
      </c>
      <c r="J27" s="7">
        <v>17.23</v>
      </c>
      <c r="K27" s="7">
        <v>15.89</v>
      </c>
      <c r="L27" s="7">
        <v>21.300929235167899</v>
      </c>
    </row>
    <row r="28" spans="1:12" ht="15" customHeight="1" x14ac:dyDescent="0.2">
      <c r="A28" s="3">
        <v>46010</v>
      </c>
      <c r="B28" s="4">
        <v>16.989999999999998</v>
      </c>
      <c r="C28" s="5">
        <v>8995007</v>
      </c>
      <c r="D28" s="4">
        <v>2.0999999999999899</v>
      </c>
      <c r="E28" s="4">
        <v>14.1034251175285</v>
      </c>
      <c r="F28" s="4">
        <v>14.1034251175285</v>
      </c>
      <c r="G28" s="4">
        <v>16.989999999999998</v>
      </c>
      <c r="H28" s="4">
        <v>21.443888491779798</v>
      </c>
      <c r="I28" s="4">
        <v>15.9</v>
      </c>
      <c r="J28" s="4">
        <v>18</v>
      </c>
      <c r="K28" s="4">
        <v>15.82</v>
      </c>
      <c r="L28" s="4">
        <v>21.443888491779798</v>
      </c>
    </row>
    <row r="29" spans="1:12" ht="15" customHeight="1" x14ac:dyDescent="0.2">
      <c r="A29" s="6">
        <v>46009</v>
      </c>
      <c r="B29" s="7">
        <v>14.89</v>
      </c>
      <c r="C29" s="8">
        <v>3109717</v>
      </c>
      <c r="D29" s="7">
        <v>0.73</v>
      </c>
      <c r="E29" s="7">
        <v>5.1553672316384302</v>
      </c>
      <c r="F29" s="7">
        <v>5.1553672316384302</v>
      </c>
      <c r="G29" s="7">
        <v>14.89</v>
      </c>
      <c r="H29" s="7">
        <v>6.4331665475339497</v>
      </c>
      <c r="I29" s="7">
        <v>14.23</v>
      </c>
      <c r="J29" s="7">
        <v>15.01</v>
      </c>
      <c r="K29" s="7">
        <v>14.21</v>
      </c>
      <c r="L29" s="7">
        <v>6.4331665475339497</v>
      </c>
    </row>
    <row r="30" spans="1:12" ht="15" customHeight="1" x14ac:dyDescent="0.2">
      <c r="A30" s="3">
        <v>46008</v>
      </c>
      <c r="B30" s="4">
        <v>14.16</v>
      </c>
      <c r="C30" s="5">
        <v>961513</v>
      </c>
      <c r="D30" s="4">
        <v>0.25999999999999901</v>
      </c>
      <c r="E30" s="4">
        <v>1.8705035971223001</v>
      </c>
      <c r="F30" s="4">
        <v>1.8705035971223001</v>
      </c>
      <c r="G30" s="4">
        <v>14.16</v>
      </c>
      <c r="H30" s="4">
        <v>1.2151536812008501</v>
      </c>
      <c r="I30" s="4">
        <v>13.83</v>
      </c>
      <c r="J30" s="4">
        <v>14.26</v>
      </c>
      <c r="K30" s="4">
        <v>13.83</v>
      </c>
      <c r="L30" s="4">
        <v>1.2151536812008501</v>
      </c>
    </row>
    <row r="31" spans="1:12" ht="15" customHeight="1" x14ac:dyDescent="0.2">
      <c r="A31" s="6">
        <v>46007</v>
      </c>
      <c r="B31" s="7">
        <v>13.9</v>
      </c>
      <c r="C31" s="8">
        <v>1081646</v>
      </c>
      <c r="D31" s="7">
        <v>-9.9999999999997799E-3</v>
      </c>
      <c r="E31" s="7">
        <v>-7.1890726096335206E-2</v>
      </c>
      <c r="F31" s="7">
        <v>-7.1890726096335206E-2</v>
      </c>
      <c r="G31" s="7">
        <v>13.9</v>
      </c>
      <c r="H31" s="7">
        <v>-0.64331665475339395</v>
      </c>
      <c r="I31" s="7">
        <v>13.92</v>
      </c>
      <c r="J31" s="7">
        <v>14</v>
      </c>
      <c r="K31" s="7">
        <v>13.76</v>
      </c>
      <c r="L31" s="7">
        <v>-0.64331665475339395</v>
      </c>
    </row>
    <row r="32" spans="1:12" ht="15" customHeight="1" x14ac:dyDescent="0.2">
      <c r="A32" s="3">
        <v>46006</v>
      </c>
      <c r="B32" s="4">
        <v>13.91</v>
      </c>
      <c r="C32" s="5">
        <v>842927</v>
      </c>
      <c r="D32" s="4">
        <v>-0.16999999999999901</v>
      </c>
      <c r="E32" s="4">
        <v>-1.20738636363636</v>
      </c>
      <c r="F32" s="4">
        <v>-1.20738636363636</v>
      </c>
      <c r="G32" s="4">
        <v>13.91</v>
      </c>
      <c r="H32" s="4">
        <v>-0.57183702644746204</v>
      </c>
      <c r="I32" s="4">
        <v>14</v>
      </c>
      <c r="J32" s="4">
        <v>14.34</v>
      </c>
      <c r="K32" s="4">
        <v>13.75</v>
      </c>
      <c r="L32" s="4">
        <v>-0.57183702644746204</v>
      </c>
    </row>
    <row r="33" spans="1:12" ht="15" customHeight="1" x14ac:dyDescent="0.2">
      <c r="A33" s="6">
        <v>46002</v>
      </c>
      <c r="B33" s="7">
        <v>14.08</v>
      </c>
      <c r="C33" s="8">
        <v>1047883</v>
      </c>
      <c r="D33" s="7">
        <v>0.34999999999999898</v>
      </c>
      <c r="E33" s="7">
        <v>2.54916241806264</v>
      </c>
      <c r="F33" s="7">
        <v>2.54916241806264</v>
      </c>
      <c r="G33" s="7">
        <v>14.08</v>
      </c>
      <c r="H33" s="7">
        <v>0.64331665475339395</v>
      </c>
      <c r="I33" s="7">
        <v>13.79</v>
      </c>
      <c r="J33" s="7">
        <v>14.27</v>
      </c>
      <c r="K33" s="7">
        <v>13.66</v>
      </c>
      <c r="L33" s="7">
        <v>0.64331665475339395</v>
      </c>
    </row>
    <row r="34" spans="1:12" ht="15" customHeight="1" x14ac:dyDescent="0.2">
      <c r="A34" s="3">
        <v>46001</v>
      </c>
      <c r="B34" s="4">
        <v>13.73</v>
      </c>
      <c r="C34" s="5">
        <v>1385555</v>
      </c>
      <c r="D34" s="4">
        <v>-0.119999999999999</v>
      </c>
      <c r="E34" s="4">
        <v>-0.86642599277977295</v>
      </c>
      <c r="F34" s="4">
        <v>-0.86642599277977295</v>
      </c>
      <c r="G34" s="4">
        <v>13.73</v>
      </c>
      <c r="H34" s="4">
        <v>-1.85847033595425</v>
      </c>
      <c r="I34" s="4">
        <v>13.85</v>
      </c>
      <c r="J34" s="4">
        <v>13.89</v>
      </c>
      <c r="K34" s="4">
        <v>13.55</v>
      </c>
      <c r="L34" s="4">
        <v>-1.85847033595425</v>
      </c>
    </row>
    <row r="35" spans="1:12" ht="15" customHeight="1" x14ac:dyDescent="0.2">
      <c r="A35" s="6">
        <v>46000</v>
      </c>
      <c r="B35" s="7">
        <v>13.85</v>
      </c>
      <c r="C35" s="8">
        <v>1157780</v>
      </c>
      <c r="D35" s="7">
        <v>0.35999999999999899</v>
      </c>
      <c r="E35" s="7">
        <v>2.6686434395848799</v>
      </c>
      <c r="F35" s="7">
        <v>2.6686434395848799</v>
      </c>
      <c r="G35" s="7">
        <v>13.85</v>
      </c>
      <c r="H35" s="7">
        <v>-1.00071479628306</v>
      </c>
      <c r="I35" s="7">
        <v>13.45</v>
      </c>
      <c r="J35" s="7">
        <v>13.99</v>
      </c>
      <c r="K35" s="7">
        <v>13.32</v>
      </c>
      <c r="L35" s="7">
        <v>-1.00071479628306</v>
      </c>
    </row>
    <row r="36" spans="1:12" ht="15" customHeight="1" x14ac:dyDescent="0.2">
      <c r="A36" s="3">
        <v>45999</v>
      </c>
      <c r="B36" s="4">
        <v>13.49</v>
      </c>
      <c r="C36" s="5">
        <v>984981</v>
      </c>
      <c r="D36" s="4">
        <v>-0.25</v>
      </c>
      <c r="E36" s="4">
        <v>-1.8195050946142599</v>
      </c>
      <c r="F36" s="4">
        <v>-1.8195050946142599</v>
      </c>
      <c r="G36" s="4">
        <v>13.49</v>
      </c>
      <c r="H36" s="4">
        <v>-3.57398141529664</v>
      </c>
      <c r="I36" s="4">
        <v>13.8</v>
      </c>
      <c r="J36" s="4">
        <v>13.8</v>
      </c>
      <c r="K36" s="4">
        <v>13.37</v>
      </c>
      <c r="L36" s="4">
        <v>-3.57398141529664</v>
      </c>
    </row>
    <row r="37" spans="1:12" ht="15" customHeight="1" x14ac:dyDescent="0.2">
      <c r="A37" s="6">
        <v>45996</v>
      </c>
      <c r="B37" s="7">
        <v>13.74</v>
      </c>
      <c r="C37" s="8">
        <v>948985</v>
      </c>
      <c r="D37" s="7">
        <v>-0.53999999999999904</v>
      </c>
      <c r="E37" s="7">
        <v>-3.78151260504201</v>
      </c>
      <c r="F37" s="7">
        <v>-3.78151260504201</v>
      </c>
      <c r="G37" s="7">
        <v>13.74</v>
      </c>
      <c r="H37" s="7">
        <v>-1.78699070764832</v>
      </c>
      <c r="I37" s="7">
        <v>14.37</v>
      </c>
      <c r="J37" s="7">
        <v>14.37</v>
      </c>
      <c r="K37" s="7">
        <v>13.5</v>
      </c>
      <c r="L37" s="7">
        <v>-1.78699070764832</v>
      </c>
    </row>
    <row r="38" spans="1:12" ht="15" customHeight="1" x14ac:dyDescent="0.2">
      <c r="A38" s="3">
        <v>45995</v>
      </c>
      <c r="B38" s="4">
        <v>14.28</v>
      </c>
      <c r="C38" s="5">
        <v>1333697</v>
      </c>
      <c r="D38" s="4">
        <v>-0.16</v>
      </c>
      <c r="E38" s="4">
        <v>-1.10803324099723</v>
      </c>
      <c r="F38" s="4">
        <v>-1.10803324099723</v>
      </c>
      <c r="G38" s="4">
        <v>14.28</v>
      </c>
      <c r="H38" s="4">
        <v>2.0729092208720399</v>
      </c>
      <c r="I38" s="4">
        <v>14.4</v>
      </c>
      <c r="J38" s="4">
        <v>14.57</v>
      </c>
      <c r="K38" s="4">
        <v>14.16</v>
      </c>
      <c r="L38" s="4">
        <v>2.0729092208720399</v>
      </c>
    </row>
    <row r="39" spans="1:12" ht="15" customHeight="1" x14ac:dyDescent="0.2">
      <c r="A39" s="6">
        <v>45994</v>
      </c>
      <c r="B39" s="7">
        <v>14.44</v>
      </c>
      <c r="C39" s="8">
        <v>2053704</v>
      </c>
      <c r="D39" s="7">
        <v>0.45999999999999902</v>
      </c>
      <c r="E39" s="7">
        <v>3.2904148783976899</v>
      </c>
      <c r="F39" s="7">
        <v>3.2904148783976899</v>
      </c>
      <c r="G39" s="7">
        <v>14.44</v>
      </c>
      <c r="H39" s="7">
        <v>3.21658327376697</v>
      </c>
      <c r="I39" s="7">
        <v>14.03</v>
      </c>
      <c r="J39" s="7">
        <v>14.57</v>
      </c>
      <c r="K39" s="7">
        <v>13.98</v>
      </c>
      <c r="L39" s="7">
        <v>3.21658327376697</v>
      </c>
    </row>
    <row r="40" spans="1:12" ht="15" customHeight="1" x14ac:dyDescent="0.2">
      <c r="A40" s="3">
        <v>45993</v>
      </c>
      <c r="B40" s="4">
        <v>13.98</v>
      </c>
      <c r="C40" s="5">
        <v>4980637</v>
      </c>
      <c r="D40" s="4">
        <v>0.56000000000000005</v>
      </c>
      <c r="E40" s="4">
        <v>4.1728763040238501</v>
      </c>
      <c r="F40" s="4">
        <v>4.1728763040238501</v>
      </c>
      <c r="G40" s="4">
        <v>13.98</v>
      </c>
      <c r="H40" s="4">
        <v>-7.14796283059312E-2</v>
      </c>
      <c r="I40" s="4">
        <v>13.43</v>
      </c>
      <c r="J40" s="4">
        <v>14</v>
      </c>
      <c r="K40" s="4">
        <v>13.43</v>
      </c>
      <c r="L40" s="4">
        <v>-7.14796283059312E-2</v>
      </c>
    </row>
    <row r="41" spans="1:12" ht="15" customHeight="1" x14ac:dyDescent="0.2">
      <c r="A41" s="6">
        <v>45992</v>
      </c>
      <c r="B41" s="7">
        <v>13.42</v>
      </c>
      <c r="C41" s="8">
        <v>2702840</v>
      </c>
      <c r="D41" s="7">
        <v>0.17999999999999899</v>
      </c>
      <c r="E41" s="7">
        <v>1.3595166163141901</v>
      </c>
      <c r="F41" s="7">
        <v>1.3595166163141901</v>
      </c>
      <c r="G41" s="7">
        <v>13.42</v>
      </c>
      <c r="H41" s="7">
        <v>-4.0743388134381702</v>
      </c>
      <c r="I41" s="7">
        <v>13.11</v>
      </c>
      <c r="J41" s="7">
        <v>13.46</v>
      </c>
      <c r="K41" s="7">
        <v>12.92</v>
      </c>
      <c r="L41" s="7">
        <v>-4.0743388134381702</v>
      </c>
    </row>
    <row r="42" spans="1:12" ht="15" customHeight="1" x14ac:dyDescent="0.2">
      <c r="A42" s="3">
        <v>45989</v>
      </c>
      <c r="B42" s="4">
        <v>13.24</v>
      </c>
      <c r="C42" s="5">
        <v>558095</v>
      </c>
      <c r="D42" s="4">
        <v>0.12000000000000099</v>
      </c>
      <c r="E42" s="4">
        <v>0.914634146341475</v>
      </c>
      <c r="F42" s="4">
        <v>0.914634146341475</v>
      </c>
      <c r="G42" s="4">
        <v>13.24</v>
      </c>
      <c r="H42" s="4">
        <v>-5.3609721229449603</v>
      </c>
      <c r="I42" s="4">
        <v>13.09</v>
      </c>
      <c r="J42" s="4">
        <v>13.36</v>
      </c>
      <c r="K42" s="4">
        <v>13.09</v>
      </c>
      <c r="L42" s="4">
        <v>-5.3609721229449603</v>
      </c>
    </row>
    <row r="43" spans="1:12" ht="15" customHeight="1" x14ac:dyDescent="0.2">
      <c r="A43" s="6">
        <v>45988</v>
      </c>
      <c r="B43" s="7">
        <v>13.12</v>
      </c>
      <c r="C43" s="8">
        <v>321750</v>
      </c>
      <c r="D43" s="7">
        <v>-7.0000000000000201E-2</v>
      </c>
      <c r="E43" s="7">
        <v>-0.53070507960576396</v>
      </c>
      <c r="F43" s="7">
        <v>-0.53070507960576396</v>
      </c>
      <c r="G43" s="7">
        <v>13.12</v>
      </c>
      <c r="H43" s="7">
        <v>-6.2187276626161596</v>
      </c>
      <c r="I43" s="7">
        <v>13.12</v>
      </c>
      <c r="J43" s="7">
        <v>13.25</v>
      </c>
      <c r="K43" s="7">
        <v>13.09</v>
      </c>
      <c r="L43" s="7">
        <v>-6.2187276626161596</v>
      </c>
    </row>
    <row r="44" spans="1:12" ht="15" customHeight="1" x14ac:dyDescent="0.2">
      <c r="A44" s="3">
        <v>45987</v>
      </c>
      <c r="B44" s="4">
        <v>13.19</v>
      </c>
      <c r="C44" s="5">
        <v>1972007</v>
      </c>
      <c r="D44" s="4">
        <v>0.41999999999999899</v>
      </c>
      <c r="E44" s="4">
        <v>3.2889584964761198</v>
      </c>
      <c r="F44" s="4">
        <v>3.2889584964761198</v>
      </c>
      <c r="G44" s="4">
        <v>13.19</v>
      </c>
      <c r="H44" s="4">
        <v>-5.7183702644746299</v>
      </c>
      <c r="I44" s="4">
        <v>12.73</v>
      </c>
      <c r="J44" s="4">
        <v>13.3</v>
      </c>
      <c r="K44" s="4">
        <v>12.67</v>
      </c>
      <c r="L44" s="4">
        <v>-5.7183702644746299</v>
      </c>
    </row>
    <row r="45" spans="1:12" ht="15" customHeight="1" x14ac:dyDescent="0.2">
      <c r="A45" s="6">
        <v>45986</v>
      </c>
      <c r="B45" s="7">
        <v>12.77</v>
      </c>
      <c r="C45" s="8">
        <v>2779160</v>
      </c>
      <c r="D45" s="7">
        <v>1.0899999999999901</v>
      </c>
      <c r="E45" s="7">
        <v>9.3321917808219101</v>
      </c>
      <c r="F45" s="7">
        <v>9.3321917808219101</v>
      </c>
      <c r="G45" s="7">
        <v>12.77</v>
      </c>
      <c r="H45" s="7">
        <v>-8.7205146533238</v>
      </c>
      <c r="I45" s="7">
        <v>11.62</v>
      </c>
      <c r="J45" s="7">
        <v>12.9</v>
      </c>
      <c r="K45" s="7">
        <v>11.62</v>
      </c>
      <c r="L45" s="7">
        <v>-8.7205146533238</v>
      </c>
    </row>
    <row r="46" spans="1:12" ht="15" customHeight="1" x14ac:dyDescent="0.2">
      <c r="A46" s="3">
        <v>45985</v>
      </c>
      <c r="B46" s="4">
        <v>11.68</v>
      </c>
      <c r="C46" s="5">
        <v>6176015</v>
      </c>
      <c r="D46" s="4">
        <v>4.9999999999998899E-2</v>
      </c>
      <c r="E46" s="4">
        <v>0.42992261392948899</v>
      </c>
      <c r="F46" s="4">
        <v>0.42992261392948899</v>
      </c>
      <c r="G46" s="4">
        <v>11.68</v>
      </c>
      <c r="H46" s="4">
        <v>-16.5117941386704</v>
      </c>
      <c r="I46" s="4">
        <v>11.68</v>
      </c>
      <c r="J46" s="4">
        <v>11.97</v>
      </c>
      <c r="K46" s="4">
        <v>11.52</v>
      </c>
      <c r="L46" s="4">
        <v>-16.5117941386704</v>
      </c>
    </row>
    <row r="47" spans="1:12" ht="15" customHeight="1" x14ac:dyDescent="0.2">
      <c r="A47" s="6">
        <v>45982</v>
      </c>
      <c r="B47" s="7">
        <v>11.63</v>
      </c>
      <c r="C47" s="8">
        <v>2605604</v>
      </c>
      <c r="D47" s="7">
        <v>-2.9999999999999302E-2</v>
      </c>
      <c r="E47" s="7">
        <v>-0.25728987993138802</v>
      </c>
      <c r="F47" s="7">
        <v>-0.25728987993138802</v>
      </c>
      <c r="G47" s="7">
        <v>11.63</v>
      </c>
      <c r="H47" s="7">
        <v>-16.8691922802001</v>
      </c>
      <c r="I47" s="7">
        <v>11.67</v>
      </c>
      <c r="J47" s="7">
        <v>11.94</v>
      </c>
      <c r="K47" s="7">
        <v>11.59</v>
      </c>
      <c r="L47" s="7">
        <v>-16.8691922802001</v>
      </c>
    </row>
    <row r="48" spans="1:12" ht="15" customHeight="1" x14ac:dyDescent="0.2">
      <c r="A48" s="3">
        <v>45981</v>
      </c>
      <c r="B48" s="4">
        <v>11.66</v>
      </c>
      <c r="C48" s="5">
        <v>1185312</v>
      </c>
      <c r="D48" s="4">
        <v>-0.20999999999999899</v>
      </c>
      <c r="E48" s="4">
        <v>-1.76916596461667</v>
      </c>
      <c r="F48" s="4">
        <v>-1.76916596461667</v>
      </c>
      <c r="G48" s="4">
        <v>11.66</v>
      </c>
      <c r="H48" s="4">
        <v>-16.654753395282299</v>
      </c>
      <c r="I48" s="4">
        <v>12</v>
      </c>
      <c r="J48" s="4">
        <v>12.2</v>
      </c>
      <c r="K48" s="4">
        <v>11.61</v>
      </c>
      <c r="L48" s="4">
        <v>-16.654753395282299</v>
      </c>
    </row>
    <row r="49" spans="1:12" ht="15" customHeight="1" x14ac:dyDescent="0.2">
      <c r="A49" s="6">
        <v>45980</v>
      </c>
      <c r="B49" s="7">
        <v>11.87</v>
      </c>
      <c r="C49" s="8">
        <v>1664054</v>
      </c>
      <c r="D49" s="7">
        <v>0.219999999999998</v>
      </c>
      <c r="E49" s="7">
        <v>1.88841201716736</v>
      </c>
      <c r="F49" s="7">
        <v>1.88841201716736</v>
      </c>
      <c r="G49" s="7">
        <v>11.87</v>
      </c>
      <c r="H49" s="7">
        <v>-15.153681200857701</v>
      </c>
      <c r="I49" s="7">
        <v>11.7</v>
      </c>
      <c r="J49" s="7">
        <v>12.19</v>
      </c>
      <c r="K49" s="7">
        <v>11.6</v>
      </c>
      <c r="L49" s="7">
        <v>-15.153681200857701</v>
      </c>
    </row>
    <row r="50" spans="1:12" ht="15" customHeight="1" x14ac:dyDescent="0.2">
      <c r="A50" s="3">
        <v>45979</v>
      </c>
      <c r="B50" s="4">
        <v>11.65</v>
      </c>
      <c r="C50" s="5">
        <v>3013913</v>
      </c>
      <c r="D50" s="4">
        <v>-0.32</v>
      </c>
      <c r="E50" s="4">
        <v>-2.6733500417710898</v>
      </c>
      <c r="F50" s="4">
        <v>-2.6733500417710898</v>
      </c>
      <c r="G50" s="4">
        <v>11.65</v>
      </c>
      <c r="H50" s="4">
        <v>-16.7262330235882</v>
      </c>
      <c r="I50" s="4">
        <v>11.96</v>
      </c>
      <c r="J50" s="4">
        <v>11.96</v>
      </c>
      <c r="K50" s="4">
        <v>11.53</v>
      </c>
      <c r="L50" s="4">
        <v>-16.7262330235882</v>
      </c>
    </row>
    <row r="51" spans="1:12" ht="15" customHeight="1" x14ac:dyDescent="0.2">
      <c r="A51" s="6">
        <v>45975</v>
      </c>
      <c r="B51" s="7">
        <v>11.97</v>
      </c>
      <c r="C51" s="8">
        <v>1302181</v>
      </c>
      <c r="D51" s="7">
        <v>-0.16999999999999901</v>
      </c>
      <c r="E51" s="7">
        <v>-1.4003294892915901</v>
      </c>
      <c r="F51" s="7">
        <v>-1.4003294892915901</v>
      </c>
      <c r="G51" s="7">
        <v>11.97</v>
      </c>
      <c r="H51" s="7">
        <v>-14.438884917798401</v>
      </c>
      <c r="I51" s="7">
        <v>12.06</v>
      </c>
      <c r="J51" s="7">
        <v>12.29</v>
      </c>
      <c r="K51" s="7">
        <v>11.86</v>
      </c>
      <c r="L51" s="7">
        <v>-14.438884917798401</v>
      </c>
    </row>
    <row r="52" spans="1:12" ht="15" customHeight="1" x14ac:dyDescent="0.2">
      <c r="A52" s="3">
        <v>45974</v>
      </c>
      <c r="B52" s="4">
        <v>12.14</v>
      </c>
      <c r="C52" s="5">
        <v>1585028</v>
      </c>
      <c r="D52" s="4">
        <v>-0.25999999999999901</v>
      </c>
      <c r="E52" s="4">
        <v>-2.0967741935483799</v>
      </c>
      <c r="F52" s="4">
        <v>-2.0967741935483799</v>
      </c>
      <c r="G52" s="4">
        <v>12.14</v>
      </c>
      <c r="H52" s="4">
        <v>-13.2237312365975</v>
      </c>
      <c r="I52" s="4">
        <v>12.46</v>
      </c>
      <c r="J52" s="4">
        <v>12.54</v>
      </c>
      <c r="K52" s="4">
        <v>12.08</v>
      </c>
      <c r="L52" s="4">
        <v>-13.2237312365975</v>
      </c>
    </row>
    <row r="53" spans="1:12" ht="15" customHeight="1" x14ac:dyDescent="0.2">
      <c r="A53" s="6">
        <v>45973</v>
      </c>
      <c r="B53" s="7">
        <v>12.4</v>
      </c>
      <c r="C53" s="8">
        <v>2685239</v>
      </c>
      <c r="D53" s="7">
        <v>-1.9999999999999501E-2</v>
      </c>
      <c r="E53" s="7">
        <v>-0.161030595813205</v>
      </c>
      <c r="F53" s="7">
        <v>-0.161030595813205</v>
      </c>
      <c r="G53" s="7">
        <v>12.4</v>
      </c>
      <c r="H53" s="7">
        <v>-11.3652609006433</v>
      </c>
      <c r="I53" s="7">
        <v>12.35</v>
      </c>
      <c r="J53" s="7">
        <v>12.78</v>
      </c>
      <c r="K53" s="7">
        <v>12.34</v>
      </c>
      <c r="L53" s="7">
        <v>-11.3652609006433</v>
      </c>
    </row>
    <row r="54" spans="1:12" ht="15" customHeight="1" x14ac:dyDescent="0.2">
      <c r="A54" s="3">
        <v>45972</v>
      </c>
      <c r="B54" s="4">
        <v>12.42</v>
      </c>
      <c r="C54" s="5">
        <v>3217865</v>
      </c>
      <c r="D54" s="4">
        <v>0.32</v>
      </c>
      <c r="E54" s="4">
        <v>2.64462809917356</v>
      </c>
      <c r="F54" s="4">
        <v>2.64462809917356</v>
      </c>
      <c r="G54" s="4">
        <v>12.42</v>
      </c>
      <c r="H54" s="4">
        <v>-11.222301644031401</v>
      </c>
      <c r="I54" s="4">
        <v>12.16</v>
      </c>
      <c r="J54" s="4">
        <v>12.51</v>
      </c>
      <c r="K54" s="4">
        <v>12.05</v>
      </c>
      <c r="L54" s="4">
        <v>-11.222301644031401</v>
      </c>
    </row>
    <row r="55" spans="1:12" ht="15" customHeight="1" x14ac:dyDescent="0.2">
      <c r="A55" s="6">
        <v>45971</v>
      </c>
      <c r="B55" s="7">
        <v>12.1</v>
      </c>
      <c r="C55" s="8">
        <v>1635419</v>
      </c>
      <c r="D55" s="7">
        <v>-0.23</v>
      </c>
      <c r="E55" s="7">
        <v>-1.86536901865369</v>
      </c>
      <c r="F55" s="7">
        <v>-1.86536901865369</v>
      </c>
      <c r="G55" s="7">
        <v>12.1</v>
      </c>
      <c r="H55" s="7">
        <v>-13.5096497498213</v>
      </c>
      <c r="I55" s="7">
        <v>12.26</v>
      </c>
      <c r="J55" s="7">
        <v>12.56</v>
      </c>
      <c r="K55" s="7">
        <v>12.06</v>
      </c>
      <c r="L55" s="7">
        <v>-13.5096497498213</v>
      </c>
    </row>
    <row r="56" spans="1:12" ht="15" customHeight="1" x14ac:dyDescent="0.2">
      <c r="A56" s="3">
        <v>45968</v>
      </c>
      <c r="B56" s="4">
        <v>12.33</v>
      </c>
      <c r="C56" s="5">
        <v>1066974</v>
      </c>
      <c r="D56" s="4">
        <v>-0.189999999999999</v>
      </c>
      <c r="E56" s="4">
        <v>-1.5175718849840201</v>
      </c>
      <c r="F56" s="4">
        <v>-1.5175718849840201</v>
      </c>
      <c r="G56" s="4">
        <v>12.33</v>
      </c>
      <c r="H56" s="4">
        <v>-11.865618298784799</v>
      </c>
      <c r="I56" s="4">
        <v>12.52</v>
      </c>
      <c r="J56" s="4">
        <v>12.52</v>
      </c>
      <c r="K56" s="4">
        <v>12.18</v>
      </c>
      <c r="L56" s="4">
        <v>-11.865618298784799</v>
      </c>
    </row>
    <row r="57" spans="1:12" ht="15" customHeight="1" x14ac:dyDescent="0.2">
      <c r="A57" s="6">
        <v>45967</v>
      </c>
      <c r="B57" s="7">
        <v>12.52</v>
      </c>
      <c r="C57" s="8">
        <v>893856</v>
      </c>
      <c r="D57" s="7">
        <v>-8.9999999999999802E-2</v>
      </c>
      <c r="E57" s="7">
        <v>-0.71371927042029804</v>
      </c>
      <c r="F57" s="7">
        <v>-0.71371927042029804</v>
      </c>
      <c r="G57" s="7">
        <v>12.52</v>
      </c>
      <c r="H57" s="7">
        <v>-10.5075053609721</v>
      </c>
      <c r="I57" s="7">
        <v>12.57</v>
      </c>
      <c r="J57" s="7">
        <v>12.68</v>
      </c>
      <c r="K57" s="7">
        <v>12.4</v>
      </c>
      <c r="L57" s="7">
        <v>-10.5075053609721</v>
      </c>
    </row>
    <row r="58" spans="1:12" ht="15" customHeight="1" x14ac:dyDescent="0.2">
      <c r="A58" s="3">
        <v>45966</v>
      </c>
      <c r="B58" s="4">
        <v>12.61</v>
      </c>
      <c r="C58" s="5">
        <v>10677840</v>
      </c>
      <c r="D58" s="4">
        <v>0.55999999999999805</v>
      </c>
      <c r="E58" s="4">
        <v>4.64730290456429</v>
      </c>
      <c r="F58" s="4">
        <v>4.64730290456429</v>
      </c>
      <c r="G58" s="4">
        <v>12.61</v>
      </c>
      <c r="H58" s="4">
        <v>-9.8641887062187301</v>
      </c>
      <c r="I58" s="4">
        <v>12.11</v>
      </c>
      <c r="J58" s="4">
        <v>12.69</v>
      </c>
      <c r="K58" s="4">
        <v>12</v>
      </c>
      <c r="L58" s="4">
        <v>-9.8641887062187301</v>
      </c>
    </row>
    <row r="59" spans="1:12" ht="15" customHeight="1" x14ac:dyDescent="0.2">
      <c r="A59" s="6">
        <v>45965</v>
      </c>
      <c r="B59" s="7">
        <v>12.05</v>
      </c>
      <c r="C59" s="8">
        <v>1677117</v>
      </c>
      <c r="D59" s="7">
        <v>-9.9999999999999603E-2</v>
      </c>
      <c r="E59" s="7">
        <v>-0.82304526748970797</v>
      </c>
      <c r="F59" s="7">
        <v>-0.82304526748970797</v>
      </c>
      <c r="G59" s="7">
        <v>12.05</v>
      </c>
      <c r="H59" s="7">
        <v>-13.8670478913509</v>
      </c>
      <c r="I59" s="7">
        <v>12.17</v>
      </c>
      <c r="J59" s="7">
        <v>12.17</v>
      </c>
      <c r="K59" s="7">
        <v>11.85</v>
      </c>
      <c r="L59" s="7">
        <v>-13.8670478913509</v>
      </c>
    </row>
    <row r="60" spans="1:12" ht="15" customHeight="1" x14ac:dyDescent="0.2">
      <c r="A60" s="3">
        <v>45964</v>
      </c>
      <c r="B60" s="4">
        <v>12.15</v>
      </c>
      <c r="C60" s="5">
        <v>1276241</v>
      </c>
      <c r="D60" s="4">
        <v>-0.20999999999999899</v>
      </c>
      <c r="E60" s="4">
        <v>-1.6990291262135799</v>
      </c>
      <c r="F60" s="4">
        <v>-1.6990291262135799</v>
      </c>
      <c r="G60" s="4">
        <v>12.15</v>
      </c>
      <c r="H60" s="4">
        <v>-13.1522516082916</v>
      </c>
      <c r="I60" s="4">
        <v>12.37</v>
      </c>
      <c r="J60" s="4">
        <v>12.45</v>
      </c>
      <c r="K60" s="4">
        <v>12.01</v>
      </c>
      <c r="L60" s="4">
        <v>-13.1522516082916</v>
      </c>
    </row>
    <row r="61" spans="1:12" ht="15" customHeight="1" x14ac:dyDescent="0.2">
      <c r="A61" s="6">
        <v>45961</v>
      </c>
      <c r="B61" s="7">
        <v>12.36</v>
      </c>
      <c r="C61" s="8">
        <v>4560955</v>
      </c>
      <c r="D61" s="7">
        <v>0.41999999999999899</v>
      </c>
      <c r="E61" s="7">
        <v>3.5175879396984899</v>
      </c>
      <c r="F61" s="7">
        <v>3.5175879396984899</v>
      </c>
      <c r="G61" s="7">
        <v>12.36</v>
      </c>
      <c r="H61" s="7">
        <v>-11.651179413867</v>
      </c>
      <c r="I61" s="7">
        <v>11.99</v>
      </c>
      <c r="J61" s="7">
        <v>12.43</v>
      </c>
      <c r="K61" s="7">
        <v>11.87</v>
      </c>
      <c r="L61" s="7">
        <v>-11.651179413867</v>
      </c>
    </row>
    <row r="62" spans="1:12" ht="15" customHeight="1" x14ac:dyDescent="0.2">
      <c r="A62" s="3">
        <v>45960</v>
      </c>
      <c r="B62" s="4">
        <v>11.94</v>
      </c>
      <c r="C62" s="5">
        <v>1335046</v>
      </c>
      <c r="D62" s="4">
        <v>-5.0000000000000697E-2</v>
      </c>
      <c r="E62" s="4">
        <v>-0.417014178482078</v>
      </c>
      <c r="F62" s="4">
        <v>-0.417014178482078</v>
      </c>
      <c r="G62" s="4">
        <v>11.94</v>
      </c>
      <c r="H62" s="4">
        <v>-14.6533238027162</v>
      </c>
      <c r="I62" s="4">
        <v>12.04</v>
      </c>
      <c r="J62" s="4">
        <v>12.19</v>
      </c>
      <c r="K62" s="4">
        <v>11.81</v>
      </c>
      <c r="L62" s="4">
        <v>-14.6533238027162</v>
      </c>
    </row>
    <row r="63" spans="1:12" ht="15" customHeight="1" x14ac:dyDescent="0.2">
      <c r="A63" s="6">
        <v>45959</v>
      </c>
      <c r="B63" s="7">
        <v>11.99</v>
      </c>
      <c r="C63" s="8">
        <v>10530350</v>
      </c>
      <c r="D63" s="7">
        <v>-0.58999999999999897</v>
      </c>
      <c r="E63" s="7">
        <v>-4.6899841017488102</v>
      </c>
      <c r="F63" s="7">
        <v>-4.6899841017488102</v>
      </c>
      <c r="G63" s="7">
        <v>11.99</v>
      </c>
      <c r="H63" s="7">
        <v>-14.2959256611865</v>
      </c>
      <c r="I63" s="7">
        <v>12.48</v>
      </c>
      <c r="J63" s="7">
        <v>12.51</v>
      </c>
      <c r="K63" s="7">
        <v>11.66</v>
      </c>
      <c r="L63" s="7">
        <v>-14.2959256611865</v>
      </c>
    </row>
    <row r="64" spans="1:12" ht="15" customHeight="1" x14ac:dyDescent="0.2">
      <c r="A64" s="3">
        <v>45958</v>
      </c>
      <c r="B64" s="4">
        <v>12.58</v>
      </c>
      <c r="C64" s="5">
        <v>6898129</v>
      </c>
      <c r="D64" s="4">
        <v>-0.23</v>
      </c>
      <c r="E64" s="4">
        <v>-1.79547228727556</v>
      </c>
      <c r="F64" s="4">
        <v>-1.79547228727556</v>
      </c>
      <c r="G64" s="4">
        <v>12.58</v>
      </c>
      <c r="H64" s="4">
        <v>-10.078627591136501</v>
      </c>
      <c r="I64" s="4">
        <v>12.71</v>
      </c>
      <c r="J64" s="4">
        <v>13.72</v>
      </c>
      <c r="K64" s="4">
        <v>12.46</v>
      </c>
      <c r="L64" s="4">
        <v>-10.078627591136501</v>
      </c>
    </row>
    <row r="65" spans="1:12" ht="15" customHeight="1" x14ac:dyDescent="0.2">
      <c r="A65" s="6">
        <v>45957</v>
      </c>
      <c r="B65" s="7">
        <v>12.81</v>
      </c>
      <c r="C65" s="8">
        <v>1274737</v>
      </c>
      <c r="D65" s="7">
        <v>0.25999999999999901</v>
      </c>
      <c r="E65" s="7">
        <v>2.0717131474103399</v>
      </c>
      <c r="F65" s="7">
        <v>2.0717131474103399</v>
      </c>
      <c r="G65" s="7">
        <v>12.81</v>
      </c>
      <c r="H65" s="7">
        <v>-8.4345961401000693</v>
      </c>
      <c r="I65" s="7">
        <v>12.61</v>
      </c>
      <c r="J65" s="7">
        <v>12.92</v>
      </c>
      <c r="K65" s="7">
        <v>12.51</v>
      </c>
      <c r="L65" s="7">
        <v>-8.4345961401000693</v>
      </c>
    </row>
    <row r="66" spans="1:12" ht="15" customHeight="1" x14ac:dyDescent="0.2">
      <c r="A66" s="3">
        <v>45954</v>
      </c>
      <c r="B66" s="4">
        <v>12.55</v>
      </c>
      <c r="C66" s="5">
        <v>5632007</v>
      </c>
      <c r="D66" s="4">
        <v>-0.62999999999999901</v>
      </c>
      <c r="E66" s="4">
        <v>-4.7799696509863301</v>
      </c>
      <c r="F66" s="4">
        <v>-4.7799696509863301</v>
      </c>
      <c r="G66" s="4">
        <v>12.55</v>
      </c>
      <c r="H66" s="4">
        <v>-10.2930664760543</v>
      </c>
      <c r="I66" s="4">
        <v>13.16</v>
      </c>
      <c r="J66" s="4">
        <v>13.46</v>
      </c>
      <c r="K66" s="4">
        <v>12.49</v>
      </c>
      <c r="L66" s="4">
        <v>-10.2930664760543</v>
      </c>
    </row>
    <row r="67" spans="1:12" ht="15" customHeight="1" x14ac:dyDescent="0.2">
      <c r="A67" s="6">
        <v>45953</v>
      </c>
      <c r="B67" s="7">
        <v>13.18</v>
      </c>
      <c r="C67" s="8">
        <v>1336656</v>
      </c>
      <c r="D67" s="7">
        <v>0.32</v>
      </c>
      <c r="E67" s="7">
        <v>2.4883359253499102</v>
      </c>
      <c r="F67" s="7">
        <v>2.4883359253499102</v>
      </c>
      <c r="G67" s="7">
        <v>13.18</v>
      </c>
      <c r="H67" s="7">
        <v>-5.7898498927805599</v>
      </c>
      <c r="I67" s="7">
        <v>12.91</v>
      </c>
      <c r="J67" s="7">
        <v>13.24</v>
      </c>
      <c r="K67" s="7">
        <v>12.7</v>
      </c>
      <c r="L67" s="7">
        <v>-5.7898498927805599</v>
      </c>
    </row>
    <row r="68" spans="1:12" ht="15" customHeight="1" x14ac:dyDescent="0.2">
      <c r="A68" s="3">
        <v>45952</v>
      </c>
      <c r="B68" s="4">
        <v>12.86</v>
      </c>
      <c r="C68" s="5">
        <v>3873660</v>
      </c>
      <c r="D68" s="4">
        <v>0.33</v>
      </c>
      <c r="E68" s="4">
        <v>2.6336791699920199</v>
      </c>
      <c r="F68" s="4">
        <v>2.6336791699920199</v>
      </c>
      <c r="G68" s="4">
        <v>12.86</v>
      </c>
      <c r="H68" s="4">
        <v>-8.0771979985704103</v>
      </c>
      <c r="I68" s="4">
        <v>12.48</v>
      </c>
      <c r="J68" s="4">
        <v>12.92</v>
      </c>
      <c r="K68" s="4">
        <v>12.34</v>
      </c>
      <c r="L68" s="4">
        <v>-8.0771979985704103</v>
      </c>
    </row>
    <row r="69" spans="1:12" ht="15" customHeight="1" x14ac:dyDescent="0.2">
      <c r="A69" s="6">
        <v>45951</v>
      </c>
      <c r="B69" s="7">
        <v>12.53</v>
      </c>
      <c r="C69" s="8">
        <v>882048</v>
      </c>
      <c r="D69" s="7">
        <v>-0.12000000000000099</v>
      </c>
      <c r="E69" s="7">
        <v>-0.94861660079051902</v>
      </c>
      <c r="F69" s="7">
        <v>-0.94861660079051902</v>
      </c>
      <c r="G69" s="7">
        <v>12.53</v>
      </c>
      <c r="H69" s="7">
        <v>-10.436025732666099</v>
      </c>
      <c r="I69" s="7">
        <v>12.68</v>
      </c>
      <c r="J69" s="7">
        <v>12.84</v>
      </c>
      <c r="K69" s="7">
        <v>12.48</v>
      </c>
      <c r="L69" s="7">
        <v>-10.436025732666099</v>
      </c>
    </row>
    <row r="70" spans="1:12" ht="15" customHeight="1" x14ac:dyDescent="0.2">
      <c r="A70" s="3">
        <v>45950</v>
      </c>
      <c r="B70" s="4">
        <v>12.65</v>
      </c>
      <c r="C70" s="5">
        <v>1451689</v>
      </c>
      <c r="D70" s="4">
        <v>-0.23</v>
      </c>
      <c r="E70" s="4">
        <v>-1.78571428571429</v>
      </c>
      <c r="F70" s="4">
        <v>-1.78571428571429</v>
      </c>
      <c r="G70" s="4">
        <v>12.65</v>
      </c>
      <c r="H70" s="4">
        <v>-9.5782701929949905</v>
      </c>
      <c r="I70" s="4">
        <v>12.92</v>
      </c>
      <c r="J70" s="4">
        <v>13</v>
      </c>
      <c r="K70" s="4">
        <v>12.6</v>
      </c>
      <c r="L70" s="4">
        <v>-9.5782701929949905</v>
      </c>
    </row>
    <row r="71" spans="1:12" ht="15" customHeight="1" x14ac:dyDescent="0.2">
      <c r="A71" s="6">
        <v>45947</v>
      </c>
      <c r="B71" s="7">
        <v>12.88</v>
      </c>
      <c r="C71" s="8">
        <v>1089265</v>
      </c>
      <c r="D71" s="7">
        <v>-0.33</v>
      </c>
      <c r="E71" s="7">
        <v>-2.4981074943224799</v>
      </c>
      <c r="F71" s="7">
        <v>-2.4981074943224799</v>
      </c>
      <c r="G71" s="7">
        <v>12.88</v>
      </c>
      <c r="H71" s="7">
        <v>-7.9342387419585299</v>
      </c>
      <c r="I71" s="7">
        <v>13.25</v>
      </c>
      <c r="J71" s="7">
        <v>13.27</v>
      </c>
      <c r="K71" s="7">
        <v>12.7</v>
      </c>
      <c r="L71" s="7">
        <v>-7.9342387419585299</v>
      </c>
    </row>
    <row r="72" spans="1:12" ht="15" customHeight="1" x14ac:dyDescent="0.2">
      <c r="A72" s="3">
        <v>45946</v>
      </c>
      <c r="B72" s="4">
        <v>13.21</v>
      </c>
      <c r="C72" s="5">
        <v>1182628</v>
      </c>
      <c r="D72" s="4">
        <v>0.25</v>
      </c>
      <c r="E72" s="4">
        <v>1.92901234567901</v>
      </c>
      <c r="F72" s="4">
        <v>1.92901234567901</v>
      </c>
      <c r="G72" s="4">
        <v>13.21</v>
      </c>
      <c r="H72" s="4">
        <v>-5.5754110078627503</v>
      </c>
      <c r="I72" s="4">
        <v>13.02</v>
      </c>
      <c r="J72" s="4">
        <v>13.25</v>
      </c>
      <c r="K72" s="4">
        <v>12.94</v>
      </c>
      <c r="L72" s="4">
        <v>-5.5754110078627503</v>
      </c>
    </row>
    <row r="73" spans="1:12" ht="15" customHeight="1" x14ac:dyDescent="0.2">
      <c r="A73" s="6">
        <v>45945</v>
      </c>
      <c r="B73" s="7">
        <v>12.96</v>
      </c>
      <c r="C73" s="8">
        <v>1214320</v>
      </c>
      <c r="D73" s="7">
        <v>0.14000000000000001</v>
      </c>
      <c r="E73" s="7">
        <v>1.0920436817472601</v>
      </c>
      <c r="F73" s="7">
        <v>1.0920436817472601</v>
      </c>
      <c r="G73" s="7">
        <v>12.96</v>
      </c>
      <c r="H73" s="7">
        <v>-7.3624017155110701</v>
      </c>
      <c r="I73" s="7">
        <v>12.85</v>
      </c>
      <c r="J73" s="7">
        <v>13.06</v>
      </c>
      <c r="K73" s="7">
        <v>12.84</v>
      </c>
      <c r="L73" s="7">
        <v>-7.3624017155110701</v>
      </c>
    </row>
    <row r="74" spans="1:12" ht="15" customHeight="1" x14ac:dyDescent="0.2">
      <c r="A74" s="3">
        <v>45944</v>
      </c>
      <c r="B74" s="4">
        <v>12.82</v>
      </c>
      <c r="C74" s="5">
        <v>1483508</v>
      </c>
      <c r="D74" s="4">
        <v>0.22</v>
      </c>
      <c r="E74" s="4">
        <v>1.74603174603176</v>
      </c>
      <c r="F74" s="4">
        <v>1.74603174603176</v>
      </c>
      <c r="G74" s="4">
        <v>12.82</v>
      </c>
      <c r="H74" s="4">
        <v>-8.3631165117941393</v>
      </c>
      <c r="I74" s="4">
        <v>12.63</v>
      </c>
      <c r="J74" s="4">
        <v>12.94</v>
      </c>
      <c r="K74" s="4">
        <v>12.47</v>
      </c>
      <c r="L74" s="4">
        <v>-8.3631165117941393</v>
      </c>
    </row>
    <row r="75" spans="1:12" ht="15" customHeight="1" x14ac:dyDescent="0.2">
      <c r="A75" s="6">
        <v>45943</v>
      </c>
      <c r="B75" s="7">
        <v>12.6</v>
      </c>
      <c r="C75" s="8">
        <v>608798</v>
      </c>
      <c r="D75" s="7">
        <v>0.28999999999999898</v>
      </c>
      <c r="E75" s="7">
        <v>2.3558082859463698</v>
      </c>
      <c r="F75" s="7">
        <v>2.3558082859463698</v>
      </c>
      <c r="G75" s="7">
        <v>12.6</v>
      </c>
      <c r="H75" s="7">
        <v>-9.9356683345246601</v>
      </c>
      <c r="I75" s="7">
        <v>12.2</v>
      </c>
      <c r="J75" s="7">
        <v>12.69</v>
      </c>
      <c r="K75" s="7">
        <v>12.2</v>
      </c>
      <c r="L75" s="7">
        <v>-9.9356683345246601</v>
      </c>
    </row>
    <row r="76" spans="1:12" ht="15" customHeight="1" x14ac:dyDescent="0.2">
      <c r="A76" s="3">
        <v>45940</v>
      </c>
      <c r="B76" s="4">
        <v>12.31</v>
      </c>
      <c r="C76" s="5">
        <v>1218256</v>
      </c>
      <c r="D76" s="4">
        <v>-0.13999999999999799</v>
      </c>
      <c r="E76" s="4">
        <v>-1.1244979919678599</v>
      </c>
      <c r="F76" s="4">
        <v>-1.1244979919678599</v>
      </c>
      <c r="G76" s="4">
        <v>12.31</v>
      </c>
      <c r="H76" s="4">
        <v>-12.0085775553967</v>
      </c>
      <c r="I76" s="4">
        <v>12.5</v>
      </c>
      <c r="J76" s="4">
        <v>12.66</v>
      </c>
      <c r="K76" s="4">
        <v>12.23</v>
      </c>
      <c r="L76" s="4">
        <v>-12.0085775553967</v>
      </c>
    </row>
    <row r="77" spans="1:12" ht="15" customHeight="1" x14ac:dyDescent="0.2">
      <c r="A77" s="6">
        <v>45939</v>
      </c>
      <c r="B77" s="7">
        <v>12.45</v>
      </c>
      <c r="C77" s="8">
        <v>1726800</v>
      </c>
      <c r="D77" s="7">
        <v>-0.15</v>
      </c>
      <c r="E77" s="7">
        <v>-1.19047619047619</v>
      </c>
      <c r="F77" s="7">
        <v>-1.19047619047619</v>
      </c>
      <c r="G77" s="7">
        <v>12.45</v>
      </c>
      <c r="H77" s="7">
        <v>-11.0078627591136</v>
      </c>
      <c r="I77" s="7">
        <v>12.53</v>
      </c>
      <c r="J77" s="7">
        <v>12.62</v>
      </c>
      <c r="K77" s="7">
        <v>12.32</v>
      </c>
      <c r="L77" s="7">
        <v>-11.0078627591136</v>
      </c>
    </row>
    <row r="78" spans="1:12" ht="15" customHeight="1" x14ac:dyDescent="0.2">
      <c r="A78" s="3">
        <v>45938</v>
      </c>
      <c r="B78" s="4">
        <v>12.6</v>
      </c>
      <c r="C78" s="5">
        <v>909520</v>
      </c>
      <c r="D78" s="4">
        <v>0.16</v>
      </c>
      <c r="E78" s="4">
        <v>1.28617363344052</v>
      </c>
      <c r="F78" s="4">
        <v>1.28617363344052</v>
      </c>
      <c r="G78" s="4">
        <v>12.6</v>
      </c>
      <c r="H78" s="4">
        <v>-9.9356683345246601</v>
      </c>
      <c r="I78" s="4">
        <v>12.5</v>
      </c>
      <c r="J78" s="4">
        <v>12.85</v>
      </c>
      <c r="K78" s="4">
        <v>12.47</v>
      </c>
      <c r="L78" s="4">
        <v>-9.9356683345246601</v>
      </c>
    </row>
    <row r="79" spans="1:12" ht="15" customHeight="1" x14ac:dyDescent="0.2">
      <c r="A79" s="6">
        <v>45937</v>
      </c>
      <c r="B79" s="7">
        <v>12.44</v>
      </c>
      <c r="C79" s="8">
        <v>1055762</v>
      </c>
      <c r="D79" s="7">
        <v>-0.25</v>
      </c>
      <c r="E79" s="7">
        <v>-1.9700551615445201</v>
      </c>
      <c r="F79" s="7">
        <v>-1.9700551615445201</v>
      </c>
      <c r="G79" s="7">
        <v>12.44</v>
      </c>
      <c r="H79" s="7">
        <v>-11.0793423874195</v>
      </c>
      <c r="I79" s="7">
        <v>12.36</v>
      </c>
      <c r="J79" s="7">
        <v>12.71</v>
      </c>
      <c r="K79" s="7">
        <v>12.32</v>
      </c>
      <c r="L79" s="7">
        <v>-11.0793423874195</v>
      </c>
    </row>
    <row r="80" spans="1:12" ht="15" customHeight="1" x14ac:dyDescent="0.2">
      <c r="A80" s="3">
        <v>45936</v>
      </c>
      <c r="B80" s="4">
        <v>12.69</v>
      </c>
      <c r="C80" s="5">
        <v>1036521.99999999</v>
      </c>
      <c r="D80" s="4">
        <v>-3.0000000000001099E-2</v>
      </c>
      <c r="E80" s="4">
        <v>-0.23584905660378699</v>
      </c>
      <c r="F80" s="4">
        <v>-0.23584905660378699</v>
      </c>
      <c r="G80" s="4">
        <v>12.69</v>
      </c>
      <c r="H80" s="4">
        <v>-9.2923516797712598</v>
      </c>
      <c r="I80" s="4">
        <v>12.36</v>
      </c>
      <c r="J80" s="4">
        <v>12.78</v>
      </c>
      <c r="K80" s="4">
        <v>12.36</v>
      </c>
      <c r="L80" s="4">
        <v>-9.2923516797712598</v>
      </c>
    </row>
    <row r="81" spans="1:12" ht="15" customHeight="1" x14ac:dyDescent="0.2">
      <c r="A81" s="6">
        <v>45933</v>
      </c>
      <c r="B81" s="7">
        <v>12.72</v>
      </c>
      <c r="C81" s="8">
        <v>737955</v>
      </c>
      <c r="D81" s="7">
        <v>-0.12999999999999901</v>
      </c>
      <c r="E81" s="7">
        <v>-1.0116731517509601</v>
      </c>
      <c r="F81" s="7">
        <v>-1.0116731517509601</v>
      </c>
      <c r="G81" s="7">
        <v>12.72</v>
      </c>
      <c r="H81" s="7">
        <v>-9.0779127948534608</v>
      </c>
      <c r="I81" s="7">
        <v>12.91</v>
      </c>
      <c r="J81" s="7">
        <v>12.93</v>
      </c>
      <c r="K81" s="7">
        <v>12.6</v>
      </c>
      <c r="L81" s="7">
        <v>-9.0779127948534608</v>
      </c>
    </row>
    <row r="82" spans="1:12" ht="15" customHeight="1" x14ac:dyDescent="0.2">
      <c r="A82" s="3">
        <v>45932</v>
      </c>
      <c r="B82" s="4">
        <v>12.85</v>
      </c>
      <c r="C82" s="5">
        <v>708058</v>
      </c>
      <c r="D82" s="4">
        <v>0.16</v>
      </c>
      <c r="E82" s="4">
        <v>1.26083530338849</v>
      </c>
      <c r="F82" s="4">
        <v>1.26083530338849</v>
      </c>
      <c r="G82" s="4">
        <v>12.85</v>
      </c>
      <c r="H82" s="4">
        <v>-8.1486776268763403</v>
      </c>
      <c r="I82" s="4">
        <v>12.77</v>
      </c>
      <c r="J82" s="4">
        <v>12.9</v>
      </c>
      <c r="K82" s="4">
        <v>12.6</v>
      </c>
      <c r="L82" s="4">
        <v>-8.1486776268763403</v>
      </c>
    </row>
    <row r="83" spans="1:12" ht="15" customHeight="1" x14ac:dyDescent="0.2">
      <c r="A83" s="6">
        <v>45931</v>
      </c>
      <c r="B83" s="7">
        <v>12.69</v>
      </c>
      <c r="C83" s="8">
        <v>1874303</v>
      </c>
      <c r="D83" s="7">
        <v>-0.41999999999999899</v>
      </c>
      <c r="E83" s="7">
        <v>-3.2036613272311198</v>
      </c>
      <c r="F83" s="7">
        <v>-3.2036613272311198</v>
      </c>
      <c r="G83" s="7">
        <v>12.69</v>
      </c>
      <c r="H83" s="7">
        <v>-9.2923516797712598</v>
      </c>
      <c r="I83" s="7">
        <v>13.05</v>
      </c>
      <c r="J83" s="7">
        <v>13.44</v>
      </c>
      <c r="K83" s="7">
        <v>12.58</v>
      </c>
      <c r="L83" s="7">
        <v>-9.2923516797712598</v>
      </c>
    </row>
    <row r="84" spans="1:12" ht="15" customHeight="1" x14ac:dyDescent="0.2">
      <c r="A84" s="3">
        <v>45930</v>
      </c>
      <c r="B84" s="4">
        <v>13.11</v>
      </c>
      <c r="C84" s="5">
        <v>2000820</v>
      </c>
      <c r="D84" s="4">
        <v>0.51999999999999902</v>
      </c>
      <c r="E84" s="4">
        <v>4.1302621127879302</v>
      </c>
      <c r="F84" s="4">
        <v>4.1302621127879302</v>
      </c>
      <c r="G84" s="4">
        <v>13.11</v>
      </c>
      <c r="H84" s="4">
        <v>-6.2902072909220896</v>
      </c>
      <c r="I84" s="4">
        <v>12.53</v>
      </c>
      <c r="J84" s="4">
        <v>13.15</v>
      </c>
      <c r="K84" s="4">
        <v>12.52</v>
      </c>
      <c r="L84" s="4">
        <v>-6.2902072909220896</v>
      </c>
    </row>
    <row r="85" spans="1:12" ht="15" customHeight="1" x14ac:dyDescent="0.2">
      <c r="A85" s="6">
        <v>45929</v>
      </c>
      <c r="B85" s="7">
        <v>12.59</v>
      </c>
      <c r="C85" s="8">
        <v>1004414</v>
      </c>
      <c r="D85" s="7">
        <v>0.109999999999999</v>
      </c>
      <c r="E85" s="7">
        <v>0.88141025641024195</v>
      </c>
      <c r="F85" s="7">
        <v>0.88141025641024195</v>
      </c>
      <c r="G85" s="7">
        <v>12.59</v>
      </c>
      <c r="H85" s="7">
        <v>-10.0071479628305</v>
      </c>
      <c r="I85" s="7">
        <v>12.41</v>
      </c>
      <c r="J85" s="7">
        <v>12.62</v>
      </c>
      <c r="K85" s="7">
        <v>12.33</v>
      </c>
      <c r="L85" s="7">
        <v>-10.0071479628305</v>
      </c>
    </row>
    <row r="86" spans="1:12" ht="15" customHeight="1" x14ac:dyDescent="0.2">
      <c r="A86" s="3">
        <v>45926</v>
      </c>
      <c r="B86" s="4">
        <v>12.48</v>
      </c>
      <c r="C86" s="5">
        <v>7293523</v>
      </c>
      <c r="D86" s="4">
        <v>3.0000000000001099E-2</v>
      </c>
      <c r="E86" s="4">
        <v>0.24096385542169399</v>
      </c>
      <c r="F86" s="4">
        <v>0.24096385542169399</v>
      </c>
      <c r="G86" s="4">
        <v>12.48</v>
      </c>
      <c r="H86" s="4">
        <v>-10.793423874195801</v>
      </c>
      <c r="I86" s="4">
        <v>12.52</v>
      </c>
      <c r="J86" s="4">
        <v>12.64</v>
      </c>
      <c r="K86" s="4">
        <v>12.4</v>
      </c>
      <c r="L86" s="4">
        <v>-10.793423874195801</v>
      </c>
    </row>
    <row r="87" spans="1:12" ht="15" customHeight="1" x14ac:dyDescent="0.2">
      <c r="A87" s="6">
        <v>45925</v>
      </c>
      <c r="B87" s="7">
        <v>12.45</v>
      </c>
      <c r="C87" s="8">
        <v>1291075</v>
      </c>
      <c r="D87" s="7"/>
      <c r="E87" s="7"/>
      <c r="F87" s="7"/>
      <c r="G87" s="7">
        <v>12.45</v>
      </c>
      <c r="H87" s="7">
        <v>-11.0078627591136</v>
      </c>
      <c r="I87" s="7">
        <v>12.42</v>
      </c>
      <c r="J87" s="7">
        <v>12.63</v>
      </c>
      <c r="K87" s="7">
        <v>12.36</v>
      </c>
      <c r="L87" s="7">
        <v>-11.0078627591136</v>
      </c>
    </row>
    <row r="88" spans="1:12" ht="15" customHeight="1" x14ac:dyDescent="0.2">
      <c r="A88" s="3">
        <v>45924</v>
      </c>
      <c r="B88" s="4">
        <v>12.45</v>
      </c>
      <c r="C88" s="5">
        <v>8334226</v>
      </c>
      <c r="D88" s="4">
        <v>-0.28999999999999998</v>
      </c>
      <c r="E88" s="4">
        <v>-2.2762951334379999</v>
      </c>
      <c r="F88" s="4">
        <v>-2.2762951334379999</v>
      </c>
      <c r="G88" s="4">
        <v>12.45</v>
      </c>
      <c r="H88" s="4">
        <v>-11.0078627591136</v>
      </c>
      <c r="I88" s="4">
        <v>12.65</v>
      </c>
      <c r="J88" s="4">
        <v>12.7</v>
      </c>
      <c r="K88" s="4">
        <v>12.39</v>
      </c>
      <c r="L88" s="4">
        <v>-11.0078627591136</v>
      </c>
    </row>
    <row r="89" spans="1:12" ht="15" customHeight="1" x14ac:dyDescent="0.2">
      <c r="A89" s="6">
        <v>45923</v>
      </c>
      <c r="B89" s="7">
        <v>12.74</v>
      </c>
      <c r="C89" s="8">
        <v>1998623</v>
      </c>
      <c r="D89" s="7">
        <v>4.0000000000000903E-2</v>
      </c>
      <c r="E89" s="7">
        <v>0.314960629921268</v>
      </c>
      <c r="F89" s="7">
        <v>0.314960629921268</v>
      </c>
      <c r="G89" s="7">
        <v>12.74</v>
      </c>
      <c r="H89" s="7">
        <v>-8.9349535382416008</v>
      </c>
      <c r="I89" s="7">
        <v>12.63</v>
      </c>
      <c r="J89" s="7">
        <v>12.77</v>
      </c>
      <c r="K89" s="7">
        <v>12.53</v>
      </c>
      <c r="L89" s="7">
        <v>-8.9349535382416008</v>
      </c>
    </row>
    <row r="90" spans="1:12" ht="15" customHeight="1" x14ac:dyDescent="0.2">
      <c r="A90" s="3">
        <v>45922</v>
      </c>
      <c r="B90" s="4">
        <v>12.7</v>
      </c>
      <c r="C90" s="5">
        <v>827951</v>
      </c>
      <c r="D90" s="4">
        <v>0.22999999999999801</v>
      </c>
      <c r="E90" s="4">
        <v>1.8444266238973399</v>
      </c>
      <c r="F90" s="4">
        <v>1.8444266238973399</v>
      </c>
      <c r="G90" s="4">
        <v>12.7</v>
      </c>
      <c r="H90" s="4">
        <v>-9.2208720514653297</v>
      </c>
      <c r="I90" s="4">
        <v>12.53</v>
      </c>
      <c r="J90" s="4">
        <v>12.74</v>
      </c>
      <c r="K90" s="4">
        <v>12.31</v>
      </c>
      <c r="L90" s="4">
        <v>-9.2208720514653297</v>
      </c>
    </row>
    <row r="91" spans="1:12" ht="15" customHeight="1" x14ac:dyDescent="0.2">
      <c r="A91" s="6">
        <v>45919</v>
      </c>
      <c r="B91" s="7">
        <v>12.47</v>
      </c>
      <c r="C91" s="8">
        <v>3629966</v>
      </c>
      <c r="D91" s="7">
        <v>0.190000000000001</v>
      </c>
      <c r="E91" s="7">
        <v>1.54723127035831</v>
      </c>
      <c r="F91" s="7">
        <v>1.54723127035831</v>
      </c>
      <c r="G91" s="7">
        <v>12.47</v>
      </c>
      <c r="H91" s="7">
        <v>-10.864903502501701</v>
      </c>
      <c r="I91" s="7">
        <v>12.23</v>
      </c>
      <c r="J91" s="7">
        <v>12.61</v>
      </c>
      <c r="K91" s="7">
        <v>12.18</v>
      </c>
      <c r="L91" s="7">
        <v>-10.864903502501701</v>
      </c>
    </row>
    <row r="92" spans="1:12" ht="15" customHeight="1" x14ac:dyDescent="0.2">
      <c r="A92" s="3">
        <v>45918</v>
      </c>
      <c r="B92" s="4">
        <v>12.28</v>
      </c>
      <c r="C92" s="5">
        <v>3754733</v>
      </c>
      <c r="D92" s="4">
        <v>0.119999999999999</v>
      </c>
      <c r="E92" s="4">
        <v>0.98684210526314098</v>
      </c>
      <c r="F92" s="4">
        <v>0.98684210526314098</v>
      </c>
      <c r="G92" s="4">
        <v>12.28</v>
      </c>
      <c r="H92" s="4">
        <v>-12.223016440314501</v>
      </c>
      <c r="I92" s="4">
        <v>12.07</v>
      </c>
      <c r="J92" s="4">
        <v>12.31</v>
      </c>
      <c r="K92" s="4">
        <v>11.92</v>
      </c>
      <c r="L92" s="4">
        <v>-12.223016440314501</v>
      </c>
    </row>
    <row r="93" spans="1:12" ht="15" customHeight="1" x14ac:dyDescent="0.2">
      <c r="A93" s="6">
        <v>45917</v>
      </c>
      <c r="B93" s="7">
        <v>12.16</v>
      </c>
      <c r="C93" s="8">
        <v>2352243</v>
      </c>
      <c r="D93" s="7">
        <v>0.75999999999999901</v>
      </c>
      <c r="E93" s="7">
        <v>6.6666666666666599</v>
      </c>
      <c r="F93" s="7">
        <v>6.6666666666666599</v>
      </c>
      <c r="G93" s="7">
        <v>12.16</v>
      </c>
      <c r="H93" s="7">
        <v>-13.0807719799857</v>
      </c>
      <c r="I93" s="7">
        <v>11.4</v>
      </c>
      <c r="J93" s="7">
        <v>12.2</v>
      </c>
      <c r="K93" s="7">
        <v>11.4</v>
      </c>
      <c r="L93" s="7">
        <v>-13.0807719799857</v>
      </c>
    </row>
    <row r="94" spans="1:12" ht="15" customHeight="1" x14ac:dyDescent="0.2">
      <c r="A94" s="3">
        <v>45915</v>
      </c>
      <c r="B94" s="4">
        <v>11.4</v>
      </c>
      <c r="C94" s="5">
        <v>1211136</v>
      </c>
      <c r="D94" s="4">
        <v>0.110000000000001</v>
      </c>
      <c r="E94" s="4">
        <v>0.97431355181578605</v>
      </c>
      <c r="F94" s="4">
        <v>0.97431355181578605</v>
      </c>
      <c r="G94" s="4">
        <v>11.4</v>
      </c>
      <c r="H94" s="4">
        <v>-18.513223731236501</v>
      </c>
      <c r="I94" s="4">
        <v>11.35</v>
      </c>
      <c r="J94" s="4">
        <v>11.43</v>
      </c>
      <c r="K94" s="4">
        <v>11.11</v>
      </c>
      <c r="L94" s="4">
        <v>-18.513223731236501</v>
      </c>
    </row>
    <row r="95" spans="1:12" ht="15" customHeight="1" x14ac:dyDescent="0.2">
      <c r="A95" s="6">
        <v>45912</v>
      </c>
      <c r="B95" s="7">
        <v>11.29</v>
      </c>
      <c r="C95" s="8">
        <v>1021482</v>
      </c>
      <c r="D95" s="7">
        <v>-0.27000000000000102</v>
      </c>
      <c r="E95" s="7">
        <v>-2.3356401384083099</v>
      </c>
      <c r="F95" s="7">
        <v>-2.3356401384083099</v>
      </c>
      <c r="G95" s="7">
        <v>11.29</v>
      </c>
      <c r="H95" s="7">
        <v>-19.299499642601798</v>
      </c>
      <c r="I95" s="7">
        <v>11.5</v>
      </c>
      <c r="J95" s="7">
        <v>11.52</v>
      </c>
      <c r="K95" s="7">
        <v>11.22</v>
      </c>
      <c r="L95" s="7">
        <v>-19.299499642601798</v>
      </c>
    </row>
    <row r="96" spans="1:12" ht="15" customHeight="1" x14ac:dyDescent="0.2">
      <c r="A96" s="3">
        <v>45911</v>
      </c>
      <c r="B96" s="4">
        <v>11.56</v>
      </c>
      <c r="C96" s="5">
        <v>1562053</v>
      </c>
      <c r="D96" s="4">
        <v>0.12000000000000099</v>
      </c>
      <c r="E96" s="4">
        <v>1.0489510489510601</v>
      </c>
      <c r="F96" s="4">
        <v>1.0489510489510601</v>
      </c>
      <c r="G96" s="4">
        <v>11.56</v>
      </c>
      <c r="H96" s="4">
        <v>-17.369549678341599</v>
      </c>
      <c r="I96" s="4">
        <v>11.49</v>
      </c>
      <c r="J96" s="4">
        <v>11.63</v>
      </c>
      <c r="K96" s="4">
        <v>11.49</v>
      </c>
      <c r="L96" s="4">
        <v>-17.369549678341599</v>
      </c>
    </row>
    <row r="97" spans="1:12" ht="15" customHeight="1" x14ac:dyDescent="0.2">
      <c r="A97" s="6">
        <v>45910</v>
      </c>
      <c r="B97" s="7">
        <v>11.44</v>
      </c>
      <c r="C97" s="8">
        <v>2001407</v>
      </c>
      <c r="D97" s="7">
        <v>0.32</v>
      </c>
      <c r="E97" s="7">
        <v>2.8776978417266199</v>
      </c>
      <c r="F97" s="7">
        <v>2.8776978417266199</v>
      </c>
      <c r="G97" s="7">
        <v>11.44</v>
      </c>
      <c r="H97" s="7">
        <v>-18.227305218012798</v>
      </c>
      <c r="I97" s="7">
        <v>11.15</v>
      </c>
      <c r="J97" s="7">
        <v>11.58</v>
      </c>
      <c r="K97" s="7">
        <v>11.15</v>
      </c>
      <c r="L97" s="7">
        <v>-18.227305218012798</v>
      </c>
    </row>
    <row r="98" spans="1:12" ht="15" customHeight="1" x14ac:dyDescent="0.2">
      <c r="A98" s="3">
        <v>45909</v>
      </c>
      <c r="B98" s="4">
        <v>11.12</v>
      </c>
      <c r="C98" s="5">
        <v>2245785</v>
      </c>
      <c r="D98" s="4">
        <v>-7.0000000000000201E-2</v>
      </c>
      <c r="E98" s="4">
        <v>-0.62555853440572295</v>
      </c>
      <c r="F98" s="4">
        <v>-0.62555853440572295</v>
      </c>
      <c r="G98" s="4">
        <v>11.12</v>
      </c>
      <c r="H98" s="4">
        <v>-20.514653323802701</v>
      </c>
      <c r="I98" s="4">
        <v>11.24</v>
      </c>
      <c r="J98" s="4">
        <v>11.25</v>
      </c>
      <c r="K98" s="4">
        <v>11.04</v>
      </c>
      <c r="L98" s="4">
        <v>-20.514653323802701</v>
      </c>
    </row>
    <row r="99" spans="1:12" ht="15" customHeight="1" x14ac:dyDescent="0.2">
      <c r="A99" s="6">
        <v>45908</v>
      </c>
      <c r="B99" s="7">
        <v>11.19</v>
      </c>
      <c r="C99" s="8">
        <v>1599455</v>
      </c>
      <c r="D99" s="7">
        <v>-0.31</v>
      </c>
      <c r="E99" s="7">
        <v>-2.6956521739130399</v>
      </c>
      <c r="F99" s="7">
        <v>-2.6956521739130399</v>
      </c>
      <c r="G99" s="7">
        <v>11.19</v>
      </c>
      <c r="H99" s="7">
        <v>-20.014295925661099</v>
      </c>
      <c r="I99" s="7">
        <v>11.52</v>
      </c>
      <c r="J99" s="7">
        <v>11.52</v>
      </c>
      <c r="K99" s="7">
        <v>11.13</v>
      </c>
      <c r="L99" s="7">
        <v>-20.014295925661099</v>
      </c>
    </row>
    <row r="100" spans="1:12" ht="15" customHeight="1" x14ac:dyDescent="0.2">
      <c r="A100" s="3">
        <v>45905</v>
      </c>
      <c r="B100" s="4">
        <v>11.5</v>
      </c>
      <c r="C100" s="5">
        <v>2183723</v>
      </c>
      <c r="D100" s="4">
        <v>7.0000000000000201E-2</v>
      </c>
      <c r="E100" s="4">
        <v>0.61242344706911001</v>
      </c>
      <c r="F100" s="4">
        <v>0.61242344706911001</v>
      </c>
      <c r="G100" s="4">
        <v>11.5</v>
      </c>
      <c r="H100" s="4">
        <v>-17.7984274481772</v>
      </c>
      <c r="I100" s="4">
        <v>11.51</v>
      </c>
      <c r="J100" s="4">
        <v>11.71</v>
      </c>
      <c r="K100" s="4">
        <v>11.39</v>
      </c>
      <c r="L100" s="4">
        <v>-17.7984274481772</v>
      </c>
    </row>
    <row r="101" spans="1:12" ht="15" customHeight="1" x14ac:dyDescent="0.2">
      <c r="A101" s="6">
        <v>45904</v>
      </c>
      <c r="B101" s="7">
        <v>11.43</v>
      </c>
      <c r="C101" s="8">
        <v>1140338</v>
      </c>
      <c r="D101" s="7">
        <v>-7.0000000000000201E-2</v>
      </c>
      <c r="E101" s="7">
        <v>-0.60869565217391797</v>
      </c>
      <c r="F101" s="7">
        <v>-0.60869565217391797</v>
      </c>
      <c r="G101" s="7">
        <v>11.43</v>
      </c>
      <c r="H101" s="7">
        <v>-18.298784846318799</v>
      </c>
      <c r="I101" s="7">
        <v>11.46</v>
      </c>
      <c r="J101" s="7">
        <v>11.5</v>
      </c>
      <c r="K101" s="7">
        <v>11.4</v>
      </c>
      <c r="L101" s="7">
        <v>-18.298784846318799</v>
      </c>
    </row>
    <row r="102" spans="1:12" ht="15" customHeight="1" x14ac:dyDescent="0.2">
      <c r="A102" s="3">
        <v>45903</v>
      </c>
      <c r="B102" s="4">
        <v>11.5</v>
      </c>
      <c r="C102" s="5">
        <v>2408905</v>
      </c>
      <c r="D102" s="4">
        <v>0.08</v>
      </c>
      <c r="E102" s="4">
        <v>0.70052539404552505</v>
      </c>
      <c r="F102" s="4">
        <v>0.70052539404552505</v>
      </c>
      <c r="G102" s="4">
        <v>11.5</v>
      </c>
      <c r="H102" s="4">
        <v>-17.7984274481772</v>
      </c>
      <c r="I102" s="4">
        <v>11.36</v>
      </c>
      <c r="J102" s="4">
        <v>11.67</v>
      </c>
      <c r="K102" s="4">
        <v>11.36</v>
      </c>
      <c r="L102" s="4">
        <v>-17.7984274481772</v>
      </c>
    </row>
    <row r="103" spans="1:12" ht="15" customHeight="1" x14ac:dyDescent="0.2">
      <c r="A103" s="6">
        <v>45902</v>
      </c>
      <c r="B103" s="7">
        <v>11.42</v>
      </c>
      <c r="C103" s="8">
        <v>926565</v>
      </c>
      <c r="D103" s="7"/>
      <c r="E103" s="7"/>
      <c r="F103" s="7"/>
      <c r="G103" s="7">
        <v>11.42</v>
      </c>
      <c r="H103" s="7">
        <v>-18.370264474624701</v>
      </c>
      <c r="I103" s="7">
        <v>11.42</v>
      </c>
      <c r="J103" s="7">
        <v>11.57</v>
      </c>
      <c r="K103" s="7">
        <v>11.33</v>
      </c>
      <c r="L103" s="7">
        <v>-18.370264474624701</v>
      </c>
    </row>
    <row r="104" spans="1:12" ht="15" customHeight="1" x14ac:dyDescent="0.2">
      <c r="A104" s="3">
        <v>45901</v>
      </c>
      <c r="B104" s="4">
        <v>11.42</v>
      </c>
      <c r="C104" s="5">
        <v>221338</v>
      </c>
      <c r="D104" s="4">
        <v>-6.0000000000000497E-2</v>
      </c>
      <c r="E104" s="4">
        <v>-0.52264808362369997</v>
      </c>
      <c r="F104" s="4">
        <v>-0.52264808362369997</v>
      </c>
      <c r="G104" s="4">
        <v>11.42</v>
      </c>
      <c r="H104" s="4">
        <v>-18.370264474624701</v>
      </c>
      <c r="I104" s="4">
        <v>11.42</v>
      </c>
      <c r="J104" s="4">
        <v>11.59</v>
      </c>
      <c r="K104" s="4">
        <v>11.37</v>
      </c>
      <c r="L104" s="4">
        <v>-18.370264474624701</v>
      </c>
    </row>
    <row r="105" spans="1:12" ht="15" customHeight="1" x14ac:dyDescent="0.2">
      <c r="A105" s="6">
        <v>45898</v>
      </c>
      <c r="B105" s="7">
        <v>11.48</v>
      </c>
      <c r="C105" s="8">
        <v>790425</v>
      </c>
      <c r="D105" s="7"/>
      <c r="E105" s="7"/>
      <c r="F105" s="7"/>
      <c r="G105" s="7">
        <v>11.48</v>
      </c>
      <c r="H105" s="7">
        <v>-17.9413867047891</v>
      </c>
      <c r="I105" s="7">
        <v>11.47</v>
      </c>
      <c r="J105" s="7">
        <v>11.55</v>
      </c>
      <c r="K105" s="7">
        <v>11.31</v>
      </c>
      <c r="L105" s="7">
        <v>-17.9413867047891</v>
      </c>
    </row>
    <row r="106" spans="1:12" ht="15" customHeight="1" x14ac:dyDescent="0.2">
      <c r="A106" s="3">
        <v>45897</v>
      </c>
      <c r="B106" s="4">
        <v>11.48</v>
      </c>
      <c r="C106" s="5">
        <v>2426418</v>
      </c>
      <c r="D106" s="4">
        <v>0.110000000000001</v>
      </c>
      <c r="E106" s="4">
        <v>0.96745822339490095</v>
      </c>
      <c r="F106" s="4">
        <v>0.96745822339490095</v>
      </c>
      <c r="G106" s="4">
        <v>11.48</v>
      </c>
      <c r="H106" s="4">
        <v>-17.9413867047891</v>
      </c>
      <c r="I106" s="4">
        <v>11.31</v>
      </c>
      <c r="J106" s="4">
        <v>11.55</v>
      </c>
      <c r="K106" s="4">
        <v>11.31</v>
      </c>
      <c r="L106" s="4">
        <v>-17.9413867047891</v>
      </c>
    </row>
    <row r="107" spans="1:12" ht="15" customHeight="1" x14ac:dyDescent="0.2">
      <c r="A107" s="6">
        <v>45896</v>
      </c>
      <c r="B107" s="7">
        <v>11.37</v>
      </c>
      <c r="C107" s="8">
        <v>961011</v>
      </c>
      <c r="D107" s="7">
        <v>6.9999999999998494E-2</v>
      </c>
      <c r="E107" s="7">
        <v>0.61946902654865799</v>
      </c>
      <c r="F107" s="7">
        <v>0.61946902654865799</v>
      </c>
      <c r="G107" s="7">
        <v>11.37</v>
      </c>
      <c r="H107" s="7">
        <v>-18.727662616154401</v>
      </c>
      <c r="I107" s="7">
        <v>11.4</v>
      </c>
      <c r="J107" s="7">
        <v>11.48</v>
      </c>
      <c r="K107" s="7">
        <v>11.15</v>
      </c>
      <c r="L107" s="7">
        <v>-18.727662616154401</v>
      </c>
    </row>
    <row r="108" spans="1:12" ht="15" customHeight="1" x14ac:dyDescent="0.2">
      <c r="A108" s="3">
        <v>45895</v>
      </c>
      <c r="B108" s="4">
        <v>11.3</v>
      </c>
      <c r="C108" s="5">
        <v>2499943</v>
      </c>
      <c r="D108" s="4">
        <v>7.0000000000000201E-2</v>
      </c>
      <c r="E108" s="4">
        <v>0.62333036509349904</v>
      </c>
      <c r="F108" s="4">
        <v>0.62333036509349904</v>
      </c>
      <c r="G108" s="4">
        <v>11.3</v>
      </c>
      <c r="H108" s="4">
        <v>-19.2280200142959</v>
      </c>
      <c r="I108" s="4">
        <v>11.22</v>
      </c>
      <c r="J108" s="4">
        <v>11.48</v>
      </c>
      <c r="K108" s="4">
        <v>11.2</v>
      </c>
      <c r="L108" s="4">
        <v>-19.2280200142959</v>
      </c>
    </row>
    <row r="109" spans="1:12" ht="15" customHeight="1" x14ac:dyDescent="0.2">
      <c r="A109" s="6">
        <v>45894</v>
      </c>
      <c r="B109" s="7">
        <v>11.23</v>
      </c>
      <c r="C109" s="8">
        <v>948392</v>
      </c>
      <c r="D109" s="7">
        <v>0.22</v>
      </c>
      <c r="E109" s="7">
        <v>1.99818346957312</v>
      </c>
      <c r="F109" s="7">
        <v>1.99818346957312</v>
      </c>
      <c r="G109" s="7">
        <v>11.23</v>
      </c>
      <c r="H109" s="7">
        <v>-19.7283774124374</v>
      </c>
      <c r="I109" s="7">
        <v>11.06</v>
      </c>
      <c r="J109" s="7">
        <v>11.31</v>
      </c>
      <c r="K109" s="7">
        <v>11.02</v>
      </c>
      <c r="L109" s="7">
        <v>-19.7283774124374</v>
      </c>
    </row>
    <row r="110" spans="1:12" ht="15" customHeight="1" x14ac:dyDescent="0.2">
      <c r="A110" s="3">
        <v>45891</v>
      </c>
      <c r="B110" s="4">
        <v>11.01</v>
      </c>
      <c r="C110" s="5">
        <v>1396210</v>
      </c>
      <c r="D110" s="4">
        <v>-8.9999999999999802E-2</v>
      </c>
      <c r="E110" s="4">
        <v>-0.81081081081081297</v>
      </c>
      <c r="F110" s="4">
        <v>-0.81081081081081297</v>
      </c>
      <c r="G110" s="4">
        <v>11.01</v>
      </c>
      <c r="H110" s="4">
        <v>-21.300929235167899</v>
      </c>
      <c r="I110" s="4">
        <v>11.04</v>
      </c>
      <c r="J110" s="4">
        <v>11.22</v>
      </c>
      <c r="K110" s="4">
        <v>10.75</v>
      </c>
      <c r="L110" s="4">
        <v>-21.300929235167899</v>
      </c>
    </row>
    <row r="111" spans="1:12" ht="15" customHeight="1" x14ac:dyDescent="0.2">
      <c r="A111" s="6">
        <v>45890</v>
      </c>
      <c r="B111" s="7">
        <v>11.1</v>
      </c>
      <c r="C111" s="8">
        <v>988535</v>
      </c>
      <c r="D111" s="7">
        <v>-9.9999999999999603E-2</v>
      </c>
      <c r="E111" s="7">
        <v>-0.89285714285713902</v>
      </c>
      <c r="F111" s="7">
        <v>-0.89285714285713902</v>
      </c>
      <c r="G111" s="7">
        <v>11.1</v>
      </c>
      <c r="H111" s="7">
        <v>-20.657612580414501</v>
      </c>
      <c r="I111" s="7">
        <v>11.16</v>
      </c>
      <c r="J111" s="7">
        <v>11.3</v>
      </c>
      <c r="K111" s="7">
        <v>11.04</v>
      </c>
      <c r="L111" s="7">
        <v>-20.657612580414501</v>
      </c>
    </row>
    <row r="112" spans="1:12" ht="15" customHeight="1" x14ac:dyDescent="0.2">
      <c r="A112" s="3">
        <v>45889</v>
      </c>
      <c r="B112" s="4">
        <v>11.2</v>
      </c>
      <c r="C112" s="5">
        <v>1274392</v>
      </c>
      <c r="D112" s="4">
        <v>-0.15</v>
      </c>
      <c r="E112" s="4">
        <v>-1.3215859030836901</v>
      </c>
      <c r="F112" s="4">
        <v>-1.3215859030836901</v>
      </c>
      <c r="G112" s="4">
        <v>11.2</v>
      </c>
      <c r="H112" s="4">
        <v>-19.942816297355201</v>
      </c>
      <c r="I112" s="4">
        <v>11.35</v>
      </c>
      <c r="J112" s="4">
        <v>11.53</v>
      </c>
      <c r="K112" s="4">
        <v>11.15</v>
      </c>
      <c r="L112" s="4">
        <v>-19.942816297355201</v>
      </c>
    </row>
    <row r="113" spans="1:12" ht="15" customHeight="1" x14ac:dyDescent="0.2">
      <c r="A113" s="6">
        <v>45888</v>
      </c>
      <c r="B113" s="7">
        <v>11.35</v>
      </c>
      <c r="C113" s="8">
        <v>1154905</v>
      </c>
      <c r="D113" s="7">
        <v>-5.0000000000000697E-2</v>
      </c>
      <c r="E113" s="7">
        <v>-0.43859649122807098</v>
      </c>
      <c r="F113" s="7">
        <v>-0.43859649122807098</v>
      </c>
      <c r="G113" s="7">
        <v>11.35</v>
      </c>
      <c r="H113" s="7">
        <v>-18.870621872766201</v>
      </c>
      <c r="I113" s="7">
        <v>11.43</v>
      </c>
      <c r="J113" s="7">
        <v>11.44</v>
      </c>
      <c r="K113" s="7">
        <v>11.19</v>
      </c>
      <c r="L113" s="7">
        <v>-18.870621872766201</v>
      </c>
    </row>
    <row r="114" spans="1:12" ht="15" customHeight="1" x14ac:dyDescent="0.2">
      <c r="A114" s="3">
        <v>45887</v>
      </c>
      <c r="B114" s="4">
        <v>11.4</v>
      </c>
      <c r="C114" s="5">
        <v>2549249</v>
      </c>
      <c r="D114" s="4">
        <v>0.42999999999999899</v>
      </c>
      <c r="E114" s="4">
        <v>3.91978122151321</v>
      </c>
      <c r="F114" s="4">
        <v>3.91978122151321</v>
      </c>
      <c r="G114" s="4">
        <v>11.4</v>
      </c>
      <c r="H114" s="4">
        <v>-18.513223731236501</v>
      </c>
      <c r="I114" s="4">
        <v>10.91</v>
      </c>
      <c r="J114" s="4">
        <v>11.45</v>
      </c>
      <c r="K114" s="4">
        <v>10.9</v>
      </c>
      <c r="L114" s="4">
        <v>-18.513223731236501</v>
      </c>
    </row>
    <row r="115" spans="1:12" ht="15" customHeight="1" x14ac:dyDescent="0.2">
      <c r="A115" s="6">
        <v>45884</v>
      </c>
      <c r="B115" s="7">
        <v>10.97</v>
      </c>
      <c r="C115" s="8">
        <v>888099</v>
      </c>
      <c r="D115" s="7">
        <v>-1.9999999999999501E-2</v>
      </c>
      <c r="E115" s="7">
        <v>-0.18198362147406799</v>
      </c>
      <c r="F115" s="7">
        <v>-0.18198362147406799</v>
      </c>
      <c r="G115" s="7">
        <v>10.97</v>
      </c>
      <c r="H115" s="7">
        <v>-21.586847748391701</v>
      </c>
      <c r="I115" s="7">
        <v>10.99</v>
      </c>
      <c r="J115" s="7">
        <v>11.16</v>
      </c>
      <c r="K115" s="7">
        <v>10.92</v>
      </c>
      <c r="L115" s="7">
        <v>-21.586847748391701</v>
      </c>
    </row>
    <row r="116" spans="1:12" ht="15" customHeight="1" x14ac:dyDescent="0.2">
      <c r="A116" s="3">
        <v>45883</v>
      </c>
      <c r="B116" s="4">
        <v>10.99</v>
      </c>
      <c r="C116" s="5">
        <v>1539638</v>
      </c>
      <c r="D116" s="4">
        <v>-7.0000000000000201E-2</v>
      </c>
      <c r="E116" s="4">
        <v>-0.632911392405066</v>
      </c>
      <c r="F116" s="4">
        <v>-0.632911392405066</v>
      </c>
      <c r="G116" s="4">
        <v>10.99</v>
      </c>
      <c r="H116" s="4">
        <v>-21.443888491779798</v>
      </c>
      <c r="I116" s="4">
        <v>11.11</v>
      </c>
      <c r="J116" s="4">
        <v>11.11</v>
      </c>
      <c r="K116" s="4">
        <v>10.85</v>
      </c>
      <c r="L116" s="4">
        <v>-21.443888491779798</v>
      </c>
    </row>
    <row r="117" spans="1:12" ht="15" customHeight="1" x14ac:dyDescent="0.2">
      <c r="A117" s="6">
        <v>45882</v>
      </c>
      <c r="B117" s="7">
        <v>11.06</v>
      </c>
      <c r="C117" s="8">
        <v>2112302</v>
      </c>
      <c r="D117" s="7">
        <v>-1.9999999999999501E-2</v>
      </c>
      <c r="E117" s="7">
        <v>-0.180505415162446</v>
      </c>
      <c r="F117" s="7">
        <v>-0.180505415162446</v>
      </c>
      <c r="G117" s="7">
        <v>11.06</v>
      </c>
      <c r="H117" s="7">
        <v>-20.943531093638299</v>
      </c>
      <c r="I117" s="7">
        <v>11.13</v>
      </c>
      <c r="J117" s="7">
        <v>11.2</v>
      </c>
      <c r="K117" s="7">
        <v>11.03</v>
      </c>
      <c r="L117" s="7">
        <v>-20.943531093638299</v>
      </c>
    </row>
    <row r="118" spans="1:12" ht="15" customHeight="1" x14ac:dyDescent="0.2">
      <c r="A118" s="3">
        <v>45881</v>
      </c>
      <c r="B118" s="4">
        <v>11.08</v>
      </c>
      <c r="C118" s="5">
        <v>2816524</v>
      </c>
      <c r="D118" s="4">
        <v>0.56999999999999995</v>
      </c>
      <c r="E118" s="4">
        <v>5.4234062797335802</v>
      </c>
      <c r="F118" s="4">
        <v>5.4234062797335802</v>
      </c>
      <c r="G118" s="4">
        <v>11.08</v>
      </c>
      <c r="H118" s="4">
        <v>-20.8005718370264</v>
      </c>
      <c r="I118" s="4">
        <v>10.47</v>
      </c>
      <c r="J118" s="4">
        <v>11.12</v>
      </c>
      <c r="K118" s="4">
        <v>10.47</v>
      </c>
      <c r="L118" s="4">
        <v>-20.8005718370264</v>
      </c>
    </row>
    <row r="119" spans="1:12" ht="15" customHeight="1" x14ac:dyDescent="0.2">
      <c r="A119" s="6">
        <v>45880</v>
      </c>
      <c r="B119" s="7">
        <v>10.51</v>
      </c>
      <c r="C119" s="8">
        <v>1308971</v>
      </c>
      <c r="D119" s="7">
        <v>0.08</v>
      </c>
      <c r="E119" s="7">
        <v>0.76701821668265702</v>
      </c>
      <c r="F119" s="7">
        <v>0.76701821668265702</v>
      </c>
      <c r="G119" s="7">
        <v>10.51</v>
      </c>
      <c r="H119" s="7">
        <v>-24.874910650464599</v>
      </c>
      <c r="I119" s="7">
        <v>10.37</v>
      </c>
      <c r="J119" s="7">
        <v>10.56</v>
      </c>
      <c r="K119" s="7">
        <v>10.28</v>
      </c>
      <c r="L119" s="7">
        <v>-24.874910650464599</v>
      </c>
    </row>
    <row r="120" spans="1:12" ht="15" customHeight="1" x14ac:dyDescent="0.2">
      <c r="A120" s="3">
        <v>45877</v>
      </c>
      <c r="B120" s="4">
        <v>10.43</v>
      </c>
      <c r="C120" s="5">
        <v>1075171</v>
      </c>
      <c r="D120" s="4">
        <v>-0.38</v>
      </c>
      <c r="E120" s="4">
        <v>-3.5152636447733698</v>
      </c>
      <c r="F120" s="4">
        <v>-3.5152636447733698</v>
      </c>
      <c r="G120" s="4">
        <v>10.43</v>
      </c>
      <c r="H120" s="4">
        <v>-25.446747676912</v>
      </c>
      <c r="I120" s="4">
        <v>10.85</v>
      </c>
      <c r="J120" s="4">
        <v>10.85</v>
      </c>
      <c r="K120" s="4">
        <v>10.39</v>
      </c>
      <c r="L120" s="4">
        <v>-25.446747676912</v>
      </c>
    </row>
    <row r="121" spans="1:12" ht="15" customHeight="1" x14ac:dyDescent="0.2">
      <c r="A121" s="6">
        <v>45876</v>
      </c>
      <c r="B121" s="7">
        <v>10.81</v>
      </c>
      <c r="C121" s="8">
        <v>1611093</v>
      </c>
      <c r="D121" s="7">
        <v>-2.9999999999999302E-2</v>
      </c>
      <c r="E121" s="7">
        <v>-0.27675276752766598</v>
      </c>
      <c r="F121" s="7">
        <v>-0.27675276752766598</v>
      </c>
      <c r="G121" s="7">
        <v>10.81</v>
      </c>
      <c r="H121" s="7">
        <v>-22.730521801286599</v>
      </c>
      <c r="I121" s="7">
        <v>10.89</v>
      </c>
      <c r="J121" s="7">
        <v>11.03</v>
      </c>
      <c r="K121" s="7">
        <v>10.68</v>
      </c>
      <c r="L121" s="7">
        <v>-22.730521801286599</v>
      </c>
    </row>
    <row r="122" spans="1:12" ht="15" customHeight="1" x14ac:dyDescent="0.2">
      <c r="A122" s="3">
        <v>45875</v>
      </c>
      <c r="B122" s="4">
        <v>10.84</v>
      </c>
      <c r="C122" s="5">
        <v>1585125</v>
      </c>
      <c r="D122" s="4">
        <v>0.25999999999999901</v>
      </c>
      <c r="E122" s="4">
        <v>2.4574669187145499</v>
      </c>
      <c r="F122" s="4">
        <v>2.4574669187145499</v>
      </c>
      <c r="G122" s="4">
        <v>10.84</v>
      </c>
      <c r="H122" s="4">
        <v>-22.516082916368799</v>
      </c>
      <c r="I122" s="4">
        <v>10.53</v>
      </c>
      <c r="J122" s="4">
        <v>10.87</v>
      </c>
      <c r="K122" s="4">
        <v>10.5</v>
      </c>
      <c r="L122" s="4">
        <v>-22.516082916368799</v>
      </c>
    </row>
    <row r="123" spans="1:12" ht="15" customHeight="1" x14ac:dyDescent="0.2">
      <c r="A123" s="6">
        <v>45874</v>
      </c>
      <c r="B123" s="7">
        <v>10.58</v>
      </c>
      <c r="C123" s="8">
        <v>3542379</v>
      </c>
      <c r="D123" s="7">
        <v>-9.9999999999997799E-3</v>
      </c>
      <c r="E123" s="7">
        <v>-9.4428706326721207E-2</v>
      </c>
      <c r="F123" s="7">
        <v>-9.4428706326721207E-2</v>
      </c>
      <c r="G123" s="7">
        <v>10.58</v>
      </c>
      <c r="H123" s="7">
        <v>-24.374553252323</v>
      </c>
      <c r="I123" s="7">
        <v>10.59</v>
      </c>
      <c r="J123" s="7">
        <v>10.72</v>
      </c>
      <c r="K123" s="7">
        <v>10.38</v>
      </c>
      <c r="L123" s="7">
        <v>-24.374553252323</v>
      </c>
    </row>
    <row r="124" spans="1:12" ht="15" customHeight="1" x14ac:dyDescent="0.2">
      <c r="A124" s="3">
        <v>45873</v>
      </c>
      <c r="B124" s="4">
        <v>10.59</v>
      </c>
      <c r="C124" s="5">
        <v>997977</v>
      </c>
      <c r="D124" s="4">
        <v>-0.189999999999999</v>
      </c>
      <c r="E124" s="4">
        <v>-1.76252319109461</v>
      </c>
      <c r="F124" s="4">
        <v>-1.76252319109461</v>
      </c>
      <c r="G124" s="4">
        <v>10.59</v>
      </c>
      <c r="H124" s="4">
        <v>-24.303073624017099</v>
      </c>
      <c r="I124" s="4">
        <v>10.95</v>
      </c>
      <c r="J124" s="4">
        <v>11.02</v>
      </c>
      <c r="K124" s="4">
        <v>10.53</v>
      </c>
      <c r="L124" s="4">
        <v>-24.303073624017099</v>
      </c>
    </row>
    <row r="125" spans="1:12" ht="15" customHeight="1" x14ac:dyDescent="0.2">
      <c r="A125" s="6">
        <v>45870</v>
      </c>
      <c r="B125" s="7">
        <v>10.78</v>
      </c>
      <c r="C125" s="8">
        <v>1783249</v>
      </c>
      <c r="D125" s="7">
        <v>-0.25999999999999901</v>
      </c>
      <c r="E125" s="7">
        <v>-2.35507246376811</v>
      </c>
      <c r="F125" s="7">
        <v>-2.35507246376811</v>
      </c>
      <c r="G125" s="7">
        <v>10.78</v>
      </c>
      <c r="H125" s="7">
        <v>-22.9449606862044</v>
      </c>
      <c r="I125" s="7">
        <v>11.13</v>
      </c>
      <c r="J125" s="7">
        <v>11.13</v>
      </c>
      <c r="K125" s="7">
        <v>10.68</v>
      </c>
      <c r="L125" s="7">
        <v>-22.9449606862044</v>
      </c>
    </row>
    <row r="126" spans="1:12" ht="15" customHeight="1" x14ac:dyDescent="0.2">
      <c r="A126" s="3">
        <v>45869</v>
      </c>
      <c r="B126" s="4">
        <v>11.04</v>
      </c>
      <c r="C126" s="5">
        <v>3239293</v>
      </c>
      <c r="D126" s="4">
        <v>0.19999999999999901</v>
      </c>
      <c r="E126" s="4">
        <v>1.84501845018449</v>
      </c>
      <c r="F126" s="4">
        <v>1.84501845018449</v>
      </c>
      <c r="G126" s="4">
        <v>11.04</v>
      </c>
      <c r="H126" s="4">
        <v>-21.086490350250099</v>
      </c>
      <c r="I126" s="4">
        <v>10.89</v>
      </c>
      <c r="J126" s="4">
        <v>11.2</v>
      </c>
      <c r="K126" s="4">
        <v>10.84</v>
      </c>
      <c r="L126" s="4">
        <v>-21.086490350250099</v>
      </c>
    </row>
    <row r="127" spans="1:12" ht="15" customHeight="1" x14ac:dyDescent="0.2">
      <c r="A127" s="6">
        <v>45868</v>
      </c>
      <c r="B127" s="7">
        <v>10.84</v>
      </c>
      <c r="C127" s="8">
        <v>3755013</v>
      </c>
      <c r="D127" s="7">
        <v>0.57999999999999996</v>
      </c>
      <c r="E127" s="7">
        <v>5.6530214424951302</v>
      </c>
      <c r="F127" s="7">
        <v>5.6530214424951302</v>
      </c>
      <c r="G127" s="7">
        <v>10.84</v>
      </c>
      <c r="H127" s="7">
        <v>-22.516082916368799</v>
      </c>
      <c r="I127" s="7">
        <v>10.29</v>
      </c>
      <c r="J127" s="7">
        <v>10.98</v>
      </c>
      <c r="K127" s="7">
        <v>10.26</v>
      </c>
      <c r="L127" s="7">
        <v>-22.516082916368799</v>
      </c>
    </row>
    <row r="128" spans="1:12" ht="15" customHeight="1" x14ac:dyDescent="0.2">
      <c r="A128" s="3">
        <v>45867</v>
      </c>
      <c r="B128" s="4">
        <v>10.26</v>
      </c>
      <c r="C128" s="5">
        <v>4989909</v>
      </c>
      <c r="D128" s="4"/>
      <c r="E128" s="4"/>
      <c r="F128" s="4"/>
      <c r="G128" s="4">
        <v>10.26</v>
      </c>
      <c r="H128" s="4">
        <v>-26.6619013581129</v>
      </c>
      <c r="I128" s="4">
        <v>10.4</v>
      </c>
      <c r="J128" s="4">
        <v>10.45</v>
      </c>
      <c r="K128" s="4">
        <v>10.17</v>
      </c>
      <c r="L128" s="4">
        <v>-26.6619013581129</v>
      </c>
    </row>
    <row r="129" spans="1:12" ht="15" customHeight="1" x14ac:dyDescent="0.2">
      <c r="A129" s="6">
        <v>45866</v>
      </c>
      <c r="B129" s="7">
        <v>10.26</v>
      </c>
      <c r="C129" s="8">
        <v>4537454</v>
      </c>
      <c r="D129" s="7">
        <v>0.22</v>
      </c>
      <c r="E129" s="7">
        <v>2.1912350597609498</v>
      </c>
      <c r="F129" s="7">
        <v>2.1912350597609498</v>
      </c>
      <c r="G129" s="7">
        <v>10.26</v>
      </c>
      <c r="H129" s="7">
        <v>-26.6619013581129</v>
      </c>
      <c r="I129" s="7">
        <v>9.98</v>
      </c>
      <c r="J129" s="7">
        <v>10.32</v>
      </c>
      <c r="K129" s="7">
        <v>9.98</v>
      </c>
      <c r="L129" s="7">
        <v>-26.6619013581129</v>
      </c>
    </row>
    <row r="130" spans="1:12" ht="15" customHeight="1" x14ac:dyDescent="0.2">
      <c r="A130" s="3">
        <v>45863</v>
      </c>
      <c r="B130" s="4">
        <v>10.039999999999999</v>
      </c>
      <c r="C130" s="5">
        <v>1835996</v>
      </c>
      <c r="D130" s="4">
        <v>0.189999999999999</v>
      </c>
      <c r="E130" s="4">
        <v>1.9289340101522801</v>
      </c>
      <c r="F130" s="4">
        <v>1.9289340101522801</v>
      </c>
      <c r="G130" s="4">
        <v>10.039999999999999</v>
      </c>
      <c r="H130" s="4">
        <v>-28.234453180843399</v>
      </c>
      <c r="I130" s="4">
        <v>9.8000000000000007</v>
      </c>
      <c r="J130" s="4">
        <v>10.07</v>
      </c>
      <c r="K130" s="4">
        <v>9.66</v>
      </c>
      <c r="L130" s="4">
        <v>-28.234453180843399</v>
      </c>
    </row>
    <row r="131" spans="1:12" ht="15" customHeight="1" x14ac:dyDescent="0.2">
      <c r="A131" s="6">
        <v>45862</v>
      </c>
      <c r="B131" s="7">
        <v>9.85</v>
      </c>
      <c r="C131" s="8">
        <v>2184645</v>
      </c>
      <c r="D131" s="7">
        <v>-0.14000000000000001</v>
      </c>
      <c r="E131" s="7">
        <v>-1.4014014014014</v>
      </c>
      <c r="F131" s="7">
        <v>-1.4014014014014</v>
      </c>
      <c r="G131" s="7">
        <v>9.85</v>
      </c>
      <c r="H131" s="7">
        <v>-29.592566118656102</v>
      </c>
      <c r="I131" s="7">
        <v>10</v>
      </c>
      <c r="J131" s="7">
        <v>10.23</v>
      </c>
      <c r="K131" s="7">
        <v>9.81</v>
      </c>
      <c r="L131" s="7">
        <v>-29.592566118656102</v>
      </c>
    </row>
    <row r="132" spans="1:12" ht="15" customHeight="1" x14ac:dyDescent="0.2">
      <c r="A132" s="3">
        <v>45861</v>
      </c>
      <c r="B132" s="4">
        <v>9.99</v>
      </c>
      <c r="C132" s="5">
        <v>5142976</v>
      </c>
      <c r="D132" s="4">
        <v>0.62000000000000099</v>
      </c>
      <c r="E132" s="4">
        <v>6.6168623265741902</v>
      </c>
      <c r="F132" s="4">
        <v>6.6168623265741902</v>
      </c>
      <c r="G132" s="4">
        <v>9.99</v>
      </c>
      <c r="H132" s="4">
        <v>-28.591851322373099</v>
      </c>
      <c r="I132" s="4">
        <v>9.4</v>
      </c>
      <c r="J132" s="4">
        <v>10.1</v>
      </c>
      <c r="K132" s="4">
        <v>9.4</v>
      </c>
      <c r="L132" s="4">
        <v>-28.591851322373099</v>
      </c>
    </row>
    <row r="133" spans="1:12" ht="15" customHeight="1" x14ac:dyDescent="0.2">
      <c r="A133" s="6">
        <v>45860</v>
      </c>
      <c r="B133" s="7">
        <v>9.3699999999999992</v>
      </c>
      <c r="C133" s="8">
        <v>11197570</v>
      </c>
      <c r="D133" s="7">
        <v>0.97999999999999798</v>
      </c>
      <c r="E133" s="7">
        <v>11.6805721096543</v>
      </c>
      <c r="F133" s="7">
        <v>11.6805721096543</v>
      </c>
      <c r="G133" s="7">
        <v>9.3699999999999992</v>
      </c>
      <c r="H133" s="7">
        <v>-33.023588277340899</v>
      </c>
      <c r="I133" s="7">
        <v>8.34</v>
      </c>
      <c r="J133" s="7">
        <v>9.49</v>
      </c>
      <c r="K133" s="7">
        <v>8.3000000000000007</v>
      </c>
      <c r="L133" s="7">
        <v>-33.023588277340899</v>
      </c>
    </row>
    <row r="134" spans="1:12" ht="15" customHeight="1" x14ac:dyDescent="0.2">
      <c r="A134" s="3">
        <v>45859</v>
      </c>
      <c r="B134" s="4">
        <v>8.39</v>
      </c>
      <c r="C134" s="5">
        <v>2862692</v>
      </c>
      <c r="D134" s="4">
        <v>-0.149999999999998</v>
      </c>
      <c r="E134" s="4">
        <v>-1.75644028103042</v>
      </c>
      <c r="F134" s="4">
        <v>-1.75644028103042</v>
      </c>
      <c r="G134" s="4">
        <v>8.39</v>
      </c>
      <c r="H134" s="4">
        <v>-40.028591851322297</v>
      </c>
      <c r="I134" s="4">
        <v>8.51</v>
      </c>
      <c r="J134" s="4">
        <v>8.6999999999999993</v>
      </c>
      <c r="K134" s="4">
        <v>8.3000000000000007</v>
      </c>
      <c r="L134" s="4">
        <v>-40.028591851322297</v>
      </c>
    </row>
    <row r="135" spans="1:12" ht="15" customHeight="1" x14ac:dyDescent="0.2">
      <c r="A135" s="6">
        <v>45856</v>
      </c>
      <c r="B135" s="7">
        <v>8.5399999999999991</v>
      </c>
      <c r="C135" s="8">
        <v>2124924</v>
      </c>
      <c r="D135" s="7">
        <v>-0.3</v>
      </c>
      <c r="E135" s="7">
        <v>-3.39366515837105</v>
      </c>
      <c r="F135" s="7">
        <v>-3.39366515837105</v>
      </c>
      <c r="G135" s="7">
        <v>8.5399999999999991</v>
      </c>
      <c r="H135" s="7">
        <v>-38.956397426733297</v>
      </c>
      <c r="I135" s="7">
        <v>8.7899999999999991</v>
      </c>
      <c r="J135" s="7">
        <v>8.8800000000000008</v>
      </c>
      <c r="K135" s="7">
        <v>8.5</v>
      </c>
      <c r="L135" s="7">
        <v>-38.956397426733297</v>
      </c>
    </row>
    <row r="136" spans="1:12" ht="15" customHeight="1" x14ac:dyDescent="0.2">
      <c r="A136" s="3">
        <v>45855</v>
      </c>
      <c r="B136" s="4">
        <v>8.84</v>
      </c>
      <c r="C136" s="5">
        <v>1749681</v>
      </c>
      <c r="D136" s="4">
        <v>0.08</v>
      </c>
      <c r="E136" s="4">
        <v>0.91324200913243103</v>
      </c>
      <c r="F136" s="4">
        <v>0.91324200913243103</v>
      </c>
      <c r="G136" s="4">
        <v>8.84</v>
      </c>
      <c r="H136" s="4">
        <v>-36.812008577555297</v>
      </c>
      <c r="I136" s="4">
        <v>8.75</v>
      </c>
      <c r="J136" s="4">
        <v>8.98</v>
      </c>
      <c r="K136" s="4">
        <v>8.74</v>
      </c>
      <c r="L136" s="4">
        <v>-36.812008577555297</v>
      </c>
    </row>
    <row r="137" spans="1:12" ht="15" customHeight="1" x14ac:dyDescent="0.2">
      <c r="A137" s="6">
        <v>45854</v>
      </c>
      <c r="B137" s="7">
        <v>8.76</v>
      </c>
      <c r="C137" s="8">
        <v>1114749</v>
      </c>
      <c r="D137" s="7">
        <v>-0.12000000000000099</v>
      </c>
      <c r="E137" s="7">
        <v>-1.35135135135135</v>
      </c>
      <c r="F137" s="7">
        <v>-1.35135135135135</v>
      </c>
      <c r="G137" s="7">
        <v>8.76</v>
      </c>
      <c r="H137" s="7">
        <v>-37.383845604002801</v>
      </c>
      <c r="I137" s="7">
        <v>8.93</v>
      </c>
      <c r="J137" s="7">
        <v>8.9600000000000009</v>
      </c>
      <c r="K137" s="7">
        <v>8.65</v>
      </c>
      <c r="L137" s="7">
        <v>-37.383845604002801</v>
      </c>
    </row>
    <row r="138" spans="1:12" ht="15" customHeight="1" x14ac:dyDescent="0.2">
      <c r="A138" s="3">
        <v>45853</v>
      </c>
      <c r="B138" s="4">
        <v>8.8800000000000008</v>
      </c>
      <c r="C138" s="5">
        <v>1417097</v>
      </c>
      <c r="D138" s="4">
        <v>-0.25999999999999901</v>
      </c>
      <c r="E138" s="4">
        <v>-2.8446389496717699</v>
      </c>
      <c r="F138" s="4">
        <v>-2.8446389496717699</v>
      </c>
      <c r="G138" s="4">
        <v>8.8800000000000008</v>
      </c>
      <c r="H138" s="4">
        <v>-36.526090064331598</v>
      </c>
      <c r="I138" s="4">
        <v>9.15</v>
      </c>
      <c r="J138" s="4">
        <v>9.23</v>
      </c>
      <c r="K138" s="4">
        <v>8.84</v>
      </c>
      <c r="L138" s="4">
        <v>-36.526090064331598</v>
      </c>
    </row>
    <row r="139" spans="1:12" ht="15" customHeight="1" x14ac:dyDescent="0.2">
      <c r="A139" s="6">
        <v>45852</v>
      </c>
      <c r="B139" s="7">
        <v>9.14</v>
      </c>
      <c r="C139" s="8">
        <v>1596294</v>
      </c>
      <c r="D139" s="7">
        <v>-9.9999999999997799E-3</v>
      </c>
      <c r="E139" s="7">
        <v>-0.109289617486341</v>
      </c>
      <c r="F139" s="7">
        <v>-0.109289617486341</v>
      </c>
      <c r="G139" s="7">
        <v>9.14</v>
      </c>
      <c r="H139" s="7">
        <v>-34.667619728377403</v>
      </c>
      <c r="I139" s="7">
        <v>9.15</v>
      </c>
      <c r="J139" s="7">
        <v>9.1999999999999993</v>
      </c>
      <c r="K139" s="7">
        <v>9</v>
      </c>
      <c r="L139" s="7">
        <v>-34.667619728377403</v>
      </c>
    </row>
    <row r="140" spans="1:12" ht="15" customHeight="1" x14ac:dyDescent="0.2">
      <c r="A140" s="3">
        <v>45849</v>
      </c>
      <c r="B140" s="4">
        <v>9.15</v>
      </c>
      <c r="C140" s="5">
        <v>3623329</v>
      </c>
      <c r="D140" s="4">
        <v>0.16</v>
      </c>
      <c r="E140" s="4">
        <v>1.7797552836485</v>
      </c>
      <c r="F140" s="4">
        <v>1.7797552836485</v>
      </c>
      <c r="G140" s="4">
        <v>9.15</v>
      </c>
      <c r="H140" s="4">
        <v>-34.596140100071402</v>
      </c>
      <c r="I140" s="4">
        <v>9</v>
      </c>
      <c r="J140" s="4">
        <v>9.2200000000000006</v>
      </c>
      <c r="K140" s="4">
        <v>8.83</v>
      </c>
      <c r="L140" s="4">
        <v>-34.596140100071402</v>
      </c>
    </row>
    <row r="141" spans="1:12" ht="15" customHeight="1" x14ac:dyDescent="0.2">
      <c r="A141" s="6">
        <v>45848</v>
      </c>
      <c r="B141" s="7">
        <v>8.99</v>
      </c>
      <c r="C141" s="8">
        <v>2820630</v>
      </c>
      <c r="D141" s="7">
        <v>0.46</v>
      </c>
      <c r="E141" s="7">
        <v>5.3927315357561598</v>
      </c>
      <c r="F141" s="7">
        <v>5.3927315357561598</v>
      </c>
      <c r="G141" s="7">
        <v>8.99</v>
      </c>
      <c r="H141" s="7">
        <v>-35.739814152966403</v>
      </c>
      <c r="I141" s="7">
        <v>8.57</v>
      </c>
      <c r="J141" s="7">
        <v>9.0399999999999991</v>
      </c>
      <c r="K141" s="7">
        <v>8.5500000000000007</v>
      </c>
      <c r="L141" s="7">
        <v>-35.739814152966403</v>
      </c>
    </row>
    <row r="142" spans="1:12" ht="15" customHeight="1" x14ac:dyDescent="0.2">
      <c r="A142" s="3">
        <v>45847</v>
      </c>
      <c r="B142" s="4">
        <v>8.5299999999999994</v>
      </c>
      <c r="C142" s="5">
        <v>2802395</v>
      </c>
      <c r="D142" s="4">
        <v>0.28999999999999898</v>
      </c>
      <c r="E142" s="4">
        <v>3.5194174757281398</v>
      </c>
      <c r="F142" s="4">
        <v>3.5194174757281398</v>
      </c>
      <c r="G142" s="4">
        <v>8.5299999999999994</v>
      </c>
      <c r="H142" s="4">
        <v>-39.027877055039298</v>
      </c>
      <c r="I142" s="4">
        <v>8.25</v>
      </c>
      <c r="J142" s="4">
        <v>8.56</v>
      </c>
      <c r="K142" s="4">
        <v>8.24</v>
      </c>
      <c r="L142" s="4">
        <v>-39.027877055039298</v>
      </c>
    </row>
    <row r="143" spans="1:12" ht="15" customHeight="1" x14ac:dyDescent="0.2">
      <c r="A143" s="6">
        <v>45846</v>
      </c>
      <c r="B143" s="7">
        <v>8.24</v>
      </c>
      <c r="C143" s="8">
        <v>2354534</v>
      </c>
      <c r="D143" s="7">
        <v>-0.5</v>
      </c>
      <c r="E143" s="7">
        <v>-5.7208237986270003</v>
      </c>
      <c r="F143" s="7">
        <v>-5.7208237986270003</v>
      </c>
      <c r="G143" s="7">
        <v>8.24</v>
      </c>
      <c r="H143" s="7">
        <v>-41.100786275911297</v>
      </c>
      <c r="I143" s="7">
        <v>8.7899999999999991</v>
      </c>
      <c r="J143" s="7">
        <v>8.9</v>
      </c>
      <c r="K143" s="7">
        <v>8.1999999999999993</v>
      </c>
      <c r="L143" s="7">
        <v>-41.100786275911297</v>
      </c>
    </row>
    <row r="144" spans="1:12" ht="15" customHeight="1" x14ac:dyDescent="0.2">
      <c r="A144" s="3">
        <v>45845</v>
      </c>
      <c r="B144" s="4">
        <v>8.74</v>
      </c>
      <c r="C144" s="5">
        <v>1582669</v>
      </c>
      <c r="D144" s="4">
        <v>-0.32</v>
      </c>
      <c r="E144" s="4">
        <v>-3.5320088300220802</v>
      </c>
      <c r="F144" s="4">
        <v>-3.5320088300220802</v>
      </c>
      <c r="G144" s="4">
        <v>8.74</v>
      </c>
      <c r="H144" s="4">
        <v>-37.526804860614703</v>
      </c>
      <c r="I144" s="4">
        <v>9.08</v>
      </c>
      <c r="J144" s="4">
        <v>9.16</v>
      </c>
      <c r="K144" s="4">
        <v>8.68</v>
      </c>
      <c r="L144" s="4">
        <v>-37.526804860614703</v>
      </c>
    </row>
    <row r="145" spans="1:12" ht="15" customHeight="1" x14ac:dyDescent="0.2">
      <c r="A145" s="6">
        <v>45842</v>
      </c>
      <c r="B145" s="7">
        <v>9.06</v>
      </c>
      <c r="C145" s="8">
        <v>804368</v>
      </c>
      <c r="D145" s="7">
        <v>6.0000000000000497E-2</v>
      </c>
      <c r="E145" s="7">
        <v>0.66666666666668195</v>
      </c>
      <c r="F145" s="7">
        <v>0.66666666666668195</v>
      </c>
      <c r="G145" s="7">
        <v>9.06</v>
      </c>
      <c r="H145" s="7">
        <v>-35.239456754824801</v>
      </c>
      <c r="I145" s="7">
        <v>9.0399999999999991</v>
      </c>
      <c r="J145" s="7">
        <v>9.14</v>
      </c>
      <c r="K145" s="7">
        <v>8.9499999999999993</v>
      </c>
      <c r="L145" s="7">
        <v>-35.239456754824801</v>
      </c>
    </row>
    <row r="146" spans="1:12" ht="15" customHeight="1" x14ac:dyDescent="0.2">
      <c r="A146" s="3">
        <v>45841</v>
      </c>
      <c r="B146" s="4">
        <v>9</v>
      </c>
      <c r="C146" s="5">
        <v>1534731</v>
      </c>
      <c r="D146" s="4">
        <v>-1.9999999999999501E-2</v>
      </c>
      <c r="E146" s="4">
        <v>-0.22172949002217099</v>
      </c>
      <c r="F146" s="4">
        <v>-0.22172949002217099</v>
      </c>
      <c r="G146" s="4">
        <v>9</v>
      </c>
      <c r="H146" s="4">
        <v>-35.668334524660402</v>
      </c>
      <c r="I146" s="4">
        <v>9.0500000000000007</v>
      </c>
      <c r="J146" s="4">
        <v>9.16</v>
      </c>
      <c r="K146" s="4">
        <v>8.9</v>
      </c>
      <c r="L146" s="4">
        <v>-35.668334524660402</v>
      </c>
    </row>
    <row r="147" spans="1:12" ht="15" customHeight="1" x14ac:dyDescent="0.2">
      <c r="A147" s="6">
        <v>45840</v>
      </c>
      <c r="B147" s="7">
        <v>9.02</v>
      </c>
      <c r="C147" s="8">
        <v>1013680</v>
      </c>
      <c r="D147" s="7"/>
      <c r="E147" s="7"/>
      <c r="F147" s="7"/>
      <c r="G147" s="7">
        <v>9.02</v>
      </c>
      <c r="H147" s="7">
        <v>-35.525375268048599</v>
      </c>
      <c r="I147" s="7">
        <v>9</v>
      </c>
      <c r="J147" s="7">
        <v>9.18</v>
      </c>
      <c r="K147" s="7">
        <v>8.93</v>
      </c>
      <c r="L147" s="7">
        <v>-35.525375268048599</v>
      </c>
    </row>
    <row r="148" spans="1:12" ht="15" customHeight="1" x14ac:dyDescent="0.2">
      <c r="A148" s="3">
        <v>45839</v>
      </c>
      <c r="B148" s="4">
        <v>9.02</v>
      </c>
      <c r="C148" s="5">
        <v>1369019</v>
      </c>
      <c r="D148" s="4">
        <v>0.13999999999999799</v>
      </c>
      <c r="E148" s="4">
        <v>1.57657657657657</v>
      </c>
      <c r="F148" s="4">
        <v>1.57657657657657</v>
      </c>
      <c r="G148" s="4">
        <v>9.02</v>
      </c>
      <c r="H148" s="4">
        <v>-35.525375268048599</v>
      </c>
      <c r="I148" s="4">
        <v>8.93</v>
      </c>
      <c r="J148" s="4">
        <v>9.11</v>
      </c>
      <c r="K148" s="4">
        <v>8.83</v>
      </c>
      <c r="L148" s="4">
        <v>-35.525375268048599</v>
      </c>
    </row>
    <row r="149" spans="1:12" ht="15" customHeight="1" x14ac:dyDescent="0.2">
      <c r="A149" s="6">
        <v>45838</v>
      </c>
      <c r="B149" s="7">
        <v>8.8800000000000008</v>
      </c>
      <c r="C149" s="8">
        <v>2258201</v>
      </c>
      <c r="D149" s="7">
        <v>2.0000000000001301E-2</v>
      </c>
      <c r="E149" s="7">
        <v>0.22573363431153101</v>
      </c>
      <c r="F149" s="7">
        <v>0.22573363431153101</v>
      </c>
      <c r="G149" s="7">
        <v>8.8800000000000008</v>
      </c>
      <c r="H149" s="7">
        <v>-36.526090064331598</v>
      </c>
      <c r="I149" s="7">
        <v>8.86</v>
      </c>
      <c r="J149" s="7">
        <v>9</v>
      </c>
      <c r="K149" s="7">
        <v>8.81</v>
      </c>
      <c r="L149" s="7">
        <v>-36.526090064331598</v>
      </c>
    </row>
    <row r="150" spans="1:12" ht="15" customHeight="1" x14ac:dyDescent="0.2">
      <c r="A150" s="3">
        <v>45835</v>
      </c>
      <c r="B150" s="4">
        <v>8.86</v>
      </c>
      <c r="C150" s="5">
        <v>2522557</v>
      </c>
      <c r="D150" s="4">
        <v>0.29999999999999799</v>
      </c>
      <c r="E150" s="4">
        <v>3.5046728971962402</v>
      </c>
      <c r="F150" s="4">
        <v>3.5046728971962402</v>
      </c>
      <c r="G150" s="4">
        <v>8.86</v>
      </c>
      <c r="H150" s="4">
        <v>-36.6690493209435</v>
      </c>
      <c r="I150" s="4">
        <v>8.56</v>
      </c>
      <c r="J150" s="4">
        <v>8.9499999999999993</v>
      </c>
      <c r="K150" s="4">
        <v>8.51</v>
      </c>
      <c r="L150" s="4">
        <v>-36.6690493209435</v>
      </c>
    </row>
    <row r="151" spans="1:12" ht="15" customHeight="1" x14ac:dyDescent="0.2">
      <c r="A151" s="6">
        <v>45834</v>
      </c>
      <c r="B151" s="7">
        <v>8.56</v>
      </c>
      <c r="C151" s="8">
        <v>1244629</v>
      </c>
      <c r="D151" s="7">
        <v>0.25</v>
      </c>
      <c r="E151" s="7">
        <v>3.0084235860409199</v>
      </c>
      <c r="F151" s="7">
        <v>3.0084235860409199</v>
      </c>
      <c r="G151" s="7">
        <v>8.56</v>
      </c>
      <c r="H151" s="7">
        <v>-38.813438170121501</v>
      </c>
      <c r="I151" s="7">
        <v>8.33</v>
      </c>
      <c r="J151" s="7">
        <v>8.59</v>
      </c>
      <c r="K151" s="7">
        <v>8.1999999999999993</v>
      </c>
      <c r="L151" s="7">
        <v>-38.813438170121501</v>
      </c>
    </row>
    <row r="152" spans="1:12" ht="15" customHeight="1" x14ac:dyDescent="0.2">
      <c r="A152" s="3">
        <v>45833</v>
      </c>
      <c r="B152" s="4">
        <v>8.31</v>
      </c>
      <c r="C152" s="5">
        <v>1716218</v>
      </c>
      <c r="D152" s="4">
        <v>-0.16999999999999901</v>
      </c>
      <c r="E152" s="4">
        <v>-2.00471698113207</v>
      </c>
      <c r="F152" s="4">
        <v>-2.00471698113207</v>
      </c>
      <c r="G152" s="4">
        <v>8.31</v>
      </c>
      <c r="H152" s="4">
        <v>-40.600428877769801</v>
      </c>
      <c r="I152" s="4">
        <v>8.42</v>
      </c>
      <c r="J152" s="4">
        <v>8.5</v>
      </c>
      <c r="K152" s="4">
        <v>8.26</v>
      </c>
      <c r="L152" s="4">
        <v>-40.600428877769801</v>
      </c>
    </row>
    <row r="153" spans="1:12" ht="15" customHeight="1" x14ac:dyDescent="0.2">
      <c r="A153" s="6">
        <v>45832</v>
      </c>
      <c r="B153" s="7">
        <v>8.48</v>
      </c>
      <c r="C153" s="8">
        <v>1274188</v>
      </c>
      <c r="D153" s="7">
        <v>0.16</v>
      </c>
      <c r="E153" s="7">
        <v>1.92307692307691</v>
      </c>
      <c r="F153" s="7">
        <v>1.92307692307691</v>
      </c>
      <c r="G153" s="7">
        <v>8.48</v>
      </c>
      <c r="H153" s="7">
        <v>-39.385275196568898</v>
      </c>
      <c r="I153" s="7">
        <v>8.3699999999999992</v>
      </c>
      <c r="J153" s="7">
        <v>8.57</v>
      </c>
      <c r="K153" s="7">
        <v>8.3699999999999992</v>
      </c>
      <c r="L153" s="7">
        <v>-39.385275196568898</v>
      </c>
    </row>
    <row r="154" spans="1:12" ht="15" customHeight="1" x14ac:dyDescent="0.2">
      <c r="A154" s="3">
        <v>45831</v>
      </c>
      <c r="B154" s="4">
        <v>8.32</v>
      </c>
      <c r="C154" s="5">
        <v>3892669</v>
      </c>
      <c r="D154" s="4">
        <v>0.28999999999999998</v>
      </c>
      <c r="E154" s="4">
        <v>3.6114570361145799</v>
      </c>
      <c r="F154" s="4">
        <v>3.6114570361145799</v>
      </c>
      <c r="G154" s="4">
        <v>8.32</v>
      </c>
      <c r="H154" s="4">
        <v>-40.528949249463899</v>
      </c>
      <c r="I154" s="4">
        <v>8.0500000000000007</v>
      </c>
      <c r="J154" s="4">
        <v>8.39</v>
      </c>
      <c r="K154" s="4">
        <v>7.96</v>
      </c>
      <c r="L154" s="4">
        <v>-40.528949249463899</v>
      </c>
    </row>
    <row r="155" spans="1:12" ht="15" customHeight="1" x14ac:dyDescent="0.2">
      <c r="A155" s="6">
        <v>45828</v>
      </c>
      <c r="B155" s="7">
        <v>8.0299999999999994</v>
      </c>
      <c r="C155" s="8">
        <v>3815586</v>
      </c>
      <c r="D155" s="7">
        <v>3.9999999999999099E-2</v>
      </c>
      <c r="E155" s="7">
        <v>0.50062578222778098</v>
      </c>
      <c r="F155" s="7">
        <v>0.50062578222778098</v>
      </c>
      <c r="G155" s="7">
        <v>8.0299999999999994</v>
      </c>
      <c r="H155" s="7">
        <v>-42.601858470335898</v>
      </c>
      <c r="I155" s="7">
        <v>8.06</v>
      </c>
      <c r="J155" s="7">
        <v>8.1999999999999993</v>
      </c>
      <c r="K155" s="7">
        <v>7.9700002999999997</v>
      </c>
      <c r="L155" s="7">
        <v>-42.601858470335898</v>
      </c>
    </row>
    <row r="156" spans="1:12" ht="15" customHeight="1" x14ac:dyDescent="0.2">
      <c r="A156" s="3">
        <v>45827</v>
      </c>
      <c r="B156" s="4">
        <v>7.99</v>
      </c>
      <c r="C156" s="5">
        <v>818191</v>
      </c>
      <c r="D156" s="4">
        <v>-0.189999999999999</v>
      </c>
      <c r="E156" s="4">
        <v>-2.32273838630806</v>
      </c>
      <c r="F156" s="4">
        <v>-2.32273838630806</v>
      </c>
      <c r="G156" s="4">
        <v>7.99</v>
      </c>
      <c r="H156" s="4">
        <v>-42.887776983559597</v>
      </c>
      <c r="I156" s="4">
        <v>8.18</v>
      </c>
      <c r="J156" s="4">
        <v>8.3000000000000007</v>
      </c>
      <c r="K156" s="4">
        <v>7.91</v>
      </c>
      <c r="L156" s="4">
        <v>-42.887776983559597</v>
      </c>
    </row>
    <row r="157" spans="1:12" ht="15" customHeight="1" x14ac:dyDescent="0.2">
      <c r="A157" s="6">
        <v>45826</v>
      </c>
      <c r="B157" s="7">
        <v>8.18</v>
      </c>
      <c r="C157" s="8">
        <v>1444903</v>
      </c>
      <c r="D157" s="7">
        <v>-0.25</v>
      </c>
      <c r="E157" s="7">
        <v>-2.9655990510082999</v>
      </c>
      <c r="F157" s="7">
        <v>-2.9655990510082999</v>
      </c>
      <c r="G157" s="7">
        <v>8.18</v>
      </c>
      <c r="H157" s="7">
        <v>-41.529664045746898</v>
      </c>
      <c r="I157" s="7">
        <v>8.3800000000000008</v>
      </c>
      <c r="J157" s="7">
        <v>8.58</v>
      </c>
      <c r="K157" s="7">
        <v>8.16</v>
      </c>
      <c r="L157" s="7">
        <v>-41.529664045746898</v>
      </c>
    </row>
    <row r="158" spans="1:12" ht="15" customHeight="1" x14ac:dyDescent="0.2">
      <c r="A158" s="3">
        <v>45825</v>
      </c>
      <c r="B158" s="4">
        <v>8.43</v>
      </c>
      <c r="C158" s="5">
        <v>2316114</v>
      </c>
      <c r="D158" s="4">
        <v>-0.3</v>
      </c>
      <c r="E158" s="4">
        <v>-3.43642611683849</v>
      </c>
      <c r="F158" s="4">
        <v>-3.43642611683849</v>
      </c>
      <c r="G158" s="4">
        <v>8.43</v>
      </c>
      <c r="H158" s="4">
        <v>-39.742673338098598</v>
      </c>
      <c r="I158" s="4">
        <v>8.77</v>
      </c>
      <c r="J158" s="4">
        <v>8.83</v>
      </c>
      <c r="K158" s="4">
        <v>8.3800000000000008</v>
      </c>
      <c r="L158" s="4">
        <v>-39.742673338098598</v>
      </c>
    </row>
    <row r="159" spans="1:12" ht="15" customHeight="1" x14ac:dyDescent="0.2">
      <c r="A159" s="6">
        <v>45824</v>
      </c>
      <c r="B159" s="7">
        <v>8.73</v>
      </c>
      <c r="C159" s="8">
        <v>1599500</v>
      </c>
      <c r="D159" s="7">
        <v>0.16999999999999901</v>
      </c>
      <c r="E159" s="7">
        <v>1.9859813084112099</v>
      </c>
      <c r="F159" s="7">
        <v>1.9859813084112099</v>
      </c>
      <c r="G159" s="7">
        <v>8.73</v>
      </c>
      <c r="H159" s="7">
        <v>-37.598284488920598</v>
      </c>
      <c r="I159" s="7">
        <v>8.5500000000000007</v>
      </c>
      <c r="J159" s="7">
        <v>8.83</v>
      </c>
      <c r="K159" s="7">
        <v>8.43</v>
      </c>
      <c r="L159" s="7">
        <v>-37.598284488920598</v>
      </c>
    </row>
    <row r="160" spans="1:12" ht="15" customHeight="1" x14ac:dyDescent="0.2">
      <c r="A160" s="3">
        <v>45821</v>
      </c>
      <c r="B160" s="4">
        <v>8.56</v>
      </c>
      <c r="C160" s="5">
        <v>2998044</v>
      </c>
      <c r="D160" s="4">
        <v>-0.35999999999999899</v>
      </c>
      <c r="E160" s="4">
        <v>-4.0358744394618702</v>
      </c>
      <c r="F160" s="4">
        <v>-4.0358744394618702</v>
      </c>
      <c r="G160" s="4">
        <v>8.56</v>
      </c>
      <c r="H160" s="4">
        <v>-38.813438170121501</v>
      </c>
      <c r="I160" s="4">
        <v>8.7899999999999991</v>
      </c>
      <c r="J160" s="4">
        <v>8.86</v>
      </c>
      <c r="K160" s="4">
        <v>8.52</v>
      </c>
      <c r="L160" s="4">
        <v>-38.813438170121501</v>
      </c>
    </row>
    <row r="161" spans="1:12" ht="15" customHeight="1" x14ac:dyDescent="0.2">
      <c r="A161" s="6">
        <v>45820</v>
      </c>
      <c r="B161" s="7">
        <v>8.92</v>
      </c>
      <c r="C161" s="8">
        <v>1694087</v>
      </c>
      <c r="D161" s="7">
        <v>5.0000000000000697E-2</v>
      </c>
      <c r="E161" s="7">
        <v>0.56369785794814198</v>
      </c>
      <c r="F161" s="7">
        <v>0.56369785794814198</v>
      </c>
      <c r="G161" s="7">
        <v>8.92</v>
      </c>
      <c r="H161" s="7">
        <v>-36.240171551107899</v>
      </c>
      <c r="I161" s="7">
        <v>8.8000000000000007</v>
      </c>
      <c r="J161" s="7">
        <v>9.07</v>
      </c>
      <c r="K161" s="7">
        <v>8.7799999999999994</v>
      </c>
      <c r="L161" s="7">
        <v>-36.240171551107899</v>
      </c>
    </row>
    <row r="162" spans="1:12" ht="15" customHeight="1" x14ac:dyDescent="0.2">
      <c r="A162" s="3">
        <v>45819</v>
      </c>
      <c r="B162" s="4">
        <v>8.8699999999999992</v>
      </c>
      <c r="C162" s="5">
        <v>2577929</v>
      </c>
      <c r="D162" s="4">
        <v>-0.48</v>
      </c>
      <c r="E162" s="4">
        <v>-5.1336898395721899</v>
      </c>
      <c r="F162" s="4">
        <v>-5.1336898395721899</v>
      </c>
      <c r="G162" s="4">
        <v>8.8699999999999992</v>
      </c>
      <c r="H162" s="4">
        <v>-36.597569692637599</v>
      </c>
      <c r="I162" s="4">
        <v>9.3000000000000007</v>
      </c>
      <c r="J162" s="4">
        <v>9.43</v>
      </c>
      <c r="K162" s="4">
        <v>8.82</v>
      </c>
      <c r="L162" s="4">
        <v>-36.597569692637599</v>
      </c>
    </row>
    <row r="163" spans="1:12" ht="15" customHeight="1" x14ac:dyDescent="0.2">
      <c r="A163" s="6">
        <v>45818</v>
      </c>
      <c r="B163" s="7">
        <v>9.35</v>
      </c>
      <c r="C163" s="8">
        <v>1401906</v>
      </c>
      <c r="D163" s="7">
        <v>-0.08</v>
      </c>
      <c r="E163" s="7">
        <v>-0.84835630965005504</v>
      </c>
      <c r="F163" s="7">
        <v>-0.84835630965005504</v>
      </c>
      <c r="G163" s="7">
        <v>9.35</v>
      </c>
      <c r="H163" s="7">
        <v>-33.166547533952802</v>
      </c>
      <c r="I163" s="7">
        <v>9.4700000000000006</v>
      </c>
      <c r="J163" s="7">
        <v>9.58</v>
      </c>
      <c r="K163" s="7">
        <v>9.33</v>
      </c>
      <c r="L163" s="7">
        <v>-33.166547533952802</v>
      </c>
    </row>
    <row r="164" spans="1:12" ht="15" customHeight="1" x14ac:dyDescent="0.2">
      <c r="A164" s="3">
        <v>45817</v>
      </c>
      <c r="B164" s="4">
        <v>9.43</v>
      </c>
      <c r="C164" s="5">
        <v>1956776</v>
      </c>
      <c r="D164" s="4">
        <v>0.109999999999999</v>
      </c>
      <c r="E164" s="4">
        <v>1.1802575107296001</v>
      </c>
      <c r="F164" s="4">
        <v>1.1802575107296001</v>
      </c>
      <c r="G164" s="4">
        <v>9.43</v>
      </c>
      <c r="H164" s="4">
        <v>-32.594710507505297</v>
      </c>
      <c r="I164" s="4">
        <v>9.32</v>
      </c>
      <c r="J164" s="4">
        <v>9.6300000000000008</v>
      </c>
      <c r="K164" s="4">
        <v>9.32</v>
      </c>
      <c r="L164" s="4">
        <v>-32.594710507505297</v>
      </c>
    </row>
    <row r="165" spans="1:12" ht="15" customHeight="1" x14ac:dyDescent="0.2">
      <c r="A165" s="6">
        <v>45814</v>
      </c>
      <c r="B165" s="7">
        <v>9.32</v>
      </c>
      <c r="C165" s="8">
        <v>1907858</v>
      </c>
      <c r="D165" s="7">
        <v>0.08</v>
      </c>
      <c r="E165" s="7">
        <v>0.86580086580085802</v>
      </c>
      <c r="F165" s="7">
        <v>0.86580086580085802</v>
      </c>
      <c r="G165" s="7">
        <v>9.32</v>
      </c>
      <c r="H165" s="7">
        <v>-33.380986418870599</v>
      </c>
      <c r="I165" s="7">
        <v>9.26</v>
      </c>
      <c r="J165" s="7">
        <v>9.44</v>
      </c>
      <c r="K165" s="7">
        <v>9.18</v>
      </c>
      <c r="L165" s="7">
        <v>-33.380986418870599</v>
      </c>
    </row>
    <row r="166" spans="1:12" ht="15" customHeight="1" x14ac:dyDescent="0.2">
      <c r="A166" s="3">
        <v>45813</v>
      </c>
      <c r="B166" s="4">
        <v>9.24</v>
      </c>
      <c r="C166" s="5">
        <v>1476385</v>
      </c>
      <c r="D166" s="4">
        <v>2.9999999999999302E-2</v>
      </c>
      <c r="E166" s="4">
        <v>0.325732899022801</v>
      </c>
      <c r="F166" s="4">
        <v>0.325732899022801</v>
      </c>
      <c r="G166" s="4">
        <v>9.24</v>
      </c>
      <c r="H166" s="4">
        <v>-33.952823445318003</v>
      </c>
      <c r="I166" s="4">
        <v>9.18</v>
      </c>
      <c r="J166" s="4">
        <v>9.2799999999999994</v>
      </c>
      <c r="K166" s="4">
        <v>9.15</v>
      </c>
      <c r="L166" s="4">
        <v>-33.952823445318003</v>
      </c>
    </row>
    <row r="167" spans="1:12" ht="15" customHeight="1" x14ac:dyDescent="0.2">
      <c r="A167" s="6">
        <v>45812</v>
      </c>
      <c r="B167" s="7">
        <v>9.2100000000000009</v>
      </c>
      <c r="C167" s="8">
        <v>1082546</v>
      </c>
      <c r="D167" s="7">
        <v>0.12000000000000099</v>
      </c>
      <c r="E167" s="7">
        <v>1.3201320132013299</v>
      </c>
      <c r="F167" s="7">
        <v>1.3201320132013299</v>
      </c>
      <c r="G167" s="7">
        <v>9.2100000000000009</v>
      </c>
      <c r="H167" s="7">
        <v>-34.167262330235801</v>
      </c>
      <c r="I167" s="7">
        <v>9.1</v>
      </c>
      <c r="J167" s="7">
        <v>9.23</v>
      </c>
      <c r="K167" s="7">
        <v>9.1</v>
      </c>
      <c r="L167" s="7">
        <v>-34.167262330235801</v>
      </c>
    </row>
    <row r="168" spans="1:12" ht="15" customHeight="1" x14ac:dyDescent="0.2">
      <c r="A168" s="3">
        <v>45811</v>
      </c>
      <c r="B168" s="4">
        <v>9.09</v>
      </c>
      <c r="C168" s="5">
        <v>1629273</v>
      </c>
      <c r="D168" s="4">
        <v>0.16</v>
      </c>
      <c r="E168" s="4">
        <v>1.7917133258678699</v>
      </c>
      <c r="F168" s="4">
        <v>1.7917133258678699</v>
      </c>
      <c r="G168" s="4">
        <v>9.09</v>
      </c>
      <c r="H168" s="4">
        <v>-35.025017869907003</v>
      </c>
      <c r="I168" s="4">
        <v>8.98</v>
      </c>
      <c r="J168" s="4">
        <v>9.1199999999999992</v>
      </c>
      <c r="K168" s="4">
        <v>8.8699999999999992</v>
      </c>
      <c r="L168" s="4">
        <v>-35.025017869907003</v>
      </c>
    </row>
    <row r="169" spans="1:12" ht="15" customHeight="1" x14ac:dyDescent="0.2">
      <c r="A169" s="6">
        <v>45810</v>
      </c>
      <c r="B169" s="7">
        <v>8.93</v>
      </c>
      <c r="C169" s="8">
        <v>2195989</v>
      </c>
      <c r="D169" s="7">
        <v>-0.39</v>
      </c>
      <c r="E169" s="7">
        <v>-4.1845493562231697</v>
      </c>
      <c r="F169" s="7">
        <v>-4.1845493562231697</v>
      </c>
      <c r="G169" s="7">
        <v>8.93</v>
      </c>
      <c r="H169" s="7">
        <v>-36.168691922801997</v>
      </c>
      <c r="I169" s="7">
        <v>9.27</v>
      </c>
      <c r="J169" s="7">
        <v>9.27</v>
      </c>
      <c r="K169" s="7">
        <v>8.8800000000000008</v>
      </c>
      <c r="L169" s="7">
        <v>-36.168691922801997</v>
      </c>
    </row>
    <row r="170" spans="1:12" ht="15" customHeight="1" x14ac:dyDescent="0.2">
      <c r="A170" s="3">
        <v>45807</v>
      </c>
      <c r="B170" s="4">
        <v>9.32</v>
      </c>
      <c r="C170" s="5">
        <v>9430006</v>
      </c>
      <c r="D170" s="4"/>
      <c r="E170" s="4"/>
      <c r="F170" s="4"/>
      <c r="G170" s="4">
        <v>9.32</v>
      </c>
      <c r="H170" s="4">
        <v>-33.380986418870599</v>
      </c>
      <c r="I170" s="4">
        <v>9.2200000000000006</v>
      </c>
      <c r="J170" s="4">
        <v>9.3699999999999992</v>
      </c>
      <c r="K170" s="4">
        <v>8.94</v>
      </c>
      <c r="L170" s="4">
        <v>-33.380986418870599</v>
      </c>
    </row>
    <row r="171" spans="1:12" ht="15" customHeight="1" x14ac:dyDescent="0.2">
      <c r="A171" s="6">
        <v>45806</v>
      </c>
      <c r="B171" s="7">
        <v>9.32</v>
      </c>
      <c r="C171" s="8">
        <v>7338869</v>
      </c>
      <c r="D171" s="7">
        <v>0.33</v>
      </c>
      <c r="E171" s="7">
        <v>3.67074527252502</v>
      </c>
      <c r="F171" s="7">
        <v>3.67074527252502</v>
      </c>
      <c r="G171" s="7">
        <v>9.32</v>
      </c>
      <c r="H171" s="7">
        <v>-33.380986418870599</v>
      </c>
      <c r="I171" s="7">
        <v>9.01</v>
      </c>
      <c r="J171" s="7">
        <v>9.42</v>
      </c>
      <c r="K171" s="7">
        <v>9.01</v>
      </c>
      <c r="L171" s="7">
        <v>-33.380986418870599</v>
      </c>
    </row>
    <row r="172" spans="1:12" ht="15" customHeight="1" x14ac:dyDescent="0.2">
      <c r="A172" s="3">
        <v>45805</v>
      </c>
      <c r="B172" s="4">
        <v>8.99</v>
      </c>
      <c r="C172" s="5">
        <v>6566235</v>
      </c>
      <c r="D172" s="4">
        <v>0.17999999999999899</v>
      </c>
      <c r="E172" s="4">
        <v>2.0431328036322398</v>
      </c>
      <c r="F172" s="4">
        <v>2.0431328036322398</v>
      </c>
      <c r="G172" s="4">
        <v>8.99</v>
      </c>
      <c r="H172" s="4">
        <v>-35.739814152966403</v>
      </c>
      <c r="I172" s="4">
        <v>8.81</v>
      </c>
      <c r="J172" s="4">
        <v>9.01</v>
      </c>
      <c r="K172" s="4">
        <v>8.74</v>
      </c>
      <c r="L172" s="4">
        <v>-35.739814152966403</v>
      </c>
    </row>
    <row r="173" spans="1:12" ht="15" customHeight="1" x14ac:dyDescent="0.2">
      <c r="A173" s="6">
        <v>45804</v>
      </c>
      <c r="B173" s="7">
        <v>8.81</v>
      </c>
      <c r="C173" s="8">
        <v>2339454</v>
      </c>
      <c r="D173" s="7">
        <v>0.16999999999999901</v>
      </c>
      <c r="E173" s="7">
        <v>1.9675925925925799</v>
      </c>
      <c r="F173" s="7">
        <v>1.9675925925925799</v>
      </c>
      <c r="G173" s="7">
        <v>8.81</v>
      </c>
      <c r="H173" s="7">
        <v>-37.026447462473101</v>
      </c>
      <c r="I173" s="7">
        <v>8.6999999999999993</v>
      </c>
      <c r="J173" s="7">
        <v>8.98</v>
      </c>
      <c r="K173" s="7">
        <v>8.65</v>
      </c>
      <c r="L173" s="7">
        <v>-37.026447462473101</v>
      </c>
    </row>
    <row r="174" spans="1:12" ht="15" customHeight="1" x14ac:dyDescent="0.2">
      <c r="A174" s="3">
        <v>45803</v>
      </c>
      <c r="B174" s="4">
        <v>8.64</v>
      </c>
      <c r="C174" s="5">
        <v>496783</v>
      </c>
      <c r="D174" s="4">
        <v>9.9999999999997799E-3</v>
      </c>
      <c r="E174" s="4">
        <v>0.11587485515642799</v>
      </c>
      <c r="F174" s="4">
        <v>0.11587485515642799</v>
      </c>
      <c r="G174" s="4">
        <v>8.64</v>
      </c>
      <c r="H174" s="4">
        <v>-38.241601143674004</v>
      </c>
      <c r="I174" s="4">
        <v>8.6</v>
      </c>
      <c r="J174" s="4">
        <v>8.7899999999999991</v>
      </c>
      <c r="K174" s="4">
        <v>8.6</v>
      </c>
      <c r="L174" s="4">
        <v>-38.241601143674004</v>
      </c>
    </row>
    <row r="175" spans="1:12" ht="15" customHeight="1" x14ac:dyDescent="0.2">
      <c r="A175" s="6">
        <v>45800</v>
      </c>
      <c r="B175" s="7">
        <v>8.6300000000000008</v>
      </c>
      <c r="C175" s="8">
        <v>3147407</v>
      </c>
      <c r="D175" s="7">
        <v>0.31</v>
      </c>
      <c r="E175" s="7">
        <v>3.7259615384615401</v>
      </c>
      <c r="F175" s="7">
        <v>3.7259615384615401</v>
      </c>
      <c r="G175" s="7">
        <v>8.6300000000000008</v>
      </c>
      <c r="H175" s="7">
        <v>-38.313080771979898</v>
      </c>
      <c r="I175" s="7">
        <v>8.2200000000000006</v>
      </c>
      <c r="J175" s="7">
        <v>8.65</v>
      </c>
      <c r="K175" s="7">
        <v>8.11</v>
      </c>
      <c r="L175" s="7">
        <v>-38.313080771979898</v>
      </c>
    </row>
    <row r="176" spans="1:12" ht="15" customHeight="1" x14ac:dyDescent="0.2">
      <c r="A176" s="3">
        <v>45799</v>
      </c>
      <c r="B176" s="4">
        <v>8.32</v>
      </c>
      <c r="C176" s="5">
        <v>1302549</v>
      </c>
      <c r="D176" s="4">
        <v>1.9999999999999501E-2</v>
      </c>
      <c r="E176" s="4">
        <v>0.24096385542167101</v>
      </c>
      <c r="F176" s="4">
        <v>0.24096385542167101</v>
      </c>
      <c r="G176" s="4">
        <v>8.32</v>
      </c>
      <c r="H176" s="4">
        <v>-40.528949249463899</v>
      </c>
      <c r="I176" s="4">
        <v>8.27</v>
      </c>
      <c r="J176" s="4">
        <v>8.4</v>
      </c>
      <c r="K176" s="4">
        <v>8.2200000000000006</v>
      </c>
      <c r="L176" s="4">
        <v>-40.528949249463899</v>
      </c>
    </row>
    <row r="177" spans="1:12" ht="15" customHeight="1" x14ac:dyDescent="0.2">
      <c r="A177" s="6">
        <v>45798</v>
      </c>
      <c r="B177" s="7">
        <v>8.3000000000000007</v>
      </c>
      <c r="C177" s="8">
        <v>1675214</v>
      </c>
      <c r="D177" s="7"/>
      <c r="E177" s="7"/>
      <c r="F177" s="7"/>
      <c r="G177" s="7">
        <v>8.3000000000000007</v>
      </c>
      <c r="H177" s="7">
        <v>-40.671908506075702</v>
      </c>
      <c r="I177" s="7">
        <v>8.34</v>
      </c>
      <c r="J177" s="7">
        <v>8.39</v>
      </c>
      <c r="K177" s="7">
        <v>8.1999999999999993</v>
      </c>
      <c r="L177" s="7">
        <v>-40.671908506075702</v>
      </c>
    </row>
    <row r="178" spans="1:12" ht="15" customHeight="1" x14ac:dyDescent="0.2">
      <c r="A178" s="3">
        <v>45797</v>
      </c>
      <c r="B178" s="4">
        <v>8.3000000000000007</v>
      </c>
      <c r="C178" s="5">
        <v>1453379</v>
      </c>
      <c r="D178" s="4">
        <v>0.14000000000000001</v>
      </c>
      <c r="E178" s="4">
        <v>1.71568627450982</v>
      </c>
      <c r="F178" s="4">
        <v>1.71568627450982</v>
      </c>
      <c r="G178" s="4">
        <v>8.3000000000000007</v>
      </c>
      <c r="H178" s="4">
        <v>-40.671908506075702</v>
      </c>
      <c r="I178" s="4">
        <v>8.27</v>
      </c>
      <c r="J178" s="4">
        <v>8.36</v>
      </c>
      <c r="K178" s="4">
        <v>8.16</v>
      </c>
      <c r="L178" s="4">
        <v>-40.671908506075702</v>
      </c>
    </row>
    <row r="179" spans="1:12" ht="15" customHeight="1" x14ac:dyDescent="0.2">
      <c r="A179" s="6">
        <v>45796</v>
      </c>
      <c r="B179" s="7">
        <v>8.16</v>
      </c>
      <c r="C179" s="8">
        <v>5361628</v>
      </c>
      <c r="D179" s="7">
        <v>-0.42999999999999899</v>
      </c>
      <c r="E179" s="7">
        <v>-5.0058207217694903</v>
      </c>
      <c r="F179" s="7">
        <v>-5.0058207217694903</v>
      </c>
      <c r="G179" s="7">
        <v>8.16</v>
      </c>
      <c r="H179" s="7">
        <v>-41.672623302358801</v>
      </c>
      <c r="I179" s="7">
        <v>8.56</v>
      </c>
      <c r="J179" s="7">
        <v>8.57</v>
      </c>
      <c r="K179" s="7">
        <v>8.1300000000000008</v>
      </c>
      <c r="L179" s="7">
        <v>-41.672623302358801</v>
      </c>
    </row>
    <row r="180" spans="1:12" ht="15" customHeight="1" x14ac:dyDescent="0.2">
      <c r="A180" s="3">
        <v>45793</v>
      </c>
      <c r="B180" s="4">
        <v>8.59</v>
      </c>
      <c r="C180" s="5">
        <v>2049853.99999999</v>
      </c>
      <c r="D180" s="4">
        <v>7.0000000000000201E-2</v>
      </c>
      <c r="E180" s="4">
        <v>0.82159624413145005</v>
      </c>
      <c r="F180" s="4">
        <v>0.82159624413145005</v>
      </c>
      <c r="G180" s="4">
        <v>8.59</v>
      </c>
      <c r="H180" s="4">
        <v>-38.598999285203703</v>
      </c>
      <c r="I180" s="4">
        <v>8.56</v>
      </c>
      <c r="J180" s="4">
        <v>8.67</v>
      </c>
      <c r="K180" s="4">
        <v>8.4600000000000009</v>
      </c>
      <c r="L180" s="4">
        <v>-38.598999285203703</v>
      </c>
    </row>
    <row r="181" spans="1:12" ht="15" customHeight="1" x14ac:dyDescent="0.2">
      <c r="A181" s="6">
        <v>45792</v>
      </c>
      <c r="B181" s="7">
        <v>8.52</v>
      </c>
      <c r="C181" s="8">
        <v>2343435</v>
      </c>
      <c r="D181" s="7">
        <v>-9.9999999999997799E-3</v>
      </c>
      <c r="E181" s="7">
        <v>-0.117233294255569</v>
      </c>
      <c r="F181" s="7">
        <v>-0.117233294255569</v>
      </c>
      <c r="G181" s="7">
        <v>8.52</v>
      </c>
      <c r="H181" s="7">
        <v>-39.099356683345199</v>
      </c>
      <c r="I181" s="7">
        <v>8.6</v>
      </c>
      <c r="J181" s="7">
        <v>8.6</v>
      </c>
      <c r="K181" s="7">
        <v>8.4</v>
      </c>
      <c r="L181" s="7">
        <v>-39.099356683345199</v>
      </c>
    </row>
    <row r="182" spans="1:12" ht="15" customHeight="1" x14ac:dyDescent="0.2">
      <c r="A182" s="3">
        <v>45791</v>
      </c>
      <c r="B182" s="4">
        <v>8.5299999999999994</v>
      </c>
      <c r="C182" s="5">
        <v>2666945</v>
      </c>
      <c r="D182" s="4">
        <v>0.12999999999999901</v>
      </c>
      <c r="E182" s="4">
        <v>1.5476190476190399</v>
      </c>
      <c r="F182" s="4">
        <v>1.5476190476190399</v>
      </c>
      <c r="G182" s="4">
        <v>8.5299999999999994</v>
      </c>
      <c r="H182" s="4">
        <v>-39.027877055039298</v>
      </c>
      <c r="I182" s="4">
        <v>8.4</v>
      </c>
      <c r="J182" s="4">
        <v>8.58</v>
      </c>
      <c r="K182" s="4">
        <v>8.35</v>
      </c>
      <c r="L182" s="4">
        <v>-39.027877055039298</v>
      </c>
    </row>
    <row r="183" spans="1:12" ht="15" customHeight="1" x14ac:dyDescent="0.2">
      <c r="A183" s="6">
        <v>45790</v>
      </c>
      <c r="B183" s="7">
        <v>8.4</v>
      </c>
      <c r="C183" s="8">
        <v>2597905</v>
      </c>
      <c r="D183" s="7">
        <v>0.22</v>
      </c>
      <c r="E183" s="7">
        <v>2.68948655256724</v>
      </c>
      <c r="F183" s="7">
        <v>2.68948655256724</v>
      </c>
      <c r="G183" s="7">
        <v>8.4</v>
      </c>
      <c r="H183" s="7">
        <v>-39.957112223016402</v>
      </c>
      <c r="I183" s="7">
        <v>8.16</v>
      </c>
      <c r="J183" s="7">
        <v>8.42</v>
      </c>
      <c r="K183" s="7">
        <v>8.16</v>
      </c>
      <c r="L183" s="7">
        <v>-39.957112223016402</v>
      </c>
    </row>
    <row r="184" spans="1:12" ht="15" customHeight="1" x14ac:dyDescent="0.2">
      <c r="A184" s="3">
        <v>45789</v>
      </c>
      <c r="B184" s="4">
        <v>8.18</v>
      </c>
      <c r="C184" s="5">
        <v>5566291</v>
      </c>
      <c r="D184" s="4">
        <v>0.309999999999999</v>
      </c>
      <c r="E184" s="4">
        <v>3.9390088945362001</v>
      </c>
      <c r="F184" s="4">
        <v>3.9390088945362001</v>
      </c>
      <c r="G184" s="4">
        <v>8.18</v>
      </c>
      <c r="H184" s="4">
        <v>-41.529664045746898</v>
      </c>
      <c r="I184" s="4">
        <v>7.9</v>
      </c>
      <c r="J184" s="4">
        <v>8.39</v>
      </c>
      <c r="K184" s="4">
        <v>7.9</v>
      </c>
      <c r="L184" s="4">
        <v>-41.529664045746898</v>
      </c>
    </row>
    <row r="185" spans="1:12" ht="15" customHeight="1" x14ac:dyDescent="0.2">
      <c r="A185" s="6">
        <v>45786</v>
      </c>
      <c r="B185" s="7">
        <v>7.87</v>
      </c>
      <c r="C185" s="8">
        <v>6162674</v>
      </c>
      <c r="D185" s="7">
        <v>-0.16999999999999901</v>
      </c>
      <c r="E185" s="7">
        <v>-2.1144278606965101</v>
      </c>
      <c r="F185" s="7">
        <v>-2.1144278606965101</v>
      </c>
      <c r="G185" s="7">
        <v>7.87</v>
      </c>
      <c r="H185" s="7">
        <v>-43.7455325232308</v>
      </c>
      <c r="I185" s="7">
        <v>8.0299999999999994</v>
      </c>
      <c r="J185" s="7">
        <v>8.18</v>
      </c>
      <c r="K185" s="7">
        <v>7.85</v>
      </c>
      <c r="L185" s="7">
        <v>-43.7455325232308</v>
      </c>
    </row>
    <row r="186" spans="1:12" ht="15" customHeight="1" x14ac:dyDescent="0.2">
      <c r="A186" s="3">
        <v>45785</v>
      </c>
      <c r="B186" s="4">
        <v>8.0399999999999991</v>
      </c>
      <c r="C186" s="5">
        <v>9626766</v>
      </c>
      <c r="D186" s="4">
        <v>-0.12000000000000099</v>
      </c>
      <c r="E186" s="4">
        <v>-1.47058823529413</v>
      </c>
      <c r="F186" s="4">
        <v>-1.47058823529413</v>
      </c>
      <c r="G186" s="4">
        <v>8.0399999999999991</v>
      </c>
      <c r="H186" s="4">
        <v>-42.530378842029997</v>
      </c>
      <c r="I186" s="4">
        <v>8.11</v>
      </c>
      <c r="J186" s="4">
        <v>8.17</v>
      </c>
      <c r="K186" s="4">
        <v>7.74</v>
      </c>
      <c r="L186" s="4">
        <v>-42.530378842029997</v>
      </c>
    </row>
    <row r="187" spans="1:12" ht="15" customHeight="1" x14ac:dyDescent="0.2">
      <c r="A187" s="6">
        <v>45784</v>
      </c>
      <c r="B187" s="7">
        <v>8.16</v>
      </c>
      <c r="C187" s="8">
        <v>6730199</v>
      </c>
      <c r="D187" s="7">
        <v>-3.9999999999999099E-2</v>
      </c>
      <c r="E187" s="7">
        <v>-0.48780487804876899</v>
      </c>
      <c r="F187" s="7">
        <v>-0.48780487804876899</v>
      </c>
      <c r="G187" s="7">
        <v>8.16</v>
      </c>
      <c r="H187" s="7">
        <v>-41.672623302358801</v>
      </c>
      <c r="I187" s="7">
        <v>8.2200000000000006</v>
      </c>
      <c r="J187" s="7">
        <v>8.31</v>
      </c>
      <c r="K187" s="7">
        <v>8.08</v>
      </c>
      <c r="L187" s="7">
        <v>-41.672623302358801</v>
      </c>
    </row>
    <row r="188" spans="1:12" ht="15" customHeight="1" x14ac:dyDescent="0.2">
      <c r="A188" s="3">
        <v>45783</v>
      </c>
      <c r="B188" s="4">
        <v>8.1999999999999993</v>
      </c>
      <c r="C188" s="5">
        <v>7542822</v>
      </c>
      <c r="D188" s="4">
        <v>-0.12000000000000099</v>
      </c>
      <c r="E188" s="4">
        <v>-1.4423076923077001</v>
      </c>
      <c r="F188" s="4">
        <v>-1.4423076923077001</v>
      </c>
      <c r="G188" s="4">
        <v>8.1999999999999993</v>
      </c>
      <c r="H188" s="4">
        <v>-41.386704789135102</v>
      </c>
      <c r="I188" s="4">
        <v>8.32</v>
      </c>
      <c r="J188" s="4">
        <v>8.32</v>
      </c>
      <c r="K188" s="4">
        <v>8</v>
      </c>
      <c r="L188" s="4">
        <v>-41.386704789135102</v>
      </c>
    </row>
    <row r="189" spans="1:12" ht="15" customHeight="1" x14ac:dyDescent="0.2">
      <c r="A189" s="6">
        <v>45782</v>
      </c>
      <c r="B189" s="7">
        <v>8.32</v>
      </c>
      <c r="C189" s="8">
        <v>10149270</v>
      </c>
      <c r="D189" s="7">
        <v>0.54000029999999999</v>
      </c>
      <c r="E189" s="7">
        <v>6.9408781596739599</v>
      </c>
      <c r="F189" s="7">
        <v>6.9408781596739599</v>
      </c>
      <c r="G189" s="7">
        <v>8.32</v>
      </c>
      <c r="H189" s="7">
        <v>-40.528949249463899</v>
      </c>
      <c r="I189" s="7">
        <v>7.81</v>
      </c>
      <c r="J189" s="7">
        <v>8.39</v>
      </c>
      <c r="K189" s="7">
        <v>7.57</v>
      </c>
      <c r="L189" s="7">
        <v>-40.528949249463899</v>
      </c>
    </row>
    <row r="190" spans="1:12" ht="15" customHeight="1" x14ac:dyDescent="0.2">
      <c r="A190" s="3">
        <v>45779</v>
      </c>
      <c r="B190" s="4">
        <v>7.7799997000000003</v>
      </c>
      <c r="C190" s="5">
        <v>7514746</v>
      </c>
      <c r="D190" s="4">
        <v>0.47999969999999997</v>
      </c>
      <c r="E190" s="4">
        <v>6.5753383561643899</v>
      </c>
      <c r="F190" s="4">
        <v>6.5753383561643899</v>
      </c>
      <c r="G190" s="4">
        <v>7.7799997000000003</v>
      </c>
      <c r="H190" s="4">
        <v>-44.3888513223731</v>
      </c>
      <c r="I190" s="4">
        <v>7.34</v>
      </c>
      <c r="J190" s="4">
        <v>7.81</v>
      </c>
      <c r="K190" s="4">
        <v>7.34</v>
      </c>
      <c r="L190" s="4">
        <v>-44.3888513223731</v>
      </c>
    </row>
    <row r="191" spans="1:12" ht="15" customHeight="1" x14ac:dyDescent="0.2">
      <c r="A191" s="6">
        <v>45777</v>
      </c>
      <c r="B191" s="7">
        <v>7.3</v>
      </c>
      <c r="C191" s="8">
        <v>7085609</v>
      </c>
      <c r="D191" s="7">
        <v>0.149999999999999</v>
      </c>
      <c r="E191" s="7">
        <v>2.0979020979020802</v>
      </c>
      <c r="F191" s="7">
        <v>2.0979020979020802</v>
      </c>
      <c r="G191" s="7">
        <v>7.3</v>
      </c>
      <c r="H191" s="7">
        <v>-47.819871336669003</v>
      </c>
      <c r="I191" s="7">
        <v>7.13</v>
      </c>
      <c r="J191" s="7">
        <v>7.38</v>
      </c>
      <c r="K191" s="7">
        <v>6.92</v>
      </c>
      <c r="L191" s="7">
        <v>-47.819871336669003</v>
      </c>
    </row>
    <row r="192" spans="1:12" ht="15" customHeight="1" x14ac:dyDescent="0.2">
      <c r="A192" s="3">
        <v>45776</v>
      </c>
      <c r="B192" s="4">
        <v>7.15</v>
      </c>
      <c r="C192" s="5">
        <v>19314010</v>
      </c>
      <c r="D192" s="4">
        <v>-0.75</v>
      </c>
      <c r="E192" s="4">
        <v>-9.4936708860759396</v>
      </c>
      <c r="F192" s="4">
        <v>-9.4936708860759396</v>
      </c>
      <c r="G192" s="4">
        <v>7.15</v>
      </c>
      <c r="H192" s="4">
        <v>-48.892065761258003</v>
      </c>
      <c r="I192" s="4">
        <v>8</v>
      </c>
      <c r="J192" s="4">
        <v>8</v>
      </c>
      <c r="K192" s="4">
        <v>7.02</v>
      </c>
      <c r="L192" s="4">
        <v>-48.892065761258003</v>
      </c>
    </row>
    <row r="193" spans="1:12" ht="15" customHeight="1" x14ac:dyDescent="0.2">
      <c r="A193" s="6">
        <v>45775</v>
      </c>
      <c r="B193" s="7">
        <v>7.9</v>
      </c>
      <c r="C193" s="8">
        <v>19916070</v>
      </c>
      <c r="D193" s="7">
        <v>-1.32</v>
      </c>
      <c r="E193" s="7">
        <v>-14.3167028199566</v>
      </c>
      <c r="F193" s="7">
        <v>-14.3167028199566</v>
      </c>
      <c r="G193" s="7">
        <v>7.9</v>
      </c>
      <c r="H193" s="7">
        <v>-43.531093638313003</v>
      </c>
      <c r="I193" s="7">
        <v>9.26</v>
      </c>
      <c r="J193" s="7">
        <v>9.32</v>
      </c>
      <c r="K193" s="7">
        <v>7.84</v>
      </c>
      <c r="L193" s="7">
        <v>-43.531093638313003</v>
      </c>
    </row>
    <row r="194" spans="1:12" ht="15" customHeight="1" x14ac:dyDescent="0.2">
      <c r="A194" s="3">
        <v>45772</v>
      </c>
      <c r="B194" s="4">
        <v>9.2200000000000006</v>
      </c>
      <c r="C194" s="5">
        <v>6336162</v>
      </c>
      <c r="D194" s="4">
        <v>-9.9999999999999603E-2</v>
      </c>
      <c r="E194" s="4">
        <v>-1.0729613733905501</v>
      </c>
      <c r="F194" s="4">
        <v>-1.0729613733905501</v>
      </c>
      <c r="G194" s="4">
        <v>9.2200000000000006</v>
      </c>
      <c r="H194" s="4">
        <v>-34.095782701929899</v>
      </c>
      <c r="I194" s="4">
        <v>9.31</v>
      </c>
      <c r="J194" s="4">
        <v>9.31</v>
      </c>
      <c r="K194" s="4">
        <v>8.9499999999999993</v>
      </c>
      <c r="L194" s="4">
        <v>-34.095782701929899</v>
      </c>
    </row>
    <row r="195" spans="1:12" ht="15" customHeight="1" x14ac:dyDescent="0.2">
      <c r="A195" s="6">
        <v>45771</v>
      </c>
      <c r="B195" s="7">
        <v>9.32</v>
      </c>
      <c r="C195" s="8">
        <v>5030736</v>
      </c>
      <c r="D195" s="7">
        <v>9.9999999999997799E-3</v>
      </c>
      <c r="E195" s="7">
        <v>0.107411385606881</v>
      </c>
      <c r="F195" s="7">
        <v>0.107411385606881</v>
      </c>
      <c r="G195" s="7">
        <v>9.32</v>
      </c>
      <c r="H195" s="7">
        <v>-33.380986418870599</v>
      </c>
      <c r="I195" s="7">
        <v>9.3000000000000007</v>
      </c>
      <c r="J195" s="7">
        <v>9.4600000000000009</v>
      </c>
      <c r="K195" s="7">
        <v>9.0500000000000007</v>
      </c>
      <c r="L195" s="7">
        <v>-33.380986418870599</v>
      </c>
    </row>
    <row r="196" spans="1:12" ht="15" customHeight="1" x14ac:dyDescent="0.2">
      <c r="A196" s="3">
        <v>45770</v>
      </c>
      <c r="B196" s="4">
        <v>9.31</v>
      </c>
      <c r="C196" s="5">
        <v>5950604</v>
      </c>
      <c r="D196" s="4">
        <v>0.31</v>
      </c>
      <c r="E196" s="4">
        <v>3.44444444444445</v>
      </c>
      <c r="F196" s="4">
        <v>3.44444444444445</v>
      </c>
      <c r="G196" s="4">
        <v>9.31</v>
      </c>
      <c r="H196" s="4">
        <v>-33.4524660471765</v>
      </c>
      <c r="I196" s="4">
        <v>8.9</v>
      </c>
      <c r="J196" s="4">
        <v>9.3699999999999992</v>
      </c>
      <c r="K196" s="4">
        <v>8.9</v>
      </c>
      <c r="L196" s="4">
        <v>-33.4524660471765</v>
      </c>
    </row>
    <row r="197" spans="1:12" ht="15" customHeight="1" x14ac:dyDescent="0.2">
      <c r="A197" s="6">
        <v>45769</v>
      </c>
      <c r="B197" s="7">
        <v>9</v>
      </c>
      <c r="C197" s="8">
        <v>3694817</v>
      </c>
      <c r="D197" s="7">
        <v>0.13</v>
      </c>
      <c r="E197" s="7">
        <v>1.4656144306651699</v>
      </c>
      <c r="F197" s="7">
        <v>1.4656144306651699</v>
      </c>
      <c r="G197" s="7">
        <v>9</v>
      </c>
      <c r="H197" s="7">
        <v>-35.668334524660402</v>
      </c>
      <c r="I197" s="7">
        <v>8.91</v>
      </c>
      <c r="J197" s="7">
        <v>9.18</v>
      </c>
      <c r="K197" s="7">
        <v>8.86</v>
      </c>
      <c r="L197" s="7">
        <v>-35.668334524660402</v>
      </c>
    </row>
    <row r="198" spans="1:12" ht="15" customHeight="1" x14ac:dyDescent="0.2">
      <c r="A198" s="3">
        <v>45768</v>
      </c>
      <c r="B198" s="4">
        <v>8.8699999999999992</v>
      </c>
      <c r="C198" s="5">
        <v>5841843</v>
      </c>
      <c r="D198" s="4">
        <v>-0.28000000000000103</v>
      </c>
      <c r="E198" s="4">
        <v>-3.0601092896174902</v>
      </c>
      <c r="F198" s="4">
        <v>-3.0601092896174902</v>
      </c>
      <c r="G198" s="4">
        <v>8.8699999999999992</v>
      </c>
      <c r="H198" s="4">
        <v>-36.597569692637599</v>
      </c>
      <c r="I198" s="4">
        <v>9.1</v>
      </c>
      <c r="J198" s="4">
        <v>9.1</v>
      </c>
      <c r="K198" s="4">
        <v>8.6</v>
      </c>
      <c r="L198" s="4">
        <v>-36.597569692637599</v>
      </c>
    </row>
    <row r="199" spans="1:12" ht="15" customHeight="1" x14ac:dyDescent="0.2">
      <c r="A199" s="6">
        <v>45763</v>
      </c>
      <c r="B199" s="7">
        <v>9.15</v>
      </c>
      <c r="C199" s="8">
        <v>5927278</v>
      </c>
      <c r="D199" s="7">
        <v>-9.9999999999997799E-3</v>
      </c>
      <c r="E199" s="7">
        <v>-0.109170305676853</v>
      </c>
      <c r="F199" s="7">
        <v>-0.109170305676853</v>
      </c>
      <c r="G199" s="7">
        <v>9.15</v>
      </c>
      <c r="H199" s="7">
        <v>-34.596140100071402</v>
      </c>
      <c r="I199" s="7">
        <v>9.16</v>
      </c>
      <c r="J199" s="7">
        <v>9.35</v>
      </c>
      <c r="K199" s="7">
        <v>8.9</v>
      </c>
      <c r="L199" s="7">
        <v>-34.596140100071402</v>
      </c>
    </row>
    <row r="200" spans="1:12" ht="15" customHeight="1" x14ac:dyDescent="0.2">
      <c r="A200" s="3">
        <v>45762</v>
      </c>
      <c r="B200" s="4">
        <v>9.16</v>
      </c>
      <c r="C200" s="5">
        <v>1883718</v>
      </c>
      <c r="D200" s="4">
        <v>-7.0000000000000201E-2</v>
      </c>
      <c r="E200" s="4">
        <v>-0.758396533044425</v>
      </c>
      <c r="F200" s="4">
        <v>-0.758396533044425</v>
      </c>
      <c r="G200" s="4">
        <v>9.16</v>
      </c>
      <c r="H200" s="4">
        <v>-34.5246604717655</v>
      </c>
      <c r="I200" s="4">
        <v>9.27</v>
      </c>
      <c r="J200" s="4">
        <v>9.33</v>
      </c>
      <c r="K200" s="4">
        <v>9.1199999999999992</v>
      </c>
      <c r="L200" s="4">
        <v>-34.5246604717655</v>
      </c>
    </row>
    <row r="201" spans="1:12" ht="15" customHeight="1" x14ac:dyDescent="0.2">
      <c r="A201" s="6">
        <v>45761</v>
      </c>
      <c r="B201" s="7">
        <v>9.23</v>
      </c>
      <c r="C201" s="8">
        <v>3108495</v>
      </c>
      <c r="D201" s="7">
        <v>-0.37999999999999901</v>
      </c>
      <c r="E201" s="7">
        <v>-3.9542143600416</v>
      </c>
      <c r="F201" s="7">
        <v>-3.9542143600416</v>
      </c>
      <c r="G201" s="7">
        <v>9.23</v>
      </c>
      <c r="H201" s="7">
        <v>-34.024303073623997</v>
      </c>
      <c r="I201" s="7">
        <v>9.58</v>
      </c>
      <c r="J201" s="7">
        <v>9.89</v>
      </c>
      <c r="K201" s="7">
        <v>9.19</v>
      </c>
      <c r="L201" s="7">
        <v>-34.024303073623997</v>
      </c>
    </row>
    <row r="202" spans="1:12" ht="15" customHeight="1" x14ac:dyDescent="0.2">
      <c r="A202" s="3">
        <v>45758</v>
      </c>
      <c r="B202" s="4">
        <v>9.61</v>
      </c>
      <c r="C202" s="5">
        <v>3093333</v>
      </c>
      <c r="D202" s="4">
        <v>-4.0000000000000903E-2</v>
      </c>
      <c r="E202" s="4">
        <v>-0.41450777202073302</v>
      </c>
      <c r="F202" s="4">
        <v>-0.41450777202073302</v>
      </c>
      <c r="G202" s="4">
        <v>9.61</v>
      </c>
      <c r="H202" s="4">
        <v>-31.3080771979985</v>
      </c>
      <c r="I202" s="4">
        <v>9.6999999999999993</v>
      </c>
      <c r="J202" s="4">
        <v>9.74</v>
      </c>
      <c r="K202" s="4">
        <v>9.4</v>
      </c>
      <c r="L202" s="4">
        <v>-31.3080771979985</v>
      </c>
    </row>
    <row r="203" spans="1:12" ht="15" customHeight="1" x14ac:dyDescent="0.2">
      <c r="A203" s="6">
        <v>45757</v>
      </c>
      <c r="B203" s="7">
        <v>9.65</v>
      </c>
      <c r="C203" s="8">
        <v>2415312</v>
      </c>
      <c r="D203" s="7">
        <v>-0.75999999999999901</v>
      </c>
      <c r="E203" s="7">
        <v>-7.3006724303554202</v>
      </c>
      <c r="F203" s="7">
        <v>-7.3006724303554202</v>
      </c>
      <c r="G203" s="7">
        <v>9.65</v>
      </c>
      <c r="H203" s="7">
        <v>-31.022158684774801</v>
      </c>
      <c r="I203" s="7">
        <v>10.36</v>
      </c>
      <c r="J203" s="7">
        <v>10.36</v>
      </c>
      <c r="K203" s="7">
        <v>9.6</v>
      </c>
      <c r="L203" s="7">
        <v>-31.022158684774801</v>
      </c>
    </row>
    <row r="204" spans="1:12" ht="15" customHeight="1" x14ac:dyDescent="0.2">
      <c r="A204" s="3">
        <v>45756</v>
      </c>
      <c r="B204" s="4">
        <v>10.41</v>
      </c>
      <c r="C204" s="5">
        <v>9013326</v>
      </c>
      <c r="D204" s="4">
        <v>0.66</v>
      </c>
      <c r="E204" s="4">
        <v>6.7692307692307701</v>
      </c>
      <c r="F204" s="4">
        <v>6.7692307692307701</v>
      </c>
      <c r="G204" s="4">
        <v>10.41</v>
      </c>
      <c r="H204" s="4">
        <v>-25.5897069335239</v>
      </c>
      <c r="I204" s="4">
        <v>10.06</v>
      </c>
      <c r="J204" s="4">
        <v>10.48</v>
      </c>
      <c r="K204" s="4">
        <v>9.2799999999999994</v>
      </c>
      <c r="L204" s="4">
        <v>-25.5897069335239</v>
      </c>
    </row>
    <row r="205" spans="1:12" ht="15" customHeight="1" x14ac:dyDescent="0.2">
      <c r="A205" s="6">
        <v>45755</v>
      </c>
      <c r="B205" s="7">
        <v>9.75</v>
      </c>
      <c r="C205" s="8">
        <v>6313723</v>
      </c>
      <c r="D205" s="7">
        <v>-0.41999999999999899</v>
      </c>
      <c r="E205" s="7">
        <v>-4.1297935103244798</v>
      </c>
      <c r="F205" s="7">
        <v>-4.1297935103244798</v>
      </c>
      <c r="G205" s="7">
        <v>9.75</v>
      </c>
      <c r="H205" s="7">
        <v>-30.307362401715501</v>
      </c>
      <c r="I205" s="7">
        <v>10.23</v>
      </c>
      <c r="J205" s="7">
        <v>10.55</v>
      </c>
      <c r="K205" s="7">
        <v>9.6</v>
      </c>
      <c r="L205" s="7">
        <v>-30.307362401715501</v>
      </c>
    </row>
    <row r="206" spans="1:12" ht="15" customHeight="1" x14ac:dyDescent="0.2">
      <c r="A206" s="3">
        <v>45754</v>
      </c>
      <c r="B206" s="4">
        <v>10.17</v>
      </c>
      <c r="C206" s="5">
        <v>3259661</v>
      </c>
      <c r="D206" s="4">
        <v>0.17999999999999899</v>
      </c>
      <c r="E206" s="4">
        <v>1.8018018018018001</v>
      </c>
      <c r="F206" s="4">
        <v>1.8018018018018001</v>
      </c>
      <c r="G206" s="4">
        <v>10.17</v>
      </c>
      <c r="H206" s="4">
        <v>-27.305218012866298</v>
      </c>
      <c r="I206" s="4">
        <v>10.02</v>
      </c>
      <c r="J206" s="4">
        <v>10.41</v>
      </c>
      <c r="K206" s="4">
        <v>9.58</v>
      </c>
      <c r="L206" s="4">
        <v>-27.305218012866298</v>
      </c>
    </row>
    <row r="207" spans="1:12" ht="15" customHeight="1" x14ac:dyDescent="0.2">
      <c r="A207" s="6">
        <v>45751</v>
      </c>
      <c r="B207" s="7">
        <v>9.99</v>
      </c>
      <c r="C207" s="8">
        <v>6184031</v>
      </c>
      <c r="D207" s="7">
        <v>-0.62999999999999901</v>
      </c>
      <c r="E207" s="7">
        <v>-5.9322033898304998</v>
      </c>
      <c r="F207" s="7">
        <v>-5.9322033898304998</v>
      </c>
      <c r="G207" s="7">
        <v>9.99</v>
      </c>
      <c r="H207" s="7">
        <v>-28.591851322373099</v>
      </c>
      <c r="I207" s="7">
        <v>10.52</v>
      </c>
      <c r="J207" s="7">
        <v>10.53</v>
      </c>
      <c r="K207" s="7">
        <v>9.6199999999999992</v>
      </c>
      <c r="L207" s="7">
        <v>-28.591851322373099</v>
      </c>
    </row>
    <row r="208" spans="1:12" ht="15" customHeight="1" x14ac:dyDescent="0.2">
      <c r="A208" s="3">
        <v>45750</v>
      </c>
      <c r="B208" s="4">
        <v>10.62</v>
      </c>
      <c r="C208" s="5">
        <v>6350053</v>
      </c>
      <c r="D208" s="4">
        <v>-0.22</v>
      </c>
      <c r="E208" s="4">
        <v>-2.0295202952029499</v>
      </c>
      <c r="F208" s="4">
        <v>-2.0295202952029499</v>
      </c>
      <c r="G208" s="4">
        <v>10.62</v>
      </c>
      <c r="H208" s="4">
        <v>-24.088634739099302</v>
      </c>
      <c r="I208" s="4">
        <v>10.77</v>
      </c>
      <c r="J208" s="4">
        <v>10.79</v>
      </c>
      <c r="K208" s="4">
        <v>10.32</v>
      </c>
      <c r="L208" s="4">
        <v>-24.088634739099302</v>
      </c>
    </row>
    <row r="209" spans="1:12" ht="15" customHeight="1" x14ac:dyDescent="0.2">
      <c r="A209" s="6">
        <v>45749</v>
      </c>
      <c r="B209" s="7">
        <v>10.84</v>
      </c>
      <c r="C209" s="8">
        <v>3277937</v>
      </c>
      <c r="D209" s="7">
        <v>5.0000000000000697E-2</v>
      </c>
      <c r="E209" s="7">
        <v>0.46339202965710502</v>
      </c>
      <c r="F209" s="7">
        <v>0.46339202965710502</v>
      </c>
      <c r="G209" s="7">
        <v>10.84</v>
      </c>
      <c r="H209" s="7">
        <v>-22.516082916368799</v>
      </c>
      <c r="I209" s="7">
        <v>10.78</v>
      </c>
      <c r="J209" s="7">
        <v>10.93</v>
      </c>
      <c r="K209" s="7">
        <v>10.67</v>
      </c>
      <c r="L209" s="7">
        <v>-22.516082916368799</v>
      </c>
    </row>
    <row r="210" spans="1:12" ht="15" customHeight="1" x14ac:dyDescent="0.2">
      <c r="A210" s="3">
        <v>45748</v>
      </c>
      <c r="B210" s="4">
        <v>10.79</v>
      </c>
      <c r="C210" s="5">
        <v>6901551</v>
      </c>
      <c r="D210" s="4">
        <v>-9.0000000000001606E-2</v>
      </c>
      <c r="E210" s="4">
        <v>-0.827205882352954</v>
      </c>
      <c r="F210" s="4">
        <v>-0.827205882352954</v>
      </c>
      <c r="G210" s="4">
        <v>10.79</v>
      </c>
      <c r="H210" s="4">
        <v>-22.873481057898498</v>
      </c>
      <c r="I210" s="4">
        <v>10.8</v>
      </c>
      <c r="J210" s="4">
        <v>10.94</v>
      </c>
      <c r="K210" s="4">
        <v>10.5</v>
      </c>
      <c r="L210" s="4">
        <v>-22.873481057898498</v>
      </c>
    </row>
    <row r="211" spans="1:12" ht="15" customHeight="1" x14ac:dyDescent="0.2">
      <c r="A211" s="6">
        <v>45747</v>
      </c>
      <c r="B211" s="7">
        <v>10.88</v>
      </c>
      <c r="C211" s="8">
        <v>2519509</v>
      </c>
      <c r="D211" s="7">
        <v>-0.189999999999999</v>
      </c>
      <c r="E211" s="7">
        <v>-1.7163504968382901</v>
      </c>
      <c r="F211" s="7">
        <v>-1.7163504968382901</v>
      </c>
      <c r="G211" s="7">
        <v>10.88</v>
      </c>
      <c r="H211" s="7">
        <v>-22.2301644031451</v>
      </c>
      <c r="I211" s="7">
        <v>11.1</v>
      </c>
      <c r="J211" s="7">
        <v>11.1</v>
      </c>
      <c r="K211" s="7">
        <v>10.68</v>
      </c>
      <c r="L211" s="7">
        <v>-22.2301644031451</v>
      </c>
    </row>
    <row r="212" spans="1:12" ht="15" customHeight="1" x14ac:dyDescent="0.2">
      <c r="A212" s="3">
        <v>45744</v>
      </c>
      <c r="B212" s="4">
        <v>11.07</v>
      </c>
      <c r="C212" s="5">
        <v>8025094</v>
      </c>
      <c r="D212" s="4">
        <v>-0.26999999999999902</v>
      </c>
      <c r="E212" s="4">
        <v>-2.3809523809523698</v>
      </c>
      <c r="F212" s="4">
        <v>-2.3809523809523698</v>
      </c>
      <c r="G212" s="4">
        <v>11.07</v>
      </c>
      <c r="H212" s="4">
        <v>-20.872051465332301</v>
      </c>
      <c r="I212" s="4">
        <v>11.34</v>
      </c>
      <c r="J212" s="4">
        <v>11.4</v>
      </c>
      <c r="K212" s="4">
        <v>10.96</v>
      </c>
      <c r="L212" s="4">
        <v>-20.872051465332301</v>
      </c>
    </row>
    <row r="213" spans="1:12" ht="15" customHeight="1" x14ac:dyDescent="0.2">
      <c r="A213" s="6">
        <v>45743</v>
      </c>
      <c r="B213" s="7">
        <v>11.34</v>
      </c>
      <c r="C213" s="8">
        <v>7264469</v>
      </c>
      <c r="D213" s="7">
        <v>-0.13</v>
      </c>
      <c r="E213" s="7">
        <v>-1.1333914559721101</v>
      </c>
      <c r="F213" s="7">
        <v>-1.1333914559721101</v>
      </c>
      <c r="G213" s="7">
        <v>11.34</v>
      </c>
      <c r="H213" s="7">
        <v>-18.942101501072099</v>
      </c>
      <c r="I213" s="7">
        <v>11.45</v>
      </c>
      <c r="J213" s="7">
        <v>11.63</v>
      </c>
      <c r="K213" s="7">
        <v>11.26</v>
      </c>
      <c r="L213" s="7">
        <v>-18.942101501072099</v>
      </c>
    </row>
    <row r="214" spans="1:12" ht="15" customHeight="1" x14ac:dyDescent="0.2">
      <c r="A214" s="3">
        <v>45742</v>
      </c>
      <c r="B214" s="4">
        <v>11.47</v>
      </c>
      <c r="C214" s="5">
        <v>10653300</v>
      </c>
      <c r="D214" s="4">
        <v>0.08</v>
      </c>
      <c r="E214" s="4">
        <v>0.70237050043897498</v>
      </c>
      <c r="F214" s="4">
        <v>0.70237050043897498</v>
      </c>
      <c r="G214" s="4">
        <v>11.47</v>
      </c>
      <c r="H214" s="4">
        <v>-18.012866333095001</v>
      </c>
      <c r="I214" s="4">
        <v>11.26</v>
      </c>
      <c r="J214" s="4">
        <v>11.51</v>
      </c>
      <c r="K214" s="4">
        <v>11.24</v>
      </c>
      <c r="L214" s="4">
        <v>-18.012866333095001</v>
      </c>
    </row>
    <row r="215" spans="1:12" ht="15" customHeight="1" x14ac:dyDescent="0.2">
      <c r="A215" s="6">
        <v>45741</v>
      </c>
      <c r="B215" s="7">
        <v>11.39</v>
      </c>
      <c r="C215" s="8">
        <v>2584277</v>
      </c>
      <c r="D215" s="7">
        <v>-7.0000000000000201E-2</v>
      </c>
      <c r="E215" s="7">
        <v>-0.610820244328103</v>
      </c>
      <c r="F215" s="7">
        <v>-0.610820244328103</v>
      </c>
      <c r="G215" s="7">
        <v>11.39</v>
      </c>
      <c r="H215" s="7">
        <v>-18.584703359542502</v>
      </c>
      <c r="I215" s="7">
        <v>11.51</v>
      </c>
      <c r="J215" s="7">
        <v>11.53</v>
      </c>
      <c r="K215" s="7">
        <v>11.14</v>
      </c>
      <c r="L215" s="7">
        <v>-18.584703359542502</v>
      </c>
    </row>
    <row r="216" spans="1:12" ht="15" customHeight="1" x14ac:dyDescent="0.2">
      <c r="A216" s="3">
        <v>45740</v>
      </c>
      <c r="B216" s="4">
        <v>11.46</v>
      </c>
      <c r="C216" s="5">
        <v>1444311</v>
      </c>
      <c r="D216" s="4">
        <v>0.16</v>
      </c>
      <c r="E216" s="4">
        <v>1.4159292035398301</v>
      </c>
      <c r="F216" s="4">
        <v>1.4159292035398301</v>
      </c>
      <c r="G216" s="4">
        <v>11.46</v>
      </c>
      <c r="H216" s="4">
        <v>-18.084345961400899</v>
      </c>
      <c r="I216" s="4">
        <v>11.28</v>
      </c>
      <c r="J216" s="4">
        <v>11.59</v>
      </c>
      <c r="K216" s="4">
        <v>11.25</v>
      </c>
      <c r="L216" s="4">
        <v>-18.084345961400899</v>
      </c>
    </row>
    <row r="217" spans="1:12" ht="15" customHeight="1" x14ac:dyDescent="0.2">
      <c r="A217" s="6">
        <v>45737</v>
      </c>
      <c r="B217" s="7">
        <v>11.3</v>
      </c>
      <c r="C217" s="8">
        <v>6039557</v>
      </c>
      <c r="D217" s="7">
        <v>-0.119999999999999</v>
      </c>
      <c r="E217" s="7">
        <v>-1.0507880910682901</v>
      </c>
      <c r="F217" s="7">
        <v>-1.0507880910682901</v>
      </c>
      <c r="G217" s="7">
        <v>11.3</v>
      </c>
      <c r="H217" s="7">
        <v>-19.2280200142959</v>
      </c>
      <c r="I217" s="7">
        <v>11.34</v>
      </c>
      <c r="J217" s="7">
        <v>11.36</v>
      </c>
      <c r="K217" s="7">
        <v>11.11</v>
      </c>
      <c r="L217" s="7">
        <v>-19.2280200142959</v>
      </c>
    </row>
    <row r="218" spans="1:12" ht="15" customHeight="1" x14ac:dyDescent="0.2">
      <c r="A218" s="3">
        <v>45736</v>
      </c>
      <c r="B218" s="4">
        <v>11.42</v>
      </c>
      <c r="C218" s="5">
        <v>2510985</v>
      </c>
      <c r="D218" s="4">
        <v>-0.16</v>
      </c>
      <c r="E218" s="4">
        <v>-1.3816925734024099</v>
      </c>
      <c r="F218" s="4">
        <v>-1.3816925734024099</v>
      </c>
      <c r="G218" s="4">
        <v>11.42</v>
      </c>
      <c r="H218" s="4">
        <v>-18.370264474624701</v>
      </c>
      <c r="I218" s="4">
        <v>11.59</v>
      </c>
      <c r="J218" s="4">
        <v>11.59</v>
      </c>
      <c r="K218" s="4">
        <v>11.29</v>
      </c>
      <c r="L218" s="4">
        <v>-18.370264474624701</v>
      </c>
    </row>
    <row r="219" spans="1:12" ht="15" customHeight="1" x14ac:dyDescent="0.2">
      <c r="A219" s="6">
        <v>45735</v>
      </c>
      <c r="B219" s="7">
        <v>11.58</v>
      </c>
      <c r="C219" s="8">
        <v>3212029</v>
      </c>
      <c r="D219" s="7">
        <v>0.16999999999999901</v>
      </c>
      <c r="E219" s="7">
        <v>1.48992112182295</v>
      </c>
      <c r="F219" s="7">
        <v>1.48992112182295</v>
      </c>
      <c r="G219" s="7">
        <v>11.58</v>
      </c>
      <c r="H219" s="7">
        <v>-17.226590421729799</v>
      </c>
      <c r="I219" s="7">
        <v>11.33</v>
      </c>
      <c r="J219" s="7">
        <v>11.62</v>
      </c>
      <c r="K219" s="7">
        <v>11.33</v>
      </c>
      <c r="L219" s="7">
        <v>-17.226590421729799</v>
      </c>
    </row>
    <row r="220" spans="1:12" ht="15" customHeight="1" x14ac:dyDescent="0.2">
      <c r="A220" s="3">
        <v>45734</v>
      </c>
      <c r="B220" s="4">
        <v>11.41</v>
      </c>
      <c r="C220" s="5">
        <v>5828729</v>
      </c>
      <c r="D220" s="4">
        <v>0.22</v>
      </c>
      <c r="E220" s="4">
        <v>1.96604110813227</v>
      </c>
      <c r="F220" s="4">
        <v>1.96604110813227</v>
      </c>
      <c r="G220" s="4">
        <v>11.41</v>
      </c>
      <c r="H220" s="4">
        <v>-18.441744102930599</v>
      </c>
      <c r="I220" s="4">
        <v>11.24</v>
      </c>
      <c r="J220" s="4">
        <v>11.55</v>
      </c>
      <c r="K220" s="4">
        <v>11.09</v>
      </c>
      <c r="L220" s="4">
        <v>-18.441744102930599</v>
      </c>
    </row>
    <row r="221" spans="1:12" ht="15" customHeight="1" x14ac:dyDescent="0.2">
      <c r="A221" s="6">
        <v>45730</v>
      </c>
      <c r="B221" s="7">
        <v>11.19</v>
      </c>
      <c r="C221" s="8">
        <v>7016419</v>
      </c>
      <c r="D221" s="7">
        <v>0.52999999999999903</v>
      </c>
      <c r="E221" s="7">
        <v>4.9718574108817899</v>
      </c>
      <c r="F221" s="7">
        <v>4.9718574108817899</v>
      </c>
      <c r="G221" s="7">
        <v>11.19</v>
      </c>
      <c r="H221" s="7">
        <v>-20.014295925661099</v>
      </c>
      <c r="I221" s="7">
        <v>10.93</v>
      </c>
      <c r="J221" s="7">
        <v>11.26</v>
      </c>
      <c r="K221" s="7">
        <v>10.4</v>
      </c>
      <c r="L221" s="7">
        <v>-20.014295925661099</v>
      </c>
    </row>
    <row r="222" spans="1:12" ht="15" customHeight="1" x14ac:dyDescent="0.2">
      <c r="A222" s="3">
        <v>45729</v>
      </c>
      <c r="B222" s="4">
        <v>10.66</v>
      </c>
      <c r="C222" s="5">
        <v>5408983</v>
      </c>
      <c r="D222" s="4">
        <v>-0.27999999999999903</v>
      </c>
      <c r="E222" s="4">
        <v>-2.5594149908592199</v>
      </c>
      <c r="F222" s="4">
        <v>-2.5594149908592199</v>
      </c>
      <c r="G222" s="4">
        <v>10.66</v>
      </c>
      <c r="H222" s="4">
        <v>-23.802716225875599</v>
      </c>
      <c r="I222" s="4">
        <v>10.98</v>
      </c>
      <c r="J222" s="4">
        <v>10.98</v>
      </c>
      <c r="K222" s="4">
        <v>10.4</v>
      </c>
      <c r="L222" s="4">
        <v>-23.802716225875599</v>
      </c>
    </row>
    <row r="223" spans="1:12" ht="15" customHeight="1" x14ac:dyDescent="0.2">
      <c r="A223" s="6">
        <v>45728</v>
      </c>
      <c r="B223" s="7">
        <v>10.94</v>
      </c>
      <c r="C223" s="8">
        <v>5447458</v>
      </c>
      <c r="D223" s="7">
        <v>-0.4</v>
      </c>
      <c r="E223" s="7">
        <v>-3.5273368606701898</v>
      </c>
      <c r="F223" s="7">
        <v>-3.5273368606701898</v>
      </c>
      <c r="G223" s="7">
        <v>10.94</v>
      </c>
      <c r="H223" s="7">
        <v>-21.801286633309498</v>
      </c>
      <c r="I223" s="7">
        <v>11.51</v>
      </c>
      <c r="J223" s="7">
        <v>11.51</v>
      </c>
      <c r="K223" s="7">
        <v>10.72</v>
      </c>
      <c r="L223" s="7">
        <v>-21.801286633309498</v>
      </c>
    </row>
    <row r="224" spans="1:12" ht="15" customHeight="1" x14ac:dyDescent="0.2">
      <c r="A224" s="3">
        <v>45727</v>
      </c>
      <c r="B224" s="4">
        <v>11.34</v>
      </c>
      <c r="C224" s="5">
        <v>3239385</v>
      </c>
      <c r="D224" s="4">
        <v>-4.0000000000000903E-2</v>
      </c>
      <c r="E224" s="4">
        <v>-0.351493848857653</v>
      </c>
      <c r="F224" s="4">
        <v>-0.351493848857653</v>
      </c>
      <c r="G224" s="4">
        <v>11.34</v>
      </c>
      <c r="H224" s="4">
        <v>-18.942101501072099</v>
      </c>
      <c r="I224" s="4">
        <v>11.37</v>
      </c>
      <c r="J224" s="4">
        <v>11.48</v>
      </c>
      <c r="K224" s="4">
        <v>10.96</v>
      </c>
      <c r="L224" s="4">
        <v>-18.942101501072099</v>
      </c>
    </row>
    <row r="225" spans="1:12" ht="15" customHeight="1" x14ac:dyDescent="0.2">
      <c r="A225" s="6">
        <v>45726</v>
      </c>
      <c r="B225" s="7">
        <v>11.38</v>
      </c>
      <c r="C225" s="8">
        <v>3798420</v>
      </c>
      <c r="D225" s="7">
        <v>-1.1499999999999899</v>
      </c>
      <c r="E225" s="7">
        <v>-9.1779728651236905</v>
      </c>
      <c r="F225" s="7">
        <v>-9.1779728651236905</v>
      </c>
      <c r="G225" s="7">
        <v>11.38</v>
      </c>
      <c r="H225" s="7">
        <v>-18.6561829878484</v>
      </c>
      <c r="I225" s="7">
        <v>12.59</v>
      </c>
      <c r="J225" s="7">
        <v>12.59</v>
      </c>
      <c r="K225" s="7">
        <v>11.21</v>
      </c>
      <c r="L225" s="7">
        <v>-18.6561829878484</v>
      </c>
    </row>
    <row r="226" spans="1:12" ht="15" customHeight="1" x14ac:dyDescent="0.2">
      <c r="A226" s="3">
        <v>45723</v>
      </c>
      <c r="B226" s="4">
        <v>12.53</v>
      </c>
      <c r="C226" s="5">
        <v>5240524</v>
      </c>
      <c r="D226" s="4">
        <v>-0.33999999999999903</v>
      </c>
      <c r="E226" s="4">
        <v>-2.6418026418026299</v>
      </c>
      <c r="F226" s="4">
        <v>-2.6418026418026299</v>
      </c>
      <c r="G226" s="4">
        <v>12.53</v>
      </c>
      <c r="H226" s="4">
        <v>-10.436025732666099</v>
      </c>
      <c r="I226" s="4">
        <v>12.83</v>
      </c>
      <c r="J226" s="4">
        <v>12.95</v>
      </c>
      <c r="K226" s="4">
        <v>11.94</v>
      </c>
      <c r="L226" s="4">
        <v>-10.436025732666099</v>
      </c>
    </row>
    <row r="227" spans="1:12" ht="15" customHeight="1" x14ac:dyDescent="0.2">
      <c r="A227" s="6">
        <v>45722</v>
      </c>
      <c r="B227" s="7">
        <v>12.87</v>
      </c>
      <c r="C227" s="8">
        <v>9404294</v>
      </c>
      <c r="D227" s="7">
        <v>-0.36000000000000099</v>
      </c>
      <c r="E227" s="7">
        <v>-2.7210884353741598</v>
      </c>
      <c r="F227" s="7">
        <v>-2.7210884353741598</v>
      </c>
      <c r="G227" s="7">
        <v>12.87</v>
      </c>
      <c r="H227" s="7">
        <v>-8.0057183702644803</v>
      </c>
      <c r="I227" s="7">
        <v>13.07</v>
      </c>
      <c r="J227" s="7">
        <v>13.1</v>
      </c>
      <c r="K227" s="7">
        <v>12.8</v>
      </c>
      <c r="L227" s="7">
        <v>-8.0057183702644803</v>
      </c>
    </row>
    <row r="228" spans="1:12" ht="15" customHeight="1" x14ac:dyDescent="0.2">
      <c r="A228" s="3">
        <v>45721</v>
      </c>
      <c r="B228" s="4">
        <v>13.23</v>
      </c>
      <c r="C228" s="5">
        <v>6401601</v>
      </c>
      <c r="D228" s="4">
        <v>0.47</v>
      </c>
      <c r="E228" s="4">
        <v>3.6833855799372999</v>
      </c>
      <c r="F228" s="4">
        <v>3.6833855799372999</v>
      </c>
      <c r="G228" s="4">
        <v>13.23</v>
      </c>
      <c r="H228" s="4">
        <v>-5.4324517512508903</v>
      </c>
      <c r="I228" s="4">
        <v>12.74</v>
      </c>
      <c r="J228" s="4">
        <v>13.29</v>
      </c>
      <c r="K228" s="4">
        <v>12.53</v>
      </c>
      <c r="L228" s="4">
        <v>-5.4324517512508903</v>
      </c>
    </row>
    <row r="229" spans="1:12" ht="15" customHeight="1" x14ac:dyDescent="0.2">
      <c r="A229" s="6">
        <v>45720</v>
      </c>
      <c r="B229" s="7">
        <v>12.76</v>
      </c>
      <c r="C229" s="8">
        <v>5328102</v>
      </c>
      <c r="D229" s="7">
        <v>-0.4</v>
      </c>
      <c r="E229" s="7">
        <v>-3.0395136778115499</v>
      </c>
      <c r="F229" s="7">
        <v>-3.0395136778115499</v>
      </c>
      <c r="G229" s="7">
        <v>12.76</v>
      </c>
      <c r="H229" s="7">
        <v>-8.7919942816297301</v>
      </c>
      <c r="I229" s="7">
        <v>13.12</v>
      </c>
      <c r="J229" s="7">
        <v>13.12</v>
      </c>
      <c r="K229" s="7">
        <v>12.37</v>
      </c>
      <c r="L229" s="7">
        <v>-8.7919942816297301</v>
      </c>
    </row>
    <row r="230" spans="1:12" ht="15" customHeight="1" x14ac:dyDescent="0.2">
      <c r="A230" s="3">
        <v>45719</v>
      </c>
      <c r="B230" s="4">
        <v>13.16</v>
      </c>
      <c r="C230" s="5">
        <v>1980652</v>
      </c>
      <c r="D230" s="4">
        <v>-0.16</v>
      </c>
      <c r="E230" s="4">
        <v>-1.2012012012012001</v>
      </c>
      <c r="F230" s="4">
        <v>-1.2012012012012001</v>
      </c>
      <c r="G230" s="4">
        <v>13.16</v>
      </c>
      <c r="H230" s="4">
        <v>-5.93280914939242</v>
      </c>
      <c r="I230" s="4">
        <v>13.32</v>
      </c>
      <c r="J230" s="4">
        <v>13.93</v>
      </c>
      <c r="K230" s="4">
        <v>13.02</v>
      </c>
      <c r="L230" s="4">
        <v>-5.93280914939242</v>
      </c>
    </row>
    <row r="231" spans="1:12" ht="15" customHeight="1" x14ac:dyDescent="0.2">
      <c r="A231" s="6">
        <v>45716</v>
      </c>
      <c r="B231" s="7">
        <v>13.32</v>
      </c>
      <c r="C231" s="8">
        <v>4051735</v>
      </c>
      <c r="D231" s="7">
        <v>0.28999999999999998</v>
      </c>
      <c r="E231" s="7">
        <v>2.2256331542594099</v>
      </c>
      <c r="F231" s="7">
        <v>2.2256331542594099</v>
      </c>
      <c r="G231" s="7">
        <v>13.32</v>
      </c>
      <c r="H231" s="7">
        <v>-4.7891350964974899</v>
      </c>
      <c r="I231" s="7">
        <v>12.98</v>
      </c>
      <c r="J231" s="7">
        <v>13.44</v>
      </c>
      <c r="K231" s="7">
        <v>12.92</v>
      </c>
      <c r="L231" s="7">
        <v>-4.7891350964974899</v>
      </c>
    </row>
    <row r="232" spans="1:12" ht="15" customHeight="1" x14ac:dyDescent="0.2">
      <c r="A232" s="3">
        <v>45715</v>
      </c>
      <c r="B232" s="4">
        <v>13.03</v>
      </c>
      <c r="C232" s="5">
        <v>2706415</v>
      </c>
      <c r="D232" s="4">
        <v>-5.0000000000000697E-2</v>
      </c>
      <c r="E232" s="4">
        <v>-0.38226299694190602</v>
      </c>
      <c r="F232" s="4">
        <v>-0.38226299694190602</v>
      </c>
      <c r="G232" s="4">
        <v>13.03</v>
      </c>
      <c r="H232" s="4">
        <v>-6.8620443173695502</v>
      </c>
      <c r="I232" s="4">
        <v>13.14</v>
      </c>
      <c r="J232" s="4">
        <v>13.24</v>
      </c>
      <c r="K232" s="4">
        <v>12.85</v>
      </c>
      <c r="L232" s="4">
        <v>-6.8620443173695502</v>
      </c>
    </row>
    <row r="233" spans="1:12" ht="15" customHeight="1" x14ac:dyDescent="0.2">
      <c r="A233" s="6">
        <v>45714</v>
      </c>
      <c r="B233" s="7">
        <v>13.08</v>
      </c>
      <c r="C233" s="8">
        <v>5247088</v>
      </c>
      <c r="D233" s="7">
        <v>-0.4</v>
      </c>
      <c r="E233" s="7">
        <v>-2.9673590504451002</v>
      </c>
      <c r="F233" s="7">
        <v>-2.9673590504451002</v>
      </c>
      <c r="G233" s="7">
        <v>13.08</v>
      </c>
      <c r="H233" s="7">
        <v>-6.5046461758398797</v>
      </c>
      <c r="I233" s="7">
        <v>13.51</v>
      </c>
      <c r="J233" s="7">
        <v>13.51</v>
      </c>
      <c r="K233" s="7">
        <v>13</v>
      </c>
      <c r="L233" s="7">
        <v>-6.5046461758398797</v>
      </c>
    </row>
    <row r="234" spans="1:12" ht="15" customHeight="1" x14ac:dyDescent="0.2">
      <c r="A234" s="3">
        <v>45713</v>
      </c>
      <c r="B234" s="4">
        <v>13.48</v>
      </c>
      <c r="C234" s="5">
        <v>4638188</v>
      </c>
      <c r="D234" s="4">
        <v>-0.57999999999999996</v>
      </c>
      <c r="E234" s="4">
        <v>-4.1251778093883296</v>
      </c>
      <c r="F234" s="4">
        <v>-4.1251778093883296</v>
      </c>
      <c r="G234" s="4">
        <v>13.48</v>
      </c>
      <c r="H234" s="4">
        <v>-3.6454610436025701</v>
      </c>
      <c r="I234" s="4">
        <v>14.14</v>
      </c>
      <c r="J234" s="4">
        <v>14.14</v>
      </c>
      <c r="K234" s="4">
        <v>13.45</v>
      </c>
      <c r="L234" s="4">
        <v>-3.6454610436025701</v>
      </c>
    </row>
    <row r="235" spans="1:12" ht="15" customHeight="1" x14ac:dyDescent="0.2">
      <c r="A235" s="6">
        <v>45712</v>
      </c>
      <c r="B235" s="7">
        <v>14.06</v>
      </c>
      <c r="C235" s="8">
        <v>6103952</v>
      </c>
      <c r="D235" s="7">
        <v>-1.92</v>
      </c>
      <c r="E235" s="7">
        <v>-12.015018773466799</v>
      </c>
      <c r="F235" s="7">
        <v>-12.015018773466799</v>
      </c>
      <c r="G235" s="7">
        <v>14.06</v>
      </c>
      <c r="H235" s="7">
        <v>0.50035739814153102</v>
      </c>
      <c r="I235" s="7">
        <v>16</v>
      </c>
      <c r="J235" s="7">
        <v>16.010000000000002</v>
      </c>
      <c r="K235" s="7">
        <v>13.98</v>
      </c>
      <c r="L235" s="7">
        <v>0.50035739814153102</v>
      </c>
    </row>
    <row r="236" spans="1:12" ht="15" customHeight="1" x14ac:dyDescent="0.2">
      <c r="A236" s="3">
        <v>45709</v>
      </c>
      <c r="B236" s="4">
        <v>15.98</v>
      </c>
      <c r="C236" s="5">
        <v>2733089</v>
      </c>
      <c r="D236" s="4">
        <v>-1.28</v>
      </c>
      <c r="E236" s="4">
        <v>-7.4159907300115897</v>
      </c>
      <c r="F236" s="4">
        <v>-7.4159907300115897</v>
      </c>
      <c r="G236" s="4">
        <v>15.98</v>
      </c>
      <c r="H236" s="4">
        <v>14.2244460328806</v>
      </c>
      <c r="I236" s="4">
        <v>17.32</v>
      </c>
      <c r="J236" s="4">
        <v>17.38</v>
      </c>
      <c r="K236" s="4">
        <v>15.9</v>
      </c>
      <c r="L236" s="4">
        <v>14.2244460328806</v>
      </c>
    </row>
    <row r="237" spans="1:12" ht="15" customHeight="1" x14ac:dyDescent="0.2">
      <c r="A237" s="6">
        <v>45708</v>
      </c>
      <c r="B237" s="7">
        <v>17.260000000000002</v>
      </c>
      <c r="C237" s="8">
        <v>854190</v>
      </c>
      <c r="D237" s="7">
        <v>0.18000000000000299</v>
      </c>
      <c r="E237" s="7">
        <v>1.0538641686182699</v>
      </c>
      <c r="F237" s="7">
        <v>1.0538641686182699</v>
      </c>
      <c r="G237" s="7">
        <v>17.260000000000002</v>
      </c>
      <c r="H237" s="7">
        <v>23.373838456040001</v>
      </c>
      <c r="I237" s="7">
        <v>16.989999999999998</v>
      </c>
      <c r="J237" s="7">
        <v>17.47</v>
      </c>
      <c r="K237" s="7">
        <v>16.86</v>
      </c>
      <c r="L237" s="7">
        <v>23.373838456040001</v>
      </c>
    </row>
    <row r="238" spans="1:12" ht="15" customHeight="1" x14ac:dyDescent="0.2">
      <c r="A238" s="3">
        <v>45707</v>
      </c>
      <c r="B238" s="4">
        <v>17.079999999999998</v>
      </c>
      <c r="C238" s="5">
        <v>1663160</v>
      </c>
      <c r="D238" s="4">
        <v>4.9999999999997102E-2</v>
      </c>
      <c r="E238" s="4">
        <v>0.29359953024072899</v>
      </c>
      <c r="F238" s="4">
        <v>0.29359953024072899</v>
      </c>
      <c r="G238" s="4">
        <v>17.079999999999998</v>
      </c>
      <c r="H238" s="4">
        <v>22.087205146533201</v>
      </c>
      <c r="I238" s="4">
        <v>17.100000000000001</v>
      </c>
      <c r="J238" s="4">
        <v>17.25</v>
      </c>
      <c r="K238" s="4">
        <v>16.829999999999998</v>
      </c>
      <c r="L238" s="4">
        <v>22.087205146533201</v>
      </c>
    </row>
    <row r="239" spans="1:12" ht="15" customHeight="1" x14ac:dyDescent="0.2">
      <c r="A239" s="6">
        <v>45706</v>
      </c>
      <c r="B239" s="7">
        <v>17.03</v>
      </c>
      <c r="C239" s="8">
        <v>1896275</v>
      </c>
      <c r="D239" s="7">
        <v>0.190000000000001</v>
      </c>
      <c r="E239" s="7">
        <v>1.1282660332541501</v>
      </c>
      <c r="F239" s="7">
        <v>1.1282660332541501</v>
      </c>
      <c r="G239" s="7">
        <v>17.03</v>
      </c>
      <c r="H239" s="7">
        <v>21.729807005003501</v>
      </c>
      <c r="I239" s="7">
        <v>16.899999999999999</v>
      </c>
      <c r="J239" s="7">
        <v>17.54</v>
      </c>
      <c r="K239" s="7">
        <v>16.739999999999998</v>
      </c>
      <c r="L239" s="7">
        <v>21.729807005003501</v>
      </c>
    </row>
    <row r="240" spans="1:12" ht="15" customHeight="1" x14ac:dyDescent="0.2">
      <c r="A240" s="3">
        <v>45705</v>
      </c>
      <c r="B240" s="4">
        <v>16.84</v>
      </c>
      <c r="C240" s="5">
        <v>488373</v>
      </c>
      <c r="D240" s="4">
        <v>0.28999999999999898</v>
      </c>
      <c r="E240" s="4">
        <v>1.75226586102719</v>
      </c>
      <c r="F240" s="4">
        <v>1.75226586102719</v>
      </c>
      <c r="G240" s="4">
        <v>16.84</v>
      </c>
      <c r="H240" s="4">
        <v>20.371694067190798</v>
      </c>
      <c r="I240" s="4">
        <v>16.760000000000002</v>
      </c>
      <c r="J240" s="4">
        <v>16.95</v>
      </c>
      <c r="K240" s="4">
        <v>16.25</v>
      </c>
      <c r="L240" s="4">
        <v>20.371694067190798</v>
      </c>
    </row>
    <row r="241" spans="1:12" ht="15" customHeight="1" x14ac:dyDescent="0.2">
      <c r="A241" s="6">
        <v>45702</v>
      </c>
      <c r="B241" s="7">
        <v>16.55</v>
      </c>
      <c r="C241" s="8">
        <v>4385925</v>
      </c>
      <c r="D241" s="7">
        <v>0.70000000000000095</v>
      </c>
      <c r="E241" s="7">
        <v>4.4164037854889697</v>
      </c>
      <c r="F241" s="7">
        <v>4.4164037854889697</v>
      </c>
      <c r="G241" s="7">
        <v>16.55</v>
      </c>
      <c r="H241" s="7">
        <v>18.298784846318799</v>
      </c>
      <c r="I241" s="7">
        <v>15.92</v>
      </c>
      <c r="J241" s="7">
        <v>16.64</v>
      </c>
      <c r="K241" s="7">
        <v>15.69</v>
      </c>
      <c r="L241" s="7">
        <v>18.298784846318799</v>
      </c>
    </row>
    <row r="242" spans="1:12" ht="15" customHeight="1" x14ac:dyDescent="0.2">
      <c r="A242" s="3">
        <v>45701</v>
      </c>
      <c r="B242" s="4">
        <v>15.85</v>
      </c>
      <c r="C242" s="5">
        <v>1560319</v>
      </c>
      <c r="D242" s="4">
        <v>-9.9999999999997799E-3</v>
      </c>
      <c r="E242" s="4">
        <v>-6.30517023959664E-2</v>
      </c>
      <c r="F242" s="4">
        <v>-6.30517023959664E-2</v>
      </c>
      <c r="G242" s="4">
        <v>15.85</v>
      </c>
      <c r="H242" s="4">
        <v>13.2952108649034</v>
      </c>
      <c r="I242" s="4">
        <v>16.100000000000001</v>
      </c>
      <c r="J242" s="4">
        <v>16.12</v>
      </c>
      <c r="K242" s="4">
        <v>15.71</v>
      </c>
      <c r="L242" s="4">
        <v>13.2952108649034</v>
      </c>
    </row>
    <row r="243" spans="1:12" ht="15" customHeight="1" x14ac:dyDescent="0.2">
      <c r="A243" s="6">
        <v>45700</v>
      </c>
      <c r="B243" s="7">
        <v>15.86</v>
      </c>
      <c r="C243" s="8">
        <v>1035847</v>
      </c>
      <c r="D243" s="7">
        <v>-5.0000000000000697E-2</v>
      </c>
      <c r="E243" s="7">
        <v>-0.31426775612822799</v>
      </c>
      <c r="F243" s="7">
        <v>-0.31426775612822799</v>
      </c>
      <c r="G243" s="7">
        <v>15.86</v>
      </c>
      <c r="H243" s="7">
        <v>13.366690493209401</v>
      </c>
      <c r="I243" s="7">
        <v>15.9</v>
      </c>
      <c r="J243" s="7">
        <v>15.96</v>
      </c>
      <c r="K243" s="7">
        <v>15.69</v>
      </c>
      <c r="L243" s="7">
        <v>13.366690493209401</v>
      </c>
    </row>
    <row r="244" spans="1:12" ht="15" customHeight="1" x14ac:dyDescent="0.2">
      <c r="A244" s="3">
        <v>45699</v>
      </c>
      <c r="B244" s="4">
        <v>15.91</v>
      </c>
      <c r="C244" s="5">
        <v>1294150</v>
      </c>
      <c r="D244" s="4">
        <v>-0.32999999999999802</v>
      </c>
      <c r="E244" s="4">
        <v>-2.03201970443348</v>
      </c>
      <c r="F244" s="4">
        <v>-2.03201970443348</v>
      </c>
      <c r="G244" s="4">
        <v>15.91</v>
      </c>
      <c r="H244" s="4">
        <v>13.724088634738999</v>
      </c>
      <c r="I244" s="4">
        <v>16.32</v>
      </c>
      <c r="J244" s="4">
        <v>16.329999999999998</v>
      </c>
      <c r="K244" s="4">
        <v>15.75</v>
      </c>
      <c r="L244" s="4">
        <v>13.724088634738999</v>
      </c>
    </row>
    <row r="245" spans="1:12" ht="15" customHeight="1" x14ac:dyDescent="0.2">
      <c r="A245" s="6">
        <v>45698</v>
      </c>
      <c r="B245" s="7">
        <v>16.239999999999998</v>
      </c>
      <c r="C245" s="8">
        <v>898033</v>
      </c>
      <c r="D245" s="7">
        <v>-8.9999999999999802E-2</v>
      </c>
      <c r="E245" s="7">
        <v>-0.55113288426209495</v>
      </c>
      <c r="F245" s="7">
        <v>-0.55113288426209495</v>
      </c>
      <c r="G245" s="7">
        <v>16.239999999999998</v>
      </c>
      <c r="H245" s="7">
        <v>16.082916368834798</v>
      </c>
      <c r="I245" s="7">
        <v>16.41</v>
      </c>
      <c r="J245" s="7">
        <v>16.600000000000001</v>
      </c>
      <c r="K245" s="7">
        <v>16.13</v>
      </c>
      <c r="L245" s="7">
        <v>16.082916368834798</v>
      </c>
    </row>
    <row r="246" spans="1:12" ht="15" customHeight="1" x14ac:dyDescent="0.2">
      <c r="A246" s="3">
        <v>45695</v>
      </c>
      <c r="B246" s="4">
        <v>16.329999999999998</v>
      </c>
      <c r="C246" s="5">
        <v>1196055</v>
      </c>
      <c r="D246" s="4">
        <v>0.12999999999999901</v>
      </c>
      <c r="E246" s="4">
        <v>0.80246913580246304</v>
      </c>
      <c r="F246" s="4">
        <v>0.80246913580246304</v>
      </c>
      <c r="G246" s="4">
        <v>16.329999999999998</v>
      </c>
      <c r="H246" s="4">
        <v>16.7262330235882</v>
      </c>
      <c r="I246" s="4">
        <v>16.420000000000002</v>
      </c>
      <c r="J246" s="4">
        <v>16.559999999999999</v>
      </c>
      <c r="K246" s="4">
        <v>16.16</v>
      </c>
      <c r="L246" s="4">
        <v>16.7262330235882</v>
      </c>
    </row>
    <row r="247" spans="1:12" ht="15" customHeight="1" x14ac:dyDescent="0.2">
      <c r="A247" s="6">
        <v>45694</v>
      </c>
      <c r="B247" s="7">
        <v>16.2</v>
      </c>
      <c r="C247" s="8">
        <v>1122746</v>
      </c>
      <c r="D247" s="7">
        <v>-0.16</v>
      </c>
      <c r="E247" s="7">
        <v>-0.97799511002445405</v>
      </c>
      <c r="F247" s="7">
        <v>-0.97799511002445405</v>
      </c>
      <c r="G247" s="7">
        <v>16.2</v>
      </c>
      <c r="H247" s="7">
        <v>15.796997855611099</v>
      </c>
      <c r="I247" s="7">
        <v>16.399999999999999</v>
      </c>
      <c r="J247" s="7">
        <v>16.79</v>
      </c>
      <c r="K247" s="7">
        <v>16</v>
      </c>
      <c r="L247" s="7">
        <v>15.796997855611099</v>
      </c>
    </row>
    <row r="248" spans="1:12" ht="15" customHeight="1" x14ac:dyDescent="0.2">
      <c r="A248" s="3">
        <v>45693</v>
      </c>
      <c r="B248" s="4">
        <v>16.36</v>
      </c>
      <c r="C248" s="5">
        <v>1616326</v>
      </c>
      <c r="D248" s="4">
        <v>-0.83999999999999897</v>
      </c>
      <c r="E248" s="4">
        <v>-4.8837209302325597</v>
      </c>
      <c r="F248" s="4">
        <v>-4.8837209302325597</v>
      </c>
      <c r="G248" s="4">
        <v>16.36</v>
      </c>
      <c r="H248" s="4">
        <v>16.940671908506001</v>
      </c>
      <c r="I248" s="4">
        <v>17.260000000000002</v>
      </c>
      <c r="J248" s="4">
        <v>17.440000000000001</v>
      </c>
      <c r="K248" s="4">
        <v>16.28</v>
      </c>
      <c r="L248" s="4">
        <v>16.940671908506001</v>
      </c>
    </row>
    <row r="249" spans="1:12" ht="15" customHeight="1" x14ac:dyDescent="0.2">
      <c r="A249" s="6">
        <v>45692</v>
      </c>
      <c r="B249" s="7">
        <v>17.2</v>
      </c>
      <c r="C249" s="8">
        <v>2405353</v>
      </c>
      <c r="D249" s="7">
        <v>-0.35000000000000098</v>
      </c>
      <c r="E249" s="7">
        <v>-1.9943019943019999</v>
      </c>
      <c r="F249" s="7">
        <v>-1.9943019943019999</v>
      </c>
      <c r="G249" s="7">
        <v>17.2</v>
      </c>
      <c r="H249" s="7">
        <v>22.9449606862044</v>
      </c>
      <c r="I249" s="7">
        <v>17.46</v>
      </c>
      <c r="J249" s="7">
        <v>17.46</v>
      </c>
      <c r="K249" s="7">
        <v>16.86</v>
      </c>
      <c r="L249" s="7">
        <v>22.9449606862044</v>
      </c>
    </row>
    <row r="250" spans="1:12" ht="15" customHeight="1" x14ac:dyDescent="0.2">
      <c r="A250" s="3">
        <v>45688</v>
      </c>
      <c r="B250" s="4">
        <v>17.55</v>
      </c>
      <c r="C250" s="5">
        <v>2082527</v>
      </c>
      <c r="D250" s="4">
        <v>-0.37999999999999901</v>
      </c>
      <c r="E250" s="4">
        <v>-2.1193530395984301</v>
      </c>
      <c r="F250" s="4">
        <v>-2.1193530395984301</v>
      </c>
      <c r="G250" s="4">
        <v>17.55</v>
      </c>
      <c r="H250" s="4">
        <v>25.446747676912</v>
      </c>
      <c r="I250" s="4">
        <v>18.010000000000002</v>
      </c>
      <c r="J250" s="4">
        <v>18.010000000000002</v>
      </c>
      <c r="K250" s="4">
        <v>17.46</v>
      </c>
      <c r="L250" s="4">
        <v>25.446747676912</v>
      </c>
    </row>
    <row r="251" spans="1:12" ht="15" customHeight="1" x14ac:dyDescent="0.2">
      <c r="A251" s="6">
        <v>45687</v>
      </c>
      <c r="B251" s="7">
        <v>17.93</v>
      </c>
      <c r="C251" s="8">
        <v>1776722</v>
      </c>
      <c r="D251" s="7">
        <v>7.0000000000000201E-2</v>
      </c>
      <c r="E251" s="7">
        <v>0.39193729003359401</v>
      </c>
      <c r="F251" s="7">
        <v>0.39193729003359401</v>
      </c>
      <c r="G251" s="7">
        <v>17.93</v>
      </c>
      <c r="H251" s="7">
        <v>28.162973552537501</v>
      </c>
      <c r="I251" s="7">
        <v>17.97</v>
      </c>
      <c r="J251" s="7">
        <v>18.3</v>
      </c>
      <c r="K251" s="7">
        <v>17.850000000000001</v>
      </c>
      <c r="L251" s="7">
        <v>28.162973552537501</v>
      </c>
    </row>
    <row r="252" spans="1:12" ht="15" customHeight="1" x14ac:dyDescent="0.2">
      <c r="A252" s="3">
        <v>45686</v>
      </c>
      <c r="B252" s="4">
        <v>17.86</v>
      </c>
      <c r="C252" s="5">
        <v>1237560</v>
      </c>
      <c r="D252" s="4">
        <v>0.23</v>
      </c>
      <c r="E252" s="4">
        <v>1.30459444129324</v>
      </c>
      <c r="F252" s="4">
        <v>1.30459444129324</v>
      </c>
      <c r="G252" s="4">
        <v>17.86</v>
      </c>
      <c r="H252" s="4">
        <v>27.662616154395899</v>
      </c>
      <c r="I252" s="4">
        <v>17.73</v>
      </c>
      <c r="J252" s="4">
        <v>18.09</v>
      </c>
      <c r="K252" s="4">
        <v>17.7</v>
      </c>
      <c r="L252" s="4">
        <v>27.662616154395899</v>
      </c>
    </row>
    <row r="253" spans="1:12" ht="15" customHeight="1" x14ac:dyDescent="0.2">
      <c r="A253" s="6">
        <v>45685</v>
      </c>
      <c r="B253" s="7">
        <v>17.63</v>
      </c>
      <c r="C253" s="8">
        <v>956513</v>
      </c>
      <c r="D253" s="7">
        <v>-1.0000000000001501E-2</v>
      </c>
      <c r="E253" s="7">
        <v>-5.6689342403637398E-2</v>
      </c>
      <c r="F253" s="7">
        <v>-5.6689342403637398E-2</v>
      </c>
      <c r="G253" s="7">
        <v>17.63</v>
      </c>
      <c r="H253" s="7">
        <v>26.018584703359501</v>
      </c>
      <c r="I253" s="7">
        <v>17.61</v>
      </c>
      <c r="J253" s="7">
        <v>17.760000000000002</v>
      </c>
      <c r="K253" s="7">
        <v>17.27</v>
      </c>
      <c r="L253" s="7">
        <v>26.018584703359501</v>
      </c>
    </row>
    <row r="254" spans="1:12" ht="15" customHeight="1" x14ac:dyDescent="0.2">
      <c r="A254" s="3">
        <v>45684</v>
      </c>
      <c r="B254" s="4">
        <v>17.64</v>
      </c>
      <c r="C254" s="5">
        <v>901427</v>
      </c>
      <c r="D254" s="4">
        <v>-0.32</v>
      </c>
      <c r="E254" s="4">
        <v>-1.7817371937639199</v>
      </c>
      <c r="F254" s="4">
        <v>-1.7817371937639199</v>
      </c>
      <c r="G254" s="4">
        <v>17.64</v>
      </c>
      <c r="H254" s="4">
        <v>26.090064331665399</v>
      </c>
      <c r="I254" s="4">
        <v>18.16</v>
      </c>
      <c r="J254" s="4">
        <v>18.16</v>
      </c>
      <c r="K254" s="4">
        <v>17.59</v>
      </c>
      <c r="L254" s="4">
        <v>26.090064331665399</v>
      </c>
    </row>
    <row r="255" spans="1:12" ht="15" customHeight="1" x14ac:dyDescent="0.2">
      <c r="A255" s="6">
        <v>45681</v>
      </c>
      <c r="B255" s="7">
        <v>17.96</v>
      </c>
      <c r="C255" s="8">
        <v>904405</v>
      </c>
      <c r="D255" s="7">
        <v>5.0000000000000697E-2</v>
      </c>
      <c r="E255" s="7">
        <v>0.27917364600782402</v>
      </c>
      <c r="F255" s="7">
        <v>0.27917364600782402</v>
      </c>
      <c r="G255" s="7">
        <v>17.96</v>
      </c>
      <c r="H255" s="7">
        <v>28.377412437455298</v>
      </c>
      <c r="I255" s="7">
        <v>17.989999999999998</v>
      </c>
      <c r="J255" s="7">
        <v>18.2</v>
      </c>
      <c r="K255" s="7">
        <v>17.91</v>
      </c>
      <c r="L255" s="7">
        <v>28.377412437455298</v>
      </c>
    </row>
    <row r="256" spans="1:12" ht="15" customHeight="1" x14ac:dyDescent="0.2">
      <c r="A256" s="3">
        <v>45680</v>
      </c>
      <c r="B256" s="4">
        <v>17.91</v>
      </c>
      <c r="C256" s="5">
        <v>1850069</v>
      </c>
      <c r="D256" s="4">
        <v>-0.25</v>
      </c>
      <c r="E256" s="4">
        <v>-1.3766519823788499</v>
      </c>
      <c r="F256" s="4">
        <v>-1.3766519823788499</v>
      </c>
      <c r="G256" s="4">
        <v>17.91</v>
      </c>
      <c r="H256" s="4">
        <v>28.020014295925598</v>
      </c>
      <c r="I256" s="4">
        <v>18.27</v>
      </c>
      <c r="J256" s="4">
        <v>18.34</v>
      </c>
      <c r="K256" s="4">
        <v>17.829999999999998</v>
      </c>
      <c r="L256" s="4">
        <v>28.020014295925598</v>
      </c>
    </row>
    <row r="257" spans="1:12" ht="15" customHeight="1" x14ac:dyDescent="0.2">
      <c r="A257" s="6">
        <v>45679</v>
      </c>
      <c r="B257" s="7">
        <v>18.16</v>
      </c>
      <c r="C257" s="8">
        <v>1444235</v>
      </c>
      <c r="D257" s="7">
        <v>0.21</v>
      </c>
      <c r="E257" s="7">
        <v>1.1699164345403801</v>
      </c>
      <c r="F257" s="7">
        <v>1.1699164345403801</v>
      </c>
      <c r="G257" s="7">
        <v>18.16</v>
      </c>
      <c r="H257" s="7">
        <v>29.807005003573899</v>
      </c>
      <c r="I257" s="7">
        <v>18</v>
      </c>
      <c r="J257" s="7">
        <v>18.27</v>
      </c>
      <c r="K257" s="7">
        <v>18</v>
      </c>
      <c r="L257" s="7">
        <v>29.807005003573899</v>
      </c>
    </row>
    <row r="258" spans="1:12" ht="15" customHeight="1" x14ac:dyDescent="0.2">
      <c r="A258" s="3">
        <v>45678</v>
      </c>
      <c r="B258" s="4">
        <v>17.95</v>
      </c>
      <c r="C258" s="5">
        <v>2446785</v>
      </c>
      <c r="D258" s="4">
        <v>0.57999999999999796</v>
      </c>
      <c r="E258" s="4">
        <v>3.3390903857224998</v>
      </c>
      <c r="F258" s="4">
        <v>3.3390903857224998</v>
      </c>
      <c r="G258" s="4">
        <v>17.95</v>
      </c>
      <c r="H258" s="4">
        <v>28.305932809149301</v>
      </c>
      <c r="I258" s="4">
        <v>17.37</v>
      </c>
      <c r="J258" s="4">
        <v>18.04</v>
      </c>
      <c r="K258" s="4">
        <v>17.329999999999998</v>
      </c>
      <c r="L258" s="4">
        <v>28.305932809149301</v>
      </c>
    </row>
    <row r="259" spans="1:12" ht="15" customHeight="1" x14ac:dyDescent="0.2">
      <c r="A259" s="6">
        <v>45677</v>
      </c>
      <c r="B259" s="7">
        <v>17.37</v>
      </c>
      <c r="C259" s="8">
        <v>182870</v>
      </c>
      <c r="D259" s="7">
        <v>0.42000000000000098</v>
      </c>
      <c r="E259" s="7">
        <v>2.4778761061946901</v>
      </c>
      <c r="F259" s="7">
        <v>2.4778761061946901</v>
      </c>
      <c r="G259" s="7">
        <v>17.37</v>
      </c>
      <c r="H259" s="7">
        <v>24.1601143674052</v>
      </c>
      <c r="I259" s="7">
        <v>17.05</v>
      </c>
      <c r="J259" s="7">
        <v>17.399999999999999</v>
      </c>
      <c r="K259" s="7">
        <v>16.850000000000001</v>
      </c>
      <c r="L259" s="7">
        <v>24.1601143674052</v>
      </c>
    </row>
    <row r="260" spans="1:12" ht="15" customHeight="1" x14ac:dyDescent="0.2">
      <c r="A260" s="3">
        <v>45674</v>
      </c>
      <c r="B260" s="4">
        <v>16.95</v>
      </c>
      <c r="C260" s="5">
        <v>1359192</v>
      </c>
      <c r="D260" s="4">
        <v>-0.58999999999999897</v>
      </c>
      <c r="E260" s="4">
        <v>-3.3637400228050098</v>
      </c>
      <c r="F260" s="4">
        <v>-3.3637400228050098</v>
      </c>
      <c r="G260" s="4">
        <v>16.95</v>
      </c>
      <c r="H260" s="4">
        <v>21.1579699785561</v>
      </c>
      <c r="I260" s="4">
        <v>17.510000000000002</v>
      </c>
      <c r="J260" s="4">
        <v>17.59</v>
      </c>
      <c r="K260" s="4">
        <v>16.899999999999999</v>
      </c>
      <c r="L260" s="4">
        <v>21.1579699785561</v>
      </c>
    </row>
    <row r="261" spans="1:12" ht="15" customHeight="1" x14ac:dyDescent="0.2">
      <c r="A261" s="6">
        <v>45673</v>
      </c>
      <c r="B261" s="7">
        <v>17.54</v>
      </c>
      <c r="C261" s="8">
        <v>1793334</v>
      </c>
      <c r="D261" s="7">
        <v>0.23</v>
      </c>
      <c r="E261" s="7">
        <v>1.32871172732524</v>
      </c>
      <c r="F261" s="7">
        <v>1.32871172732524</v>
      </c>
      <c r="G261" s="7">
        <v>17.54</v>
      </c>
      <c r="H261" s="7">
        <v>25.375268048606099</v>
      </c>
      <c r="I261" s="7">
        <v>17.239999999999998</v>
      </c>
      <c r="J261" s="7">
        <v>17.63</v>
      </c>
      <c r="K261" s="7">
        <v>17.16</v>
      </c>
      <c r="L261" s="7">
        <v>25.375268048606099</v>
      </c>
    </row>
    <row r="262" spans="1:12" ht="15" customHeight="1" x14ac:dyDescent="0.2">
      <c r="A262" s="3">
        <v>45672</v>
      </c>
      <c r="B262" s="4">
        <v>17.309999999999999</v>
      </c>
      <c r="C262" s="5">
        <v>1093149</v>
      </c>
      <c r="D262" s="4">
        <v>-0.130000000000002</v>
      </c>
      <c r="E262" s="4">
        <v>-0.74541284403670804</v>
      </c>
      <c r="F262" s="4">
        <v>-0.74541284403670804</v>
      </c>
      <c r="G262" s="4">
        <v>17.309999999999999</v>
      </c>
      <c r="H262" s="4">
        <v>23.731236597569598</v>
      </c>
      <c r="I262" s="4">
        <v>17.47</v>
      </c>
      <c r="J262" s="4">
        <v>17.73</v>
      </c>
      <c r="K262" s="4">
        <v>16.989999999999998</v>
      </c>
      <c r="L262" s="4">
        <v>23.731236597569598</v>
      </c>
    </row>
    <row r="263" spans="1:12" ht="15" customHeight="1" x14ac:dyDescent="0.2">
      <c r="A263" s="6">
        <v>45671</v>
      </c>
      <c r="B263" s="7">
        <v>17.440000000000001</v>
      </c>
      <c r="C263" s="8">
        <v>1082589</v>
      </c>
      <c r="D263" s="7">
        <v>0.40000000000000202</v>
      </c>
      <c r="E263" s="7">
        <v>2.3474178403755901</v>
      </c>
      <c r="F263" s="7">
        <v>2.3474178403755901</v>
      </c>
      <c r="G263" s="7">
        <v>17.440000000000001</v>
      </c>
      <c r="H263" s="7">
        <v>24.660471765546799</v>
      </c>
      <c r="I263" s="7">
        <v>17.149999999999999</v>
      </c>
      <c r="J263" s="7">
        <v>17.55</v>
      </c>
      <c r="K263" s="7">
        <v>17.07</v>
      </c>
      <c r="L263" s="7">
        <v>24.660471765546799</v>
      </c>
    </row>
    <row r="264" spans="1:12" ht="15" customHeight="1" x14ac:dyDescent="0.2">
      <c r="A264" s="3">
        <v>45670</v>
      </c>
      <c r="B264" s="4">
        <v>17.04</v>
      </c>
      <c r="C264" s="5">
        <v>1283786</v>
      </c>
      <c r="D264" s="4">
        <v>0.369999999999997</v>
      </c>
      <c r="E264" s="4">
        <v>2.2195560887822299</v>
      </c>
      <c r="F264" s="4">
        <v>2.2195560887822299</v>
      </c>
      <c r="G264" s="4">
        <v>17.04</v>
      </c>
      <c r="H264" s="4">
        <v>21.801286633309498</v>
      </c>
      <c r="I264" s="4">
        <v>16.510000000000002</v>
      </c>
      <c r="J264" s="4">
        <v>17.149999999999999</v>
      </c>
      <c r="K264" s="4">
        <v>16.190000000000001</v>
      </c>
      <c r="L264" s="4">
        <v>21.801286633309498</v>
      </c>
    </row>
    <row r="265" spans="1:12" ht="15" customHeight="1" x14ac:dyDescent="0.2">
      <c r="A265" s="6">
        <v>45667</v>
      </c>
      <c r="B265" s="7">
        <v>16.670000000000002</v>
      </c>
      <c r="C265" s="8">
        <v>1579911</v>
      </c>
      <c r="D265" s="7">
        <v>0.39</v>
      </c>
      <c r="E265" s="7">
        <v>2.3955773955774</v>
      </c>
      <c r="F265" s="7">
        <v>2.3955773955774</v>
      </c>
      <c r="G265" s="7">
        <v>16.670000000000002</v>
      </c>
      <c r="H265" s="7">
        <v>19.156540385989999</v>
      </c>
      <c r="I265" s="7">
        <v>16.2</v>
      </c>
      <c r="J265" s="7">
        <v>16.75</v>
      </c>
      <c r="K265" s="7">
        <v>16.190000000000001</v>
      </c>
      <c r="L265" s="7">
        <v>19.156540385989999</v>
      </c>
    </row>
    <row r="266" spans="1:12" ht="15" customHeight="1" x14ac:dyDescent="0.2">
      <c r="A266" s="3">
        <v>45666</v>
      </c>
      <c r="B266" s="4">
        <v>16.28</v>
      </c>
      <c r="C266" s="5">
        <v>533637</v>
      </c>
      <c r="D266" s="4">
        <v>0.109999999999999</v>
      </c>
      <c r="E266" s="4">
        <v>0.68027210884353795</v>
      </c>
      <c r="F266" s="4">
        <v>0.68027210884353795</v>
      </c>
      <c r="G266" s="4">
        <v>16.28</v>
      </c>
      <c r="H266" s="4">
        <v>16.3688348820586</v>
      </c>
      <c r="I266" s="4">
        <v>16.170000000000002</v>
      </c>
      <c r="J266" s="4">
        <v>16.53</v>
      </c>
      <c r="K266" s="4">
        <v>16.05</v>
      </c>
      <c r="L266" s="4">
        <v>16.3688348820586</v>
      </c>
    </row>
    <row r="267" spans="1:12" ht="15" customHeight="1" x14ac:dyDescent="0.2">
      <c r="A267" s="6">
        <v>45665</v>
      </c>
      <c r="B267" s="7">
        <v>16.170000000000002</v>
      </c>
      <c r="C267" s="8">
        <v>2116006</v>
      </c>
      <c r="D267" s="7">
        <v>0.34000000000000102</v>
      </c>
      <c r="E267" s="7">
        <v>2.1478205938092199</v>
      </c>
      <c r="F267" s="7">
        <v>2.1478205938092199</v>
      </c>
      <c r="G267" s="7">
        <v>16.170000000000002</v>
      </c>
      <c r="H267" s="7">
        <v>15.582558970693301</v>
      </c>
      <c r="I267" s="7">
        <v>15.75</v>
      </c>
      <c r="J267" s="7">
        <v>16.27</v>
      </c>
      <c r="K267" s="7">
        <v>15.58</v>
      </c>
      <c r="L267" s="7">
        <v>15.582558970693301</v>
      </c>
    </row>
    <row r="268" spans="1:12" ht="15" customHeight="1" x14ac:dyDescent="0.2">
      <c r="A268" s="3">
        <v>45664</v>
      </c>
      <c r="B268" s="4">
        <v>15.83</v>
      </c>
      <c r="C268" s="5">
        <v>2729608</v>
      </c>
      <c r="D268" s="4">
        <v>0.23</v>
      </c>
      <c r="E268" s="4">
        <v>1.47435897435896</v>
      </c>
      <c r="F268" s="4">
        <v>1.47435897435896</v>
      </c>
      <c r="G268" s="4">
        <v>15.83</v>
      </c>
      <c r="H268" s="4">
        <v>13.1522516082916</v>
      </c>
      <c r="I268" s="4">
        <v>15.52</v>
      </c>
      <c r="J268" s="4">
        <v>16.07</v>
      </c>
      <c r="K268" s="4">
        <v>15.52</v>
      </c>
      <c r="L268" s="4">
        <v>13.1522516082916</v>
      </c>
    </row>
    <row r="269" spans="1:12" ht="15" customHeight="1" x14ac:dyDescent="0.2">
      <c r="A269" s="6">
        <v>45663</v>
      </c>
      <c r="B269" s="7">
        <v>15.6</v>
      </c>
      <c r="C269" s="8">
        <v>1362709</v>
      </c>
      <c r="D269" s="7">
        <v>0.16</v>
      </c>
      <c r="E269" s="7">
        <v>1.03626943005181</v>
      </c>
      <c r="F269" s="7">
        <v>1.03626943005181</v>
      </c>
      <c r="G269" s="7">
        <v>15.6</v>
      </c>
      <c r="H269" s="7">
        <v>11.508220157255099</v>
      </c>
      <c r="I269" s="7">
        <v>15.36</v>
      </c>
      <c r="J269" s="7">
        <v>15.91</v>
      </c>
      <c r="K269" s="7">
        <v>15.36</v>
      </c>
      <c r="L269" s="7">
        <v>11.508220157255099</v>
      </c>
    </row>
    <row r="270" spans="1:12" ht="15" customHeight="1" x14ac:dyDescent="0.2">
      <c r="A270" s="3">
        <v>45660</v>
      </c>
      <c r="B270" s="4">
        <v>15.44</v>
      </c>
      <c r="C270" s="5">
        <v>1182646</v>
      </c>
      <c r="D270" s="4">
        <v>9.9999999999997799E-3</v>
      </c>
      <c r="E270" s="4">
        <v>6.4808813998706805E-2</v>
      </c>
      <c r="F270" s="4">
        <v>6.4808813998706805E-2</v>
      </c>
      <c r="G270" s="4">
        <v>15.44</v>
      </c>
      <c r="H270" s="4">
        <v>10.364546104360199</v>
      </c>
      <c r="I270" s="4">
        <v>15.35</v>
      </c>
      <c r="J270" s="4">
        <v>15.48</v>
      </c>
      <c r="K270" s="4">
        <v>15</v>
      </c>
      <c r="L270" s="4">
        <v>10.364546104360199</v>
      </c>
    </row>
    <row r="271" spans="1:12" ht="15" customHeight="1" x14ac:dyDescent="0.2">
      <c r="A271" s="6">
        <v>45659</v>
      </c>
      <c r="B271" s="7">
        <v>15.43</v>
      </c>
      <c r="C271" s="8">
        <v>957972</v>
      </c>
      <c r="D271" s="7">
        <v>-0.20000000000000101</v>
      </c>
      <c r="E271" s="7">
        <v>-1.2795905310300699</v>
      </c>
      <c r="F271" s="7">
        <v>-1.2795905310300699</v>
      </c>
      <c r="G271" s="7">
        <v>15.43</v>
      </c>
      <c r="H271" s="7">
        <v>10.2930664760543</v>
      </c>
      <c r="I271" s="7">
        <v>15.63</v>
      </c>
      <c r="J271" s="7">
        <v>15.75</v>
      </c>
      <c r="K271" s="7">
        <v>15.3</v>
      </c>
      <c r="L271" s="7">
        <v>10.2930664760543</v>
      </c>
    </row>
    <row r="272" spans="1:12" ht="15" customHeight="1" x14ac:dyDescent="0.2">
      <c r="A272" s="3">
        <v>45657</v>
      </c>
      <c r="B272" s="4">
        <v>15.63</v>
      </c>
      <c r="C272" s="5">
        <v>976258</v>
      </c>
      <c r="D272" s="4">
        <v>0.13</v>
      </c>
      <c r="E272" s="4">
        <v>0.83870967741936897</v>
      </c>
      <c r="F272" s="4">
        <v>0.83870967741936897</v>
      </c>
      <c r="G272" s="4">
        <v>15.63</v>
      </c>
      <c r="H272" s="4">
        <v>11.7226590421729</v>
      </c>
      <c r="I272" s="4">
        <v>15.33</v>
      </c>
      <c r="J272" s="4">
        <v>15.79</v>
      </c>
      <c r="K272" s="4">
        <v>15.26</v>
      </c>
      <c r="L272" s="4">
        <v>11.7226590421729</v>
      </c>
    </row>
    <row r="273" spans="1:12" ht="15" customHeight="1" x14ac:dyDescent="0.2">
      <c r="A273" s="6">
        <v>45656</v>
      </c>
      <c r="B273" s="7">
        <v>15.5</v>
      </c>
      <c r="C273" s="8">
        <v>1191155</v>
      </c>
      <c r="D273" s="7">
        <v>1.9999999999999501E-2</v>
      </c>
      <c r="E273" s="7">
        <v>0.12919896640826101</v>
      </c>
      <c r="F273" s="7">
        <v>0.12919896640826101</v>
      </c>
      <c r="G273" s="7">
        <v>15.5</v>
      </c>
      <c r="H273" s="7">
        <v>10.793423874195801</v>
      </c>
      <c r="I273" s="7">
        <v>15.4</v>
      </c>
      <c r="J273" s="7">
        <v>15.55</v>
      </c>
      <c r="K273" s="7">
        <v>14.82</v>
      </c>
      <c r="L273" s="7">
        <v>10.793423874195801</v>
      </c>
    </row>
    <row r="274" spans="1:12" ht="15" customHeight="1" x14ac:dyDescent="0.2">
      <c r="A274" s="3">
        <v>45653</v>
      </c>
      <c r="B274" s="4">
        <v>15.48</v>
      </c>
      <c r="C274" s="5">
        <v>566283</v>
      </c>
      <c r="D274" s="4">
        <v>-0.17999999999999899</v>
      </c>
      <c r="E274" s="4">
        <v>-1.14942528735632</v>
      </c>
      <c r="F274" s="4">
        <v>-1.14942528735632</v>
      </c>
      <c r="G274" s="4">
        <v>15.48</v>
      </c>
      <c r="H274" s="4">
        <v>10.6504646175839</v>
      </c>
      <c r="I274" s="4">
        <v>15.57</v>
      </c>
      <c r="J274" s="4">
        <v>15.63</v>
      </c>
      <c r="K274" s="4">
        <v>15.28</v>
      </c>
      <c r="L274" s="4">
        <v>10.6504646175839</v>
      </c>
    </row>
    <row r="275" spans="1:12" ht="15" customHeight="1" x14ac:dyDescent="0.2">
      <c r="A275" s="6">
        <v>45652</v>
      </c>
      <c r="B275" s="7">
        <v>15.66</v>
      </c>
      <c r="C275" s="8">
        <v>752600</v>
      </c>
      <c r="D275" s="7">
        <v>6.0000000000000497E-2</v>
      </c>
      <c r="E275" s="7">
        <v>0.38461538461538303</v>
      </c>
      <c r="F275" s="7">
        <v>0.38461538461538303</v>
      </c>
      <c r="G275" s="7">
        <v>15.66</v>
      </c>
      <c r="H275" s="7">
        <v>11.937097927090701</v>
      </c>
      <c r="I275" s="7">
        <v>15.58</v>
      </c>
      <c r="J275" s="7">
        <v>15.86</v>
      </c>
      <c r="K275" s="7">
        <v>15.4</v>
      </c>
      <c r="L275" s="7">
        <v>11.937097927090701</v>
      </c>
    </row>
    <row r="276" spans="1:12" ht="15" customHeight="1" x14ac:dyDescent="0.2">
      <c r="A276" s="3">
        <v>45650</v>
      </c>
      <c r="B276" s="4">
        <v>15.6</v>
      </c>
      <c r="C276" s="5">
        <v>110126</v>
      </c>
      <c r="D276" s="4">
        <v>-0.14000000000000001</v>
      </c>
      <c r="E276" s="4">
        <v>-0.88945362134689099</v>
      </c>
      <c r="F276" s="4">
        <v>-0.88945362134689099</v>
      </c>
      <c r="G276" s="4">
        <v>15.6</v>
      </c>
      <c r="H276" s="4">
        <v>11.508220157255099</v>
      </c>
      <c r="I276" s="4">
        <v>15.81</v>
      </c>
      <c r="J276" s="4">
        <v>15.81</v>
      </c>
      <c r="K276" s="4">
        <v>15.33</v>
      </c>
      <c r="L276" s="4">
        <v>11.508220157255099</v>
      </c>
    </row>
    <row r="277" spans="1:12" ht="15" customHeight="1" x14ac:dyDescent="0.2">
      <c r="A277" s="6">
        <v>45649</v>
      </c>
      <c r="B277" s="7">
        <v>15.74</v>
      </c>
      <c r="C277" s="8">
        <v>454265</v>
      </c>
      <c r="D277" s="7">
        <v>-0.189999999999999</v>
      </c>
      <c r="E277" s="7">
        <v>-1.19271814187068</v>
      </c>
      <c r="F277" s="7">
        <v>-1.19271814187068</v>
      </c>
      <c r="G277" s="7">
        <v>15.74</v>
      </c>
      <c r="H277" s="7">
        <v>12.5089349535382</v>
      </c>
      <c r="I277" s="7">
        <v>15.84</v>
      </c>
      <c r="J277" s="7">
        <v>15.89</v>
      </c>
      <c r="K277" s="7">
        <v>15.6</v>
      </c>
      <c r="L277" s="7">
        <v>12.5089349535382</v>
      </c>
    </row>
    <row r="278" spans="1:12" ht="15" customHeight="1" x14ac:dyDescent="0.2">
      <c r="A278" s="3">
        <v>45646</v>
      </c>
      <c r="B278" s="4">
        <v>15.93</v>
      </c>
      <c r="C278" s="5">
        <v>980633</v>
      </c>
      <c r="D278" s="4">
        <v>-0.46</v>
      </c>
      <c r="E278" s="4">
        <v>-2.8065893837705902</v>
      </c>
      <c r="F278" s="4">
        <v>-2.8065893837705902</v>
      </c>
      <c r="G278" s="4">
        <v>15.93</v>
      </c>
      <c r="H278" s="4">
        <v>13.8670478913509</v>
      </c>
      <c r="I278" s="4">
        <v>16.43</v>
      </c>
      <c r="J278" s="4">
        <v>16.43</v>
      </c>
      <c r="K278" s="4">
        <v>15.82</v>
      </c>
      <c r="L278" s="4">
        <v>13.8670478913509</v>
      </c>
    </row>
    <row r="279" spans="1:12" ht="15" customHeight="1" x14ac:dyDescent="0.2">
      <c r="A279" s="6">
        <v>45645</v>
      </c>
      <c r="B279" s="7">
        <v>16.39</v>
      </c>
      <c r="C279" s="8">
        <v>1286447</v>
      </c>
      <c r="D279" s="7"/>
      <c r="E279" s="7"/>
      <c r="F279" s="7"/>
      <c r="G279" s="7">
        <v>16.39</v>
      </c>
      <c r="H279" s="7">
        <v>17.155110793423798</v>
      </c>
      <c r="I279" s="7">
        <v>16.37</v>
      </c>
      <c r="J279" s="7">
        <v>16.73</v>
      </c>
      <c r="K279" s="7">
        <v>16.059999999999999</v>
      </c>
      <c r="L279" s="7">
        <v>17.155110793423798</v>
      </c>
    </row>
    <row r="280" spans="1:12" ht="15" customHeight="1" x14ac:dyDescent="0.2">
      <c r="A280" s="3">
        <v>45644</v>
      </c>
      <c r="B280" s="4">
        <v>16.39</v>
      </c>
      <c r="C280" s="5">
        <v>1193216</v>
      </c>
      <c r="D280" s="4">
        <v>-0.41999999999999799</v>
      </c>
      <c r="E280" s="4">
        <v>-2.4985127900059299</v>
      </c>
      <c r="F280" s="4">
        <v>-2.4985127900059299</v>
      </c>
      <c r="G280" s="4">
        <v>16.39</v>
      </c>
      <c r="H280" s="4">
        <v>17.155110793423798</v>
      </c>
      <c r="I280" s="4">
        <v>16.84</v>
      </c>
      <c r="J280" s="4">
        <v>17.100000000000001</v>
      </c>
      <c r="K280" s="4">
        <v>16.329999999999998</v>
      </c>
      <c r="L280" s="4">
        <v>17.155110793423798</v>
      </c>
    </row>
    <row r="281" spans="1:12" ht="15" customHeight="1" x14ac:dyDescent="0.2">
      <c r="A281" s="6">
        <v>45643</v>
      </c>
      <c r="B281" s="7">
        <v>16.809999999999999</v>
      </c>
      <c r="C281" s="8">
        <v>1770537</v>
      </c>
      <c r="D281" s="7">
        <v>-8.0000000000001806E-2</v>
      </c>
      <c r="E281" s="7">
        <v>-0.47365304914152001</v>
      </c>
      <c r="F281" s="7">
        <v>-0.47365304914152001</v>
      </c>
      <c r="G281" s="7">
        <v>16.809999999999999</v>
      </c>
      <c r="H281" s="7">
        <v>20.157255182273001</v>
      </c>
      <c r="I281" s="7">
        <v>16.63</v>
      </c>
      <c r="J281" s="7">
        <v>16.989999999999998</v>
      </c>
      <c r="K281" s="7">
        <v>16.47</v>
      </c>
      <c r="L281" s="7">
        <v>20.157255182273001</v>
      </c>
    </row>
    <row r="282" spans="1:12" ht="15" customHeight="1" x14ac:dyDescent="0.2">
      <c r="A282" s="3">
        <v>45642</v>
      </c>
      <c r="B282" s="4">
        <v>16.89</v>
      </c>
      <c r="C282" s="5">
        <v>993791</v>
      </c>
      <c r="D282" s="4"/>
      <c r="E282" s="4"/>
      <c r="F282" s="4"/>
      <c r="G282" s="4">
        <v>16.89</v>
      </c>
      <c r="H282" s="4">
        <v>20.729092208720498</v>
      </c>
      <c r="I282" s="4">
        <v>16.72</v>
      </c>
      <c r="J282" s="4">
        <v>17.2</v>
      </c>
      <c r="K282" s="4">
        <v>16.72</v>
      </c>
      <c r="L282" s="4">
        <v>20.729092208720498</v>
      </c>
    </row>
    <row r="283" spans="1:12" ht="15" customHeight="1" x14ac:dyDescent="0.2">
      <c r="A283" s="6">
        <v>45639</v>
      </c>
      <c r="B283" s="7">
        <v>16.89</v>
      </c>
      <c r="C283" s="8">
        <v>1064650</v>
      </c>
      <c r="D283" s="7">
        <v>-0.25999999999999801</v>
      </c>
      <c r="E283" s="7">
        <v>-1.51603498542273</v>
      </c>
      <c r="F283" s="7">
        <v>-1.51603498542273</v>
      </c>
      <c r="G283" s="7">
        <v>16.89</v>
      </c>
      <c r="H283" s="7">
        <v>20.729092208720498</v>
      </c>
      <c r="I283" s="7">
        <v>17.11</v>
      </c>
      <c r="J283" s="7">
        <v>17.11</v>
      </c>
      <c r="K283" s="7">
        <v>16.649999999999999</v>
      </c>
      <c r="L283" s="7">
        <v>20.729092208720498</v>
      </c>
    </row>
    <row r="284" spans="1:12" ht="15" customHeight="1" x14ac:dyDescent="0.2">
      <c r="A284" s="3">
        <v>45637</v>
      </c>
      <c r="B284" s="4">
        <v>17.149999999999999</v>
      </c>
      <c r="C284" s="5">
        <v>1620939</v>
      </c>
      <c r="D284" s="4">
        <v>0.25</v>
      </c>
      <c r="E284" s="4">
        <v>1.4792899408283899</v>
      </c>
      <c r="F284" s="4">
        <v>1.4792899408283899</v>
      </c>
      <c r="G284" s="4">
        <v>17.149999999999999</v>
      </c>
      <c r="H284" s="4">
        <v>22.5875625446747</v>
      </c>
      <c r="I284" s="4">
        <v>16.93</v>
      </c>
      <c r="J284" s="4">
        <v>17.2</v>
      </c>
      <c r="K284" s="4">
        <v>16.66</v>
      </c>
      <c r="L284" s="4">
        <v>22.5875625446747</v>
      </c>
    </row>
    <row r="285" spans="1:12" ht="15" customHeight="1" x14ac:dyDescent="0.2">
      <c r="A285" s="6">
        <v>45636</v>
      </c>
      <c r="B285" s="7">
        <v>16.899999999999999</v>
      </c>
      <c r="C285" s="8">
        <v>1395303</v>
      </c>
      <c r="D285" s="7">
        <v>2.9999999999997501E-2</v>
      </c>
      <c r="E285" s="7">
        <v>0.17783046828687599</v>
      </c>
      <c r="F285" s="7">
        <v>0.17783046828687599</v>
      </c>
      <c r="G285" s="7">
        <v>16.899999999999999</v>
      </c>
      <c r="H285" s="7">
        <v>20.8005718370264</v>
      </c>
      <c r="I285" s="7">
        <v>16.420000000000002</v>
      </c>
      <c r="J285" s="7">
        <v>17.2</v>
      </c>
      <c r="K285" s="7">
        <v>16.420000000000002</v>
      </c>
      <c r="L285" s="7">
        <v>20.8005718370264</v>
      </c>
    </row>
    <row r="286" spans="1:12" ht="15" customHeight="1" x14ac:dyDescent="0.2">
      <c r="A286" s="3">
        <v>45635</v>
      </c>
      <c r="B286" s="4">
        <v>16.87</v>
      </c>
      <c r="C286" s="5">
        <v>1483944</v>
      </c>
      <c r="D286" s="4">
        <v>-0.16</v>
      </c>
      <c r="E286" s="4">
        <v>-0.939518496770408</v>
      </c>
      <c r="F286" s="4">
        <v>-0.939518496770408</v>
      </c>
      <c r="G286" s="4">
        <v>16.87</v>
      </c>
      <c r="H286" s="4">
        <v>20.586132952108599</v>
      </c>
      <c r="I286" s="4">
        <v>17.03</v>
      </c>
      <c r="J286" s="4">
        <v>17.52</v>
      </c>
      <c r="K286" s="4">
        <v>16.8</v>
      </c>
      <c r="L286" s="4">
        <v>20.586132952108599</v>
      </c>
    </row>
    <row r="287" spans="1:12" ht="15" customHeight="1" x14ac:dyDescent="0.2">
      <c r="A287" s="6">
        <v>45632</v>
      </c>
      <c r="B287" s="7">
        <v>17.03</v>
      </c>
      <c r="C287" s="8">
        <v>1209288</v>
      </c>
      <c r="D287" s="7">
        <v>-9.9999999999980105E-3</v>
      </c>
      <c r="E287" s="7">
        <v>-5.8685446009376599E-2</v>
      </c>
      <c r="F287" s="7">
        <v>-5.8685446009376599E-2</v>
      </c>
      <c r="G287" s="7">
        <v>17.03</v>
      </c>
      <c r="H287" s="7">
        <v>21.729807005003501</v>
      </c>
      <c r="I287" s="7">
        <v>17.05</v>
      </c>
      <c r="J287" s="7">
        <v>17.399999999999999</v>
      </c>
      <c r="K287" s="7">
        <v>16.89</v>
      </c>
      <c r="L287" s="7">
        <v>21.729807005003501</v>
      </c>
    </row>
    <row r="288" spans="1:12" ht="15" customHeight="1" x14ac:dyDescent="0.2">
      <c r="A288" s="3">
        <v>45631</v>
      </c>
      <c r="B288" s="4">
        <v>17.04</v>
      </c>
      <c r="C288" s="5">
        <v>2222712</v>
      </c>
      <c r="D288" s="4">
        <v>0.57999999999999796</v>
      </c>
      <c r="E288" s="4">
        <v>3.52369380315915</v>
      </c>
      <c r="F288" s="4">
        <v>3.52369380315915</v>
      </c>
      <c r="G288" s="4">
        <v>17.04</v>
      </c>
      <c r="H288" s="4">
        <v>21.801286633309498</v>
      </c>
      <c r="I288" s="4">
        <v>16.36</v>
      </c>
      <c r="J288" s="4">
        <v>17.34</v>
      </c>
      <c r="K288" s="4">
        <v>16.25</v>
      </c>
      <c r="L288" s="4">
        <v>21.801286633309498</v>
      </c>
    </row>
    <row r="289" spans="1:12" ht="15" customHeight="1" x14ac:dyDescent="0.2">
      <c r="A289" s="6">
        <v>45630</v>
      </c>
      <c r="B289" s="7">
        <v>16.46</v>
      </c>
      <c r="C289" s="8">
        <v>1895748</v>
      </c>
      <c r="D289" s="7">
        <v>0.52000000000000102</v>
      </c>
      <c r="E289" s="7">
        <v>3.2622333751568502</v>
      </c>
      <c r="F289" s="7">
        <v>3.2622333751568502</v>
      </c>
      <c r="G289" s="7">
        <v>16.46</v>
      </c>
      <c r="H289" s="7">
        <v>17.655468191565401</v>
      </c>
      <c r="I289" s="7">
        <v>15.91</v>
      </c>
      <c r="J289" s="7">
        <v>16.55</v>
      </c>
      <c r="K289" s="7">
        <v>15.75</v>
      </c>
      <c r="L289" s="7">
        <v>17.655468191565401</v>
      </c>
    </row>
    <row r="290" spans="1:12" ht="15" customHeight="1" x14ac:dyDescent="0.2">
      <c r="A290" s="3">
        <v>45629</v>
      </c>
      <c r="B290" s="4">
        <v>15.94</v>
      </c>
      <c r="C290" s="5">
        <v>1691380</v>
      </c>
      <c r="D290" s="4">
        <v>0.28999999999999898</v>
      </c>
      <c r="E290" s="4">
        <v>1.8530351437699499</v>
      </c>
      <c r="F290" s="4">
        <v>1.8530351437699499</v>
      </c>
      <c r="G290" s="4">
        <v>15.94</v>
      </c>
      <c r="H290" s="4">
        <v>13.9385275196568</v>
      </c>
      <c r="I290" s="4">
        <v>15.55</v>
      </c>
      <c r="J290" s="4">
        <v>16</v>
      </c>
      <c r="K290" s="4">
        <v>15.33</v>
      </c>
      <c r="L290" s="4">
        <v>13.9385275196568</v>
      </c>
    </row>
    <row r="291" spans="1:12" ht="15" customHeight="1" x14ac:dyDescent="0.2">
      <c r="A291" s="6">
        <v>45628</v>
      </c>
      <c r="B291" s="7">
        <v>15.65</v>
      </c>
      <c r="C291" s="8">
        <v>2283517</v>
      </c>
      <c r="D291" s="7">
        <v>9.9999999999999603E-2</v>
      </c>
      <c r="E291" s="7">
        <v>0.64308681672025003</v>
      </c>
      <c r="F291" s="7">
        <v>0.64308681672025003</v>
      </c>
      <c r="G291" s="7">
        <v>15.65</v>
      </c>
      <c r="H291" s="7">
        <v>11.865618298784799</v>
      </c>
      <c r="I291" s="7">
        <v>15.64</v>
      </c>
      <c r="J291" s="7">
        <v>15.92</v>
      </c>
      <c r="K291" s="7">
        <v>15.32</v>
      </c>
      <c r="L291" s="7">
        <v>11.865618298784799</v>
      </c>
    </row>
    <row r="292" spans="1:12" ht="15" customHeight="1" x14ac:dyDescent="0.2">
      <c r="A292" s="3">
        <v>45625</v>
      </c>
      <c r="B292" s="4">
        <v>15.55</v>
      </c>
      <c r="C292" s="5">
        <v>1452204</v>
      </c>
      <c r="D292" s="4">
        <v>-0.33999999999999903</v>
      </c>
      <c r="E292" s="4">
        <v>-2.1397105097545599</v>
      </c>
      <c r="F292" s="4">
        <v>-2.1397105097545599</v>
      </c>
      <c r="G292" s="4">
        <v>15.55</v>
      </c>
      <c r="H292" s="4">
        <v>11.150822015725501</v>
      </c>
      <c r="I292" s="4">
        <v>15.79</v>
      </c>
      <c r="J292" s="4">
        <v>15.94</v>
      </c>
      <c r="K292" s="4">
        <v>15.44</v>
      </c>
      <c r="L292" s="4">
        <v>11.150822015725501</v>
      </c>
    </row>
    <row r="293" spans="1:12" ht="15" customHeight="1" x14ac:dyDescent="0.2">
      <c r="A293" s="6">
        <v>45624</v>
      </c>
      <c r="B293" s="7">
        <v>15.89</v>
      </c>
      <c r="C293" s="8">
        <v>484314</v>
      </c>
      <c r="D293" s="7">
        <v>5.0000000000000697E-2</v>
      </c>
      <c r="E293" s="7">
        <v>0.31565656565657402</v>
      </c>
      <c r="F293" s="7">
        <v>0.31565656565657402</v>
      </c>
      <c r="G293" s="7">
        <v>15.89</v>
      </c>
      <c r="H293" s="7">
        <v>13.5811293781272</v>
      </c>
      <c r="I293" s="7">
        <v>15.89</v>
      </c>
      <c r="J293" s="7">
        <v>16.21</v>
      </c>
      <c r="K293" s="7">
        <v>15.72</v>
      </c>
      <c r="L293" s="7">
        <v>13.5811293781272</v>
      </c>
    </row>
    <row r="294" spans="1:12" ht="15" customHeight="1" x14ac:dyDescent="0.2">
      <c r="A294" s="3">
        <v>45623</v>
      </c>
      <c r="B294" s="4">
        <v>15.84</v>
      </c>
      <c r="C294" s="5">
        <v>3242466</v>
      </c>
      <c r="D294" s="4">
        <v>7.0000000000000201E-2</v>
      </c>
      <c r="E294" s="4">
        <v>0.44388078630310801</v>
      </c>
      <c r="F294" s="4">
        <v>0.44388078630310801</v>
      </c>
      <c r="G294" s="4">
        <v>15.84</v>
      </c>
      <c r="H294" s="4">
        <v>13.2237312365975</v>
      </c>
      <c r="I294" s="4">
        <v>15.72</v>
      </c>
      <c r="J294" s="4">
        <v>16.059999999999999</v>
      </c>
      <c r="K294" s="4">
        <v>15.52</v>
      </c>
      <c r="L294" s="4">
        <v>13.2237312365975</v>
      </c>
    </row>
    <row r="295" spans="1:12" ht="15" customHeight="1" x14ac:dyDescent="0.2">
      <c r="A295" s="6">
        <v>45622</v>
      </c>
      <c r="B295" s="7">
        <v>15.77</v>
      </c>
      <c r="C295" s="8">
        <v>4203876</v>
      </c>
      <c r="D295" s="7">
        <v>-0.14000000000000001</v>
      </c>
      <c r="E295" s="7">
        <v>-0.87994971715902304</v>
      </c>
      <c r="F295" s="7">
        <v>-0.87994971715902304</v>
      </c>
      <c r="G295" s="7">
        <v>15.77</v>
      </c>
      <c r="H295" s="7">
        <v>12.723373838456</v>
      </c>
      <c r="I295" s="7">
        <v>15.96</v>
      </c>
      <c r="J295" s="7">
        <v>16.25</v>
      </c>
      <c r="K295" s="7">
        <v>15.44</v>
      </c>
      <c r="L295" s="7">
        <v>12.723373838456</v>
      </c>
    </row>
    <row r="296" spans="1:12" ht="15" customHeight="1" x14ac:dyDescent="0.2">
      <c r="A296" s="3">
        <v>45621</v>
      </c>
      <c r="B296" s="4">
        <v>15.91</v>
      </c>
      <c r="C296" s="5">
        <v>3640240</v>
      </c>
      <c r="D296" s="4">
        <v>-6.0000000000000497E-2</v>
      </c>
      <c r="E296" s="4">
        <v>-0.37570444583594398</v>
      </c>
      <c r="F296" s="4">
        <v>-0.37570444583594398</v>
      </c>
      <c r="G296" s="4">
        <v>15.91</v>
      </c>
      <c r="H296" s="4">
        <v>13.724088634738999</v>
      </c>
      <c r="I296" s="4">
        <v>16.04</v>
      </c>
      <c r="J296" s="4">
        <v>16.48</v>
      </c>
      <c r="K296" s="4">
        <v>15.85</v>
      </c>
      <c r="L296" s="4">
        <v>13.724088634738999</v>
      </c>
    </row>
    <row r="297" spans="1:12" ht="15" customHeight="1" x14ac:dyDescent="0.2">
      <c r="A297" s="6">
        <v>45618</v>
      </c>
      <c r="B297" s="7">
        <v>15.97</v>
      </c>
      <c r="C297" s="8">
        <v>1707298</v>
      </c>
      <c r="D297" s="7">
        <v>-0.429999999999997</v>
      </c>
      <c r="E297" s="7">
        <v>-2.6219512195121801</v>
      </c>
      <c r="F297" s="7">
        <v>-2.6219512195121801</v>
      </c>
      <c r="G297" s="7">
        <v>15.97</v>
      </c>
      <c r="H297" s="7">
        <v>14.1529664045747</v>
      </c>
      <c r="I297" s="7">
        <v>16.350000000000001</v>
      </c>
      <c r="J297" s="7">
        <v>16.39</v>
      </c>
      <c r="K297" s="7">
        <v>15.85</v>
      </c>
      <c r="L297" s="7">
        <v>14.1529664045747</v>
      </c>
    </row>
    <row r="298" spans="1:12" ht="15" customHeight="1" x14ac:dyDescent="0.2">
      <c r="A298" s="3">
        <v>45617</v>
      </c>
      <c r="B298" s="4">
        <v>16.399999999999999</v>
      </c>
      <c r="C298" s="5">
        <v>1820526</v>
      </c>
      <c r="D298" s="4">
        <v>2.9999999999997501E-2</v>
      </c>
      <c r="E298" s="4">
        <v>0.183262064752587</v>
      </c>
      <c r="F298" s="4">
        <v>0.183262064752587</v>
      </c>
      <c r="G298" s="4">
        <v>16.399999999999999</v>
      </c>
      <c r="H298" s="4">
        <v>17.2265904217297</v>
      </c>
      <c r="I298" s="4">
        <v>16.399999999999999</v>
      </c>
      <c r="J298" s="4">
        <v>16.63</v>
      </c>
      <c r="K298" s="4">
        <v>16.170000000000002</v>
      </c>
      <c r="L298" s="4">
        <v>17.2265904217297</v>
      </c>
    </row>
    <row r="299" spans="1:12" ht="15" customHeight="1" x14ac:dyDescent="0.2">
      <c r="A299" s="6">
        <v>45616</v>
      </c>
      <c r="B299" s="7">
        <v>16.37</v>
      </c>
      <c r="C299" s="8">
        <v>1833355</v>
      </c>
      <c r="D299" s="7">
        <v>-0.26999999999999902</v>
      </c>
      <c r="E299" s="7">
        <v>-1.62259615384615</v>
      </c>
      <c r="F299" s="7">
        <v>-1.62259615384615</v>
      </c>
      <c r="G299" s="7">
        <v>16.37</v>
      </c>
      <c r="H299" s="7">
        <v>17.012151536811999</v>
      </c>
      <c r="I299" s="7">
        <v>16.600000000000001</v>
      </c>
      <c r="J299" s="7">
        <v>16.649999999999999</v>
      </c>
      <c r="K299" s="7">
        <v>16.23</v>
      </c>
      <c r="L299" s="7">
        <v>17.012151536811999</v>
      </c>
    </row>
    <row r="300" spans="1:12" ht="15" customHeight="1" x14ac:dyDescent="0.2">
      <c r="A300" s="3">
        <v>45615</v>
      </c>
      <c r="B300" s="4">
        <v>16.64</v>
      </c>
      <c r="C300" s="5">
        <v>2866012</v>
      </c>
      <c r="D300" s="4">
        <v>0.15000000000000199</v>
      </c>
      <c r="E300" s="4">
        <v>0.90964220739844204</v>
      </c>
      <c r="F300" s="4">
        <v>0.90964220739844204</v>
      </c>
      <c r="G300" s="4">
        <v>16.64</v>
      </c>
      <c r="H300" s="4">
        <v>18.942101501072099</v>
      </c>
      <c r="I300" s="4">
        <v>16.43</v>
      </c>
      <c r="J300" s="4">
        <v>16.690000000000001</v>
      </c>
      <c r="K300" s="4">
        <v>16.2</v>
      </c>
      <c r="L300" s="4">
        <v>18.942101501072099</v>
      </c>
    </row>
    <row r="301" spans="1:12" ht="15" customHeight="1" x14ac:dyDescent="0.2">
      <c r="A301" s="6">
        <v>45611</v>
      </c>
      <c r="B301" s="7">
        <v>16.489999999999998</v>
      </c>
      <c r="C301" s="8">
        <v>2548858</v>
      </c>
      <c r="D301" s="7">
        <v>-0.20000000000000201</v>
      </c>
      <c r="E301" s="7">
        <v>-1.19832234871182</v>
      </c>
      <c r="F301" s="7">
        <v>-1.19832234871182</v>
      </c>
      <c r="G301" s="7">
        <v>16.489999999999998</v>
      </c>
      <c r="H301" s="7">
        <v>17.869907076483099</v>
      </c>
      <c r="I301" s="7">
        <v>16.5</v>
      </c>
      <c r="J301" s="7">
        <v>16.899999999999999</v>
      </c>
      <c r="K301" s="7">
        <v>16.29</v>
      </c>
      <c r="L301" s="7">
        <v>17.869907076483099</v>
      </c>
    </row>
    <row r="302" spans="1:12" ht="15" customHeight="1" x14ac:dyDescent="0.2">
      <c r="A302" s="3">
        <v>45610</v>
      </c>
      <c r="B302" s="4">
        <v>16.690000000000001</v>
      </c>
      <c r="C302" s="5">
        <v>2952711</v>
      </c>
      <c r="D302" s="4">
        <v>0.81</v>
      </c>
      <c r="E302" s="4">
        <v>5.1007556675062897</v>
      </c>
      <c r="F302" s="4">
        <v>5.1007556675062897</v>
      </c>
      <c r="G302" s="4">
        <v>16.690000000000001</v>
      </c>
      <c r="H302" s="4">
        <v>19.299499642601798</v>
      </c>
      <c r="I302" s="4">
        <v>15.8</v>
      </c>
      <c r="J302" s="4">
        <v>16.940000000000001</v>
      </c>
      <c r="K302" s="4">
        <v>15.8</v>
      </c>
      <c r="L302" s="4">
        <v>19.299499642601798</v>
      </c>
    </row>
    <row r="303" spans="1:12" ht="15" customHeight="1" x14ac:dyDescent="0.2">
      <c r="A303" s="6">
        <v>45609</v>
      </c>
      <c r="B303" s="7">
        <v>15.88</v>
      </c>
      <c r="C303" s="8">
        <v>3317181</v>
      </c>
      <c r="D303" s="7">
        <v>-9.9999999999997799E-3</v>
      </c>
      <c r="E303" s="7">
        <v>-6.2932662051606802E-2</v>
      </c>
      <c r="F303" s="7">
        <v>-6.2932662051606802E-2</v>
      </c>
      <c r="G303" s="7">
        <v>15.88</v>
      </c>
      <c r="H303" s="7">
        <v>13.5096497498213</v>
      </c>
      <c r="I303" s="7">
        <v>15.96</v>
      </c>
      <c r="J303" s="7">
        <v>16.37</v>
      </c>
      <c r="K303" s="7">
        <v>15.8</v>
      </c>
      <c r="L303" s="7">
        <v>13.5096497498213</v>
      </c>
    </row>
    <row r="304" spans="1:12" ht="15" customHeight="1" x14ac:dyDescent="0.2">
      <c r="A304" s="3">
        <v>45608</v>
      </c>
      <c r="B304" s="4">
        <v>15.89</v>
      </c>
      <c r="C304" s="5">
        <v>2873977</v>
      </c>
      <c r="D304" s="4">
        <v>0.5</v>
      </c>
      <c r="E304" s="4">
        <v>3.2488628979857102</v>
      </c>
      <c r="F304" s="4">
        <v>3.2488628979857102</v>
      </c>
      <c r="G304" s="4">
        <v>15.89</v>
      </c>
      <c r="H304" s="4">
        <v>13.5811293781272</v>
      </c>
      <c r="I304" s="4">
        <v>15.46</v>
      </c>
      <c r="J304" s="4">
        <v>16.2</v>
      </c>
      <c r="K304" s="4">
        <v>15.28</v>
      </c>
      <c r="L304" s="4">
        <v>13.5811293781272</v>
      </c>
    </row>
    <row r="305" spans="1:12" ht="15" customHeight="1" x14ac:dyDescent="0.2">
      <c r="A305" s="6">
        <v>45607</v>
      </c>
      <c r="B305" s="7">
        <v>15.39</v>
      </c>
      <c r="C305" s="8">
        <v>1617933</v>
      </c>
      <c r="D305" s="7">
        <v>0.190000000000001</v>
      </c>
      <c r="E305" s="7">
        <v>1.25000000000001</v>
      </c>
      <c r="F305" s="7">
        <v>1.25000000000001</v>
      </c>
      <c r="G305" s="7">
        <v>15.39</v>
      </c>
      <c r="H305" s="7">
        <v>10.0071479628305</v>
      </c>
      <c r="I305" s="7">
        <v>15.2</v>
      </c>
      <c r="J305" s="7">
        <v>15.74</v>
      </c>
      <c r="K305" s="7">
        <v>15.09</v>
      </c>
      <c r="L305" s="7">
        <v>10.0071479628305</v>
      </c>
    </row>
    <row r="306" spans="1:12" ht="15" customHeight="1" x14ac:dyDescent="0.2">
      <c r="A306" s="3">
        <v>45604</v>
      </c>
      <c r="B306" s="4">
        <v>15.2</v>
      </c>
      <c r="C306" s="5">
        <v>1600944</v>
      </c>
      <c r="D306" s="4">
        <v>0.119999999999999</v>
      </c>
      <c r="E306" s="4">
        <v>0.79575596816976402</v>
      </c>
      <c r="F306" s="4">
        <v>0.79575596816976402</v>
      </c>
      <c r="G306" s="4">
        <v>15.2</v>
      </c>
      <c r="H306" s="4">
        <v>8.6490350250178594</v>
      </c>
      <c r="I306" s="4">
        <v>14.96</v>
      </c>
      <c r="J306" s="4">
        <v>15.25</v>
      </c>
      <c r="K306" s="4">
        <v>14.72</v>
      </c>
      <c r="L306" s="4">
        <v>8.6490350250178594</v>
      </c>
    </row>
    <row r="307" spans="1:12" ht="15" customHeight="1" x14ac:dyDescent="0.2">
      <c r="A307" s="6">
        <v>45603</v>
      </c>
      <c r="B307" s="7">
        <v>15.08</v>
      </c>
      <c r="C307" s="8">
        <v>2522874</v>
      </c>
      <c r="D307" s="7">
        <v>0.33</v>
      </c>
      <c r="E307" s="7">
        <v>2.2372881355932202</v>
      </c>
      <c r="F307" s="7">
        <v>2.2372881355932202</v>
      </c>
      <c r="G307" s="7">
        <v>15.08</v>
      </c>
      <c r="H307" s="7">
        <v>7.7912794853466698</v>
      </c>
      <c r="I307" s="7">
        <v>14.83</v>
      </c>
      <c r="J307" s="7">
        <v>15.3</v>
      </c>
      <c r="K307" s="7">
        <v>14.74</v>
      </c>
      <c r="L307" s="7">
        <v>7.7912794853466698</v>
      </c>
    </row>
    <row r="308" spans="1:12" ht="15" customHeight="1" x14ac:dyDescent="0.2">
      <c r="A308" s="3">
        <v>45602</v>
      </c>
      <c r="B308" s="4">
        <v>14.75</v>
      </c>
      <c r="C308" s="5">
        <v>2487421</v>
      </c>
      <c r="D308" s="4">
        <v>-0.26999999999999902</v>
      </c>
      <c r="E308" s="4">
        <v>-1.79760319573901</v>
      </c>
      <c r="F308" s="4">
        <v>-1.79760319573901</v>
      </c>
      <c r="G308" s="4">
        <v>14.75</v>
      </c>
      <c r="H308" s="4">
        <v>5.4324517512508903</v>
      </c>
      <c r="I308" s="4">
        <v>14.96</v>
      </c>
      <c r="J308" s="4">
        <v>15.26</v>
      </c>
      <c r="K308" s="4">
        <v>14.15</v>
      </c>
      <c r="L308" s="4">
        <v>5.4324517512508903</v>
      </c>
    </row>
    <row r="309" spans="1:12" ht="15" customHeight="1" x14ac:dyDescent="0.2">
      <c r="A309" s="6">
        <v>45601</v>
      </c>
      <c r="B309" s="7">
        <v>15.02</v>
      </c>
      <c r="C309" s="8">
        <v>1861716</v>
      </c>
      <c r="D309" s="7">
        <v>-3.0000000000001099E-2</v>
      </c>
      <c r="E309" s="7">
        <v>-0.199335548172763</v>
      </c>
      <c r="F309" s="7">
        <v>-0.199335548172763</v>
      </c>
      <c r="G309" s="7">
        <v>15.02</v>
      </c>
      <c r="H309" s="7">
        <v>7.3624017155110701</v>
      </c>
      <c r="I309" s="7">
        <v>14.97</v>
      </c>
      <c r="J309" s="7">
        <v>15.09</v>
      </c>
      <c r="K309" s="7">
        <v>14.63</v>
      </c>
      <c r="L309" s="7">
        <v>7.3624017155110701</v>
      </c>
    </row>
    <row r="310" spans="1:12" ht="15" customHeight="1" x14ac:dyDescent="0.2">
      <c r="A310" s="3">
        <v>45600</v>
      </c>
      <c r="B310" s="4">
        <v>15.05</v>
      </c>
      <c r="C310" s="5">
        <v>2086190</v>
      </c>
      <c r="D310" s="4">
        <v>0.20000000000000101</v>
      </c>
      <c r="E310" s="4">
        <v>1.34680134680136</v>
      </c>
      <c r="F310" s="4">
        <v>1.34680134680136</v>
      </c>
      <c r="G310" s="4">
        <v>15.05</v>
      </c>
      <c r="H310" s="4">
        <v>7.5768406004288797</v>
      </c>
      <c r="I310" s="4">
        <v>14.92</v>
      </c>
      <c r="J310" s="4">
        <v>15.33</v>
      </c>
      <c r="K310" s="4">
        <v>14.87</v>
      </c>
      <c r="L310" s="4">
        <v>7.5768406004288797</v>
      </c>
    </row>
    <row r="311" spans="1:12" ht="15" customHeight="1" x14ac:dyDescent="0.2">
      <c r="A311" s="6">
        <v>45597</v>
      </c>
      <c r="B311" s="7">
        <v>14.85</v>
      </c>
      <c r="C311" s="8">
        <v>1996958</v>
      </c>
      <c r="D311" s="7">
        <v>-4.0000000000000903E-2</v>
      </c>
      <c r="E311" s="7">
        <v>-0.26863666890530802</v>
      </c>
      <c r="F311" s="7">
        <v>-0.26863666890530802</v>
      </c>
      <c r="G311" s="7">
        <v>14.85</v>
      </c>
      <c r="H311" s="7">
        <v>6.1472480343102101</v>
      </c>
      <c r="I311" s="7">
        <v>14.9</v>
      </c>
      <c r="J311" s="7">
        <v>15.14</v>
      </c>
      <c r="K311" s="7">
        <v>14.79</v>
      </c>
      <c r="L311" s="7">
        <v>6.1472480343102101</v>
      </c>
    </row>
    <row r="312" spans="1:12" ht="15" customHeight="1" x14ac:dyDescent="0.2">
      <c r="A312" s="3">
        <v>45596</v>
      </c>
      <c r="B312" s="4">
        <v>14.89</v>
      </c>
      <c r="C312" s="5">
        <v>3174677</v>
      </c>
      <c r="D312" s="4">
        <v>-3.9999999999999099E-2</v>
      </c>
      <c r="E312" s="4">
        <v>-0.26791694574681502</v>
      </c>
      <c r="F312" s="4">
        <v>-0.26791694574681502</v>
      </c>
      <c r="G312" s="4">
        <v>14.89</v>
      </c>
      <c r="H312" s="4">
        <v>6.4331665475339497</v>
      </c>
      <c r="I312" s="4">
        <v>14.85</v>
      </c>
      <c r="J312" s="4">
        <v>15.24</v>
      </c>
      <c r="K312" s="4">
        <v>14.74</v>
      </c>
      <c r="L312" s="4">
        <v>6.4331665475339497</v>
      </c>
    </row>
    <row r="313" spans="1:12" ht="15" customHeight="1" x14ac:dyDescent="0.2">
      <c r="A313" s="6">
        <v>45595</v>
      </c>
      <c r="B313" s="7">
        <v>14.93</v>
      </c>
      <c r="C313" s="8">
        <v>2442873</v>
      </c>
      <c r="D313" s="7">
        <v>0.189999999999999</v>
      </c>
      <c r="E313" s="7">
        <v>1.28900949796471</v>
      </c>
      <c r="F313" s="7">
        <v>1.28900949796471</v>
      </c>
      <c r="G313" s="7">
        <v>14.93</v>
      </c>
      <c r="H313" s="7">
        <v>6.7190850607576698</v>
      </c>
      <c r="I313" s="7">
        <v>14.66</v>
      </c>
      <c r="J313" s="7">
        <v>15.45</v>
      </c>
      <c r="K313" s="7">
        <v>14.66</v>
      </c>
      <c r="L313" s="7">
        <v>6.7190850607576698</v>
      </c>
    </row>
    <row r="314" spans="1:12" ht="15" customHeight="1" x14ac:dyDescent="0.2">
      <c r="A314" s="3">
        <v>45594</v>
      </c>
      <c r="B314" s="4">
        <v>14.74</v>
      </c>
      <c r="C314" s="5">
        <v>1347129</v>
      </c>
      <c r="D314" s="4">
        <v>0.35999999999999899</v>
      </c>
      <c r="E314" s="4">
        <v>2.5034770514603601</v>
      </c>
      <c r="F314" s="4">
        <v>2.5034770514603601</v>
      </c>
      <c r="G314" s="4">
        <v>14.74</v>
      </c>
      <c r="H314" s="4">
        <v>5.3609721229449603</v>
      </c>
      <c r="I314" s="4">
        <v>14.31</v>
      </c>
      <c r="J314" s="4">
        <v>14.85</v>
      </c>
      <c r="K314" s="4">
        <v>13.8</v>
      </c>
      <c r="L314" s="4">
        <v>5.3609721229449603</v>
      </c>
    </row>
    <row r="315" spans="1:12" ht="15" customHeight="1" x14ac:dyDescent="0.2">
      <c r="A315" s="6">
        <v>45593</v>
      </c>
      <c r="B315" s="7">
        <v>14.38</v>
      </c>
      <c r="C315" s="8">
        <v>3019097</v>
      </c>
      <c r="D315" s="7">
        <v>0.22</v>
      </c>
      <c r="E315" s="7">
        <v>1.5536723163841899</v>
      </c>
      <c r="F315" s="7">
        <v>1.5536723163841899</v>
      </c>
      <c r="G315" s="7">
        <v>14.38</v>
      </c>
      <c r="H315" s="7">
        <v>2.7877055039313801</v>
      </c>
      <c r="I315" s="7">
        <v>14.12</v>
      </c>
      <c r="J315" s="7">
        <v>15.19</v>
      </c>
      <c r="K315" s="7">
        <v>14.12</v>
      </c>
      <c r="L315" s="7">
        <v>2.7877055039313801</v>
      </c>
    </row>
    <row r="316" spans="1:12" ht="15" customHeight="1" x14ac:dyDescent="0.2">
      <c r="A316" s="3">
        <v>45590</v>
      </c>
      <c r="B316" s="4">
        <v>14.16</v>
      </c>
      <c r="C316" s="5">
        <v>1874861</v>
      </c>
      <c r="D316" s="4">
        <v>0.14000000000000001</v>
      </c>
      <c r="E316" s="4">
        <v>0.99857346647647105</v>
      </c>
      <c r="F316" s="4">
        <v>0.99857346647647105</v>
      </c>
      <c r="G316" s="4">
        <v>14.16</v>
      </c>
      <c r="H316" s="4">
        <v>1.2151536812008501</v>
      </c>
      <c r="I316" s="4">
        <v>14</v>
      </c>
      <c r="J316" s="4">
        <v>14.23</v>
      </c>
      <c r="K316" s="4">
        <v>13.88</v>
      </c>
      <c r="L316" s="4">
        <v>1.2151536812008501</v>
      </c>
    </row>
    <row r="317" spans="1:12" ht="15" customHeight="1" x14ac:dyDescent="0.2">
      <c r="A317" s="6">
        <v>45589</v>
      </c>
      <c r="B317" s="7">
        <v>14.02</v>
      </c>
      <c r="C317" s="8">
        <v>1391455</v>
      </c>
      <c r="D317" s="7">
        <v>9.9999999999999603E-2</v>
      </c>
      <c r="E317" s="7">
        <v>0.71839080459770099</v>
      </c>
      <c r="F317" s="7">
        <v>0.71839080459770099</v>
      </c>
      <c r="G317" s="7">
        <v>14.02</v>
      </c>
      <c r="H317" s="7">
        <v>0.214438884917793</v>
      </c>
      <c r="I317" s="7">
        <v>13.95</v>
      </c>
      <c r="J317" s="7">
        <v>14.16</v>
      </c>
      <c r="K317" s="7">
        <v>13.77</v>
      </c>
      <c r="L317" s="7">
        <v>0.214438884917793</v>
      </c>
    </row>
    <row r="318" spans="1:12" ht="15" customHeight="1" x14ac:dyDescent="0.2">
      <c r="A318" s="3">
        <v>45588</v>
      </c>
      <c r="B318" s="4">
        <v>13.92</v>
      </c>
      <c r="C318" s="5">
        <v>1993359</v>
      </c>
      <c r="D318" s="4">
        <v>-0.24</v>
      </c>
      <c r="E318" s="4">
        <v>-1.6949152542372901</v>
      </c>
      <c r="F318" s="4">
        <v>-1.6949152542372901</v>
      </c>
      <c r="G318" s="4">
        <v>13.92</v>
      </c>
      <c r="H318" s="4">
        <v>-0.50035739814153102</v>
      </c>
      <c r="I318" s="4">
        <v>14.24</v>
      </c>
      <c r="J318" s="4">
        <v>14.44</v>
      </c>
      <c r="K318" s="4">
        <v>13.71</v>
      </c>
      <c r="L318" s="4">
        <v>-0.50035739814153102</v>
      </c>
    </row>
    <row r="319" spans="1:12" ht="15" customHeight="1" x14ac:dyDescent="0.2">
      <c r="A319" s="6">
        <v>45587</v>
      </c>
      <c r="B319" s="7">
        <v>14.16</v>
      </c>
      <c r="C319" s="8">
        <v>3106242</v>
      </c>
      <c r="D319" s="7">
        <v>0.16999999999999901</v>
      </c>
      <c r="E319" s="7">
        <v>1.2151536812008601</v>
      </c>
      <c r="F319" s="7">
        <v>1.2151536812008601</v>
      </c>
      <c r="G319" s="7">
        <v>14.16</v>
      </c>
      <c r="H319" s="7">
        <v>1.2151536812008501</v>
      </c>
      <c r="I319" s="7">
        <v>13.94</v>
      </c>
      <c r="J319" s="7">
        <v>14.38</v>
      </c>
      <c r="K319" s="7">
        <v>13.9</v>
      </c>
      <c r="L319" s="7">
        <v>1.2151536812008501</v>
      </c>
    </row>
    <row r="320" spans="1:12" ht="15" customHeight="1" x14ac:dyDescent="0.2">
      <c r="A320" s="3">
        <v>45586</v>
      </c>
      <c r="B320" s="4">
        <v>13.99</v>
      </c>
      <c r="C320" s="5">
        <v>1170387</v>
      </c>
      <c r="D320" s="4">
        <v>-0.17999999999999899</v>
      </c>
      <c r="E320" s="4">
        <v>-1.2702893436838301</v>
      </c>
      <c r="F320" s="4">
        <v>-1.2702893436838301</v>
      </c>
      <c r="G320" s="4">
        <v>13.99</v>
      </c>
      <c r="H320" s="4"/>
      <c r="I320" s="4">
        <v>14.09</v>
      </c>
      <c r="J320" s="4">
        <v>14.33</v>
      </c>
      <c r="K320" s="4">
        <v>13.94</v>
      </c>
      <c r="L320" s="4"/>
    </row>
    <row r="321" spans="1:12" ht="15" customHeight="1" x14ac:dyDescent="0.2">
      <c r="A321" s="6">
        <v>45583</v>
      </c>
      <c r="B321" s="7">
        <v>14.17</v>
      </c>
      <c r="C321" s="8">
        <v>3057848</v>
      </c>
      <c r="D321" s="7">
        <v>0.51999999999999902</v>
      </c>
      <c r="E321" s="7">
        <v>3.8095238095237902</v>
      </c>
      <c r="F321" s="7">
        <v>3.8095238095237902</v>
      </c>
      <c r="G321" s="7">
        <v>14.17</v>
      </c>
      <c r="H321" s="7">
        <v>1.2866333095067799</v>
      </c>
      <c r="I321" s="7">
        <v>13.69</v>
      </c>
      <c r="J321" s="7">
        <v>14.43</v>
      </c>
      <c r="K321" s="7">
        <v>13.41</v>
      </c>
      <c r="L321" s="7">
        <v>1.2866333095067799</v>
      </c>
    </row>
    <row r="322" spans="1:12" ht="15" customHeight="1" x14ac:dyDescent="0.2">
      <c r="A322" s="3">
        <v>45582</v>
      </c>
      <c r="B322" s="4">
        <v>13.65</v>
      </c>
      <c r="C322" s="5">
        <v>3522003</v>
      </c>
      <c r="D322" s="4">
        <v>-0.189999999999999</v>
      </c>
      <c r="E322" s="4">
        <v>-1.3728323699421801</v>
      </c>
      <c r="F322" s="4">
        <v>-1.3728323699421801</v>
      </c>
      <c r="G322" s="4">
        <v>13.65</v>
      </c>
      <c r="H322" s="4">
        <v>-2.43030736240171</v>
      </c>
      <c r="I322" s="4">
        <v>13.87</v>
      </c>
      <c r="J322" s="4">
        <v>14.05</v>
      </c>
      <c r="K322" s="4">
        <v>13.58</v>
      </c>
      <c r="L322" s="4">
        <v>-2.43030736240171</v>
      </c>
    </row>
    <row r="323" spans="1:12" ht="15" customHeight="1" x14ac:dyDescent="0.2">
      <c r="A323" s="6">
        <v>45581</v>
      </c>
      <c r="B323" s="7">
        <v>13.84</v>
      </c>
      <c r="C323" s="8">
        <v>2246100</v>
      </c>
      <c r="D323" s="7">
        <v>0.77999999999999903</v>
      </c>
      <c r="E323" s="7">
        <v>5.9724349157733503</v>
      </c>
      <c r="F323" s="7">
        <v>5.9724349157733503</v>
      </c>
      <c r="G323" s="7">
        <v>13.84</v>
      </c>
      <c r="H323" s="7">
        <v>-1.0721944245889901</v>
      </c>
      <c r="I323" s="7">
        <v>12.86</v>
      </c>
      <c r="J323" s="7">
        <v>13.95</v>
      </c>
      <c r="K323" s="7">
        <v>12.86</v>
      </c>
      <c r="L323" s="7">
        <v>-1.0721944245889901</v>
      </c>
    </row>
    <row r="324" spans="1:12" ht="15" customHeight="1" x14ac:dyDescent="0.2">
      <c r="A324" s="3">
        <v>45580</v>
      </c>
      <c r="B324" s="4">
        <v>13.06</v>
      </c>
      <c r="C324" s="5">
        <v>4380278</v>
      </c>
      <c r="D324" s="4">
        <v>0.75</v>
      </c>
      <c r="E324" s="4">
        <v>6.09260763606824</v>
      </c>
      <c r="F324" s="4">
        <v>6.09260763606824</v>
      </c>
      <c r="G324" s="4">
        <v>13.06</v>
      </c>
      <c r="H324" s="4">
        <v>-6.6476054324517397</v>
      </c>
      <c r="I324" s="4">
        <v>12.4</v>
      </c>
      <c r="J324" s="4">
        <v>13.13</v>
      </c>
      <c r="K324" s="4">
        <v>12.4</v>
      </c>
      <c r="L324" s="4">
        <v>-6.6476054324517397</v>
      </c>
    </row>
    <row r="325" spans="1:12" ht="15" customHeight="1" x14ac:dyDescent="0.2">
      <c r="A325" s="6">
        <v>45579</v>
      </c>
      <c r="B325" s="7">
        <v>12.31</v>
      </c>
      <c r="C325" s="8">
        <v>889186</v>
      </c>
      <c r="D325" s="7">
        <v>0.15</v>
      </c>
      <c r="E325" s="7">
        <v>1.23355263157896</v>
      </c>
      <c r="F325" s="7">
        <v>1.23355263157896</v>
      </c>
      <c r="G325" s="7">
        <v>12.31</v>
      </c>
      <c r="H325" s="7">
        <v>-12.0085775553967</v>
      </c>
      <c r="I325" s="7">
        <v>12.09</v>
      </c>
      <c r="J325" s="7">
        <v>12.34</v>
      </c>
      <c r="K325" s="7">
        <v>12.05</v>
      </c>
      <c r="L325" s="7">
        <v>-12.0085775553967</v>
      </c>
    </row>
    <row r="326" spans="1:12" ht="15" customHeight="1" x14ac:dyDescent="0.2">
      <c r="A326" s="3">
        <v>45576</v>
      </c>
      <c r="B326" s="4">
        <v>12.16</v>
      </c>
      <c r="C326" s="5">
        <v>943678</v>
      </c>
      <c r="D326" s="4">
        <v>1.9999999999999501E-2</v>
      </c>
      <c r="E326" s="4">
        <v>0.16474464579900799</v>
      </c>
      <c r="F326" s="4">
        <v>0.16474464579900799</v>
      </c>
      <c r="G326" s="4">
        <v>12.16</v>
      </c>
      <c r="H326" s="4">
        <v>-13.0807719799857</v>
      </c>
      <c r="I326" s="4">
        <v>12.13</v>
      </c>
      <c r="J326" s="4">
        <v>12.24</v>
      </c>
      <c r="K326" s="4">
        <v>12.01</v>
      </c>
      <c r="L326" s="4">
        <v>-13.0807719799857</v>
      </c>
    </row>
    <row r="327" spans="1:12" ht="15" customHeight="1" x14ac:dyDescent="0.2">
      <c r="A327" s="6">
        <v>45575</v>
      </c>
      <c r="B327" s="7">
        <v>12.14</v>
      </c>
      <c r="C327" s="8">
        <v>1050609</v>
      </c>
      <c r="D327" s="7">
        <v>5.0000000000000697E-2</v>
      </c>
      <c r="E327" s="7">
        <v>0.41356492969397601</v>
      </c>
      <c r="F327" s="7">
        <v>0.41356492969397601</v>
      </c>
      <c r="G327" s="7">
        <v>12.14</v>
      </c>
      <c r="H327" s="7">
        <v>-13.2237312365975</v>
      </c>
      <c r="I327" s="7">
        <v>12.13</v>
      </c>
      <c r="J327" s="7">
        <v>12.22</v>
      </c>
      <c r="K327" s="7">
        <v>11.92</v>
      </c>
      <c r="L327" s="7">
        <v>-13.2237312365975</v>
      </c>
    </row>
    <row r="328" spans="1:12" ht="15" customHeight="1" x14ac:dyDescent="0.2">
      <c r="A328" s="3">
        <v>45574</v>
      </c>
      <c r="B328" s="4">
        <v>12.09</v>
      </c>
      <c r="C328" s="5">
        <v>520020</v>
      </c>
      <c r="D328" s="4">
        <v>0.14000000000000001</v>
      </c>
      <c r="E328" s="4">
        <v>1.1715481171547999</v>
      </c>
      <c r="F328" s="4">
        <v>1.1715481171547999</v>
      </c>
      <c r="G328" s="4">
        <v>12.09</v>
      </c>
      <c r="H328" s="4">
        <v>-13.5811293781272</v>
      </c>
      <c r="I328" s="4">
        <v>12.04</v>
      </c>
      <c r="J328" s="4">
        <v>12.15</v>
      </c>
      <c r="K328" s="4">
        <v>12</v>
      </c>
      <c r="L328" s="4">
        <v>-13.5811293781272</v>
      </c>
    </row>
    <row r="329" spans="1:12" ht="15" customHeight="1" x14ac:dyDescent="0.2">
      <c r="A329" s="6">
        <v>45573</v>
      </c>
      <c r="B329" s="7">
        <v>11.95</v>
      </c>
      <c r="C329" s="8">
        <v>691449</v>
      </c>
      <c r="D329" s="7">
        <v>-7.0000000000000201E-2</v>
      </c>
      <c r="E329" s="7">
        <v>-0.582362728785357</v>
      </c>
      <c r="F329" s="7">
        <v>-0.582362728785357</v>
      </c>
      <c r="G329" s="7">
        <v>11.95</v>
      </c>
      <c r="H329" s="7">
        <v>-14.5818441744103</v>
      </c>
      <c r="I329" s="7">
        <v>12.02</v>
      </c>
      <c r="J329" s="7">
        <v>12.11</v>
      </c>
      <c r="K329" s="7">
        <v>11.9</v>
      </c>
      <c r="L329" s="7">
        <v>-14.5818441744103</v>
      </c>
    </row>
    <row r="330" spans="1:12" ht="15" customHeight="1" x14ac:dyDescent="0.2">
      <c r="A330" s="3">
        <v>45572</v>
      </c>
      <c r="B330" s="4">
        <v>12.02</v>
      </c>
      <c r="C330" s="5">
        <v>982920</v>
      </c>
      <c r="D330" s="4">
        <v>0.119999999999999</v>
      </c>
      <c r="E330" s="4">
        <v>1.00840336134453</v>
      </c>
      <c r="F330" s="4">
        <v>1.00840336134453</v>
      </c>
      <c r="G330" s="4">
        <v>12.02</v>
      </c>
      <c r="H330" s="4">
        <v>-14.081486776268701</v>
      </c>
      <c r="I330" s="4">
        <v>11.94</v>
      </c>
      <c r="J330" s="4">
        <v>12.14</v>
      </c>
      <c r="K330" s="4">
        <v>11.77</v>
      </c>
      <c r="L330" s="4">
        <v>-14.081486776268701</v>
      </c>
    </row>
    <row r="331" spans="1:12" ht="15" customHeight="1" x14ac:dyDescent="0.2">
      <c r="A331" s="6">
        <v>45569</v>
      </c>
      <c r="B331" s="7">
        <v>11.9</v>
      </c>
      <c r="C331" s="8">
        <v>1556795</v>
      </c>
      <c r="D331" s="7">
        <v>0.13</v>
      </c>
      <c r="E331" s="7">
        <v>1.1045029736618599</v>
      </c>
      <c r="F331" s="7">
        <v>1.1045029736618599</v>
      </c>
      <c r="G331" s="7">
        <v>11.9</v>
      </c>
      <c r="H331" s="7">
        <v>-14.9392423159399</v>
      </c>
      <c r="I331" s="7">
        <v>11.95</v>
      </c>
      <c r="J331" s="7">
        <v>12.21</v>
      </c>
      <c r="K331" s="7">
        <v>11.86</v>
      </c>
      <c r="L331" s="7">
        <v>-14.9392423159399</v>
      </c>
    </row>
    <row r="332" spans="1:12" ht="15" customHeight="1" x14ac:dyDescent="0.2">
      <c r="A332" s="3">
        <v>45568</v>
      </c>
      <c r="B332" s="4">
        <v>11.77</v>
      </c>
      <c r="C332" s="5">
        <v>1165674</v>
      </c>
      <c r="D332" s="4">
        <v>-0.62000000000000099</v>
      </c>
      <c r="E332" s="4">
        <v>-5.0040355125100904</v>
      </c>
      <c r="F332" s="4">
        <v>-5.0040355125100904</v>
      </c>
      <c r="G332" s="4">
        <v>11.77</v>
      </c>
      <c r="H332" s="4">
        <v>-15.868477483916999</v>
      </c>
      <c r="I332" s="4">
        <v>12.4</v>
      </c>
      <c r="J332" s="4">
        <v>12.4</v>
      </c>
      <c r="K332" s="4">
        <v>11.75</v>
      </c>
      <c r="L332" s="4">
        <v>-15.868477483916999</v>
      </c>
    </row>
    <row r="333" spans="1:12" ht="15" customHeight="1" x14ac:dyDescent="0.2">
      <c r="A333" s="6">
        <v>45567</v>
      </c>
      <c r="B333" s="7">
        <v>12.39</v>
      </c>
      <c r="C333" s="8">
        <v>1411180</v>
      </c>
      <c r="D333" s="7">
        <v>-3.9999999999999099E-2</v>
      </c>
      <c r="E333" s="7">
        <v>-0.32180209171358498</v>
      </c>
      <c r="F333" s="7">
        <v>-0.32180209171358498</v>
      </c>
      <c r="G333" s="7">
        <v>12.39</v>
      </c>
      <c r="H333" s="7">
        <v>-11.436740528949199</v>
      </c>
      <c r="I333" s="7">
        <v>12.32</v>
      </c>
      <c r="J333" s="7">
        <v>12.53</v>
      </c>
      <c r="K333" s="7">
        <v>12.11</v>
      </c>
      <c r="L333" s="7">
        <v>-11.436740528949199</v>
      </c>
    </row>
    <row r="334" spans="1:12" ht="15" customHeight="1" x14ac:dyDescent="0.2">
      <c r="A334" s="3">
        <v>45565</v>
      </c>
      <c r="B334" s="4">
        <v>12.43</v>
      </c>
      <c r="C334" s="5">
        <v>1551759</v>
      </c>
      <c r="D334" s="4">
        <v>-0.39</v>
      </c>
      <c r="E334" s="4">
        <v>-3.0421216848673902</v>
      </c>
      <c r="F334" s="4">
        <v>-3.0421216848673902</v>
      </c>
      <c r="G334" s="4">
        <v>12.43</v>
      </c>
      <c r="H334" s="4">
        <v>-11.150822015725501</v>
      </c>
      <c r="I334" s="4">
        <v>12.7</v>
      </c>
      <c r="J334" s="4">
        <v>12.7</v>
      </c>
      <c r="K334" s="4">
        <v>12.35</v>
      </c>
      <c r="L334" s="4">
        <v>-11.150822015725501</v>
      </c>
    </row>
    <row r="335" spans="1:12" ht="15" customHeight="1" x14ac:dyDescent="0.2">
      <c r="A335" s="6">
        <v>45562</v>
      </c>
      <c r="B335" s="7">
        <v>12.82</v>
      </c>
      <c r="C335" s="8">
        <v>1994175</v>
      </c>
      <c r="D335" s="7">
        <v>5.0000000000000697E-2</v>
      </c>
      <c r="E335" s="7">
        <v>0.391542678151934</v>
      </c>
      <c r="F335" s="7">
        <v>0.391542678151934</v>
      </c>
      <c r="G335" s="7">
        <v>12.82</v>
      </c>
      <c r="H335" s="7">
        <v>-8.3631165117941393</v>
      </c>
      <c r="I335" s="7">
        <v>12.85</v>
      </c>
      <c r="J335" s="7">
        <v>12.95</v>
      </c>
      <c r="K335" s="7">
        <v>12.75</v>
      </c>
      <c r="L335" s="7">
        <v>-8.3631165117941393</v>
      </c>
    </row>
    <row r="336" spans="1:12" ht="15" customHeight="1" x14ac:dyDescent="0.2">
      <c r="A336" s="3">
        <v>45561</v>
      </c>
      <c r="B336" s="4">
        <v>12.77</v>
      </c>
      <c r="C336" s="5">
        <v>1434076</v>
      </c>
      <c r="D336" s="4">
        <v>0.44999999999999901</v>
      </c>
      <c r="E336" s="4">
        <v>3.6525974025974</v>
      </c>
      <c r="F336" s="4">
        <v>3.6525974025974</v>
      </c>
      <c r="G336" s="4">
        <v>12.77</v>
      </c>
      <c r="H336" s="4">
        <v>-8.7205146533238</v>
      </c>
      <c r="I336" s="4">
        <v>12.59</v>
      </c>
      <c r="J336" s="4">
        <v>12.91</v>
      </c>
      <c r="K336" s="4">
        <v>12.59</v>
      </c>
      <c r="L336" s="4">
        <v>-8.7205146533238</v>
      </c>
    </row>
    <row r="337" spans="1:12" ht="15" customHeight="1" x14ac:dyDescent="0.2">
      <c r="A337" s="6">
        <v>45560</v>
      </c>
      <c r="B337" s="7">
        <v>12.32</v>
      </c>
      <c r="C337" s="8">
        <v>1348677</v>
      </c>
      <c r="D337" s="7">
        <v>0.25</v>
      </c>
      <c r="E337" s="7">
        <v>2.0712510356255098</v>
      </c>
      <c r="F337" s="7">
        <v>2.0712510356255098</v>
      </c>
      <c r="G337" s="7">
        <v>12.32</v>
      </c>
      <c r="H337" s="7">
        <v>-11.937097927090701</v>
      </c>
      <c r="I337" s="7">
        <v>12.16</v>
      </c>
      <c r="J337" s="7">
        <v>12.6</v>
      </c>
      <c r="K337" s="7">
        <v>12.03</v>
      </c>
      <c r="L337" s="7">
        <v>-11.937097927090701</v>
      </c>
    </row>
    <row r="338" spans="1:12" ht="15" customHeight="1" x14ac:dyDescent="0.2">
      <c r="A338" s="3">
        <v>45559</v>
      </c>
      <c r="B338" s="4">
        <v>12.07</v>
      </c>
      <c r="C338" s="5">
        <v>2094387</v>
      </c>
      <c r="D338" s="4">
        <v>-0.25</v>
      </c>
      <c r="E338" s="4">
        <v>-2.0292207792207702</v>
      </c>
      <c r="F338" s="4">
        <v>-2.0292207792207702</v>
      </c>
      <c r="G338" s="4">
        <v>12.07</v>
      </c>
      <c r="H338" s="4">
        <v>-13.724088634738999</v>
      </c>
      <c r="I338" s="4">
        <v>12.42</v>
      </c>
      <c r="J338" s="4">
        <v>12.68</v>
      </c>
      <c r="K338" s="4">
        <v>12</v>
      </c>
      <c r="L338" s="4">
        <v>-13.724088634738999</v>
      </c>
    </row>
    <row r="339" spans="1:12" ht="15" customHeight="1" x14ac:dyDescent="0.2">
      <c r="A339" s="6">
        <v>45558</v>
      </c>
      <c r="B339" s="7">
        <v>12.32</v>
      </c>
      <c r="C339" s="8">
        <v>729548</v>
      </c>
      <c r="D339" s="7">
        <v>-8.9999999999999802E-2</v>
      </c>
      <c r="E339" s="7">
        <v>-0.72522159548751297</v>
      </c>
      <c r="F339" s="7">
        <v>-0.72522159548751297</v>
      </c>
      <c r="G339" s="7">
        <v>12.32</v>
      </c>
      <c r="H339" s="7">
        <v>-11.937097927090701</v>
      </c>
      <c r="I339" s="7">
        <v>12.31</v>
      </c>
      <c r="J339" s="7">
        <v>12.39</v>
      </c>
      <c r="K339" s="7">
        <v>12.17</v>
      </c>
      <c r="L339" s="7">
        <v>-11.937097927090701</v>
      </c>
    </row>
    <row r="340" spans="1:12" ht="15" customHeight="1" x14ac:dyDescent="0.2">
      <c r="A340" s="3">
        <v>45555</v>
      </c>
      <c r="B340" s="4">
        <v>12.41</v>
      </c>
      <c r="C340" s="5">
        <v>3672424</v>
      </c>
      <c r="D340" s="4">
        <v>-0.27999999999999903</v>
      </c>
      <c r="E340" s="4">
        <v>-2.2064617809298501</v>
      </c>
      <c r="F340" s="4">
        <v>-2.2064617809298501</v>
      </c>
      <c r="G340" s="4">
        <v>12.41</v>
      </c>
      <c r="H340" s="4">
        <v>-11.2937812723373</v>
      </c>
      <c r="I340" s="4">
        <v>12.62</v>
      </c>
      <c r="J340" s="4">
        <v>12.62</v>
      </c>
      <c r="K340" s="4">
        <v>12.33</v>
      </c>
      <c r="L340" s="4">
        <v>-11.2937812723373</v>
      </c>
    </row>
    <row r="341" spans="1:12" ht="15" customHeight="1" x14ac:dyDescent="0.2">
      <c r="A341" s="6">
        <v>45554</v>
      </c>
      <c r="B341" s="7">
        <v>12.69</v>
      </c>
      <c r="C341" s="8">
        <v>1511187</v>
      </c>
      <c r="D341" s="7">
        <v>-0.25</v>
      </c>
      <c r="E341" s="7">
        <v>-1.93199381761978</v>
      </c>
      <c r="F341" s="7">
        <v>-1.93199381761978</v>
      </c>
      <c r="G341" s="7">
        <v>12.69</v>
      </c>
      <c r="H341" s="7">
        <v>-9.2923516797712598</v>
      </c>
      <c r="I341" s="7">
        <v>12.9</v>
      </c>
      <c r="J341" s="7">
        <v>13.22</v>
      </c>
      <c r="K341" s="7">
        <v>12.66</v>
      </c>
      <c r="L341" s="7">
        <v>-9.2923516797712598</v>
      </c>
    </row>
    <row r="342" spans="1:12" ht="15" customHeight="1" x14ac:dyDescent="0.2">
      <c r="A342" s="3">
        <v>45553</v>
      </c>
      <c r="B342" s="4">
        <v>12.94</v>
      </c>
      <c r="C342" s="5">
        <v>3993637</v>
      </c>
      <c r="D342" s="4">
        <v>3.9999999999999099E-2</v>
      </c>
      <c r="E342" s="4">
        <v>0.31007751937983602</v>
      </c>
      <c r="F342" s="4">
        <v>0.31007751937983602</v>
      </c>
      <c r="G342" s="4">
        <v>12.94</v>
      </c>
      <c r="H342" s="4">
        <v>-7.5053609721229497</v>
      </c>
      <c r="I342" s="4">
        <v>12.96</v>
      </c>
      <c r="J342" s="4">
        <v>13.25</v>
      </c>
      <c r="K342" s="4">
        <v>12.87</v>
      </c>
      <c r="L342" s="4">
        <v>-7.5053609721229497</v>
      </c>
    </row>
    <row r="343" spans="1:12" ht="15" customHeight="1" x14ac:dyDescent="0.2">
      <c r="A343" s="6">
        <v>45552</v>
      </c>
      <c r="B343" s="7">
        <v>12.9</v>
      </c>
      <c r="C343" s="8">
        <v>8768647</v>
      </c>
      <c r="D343" s="7">
        <v>0.439999999999999</v>
      </c>
      <c r="E343" s="7">
        <v>3.5313001605136298</v>
      </c>
      <c r="F343" s="7">
        <v>3.5313001605136298</v>
      </c>
      <c r="G343" s="7">
        <v>12.9</v>
      </c>
      <c r="H343" s="7">
        <v>-7.7912794853466698</v>
      </c>
      <c r="I343" s="7">
        <v>12.39</v>
      </c>
      <c r="J343" s="7">
        <v>12.97</v>
      </c>
      <c r="K343" s="7">
        <v>12.39</v>
      </c>
      <c r="L343" s="7">
        <v>-7.7912794853466698</v>
      </c>
    </row>
    <row r="344" spans="1:12" ht="15" customHeight="1" x14ac:dyDescent="0.2">
      <c r="A344" s="3">
        <v>45548</v>
      </c>
      <c r="B344" s="4">
        <v>12.46</v>
      </c>
      <c r="C344" s="5">
        <v>1745470</v>
      </c>
      <c r="D344" s="4">
        <v>-0.32999999999999802</v>
      </c>
      <c r="E344" s="4">
        <v>-2.5801407349491599</v>
      </c>
      <c r="F344" s="4">
        <v>-2.5801407349491599</v>
      </c>
      <c r="G344" s="4">
        <v>12.46</v>
      </c>
      <c r="H344" s="4">
        <v>-10.9363831308077</v>
      </c>
      <c r="I344" s="4">
        <v>12.86</v>
      </c>
      <c r="J344" s="4">
        <v>12.86</v>
      </c>
      <c r="K344" s="4">
        <v>12.36</v>
      </c>
      <c r="L344" s="4">
        <v>-10.9363831308077</v>
      </c>
    </row>
    <row r="345" spans="1:12" ht="15" customHeight="1" x14ac:dyDescent="0.2">
      <c r="A345" s="6">
        <v>45547</v>
      </c>
      <c r="B345" s="7">
        <v>12.79</v>
      </c>
      <c r="C345" s="8">
        <v>1292976</v>
      </c>
      <c r="D345" s="7">
        <v>0.189999999999999</v>
      </c>
      <c r="E345" s="7">
        <v>1.5079365079364999</v>
      </c>
      <c r="F345" s="7">
        <v>1.5079365079364999</v>
      </c>
      <c r="G345" s="7">
        <v>12.79</v>
      </c>
      <c r="H345" s="7">
        <v>-8.57755539671194</v>
      </c>
      <c r="I345" s="7">
        <v>12.7</v>
      </c>
      <c r="J345" s="7">
        <v>13.03</v>
      </c>
      <c r="K345" s="7">
        <v>12.68</v>
      </c>
      <c r="L345" s="7">
        <v>-8.57755539671194</v>
      </c>
    </row>
    <row r="346" spans="1:12" ht="15" customHeight="1" x14ac:dyDescent="0.2">
      <c r="A346" s="3">
        <v>45546</v>
      </c>
      <c r="B346" s="4">
        <v>12.6</v>
      </c>
      <c r="C346" s="5">
        <v>2294674</v>
      </c>
      <c r="D346" s="4">
        <v>0.219999999999998</v>
      </c>
      <c r="E346" s="4">
        <v>1.7770597738287299</v>
      </c>
      <c r="F346" s="4">
        <v>1.7770597738287299</v>
      </c>
      <c r="G346" s="4">
        <v>12.6</v>
      </c>
      <c r="H346" s="4">
        <v>-9.9356683345246601</v>
      </c>
      <c r="I346" s="4">
        <v>12.3</v>
      </c>
      <c r="J346" s="4">
        <v>12.66</v>
      </c>
      <c r="K346" s="4">
        <v>12.22</v>
      </c>
      <c r="L346" s="4">
        <v>-9.9356683345246601</v>
      </c>
    </row>
    <row r="347" spans="1:12" ht="15" customHeight="1" x14ac:dyDescent="0.2">
      <c r="A347" s="6">
        <v>45545</v>
      </c>
      <c r="B347" s="7">
        <v>12.38</v>
      </c>
      <c r="C347" s="8">
        <v>2779143</v>
      </c>
      <c r="D347" s="7">
        <v>0.23</v>
      </c>
      <c r="E347" s="7">
        <v>1.8930041152263399</v>
      </c>
      <c r="F347" s="7">
        <v>1.8930041152263399</v>
      </c>
      <c r="G347" s="7">
        <v>12.38</v>
      </c>
      <c r="H347" s="7">
        <v>-11.508220157255099</v>
      </c>
      <c r="I347" s="7">
        <v>12.13</v>
      </c>
      <c r="J347" s="7">
        <v>12.5</v>
      </c>
      <c r="K347" s="7">
        <v>11.98</v>
      </c>
      <c r="L347" s="7">
        <v>-11.508220157255099</v>
      </c>
    </row>
    <row r="348" spans="1:12" ht="15" customHeight="1" x14ac:dyDescent="0.2">
      <c r="A348" s="3">
        <v>45544</v>
      </c>
      <c r="B348" s="4">
        <v>12.15</v>
      </c>
      <c r="C348" s="5">
        <v>3642648</v>
      </c>
      <c r="D348" s="4">
        <v>0.32</v>
      </c>
      <c r="E348" s="4">
        <v>2.7049873203719401</v>
      </c>
      <c r="F348" s="4">
        <v>2.7049873203719401</v>
      </c>
      <c r="G348" s="4">
        <v>12.15</v>
      </c>
      <c r="H348" s="4">
        <v>-13.1522516082916</v>
      </c>
      <c r="I348" s="4">
        <v>11.8</v>
      </c>
      <c r="J348" s="4">
        <v>12.21</v>
      </c>
      <c r="K348" s="4">
        <v>11.8</v>
      </c>
      <c r="L348" s="4">
        <v>-13.1522516082916</v>
      </c>
    </row>
    <row r="349" spans="1:12" ht="15" customHeight="1" x14ac:dyDescent="0.2">
      <c r="A349" s="6">
        <v>45541</v>
      </c>
      <c r="B349" s="7">
        <v>11.83</v>
      </c>
      <c r="C349" s="8">
        <v>5403346</v>
      </c>
      <c r="D349" s="7">
        <v>0.19999999999999901</v>
      </c>
      <c r="E349" s="7">
        <v>1.71969045571795</v>
      </c>
      <c r="F349" s="7">
        <v>1.71969045571795</v>
      </c>
      <c r="G349" s="7">
        <v>11.83</v>
      </c>
      <c r="H349" s="7">
        <v>-15.4395997140814</v>
      </c>
      <c r="I349" s="7">
        <v>11.63</v>
      </c>
      <c r="J349" s="7">
        <v>11.87</v>
      </c>
      <c r="K349" s="7">
        <v>11.06</v>
      </c>
      <c r="L349" s="7">
        <v>-15.4395997140814</v>
      </c>
    </row>
    <row r="350" spans="1:12" ht="15" customHeight="1" x14ac:dyDescent="0.2">
      <c r="A350" s="3">
        <v>45540</v>
      </c>
      <c r="B350" s="4">
        <v>11.63</v>
      </c>
      <c r="C350" s="5">
        <v>10142790</v>
      </c>
      <c r="D350" s="4">
        <v>0.45000000000000101</v>
      </c>
      <c r="E350" s="4">
        <v>4.0250447227191399</v>
      </c>
      <c r="F350" s="4">
        <v>4.0250447227191399</v>
      </c>
      <c r="G350" s="4">
        <v>11.63</v>
      </c>
      <c r="H350" s="4">
        <v>-16.8691922802001</v>
      </c>
      <c r="I350" s="4">
        <v>11.12</v>
      </c>
      <c r="J350" s="4">
        <v>11.75</v>
      </c>
      <c r="K350" s="4">
        <v>11.06</v>
      </c>
      <c r="L350" s="4">
        <v>-16.8691922802001</v>
      </c>
    </row>
    <row r="351" spans="1:12" ht="15" customHeight="1" x14ac:dyDescent="0.2">
      <c r="A351" s="6">
        <v>45539</v>
      </c>
      <c r="B351" s="7">
        <v>11.18</v>
      </c>
      <c r="C351" s="8">
        <v>5426013</v>
      </c>
      <c r="D351" s="7">
        <v>9.9999999999997799E-3</v>
      </c>
      <c r="E351" s="7">
        <v>8.9525514771704395E-2</v>
      </c>
      <c r="F351" s="7">
        <v>8.9525514771704395E-2</v>
      </c>
      <c r="G351" s="7">
        <v>11.18</v>
      </c>
      <c r="H351" s="7">
        <v>-20.0857755539671</v>
      </c>
      <c r="I351" s="7">
        <v>11.21</v>
      </c>
      <c r="J351" s="7">
        <v>11.39</v>
      </c>
      <c r="K351" s="7">
        <v>10.95</v>
      </c>
      <c r="L351" s="7">
        <v>-20.0857755539671</v>
      </c>
    </row>
    <row r="352" spans="1:12" ht="15" customHeight="1" x14ac:dyDescent="0.2">
      <c r="A352" s="3">
        <v>45538</v>
      </c>
      <c r="B352" s="4">
        <v>11.17</v>
      </c>
      <c r="C352" s="5">
        <v>2775976</v>
      </c>
      <c r="D352" s="4">
        <v>1.9999999999999501E-2</v>
      </c>
      <c r="E352" s="4">
        <v>0.17937219730941301</v>
      </c>
      <c r="F352" s="4">
        <v>0.17937219730941301</v>
      </c>
      <c r="G352" s="4">
        <v>11.17</v>
      </c>
      <c r="H352" s="4">
        <v>-20.157255182273001</v>
      </c>
      <c r="I352" s="4">
        <v>11.18</v>
      </c>
      <c r="J352" s="4">
        <v>11.22</v>
      </c>
      <c r="K352" s="4">
        <v>10.93</v>
      </c>
      <c r="L352" s="4">
        <v>-20.157255182273001</v>
      </c>
    </row>
    <row r="353" spans="1:12" ht="15" customHeight="1" x14ac:dyDescent="0.2">
      <c r="A353" s="6">
        <v>45537</v>
      </c>
      <c r="B353" s="7">
        <v>11.15</v>
      </c>
      <c r="C353" s="8">
        <v>170837</v>
      </c>
      <c r="D353" s="7">
        <v>-4.9999999999998899E-2</v>
      </c>
      <c r="E353" s="7">
        <v>-0.44642857142855802</v>
      </c>
      <c r="F353" s="7">
        <v>-0.44642857142855802</v>
      </c>
      <c r="G353" s="7">
        <v>11.15</v>
      </c>
      <c r="H353" s="7">
        <v>-20.3002144388849</v>
      </c>
      <c r="I353" s="7">
        <v>11.27</v>
      </c>
      <c r="J353" s="7">
        <v>11.29</v>
      </c>
      <c r="K353" s="7">
        <v>11.07</v>
      </c>
      <c r="L353" s="7">
        <v>-20.3002144388849</v>
      </c>
    </row>
    <row r="354" spans="1:12" ht="15" customHeight="1" x14ac:dyDescent="0.2">
      <c r="A354" s="3">
        <v>45534</v>
      </c>
      <c r="B354" s="4">
        <v>11.2</v>
      </c>
      <c r="C354" s="5">
        <v>2288574</v>
      </c>
      <c r="D354" s="4">
        <v>-0.16999999999999901</v>
      </c>
      <c r="E354" s="4">
        <v>-1.4951627088830199</v>
      </c>
      <c r="F354" s="4">
        <v>-1.4951627088830199</v>
      </c>
      <c r="G354" s="4">
        <v>11.2</v>
      </c>
      <c r="H354" s="4">
        <v>-19.942816297355201</v>
      </c>
      <c r="I354" s="4">
        <v>11.4</v>
      </c>
      <c r="J354" s="4">
        <v>11.48</v>
      </c>
      <c r="K354" s="4">
        <v>11.07</v>
      </c>
      <c r="L354" s="4">
        <v>-19.942816297355201</v>
      </c>
    </row>
    <row r="355" spans="1:12" ht="15" customHeight="1" x14ac:dyDescent="0.2">
      <c r="A355" s="6">
        <v>45533</v>
      </c>
      <c r="B355" s="7">
        <v>11.37</v>
      </c>
      <c r="C355" s="8">
        <v>1891000</v>
      </c>
      <c r="D355" s="7">
        <v>4.9999999999998899E-2</v>
      </c>
      <c r="E355" s="7">
        <v>0.44169611307418499</v>
      </c>
      <c r="F355" s="7">
        <v>0.44169611307418499</v>
      </c>
      <c r="G355" s="7">
        <v>11.37</v>
      </c>
      <c r="H355" s="7">
        <v>-18.727662616154401</v>
      </c>
      <c r="I355" s="7">
        <v>11.3</v>
      </c>
      <c r="J355" s="7">
        <v>11.51</v>
      </c>
      <c r="K355" s="7">
        <v>11.3</v>
      </c>
      <c r="L355" s="7">
        <v>-18.727662616154401</v>
      </c>
    </row>
    <row r="356" spans="1:12" ht="15" customHeight="1" x14ac:dyDescent="0.2">
      <c r="A356" s="3">
        <v>45532</v>
      </c>
      <c r="B356" s="4">
        <v>11.32</v>
      </c>
      <c r="C356" s="5">
        <v>1527892</v>
      </c>
      <c r="D356" s="4">
        <v>7.0000000000000201E-2</v>
      </c>
      <c r="E356" s="4">
        <v>0.622222222222235</v>
      </c>
      <c r="F356" s="4">
        <v>0.622222222222235</v>
      </c>
      <c r="G356" s="4">
        <v>11.32</v>
      </c>
      <c r="H356" s="4">
        <v>-19.085060757684001</v>
      </c>
      <c r="I356" s="4">
        <v>11.19</v>
      </c>
      <c r="J356" s="4">
        <v>11.47</v>
      </c>
      <c r="K356" s="4">
        <v>11.15</v>
      </c>
      <c r="L356" s="4">
        <v>-19.085060757684001</v>
      </c>
    </row>
    <row r="357" spans="1:12" ht="15" customHeight="1" x14ac:dyDescent="0.2">
      <c r="A357" s="6">
        <v>45531</v>
      </c>
      <c r="B357" s="7">
        <v>11.25</v>
      </c>
      <c r="C357" s="8">
        <v>2743238</v>
      </c>
      <c r="D357" s="7">
        <v>8.9999999999999802E-2</v>
      </c>
      <c r="E357" s="7">
        <v>0.80645161290322498</v>
      </c>
      <c r="F357" s="7">
        <v>0.80645161290322498</v>
      </c>
      <c r="G357" s="7">
        <v>11.25</v>
      </c>
      <c r="H357" s="7">
        <v>-19.585418155825501</v>
      </c>
      <c r="I357" s="7">
        <v>11.13</v>
      </c>
      <c r="J357" s="7">
        <v>11.46</v>
      </c>
      <c r="K357" s="7">
        <v>11.07</v>
      </c>
      <c r="L357" s="7">
        <v>-19.585418155825501</v>
      </c>
    </row>
    <row r="358" spans="1:12" ht="15" customHeight="1" x14ac:dyDescent="0.2">
      <c r="A358" s="3">
        <v>45530</v>
      </c>
      <c r="B358" s="4">
        <v>11.16</v>
      </c>
      <c r="C358" s="5">
        <v>1405134</v>
      </c>
      <c r="D358" s="4">
        <v>-6.0000000000000497E-2</v>
      </c>
      <c r="E358" s="4">
        <v>-0.53475935828877197</v>
      </c>
      <c r="F358" s="4">
        <v>-0.53475935828877197</v>
      </c>
      <c r="G358" s="4">
        <v>11.16</v>
      </c>
      <c r="H358" s="4">
        <v>-20.228734810578899</v>
      </c>
      <c r="I358" s="4">
        <v>11.27</v>
      </c>
      <c r="J358" s="4">
        <v>11.41</v>
      </c>
      <c r="K358" s="4">
        <v>10.97</v>
      </c>
      <c r="L358" s="4">
        <v>-20.228734810578899</v>
      </c>
    </row>
    <row r="359" spans="1:12" ht="15" customHeight="1" x14ac:dyDescent="0.2">
      <c r="A359" s="6">
        <v>45527</v>
      </c>
      <c r="B359" s="7">
        <v>11.22</v>
      </c>
      <c r="C359" s="8">
        <v>3089770</v>
      </c>
      <c r="D359" s="7">
        <v>0.50999999999999901</v>
      </c>
      <c r="E359" s="7">
        <v>4.7619047619047601</v>
      </c>
      <c r="F359" s="7">
        <v>4.7619047619047601</v>
      </c>
      <c r="G359" s="7">
        <v>11.22</v>
      </c>
      <c r="H359" s="7">
        <v>-19.799857040743301</v>
      </c>
      <c r="I359" s="7">
        <v>10.76</v>
      </c>
      <c r="J359" s="7">
        <v>11.27</v>
      </c>
      <c r="K359" s="7">
        <v>10.7</v>
      </c>
      <c r="L359" s="7">
        <v>-19.799857040743301</v>
      </c>
    </row>
    <row r="360" spans="1:12" ht="15" customHeight="1" x14ac:dyDescent="0.2">
      <c r="A360" s="3">
        <v>45526</v>
      </c>
      <c r="B360" s="4">
        <v>10.71</v>
      </c>
      <c r="C360" s="5">
        <v>2511030</v>
      </c>
      <c r="D360" s="4"/>
      <c r="E360" s="4"/>
      <c r="F360" s="4"/>
      <c r="G360" s="4">
        <v>10.71</v>
      </c>
      <c r="H360" s="4">
        <v>-23.445318084345899</v>
      </c>
      <c r="I360" s="4">
        <v>10.7</v>
      </c>
      <c r="J360" s="4">
        <v>10.87</v>
      </c>
      <c r="K360" s="4">
        <v>10.65</v>
      </c>
      <c r="L360" s="4">
        <v>-23.445318084345899</v>
      </c>
    </row>
    <row r="361" spans="1:12" ht="15" customHeight="1" x14ac:dyDescent="0.2">
      <c r="A361" s="6">
        <v>45525</v>
      </c>
      <c r="B361" s="7">
        <v>10.71</v>
      </c>
      <c r="C361" s="8">
        <v>2480765</v>
      </c>
      <c r="D361" s="7">
        <v>0.15</v>
      </c>
      <c r="E361" s="7">
        <v>1.4204545454545401</v>
      </c>
      <c r="F361" s="7">
        <v>1.4204545454545401</v>
      </c>
      <c r="G361" s="7">
        <v>10.71</v>
      </c>
      <c r="H361" s="7">
        <v>-23.445318084345899</v>
      </c>
      <c r="I361" s="7">
        <v>10.63</v>
      </c>
      <c r="J361" s="7">
        <v>10.76</v>
      </c>
      <c r="K361" s="7">
        <v>10.51</v>
      </c>
      <c r="L361" s="7">
        <v>-23.445318084345899</v>
      </c>
    </row>
    <row r="362" spans="1:12" ht="15" customHeight="1" x14ac:dyDescent="0.2">
      <c r="A362" s="3">
        <v>45524</v>
      </c>
      <c r="B362" s="4">
        <v>10.56</v>
      </c>
      <c r="C362" s="5">
        <v>4672408</v>
      </c>
      <c r="D362" s="4">
        <v>9.9999999999997799E-3</v>
      </c>
      <c r="E362" s="4">
        <v>9.4786729857809698E-2</v>
      </c>
      <c r="F362" s="4">
        <v>9.4786729857809698E-2</v>
      </c>
      <c r="G362" s="4">
        <v>10.56</v>
      </c>
      <c r="H362" s="4">
        <v>-24.5175125089349</v>
      </c>
      <c r="I362" s="4">
        <v>10.6</v>
      </c>
      <c r="J362" s="4">
        <v>10.72</v>
      </c>
      <c r="K362" s="4">
        <v>10.49</v>
      </c>
      <c r="L362" s="4">
        <v>-24.5175125089349</v>
      </c>
    </row>
    <row r="363" spans="1:12" ht="15" customHeight="1" x14ac:dyDescent="0.2">
      <c r="A363" s="6">
        <v>45523</v>
      </c>
      <c r="B363" s="7">
        <v>10.55</v>
      </c>
      <c r="C363" s="8">
        <v>4440508</v>
      </c>
      <c r="D363" s="7">
        <v>4.0000000000000903E-2</v>
      </c>
      <c r="E363" s="7">
        <v>0.38058991436726802</v>
      </c>
      <c r="F363" s="7">
        <v>0.38058991436726802</v>
      </c>
      <c r="G363" s="7">
        <v>10.55</v>
      </c>
      <c r="H363" s="7">
        <v>-24.588992137240801</v>
      </c>
      <c r="I363" s="7">
        <v>10.6</v>
      </c>
      <c r="J363" s="7">
        <v>10.64</v>
      </c>
      <c r="K363" s="7">
        <v>10.43</v>
      </c>
      <c r="L363" s="7">
        <v>-24.588992137240801</v>
      </c>
    </row>
    <row r="364" spans="1:12" ht="15" customHeight="1" x14ac:dyDescent="0.2">
      <c r="A364" s="3">
        <v>45520</v>
      </c>
      <c r="B364" s="4">
        <v>10.51</v>
      </c>
      <c r="C364" s="5">
        <v>8458089</v>
      </c>
      <c r="D364" s="4">
        <v>-7.0000000000000201E-2</v>
      </c>
      <c r="E364" s="4">
        <v>-0.66162570888469396</v>
      </c>
      <c r="F364" s="4">
        <v>-0.66162570888469396</v>
      </c>
      <c r="G364" s="4">
        <v>10.51</v>
      </c>
      <c r="H364" s="4">
        <v>-24.874910650464599</v>
      </c>
      <c r="I364" s="4">
        <v>10.52</v>
      </c>
      <c r="J364" s="4">
        <v>10.73</v>
      </c>
      <c r="K364" s="4">
        <v>10.36</v>
      </c>
      <c r="L364" s="4">
        <v>-24.874910650464599</v>
      </c>
    </row>
    <row r="365" spans="1:12" ht="15" customHeight="1" x14ac:dyDescent="0.2">
      <c r="A365" s="6">
        <v>45519</v>
      </c>
      <c r="B365" s="7">
        <v>10.58</v>
      </c>
      <c r="C365" s="8">
        <v>4177060.9999999902</v>
      </c>
      <c r="D365" s="7">
        <v>2.9999999999999302E-2</v>
      </c>
      <c r="E365" s="7">
        <v>0.28436018957345099</v>
      </c>
      <c r="F365" s="7">
        <v>0.28436018957345099</v>
      </c>
      <c r="G365" s="7">
        <v>10.58</v>
      </c>
      <c r="H365" s="7">
        <v>-24.374553252323</v>
      </c>
      <c r="I365" s="7">
        <v>10.63</v>
      </c>
      <c r="J365" s="7">
        <v>10.83</v>
      </c>
      <c r="K365" s="7">
        <v>10.43</v>
      </c>
      <c r="L365" s="7">
        <v>-24.374553252323</v>
      </c>
    </row>
    <row r="366" spans="1:12" ht="15" customHeight="1" x14ac:dyDescent="0.2">
      <c r="A366" s="3">
        <v>45518</v>
      </c>
      <c r="B366" s="4">
        <v>10.55</v>
      </c>
      <c r="C366" s="5">
        <v>2042144</v>
      </c>
      <c r="D366" s="4">
        <v>-6.9999999999998494E-2</v>
      </c>
      <c r="E366" s="4">
        <v>-0.65913370998115195</v>
      </c>
      <c r="F366" s="4">
        <v>-0.65913370998115195</v>
      </c>
      <c r="G366" s="4">
        <v>10.55</v>
      </c>
      <c r="H366" s="4">
        <v>-24.588992137240801</v>
      </c>
      <c r="I366" s="4">
        <v>10.64</v>
      </c>
      <c r="J366" s="4">
        <v>10.65</v>
      </c>
      <c r="K366" s="4">
        <v>10.38</v>
      </c>
      <c r="L366" s="4">
        <v>-24.588992137240801</v>
      </c>
    </row>
    <row r="367" spans="1:12" ht="15" customHeight="1" x14ac:dyDescent="0.2">
      <c r="A367" s="6">
        <v>45517</v>
      </c>
      <c r="B367" s="7">
        <v>10.62</v>
      </c>
      <c r="C367" s="8">
        <v>2982303</v>
      </c>
      <c r="D367" s="7">
        <v>0.42999999999999899</v>
      </c>
      <c r="E367" s="7">
        <v>4.2198233562315801</v>
      </c>
      <c r="F367" s="7">
        <v>4.2198233562315801</v>
      </c>
      <c r="G367" s="7">
        <v>10.62</v>
      </c>
      <c r="H367" s="7">
        <v>-24.088634739099302</v>
      </c>
      <c r="I367" s="7">
        <v>10.210000000000001</v>
      </c>
      <c r="J367" s="7">
        <v>10.65</v>
      </c>
      <c r="K367" s="7">
        <v>10.18</v>
      </c>
      <c r="L367" s="7">
        <v>-24.088634739099302</v>
      </c>
    </row>
    <row r="368" spans="1:12" ht="15" customHeight="1" x14ac:dyDescent="0.2">
      <c r="A368" s="3">
        <v>45516</v>
      </c>
      <c r="B368" s="4">
        <v>10.19</v>
      </c>
      <c r="C368" s="5">
        <v>4216026</v>
      </c>
      <c r="D368" s="4">
        <v>-0.22</v>
      </c>
      <c r="E368" s="4">
        <v>-2.1133525456292102</v>
      </c>
      <c r="F368" s="4">
        <v>-2.1133525456292102</v>
      </c>
      <c r="G368" s="4">
        <v>10.19</v>
      </c>
      <c r="H368" s="4">
        <v>-27.162258756254399</v>
      </c>
      <c r="I368" s="4">
        <v>10.44</v>
      </c>
      <c r="J368" s="4">
        <v>10.47</v>
      </c>
      <c r="K368" s="4">
        <v>10.07</v>
      </c>
      <c r="L368" s="4">
        <v>-27.162258756254399</v>
      </c>
    </row>
    <row r="369" spans="1:12" ht="15" customHeight="1" x14ac:dyDescent="0.2">
      <c r="A369" s="6">
        <v>45513</v>
      </c>
      <c r="B369" s="7">
        <v>10.41</v>
      </c>
      <c r="C369" s="8">
        <v>1862184</v>
      </c>
      <c r="D369" s="7">
        <v>9.9999999999997799E-3</v>
      </c>
      <c r="E369" s="7">
        <v>9.6153846153845798E-2</v>
      </c>
      <c r="F369" s="7">
        <v>9.6153846153845798E-2</v>
      </c>
      <c r="G369" s="7">
        <v>10.41</v>
      </c>
      <c r="H369" s="7">
        <v>-25.5897069335239</v>
      </c>
      <c r="I369" s="7">
        <v>10.42</v>
      </c>
      <c r="J369" s="7">
        <v>10.54</v>
      </c>
      <c r="K369" s="7">
        <v>10.35</v>
      </c>
      <c r="L369" s="7">
        <v>-25.5897069335239</v>
      </c>
    </row>
    <row r="370" spans="1:12" ht="15" customHeight="1" x14ac:dyDescent="0.2">
      <c r="A370" s="3">
        <v>45512</v>
      </c>
      <c r="B370" s="4">
        <v>10.4</v>
      </c>
      <c r="C370" s="5">
        <v>3616654</v>
      </c>
      <c r="D370" s="4">
        <v>-1.9999999999999501E-2</v>
      </c>
      <c r="E370" s="4">
        <v>-0.191938579654504</v>
      </c>
      <c r="F370" s="4">
        <v>-0.191938579654504</v>
      </c>
      <c r="G370" s="4">
        <v>10.4</v>
      </c>
      <c r="H370" s="4">
        <v>-25.661186561829801</v>
      </c>
      <c r="I370" s="4">
        <v>10.51</v>
      </c>
      <c r="J370" s="4">
        <v>10.6</v>
      </c>
      <c r="K370" s="4">
        <v>10.29</v>
      </c>
      <c r="L370" s="4">
        <v>-25.661186561829801</v>
      </c>
    </row>
    <row r="371" spans="1:12" ht="15" customHeight="1" x14ac:dyDescent="0.2">
      <c r="A371" s="6">
        <v>45511</v>
      </c>
      <c r="B371" s="7">
        <v>10.42</v>
      </c>
      <c r="C371" s="8">
        <v>4577945</v>
      </c>
      <c r="D371" s="7">
        <v>-0.19999999999999901</v>
      </c>
      <c r="E371" s="7">
        <v>-1.88323917137476</v>
      </c>
      <c r="F371" s="7">
        <v>-1.88323917137476</v>
      </c>
      <c r="G371" s="7">
        <v>10.42</v>
      </c>
      <c r="H371" s="7">
        <v>-25.518227305218002</v>
      </c>
      <c r="I371" s="7">
        <v>10.66</v>
      </c>
      <c r="J371" s="7">
        <v>10.96</v>
      </c>
      <c r="K371" s="7">
        <v>10.3</v>
      </c>
      <c r="L371" s="7">
        <v>-25.518227305218002</v>
      </c>
    </row>
    <row r="372" spans="1:12" ht="15" customHeight="1" x14ac:dyDescent="0.2">
      <c r="A372" s="3">
        <v>45510</v>
      </c>
      <c r="B372" s="4">
        <v>10.62</v>
      </c>
      <c r="C372" s="5">
        <v>2761508</v>
      </c>
      <c r="D372" s="4">
        <v>0.13999999999999799</v>
      </c>
      <c r="E372" s="4">
        <v>1.33587786259541</v>
      </c>
      <c r="F372" s="4">
        <v>1.33587786259541</v>
      </c>
      <c r="G372" s="4">
        <v>10.62</v>
      </c>
      <c r="H372" s="4">
        <v>-24.088634739099302</v>
      </c>
      <c r="I372" s="4">
        <v>10.45</v>
      </c>
      <c r="J372" s="4">
        <v>10.79</v>
      </c>
      <c r="K372" s="4">
        <v>10.33</v>
      </c>
      <c r="L372" s="4">
        <v>-24.088634739099302</v>
      </c>
    </row>
    <row r="373" spans="1:12" ht="15" customHeight="1" x14ac:dyDescent="0.2">
      <c r="A373" s="6">
        <v>45509</v>
      </c>
      <c r="B373" s="7">
        <v>10.48</v>
      </c>
      <c r="C373" s="8">
        <v>3857696</v>
      </c>
      <c r="D373" s="7">
        <v>-0.16999999999999901</v>
      </c>
      <c r="E373" s="7">
        <v>-1.5962441314553899</v>
      </c>
      <c r="F373" s="7">
        <v>-1.5962441314553899</v>
      </c>
      <c r="G373" s="7">
        <v>10.48</v>
      </c>
      <c r="H373" s="7">
        <v>-25.0893495353824</v>
      </c>
      <c r="I373" s="7">
        <v>10.59</v>
      </c>
      <c r="J373" s="7">
        <v>10.78</v>
      </c>
      <c r="K373" s="7">
        <v>10.09</v>
      </c>
      <c r="L373" s="7">
        <v>-25.0893495353824</v>
      </c>
    </row>
    <row r="374" spans="1:12" ht="15" customHeight="1" x14ac:dyDescent="0.2">
      <c r="A374" s="3">
        <v>45506</v>
      </c>
      <c r="B374" s="4">
        <v>10.65</v>
      </c>
      <c r="C374" s="5">
        <v>2452465</v>
      </c>
      <c r="D374" s="4">
        <v>-0.369999999999999</v>
      </c>
      <c r="E374" s="4">
        <v>-3.3575317604355601</v>
      </c>
      <c r="F374" s="4">
        <v>-3.3575317604355601</v>
      </c>
      <c r="G374" s="4">
        <v>10.65</v>
      </c>
      <c r="H374" s="4">
        <v>-23.874195854181501</v>
      </c>
      <c r="I374" s="4">
        <v>10.99</v>
      </c>
      <c r="J374" s="4">
        <v>10.99</v>
      </c>
      <c r="K374" s="4">
        <v>10.45</v>
      </c>
      <c r="L374" s="4">
        <v>-23.874195854181501</v>
      </c>
    </row>
    <row r="375" spans="1:12" ht="15" customHeight="1" x14ac:dyDescent="0.2">
      <c r="A375" s="6">
        <v>45505</v>
      </c>
      <c r="B375" s="7">
        <v>11.02</v>
      </c>
      <c r="C375" s="8">
        <v>3312301</v>
      </c>
      <c r="D375" s="7">
        <v>-0.45000000000000101</v>
      </c>
      <c r="E375" s="7">
        <v>-3.9232781168265101</v>
      </c>
      <c r="F375" s="7">
        <v>-3.9232781168265101</v>
      </c>
      <c r="G375" s="7">
        <v>11.02</v>
      </c>
      <c r="H375" s="7">
        <v>-21.229449606862001</v>
      </c>
      <c r="I375" s="7">
        <v>11.52</v>
      </c>
      <c r="J375" s="7">
        <v>11.52</v>
      </c>
      <c r="K375" s="7">
        <v>10.93</v>
      </c>
      <c r="L375" s="7">
        <v>-21.229449606862001</v>
      </c>
    </row>
    <row r="376" spans="1:12" ht="15" customHeight="1" x14ac:dyDescent="0.2">
      <c r="A376" s="3">
        <v>45504</v>
      </c>
      <c r="B376" s="4">
        <v>11.47</v>
      </c>
      <c r="C376" s="5">
        <v>2339270</v>
      </c>
      <c r="D376" s="4">
        <v>-6.9999999999998494E-2</v>
      </c>
      <c r="E376" s="4">
        <v>-0.60658578856150802</v>
      </c>
      <c r="F376" s="4">
        <v>-0.60658578856150802</v>
      </c>
      <c r="G376" s="4">
        <v>11.47</v>
      </c>
      <c r="H376" s="4">
        <v>-18.012866333095001</v>
      </c>
      <c r="I376" s="4">
        <v>11.52</v>
      </c>
      <c r="J376" s="4">
        <v>11.66</v>
      </c>
      <c r="K376" s="4">
        <v>11.35</v>
      </c>
      <c r="L376" s="4">
        <v>-18.012866333095001</v>
      </c>
    </row>
    <row r="377" spans="1:12" ht="15" customHeight="1" x14ac:dyDescent="0.2">
      <c r="A377" s="6">
        <v>45503</v>
      </c>
      <c r="B377" s="7">
        <v>11.54</v>
      </c>
      <c r="C377" s="8">
        <v>1913299</v>
      </c>
      <c r="D377" s="7">
        <v>-0.20000000000000101</v>
      </c>
      <c r="E377" s="7">
        <v>-1.70357751277684</v>
      </c>
      <c r="F377" s="7">
        <v>-1.70357751277684</v>
      </c>
      <c r="G377" s="7">
        <v>11.54</v>
      </c>
      <c r="H377" s="7">
        <v>-17.512508934953502</v>
      </c>
      <c r="I377" s="7">
        <v>11.76</v>
      </c>
      <c r="J377" s="7">
        <v>12.02</v>
      </c>
      <c r="K377" s="7">
        <v>11.5</v>
      </c>
      <c r="L377" s="7">
        <v>-17.512508934953502</v>
      </c>
    </row>
    <row r="378" spans="1:12" ht="15" customHeight="1" x14ac:dyDescent="0.2">
      <c r="A378" s="3">
        <v>45502</v>
      </c>
      <c r="B378" s="4">
        <v>11.74</v>
      </c>
      <c r="C378" s="5">
        <v>1588406</v>
      </c>
      <c r="D378" s="4">
        <v>-9.9999999999999603E-2</v>
      </c>
      <c r="E378" s="4">
        <v>-0.84459459459459396</v>
      </c>
      <c r="F378" s="4">
        <v>-0.84459459459459396</v>
      </c>
      <c r="G378" s="4">
        <v>11.74</v>
      </c>
      <c r="H378" s="4">
        <v>-16.082916368834798</v>
      </c>
      <c r="I378" s="4">
        <v>11.82</v>
      </c>
      <c r="J378" s="4">
        <v>11.95</v>
      </c>
      <c r="K378" s="4">
        <v>11.58</v>
      </c>
      <c r="L378" s="4">
        <v>-16.082916368834798</v>
      </c>
    </row>
    <row r="379" spans="1:12" ht="15" customHeight="1" x14ac:dyDescent="0.2">
      <c r="A379" s="6">
        <v>45499</v>
      </c>
      <c r="B379" s="7">
        <v>11.84</v>
      </c>
      <c r="C379" s="8">
        <v>2850700</v>
      </c>
      <c r="D379" s="7">
        <v>0.16</v>
      </c>
      <c r="E379" s="7">
        <v>1.3698630136986301</v>
      </c>
      <c r="F379" s="7">
        <v>1.3698630136986301</v>
      </c>
      <c r="G379" s="7">
        <v>11.84</v>
      </c>
      <c r="H379" s="7">
        <v>-15.3681200857755</v>
      </c>
      <c r="I379" s="7">
        <v>11.68</v>
      </c>
      <c r="J379" s="7">
        <v>12</v>
      </c>
      <c r="K379" s="7">
        <v>11.68</v>
      </c>
      <c r="L379" s="7">
        <v>-15.3681200857755</v>
      </c>
    </row>
    <row r="380" spans="1:12" ht="15" customHeight="1" x14ac:dyDescent="0.2">
      <c r="A380" s="3">
        <v>45498</v>
      </c>
      <c r="B380" s="4">
        <v>11.68</v>
      </c>
      <c r="C380" s="5">
        <v>2817821</v>
      </c>
      <c r="D380" s="4">
        <v>0.57999999999999996</v>
      </c>
      <c r="E380" s="4">
        <v>5.22522522522521</v>
      </c>
      <c r="F380" s="4">
        <v>5.22522522522521</v>
      </c>
      <c r="G380" s="4">
        <v>11.68</v>
      </c>
      <c r="H380" s="4">
        <v>-16.5117941386704</v>
      </c>
      <c r="I380" s="4">
        <v>11.19</v>
      </c>
      <c r="J380" s="4">
        <v>11.8</v>
      </c>
      <c r="K380" s="4">
        <v>10.99</v>
      </c>
      <c r="L380" s="4">
        <v>-16.5117941386704</v>
      </c>
    </row>
    <row r="381" spans="1:12" ht="15" customHeight="1" x14ac:dyDescent="0.2">
      <c r="A381" s="6">
        <v>45497</v>
      </c>
      <c r="B381" s="7">
        <v>11.1</v>
      </c>
      <c r="C381" s="8">
        <v>2172817</v>
      </c>
      <c r="D381" s="7">
        <v>-0.50999999999999901</v>
      </c>
      <c r="E381" s="7">
        <v>-4.3927648578811302</v>
      </c>
      <c r="F381" s="7">
        <v>-4.3927648578811302</v>
      </c>
      <c r="G381" s="7">
        <v>11.1</v>
      </c>
      <c r="H381" s="7">
        <v>-20.657612580414501</v>
      </c>
      <c r="I381" s="7">
        <v>11.55</v>
      </c>
      <c r="J381" s="7">
        <v>11.81</v>
      </c>
      <c r="K381" s="7">
        <v>11.07</v>
      </c>
      <c r="L381" s="7">
        <v>-20.657612580414501</v>
      </c>
    </row>
    <row r="382" spans="1:12" ht="15" customHeight="1" x14ac:dyDescent="0.2">
      <c r="A382" s="3">
        <v>45496</v>
      </c>
      <c r="B382" s="4">
        <v>11.61</v>
      </c>
      <c r="C382" s="5">
        <v>9199987</v>
      </c>
      <c r="D382" s="4">
        <v>0.25</v>
      </c>
      <c r="E382" s="4">
        <v>2.2007042253521201</v>
      </c>
      <c r="F382" s="4">
        <v>2.2007042253521201</v>
      </c>
      <c r="G382" s="4">
        <v>11.61</v>
      </c>
      <c r="H382" s="4">
        <v>-17.012151536811999</v>
      </c>
      <c r="I382" s="4">
        <v>11.64</v>
      </c>
      <c r="J382" s="4">
        <v>11.7</v>
      </c>
      <c r="K382" s="4">
        <v>10.63</v>
      </c>
      <c r="L382" s="4">
        <v>-17.012151536811999</v>
      </c>
    </row>
    <row r="383" spans="1:12" ht="15" customHeight="1" x14ac:dyDescent="0.2">
      <c r="A383" s="6">
        <v>45495</v>
      </c>
      <c r="B383" s="7">
        <v>11.36</v>
      </c>
      <c r="C383" s="8">
        <v>2502992</v>
      </c>
      <c r="D383" s="7">
        <v>0.149999999999998</v>
      </c>
      <c r="E383" s="7">
        <v>1.3380909901873099</v>
      </c>
      <c r="F383" s="7">
        <v>1.3380909901873099</v>
      </c>
      <c r="G383" s="7">
        <v>11.36</v>
      </c>
      <c r="H383" s="7">
        <v>-18.799142244460299</v>
      </c>
      <c r="I383" s="7">
        <v>11.15</v>
      </c>
      <c r="J383" s="7">
        <v>11.55</v>
      </c>
      <c r="K383" s="7">
        <v>11.15</v>
      </c>
      <c r="L383" s="7">
        <v>-18.799142244460299</v>
      </c>
    </row>
    <row r="384" spans="1:12" ht="15" customHeight="1" x14ac:dyDescent="0.2">
      <c r="A384" s="3">
        <v>45492</v>
      </c>
      <c r="B384" s="4">
        <v>11.21</v>
      </c>
      <c r="C384" s="5">
        <v>1077818</v>
      </c>
      <c r="D384" s="4">
        <v>-0.25</v>
      </c>
      <c r="E384" s="4">
        <v>-2.18150087260035</v>
      </c>
      <c r="F384" s="4">
        <v>-2.18150087260035</v>
      </c>
      <c r="G384" s="4">
        <v>11.21</v>
      </c>
      <c r="H384" s="4">
        <v>-19.871336669049299</v>
      </c>
      <c r="I384" s="4">
        <v>11.4</v>
      </c>
      <c r="J384" s="4">
        <v>11.63</v>
      </c>
      <c r="K384" s="4">
        <v>11.1</v>
      </c>
      <c r="L384" s="4">
        <v>-19.871336669049299</v>
      </c>
    </row>
    <row r="385" spans="1:12" ht="15" customHeight="1" x14ac:dyDescent="0.2">
      <c r="A385" s="6">
        <v>45491</v>
      </c>
      <c r="B385" s="7">
        <v>11.46</v>
      </c>
      <c r="C385" s="8">
        <v>2215140</v>
      </c>
      <c r="D385" s="7">
        <v>-0.25999999999999901</v>
      </c>
      <c r="E385" s="7">
        <v>-2.2184300341296899</v>
      </c>
      <c r="F385" s="7">
        <v>-2.2184300341296899</v>
      </c>
      <c r="G385" s="7">
        <v>11.46</v>
      </c>
      <c r="H385" s="7">
        <v>-18.084345961400899</v>
      </c>
      <c r="I385" s="7">
        <v>11.71</v>
      </c>
      <c r="J385" s="7">
        <v>11.89</v>
      </c>
      <c r="K385" s="7">
        <v>11.4</v>
      </c>
      <c r="L385" s="7">
        <v>-18.084345961400899</v>
      </c>
    </row>
    <row r="386" spans="1:12" ht="15" customHeight="1" x14ac:dyDescent="0.2">
      <c r="A386" s="3">
        <v>45490</v>
      </c>
      <c r="B386" s="4">
        <v>11.72</v>
      </c>
      <c r="C386" s="5">
        <v>1158587</v>
      </c>
      <c r="D386" s="4">
        <v>-0.24</v>
      </c>
      <c r="E386" s="4">
        <v>-2.0066889632107001</v>
      </c>
      <c r="F386" s="4">
        <v>-2.0066889632107001</v>
      </c>
      <c r="G386" s="4">
        <v>11.72</v>
      </c>
      <c r="H386" s="4">
        <v>-16.225875625446701</v>
      </c>
      <c r="I386" s="4">
        <v>11.89</v>
      </c>
      <c r="J386" s="4">
        <v>12.08</v>
      </c>
      <c r="K386" s="4">
        <v>11.57</v>
      </c>
      <c r="L386" s="4">
        <v>-16.225875625446701</v>
      </c>
    </row>
    <row r="387" spans="1:12" ht="15" customHeight="1" x14ac:dyDescent="0.2">
      <c r="A387" s="6">
        <v>45489</v>
      </c>
      <c r="B387" s="7">
        <v>11.96</v>
      </c>
      <c r="C387" s="8">
        <v>2206187</v>
      </c>
      <c r="D387" s="7">
        <v>0.20000000000000101</v>
      </c>
      <c r="E387" s="7">
        <v>1.7006802721088501</v>
      </c>
      <c r="F387" s="7">
        <v>1.7006802721088501</v>
      </c>
      <c r="G387" s="7">
        <v>11.96</v>
      </c>
      <c r="H387" s="7">
        <v>-14.5103645461043</v>
      </c>
      <c r="I387" s="7">
        <v>11.75</v>
      </c>
      <c r="J387" s="7">
        <v>12</v>
      </c>
      <c r="K387" s="7">
        <v>11.69</v>
      </c>
      <c r="L387" s="7">
        <v>-14.5103645461043</v>
      </c>
    </row>
    <row r="388" spans="1:12" ht="15" customHeight="1" x14ac:dyDescent="0.2">
      <c r="A388" s="3">
        <v>45488</v>
      </c>
      <c r="B388" s="4">
        <v>11.76</v>
      </c>
      <c r="C388" s="5">
        <v>2689311</v>
      </c>
      <c r="D388" s="4">
        <v>0.12999999999999901</v>
      </c>
      <c r="E388" s="4">
        <v>1.11779879621667</v>
      </c>
      <c r="F388" s="4">
        <v>1.11779879621667</v>
      </c>
      <c r="G388" s="4">
        <v>11.76</v>
      </c>
      <c r="H388" s="4">
        <v>-15.939957112223</v>
      </c>
      <c r="I388" s="4">
        <v>11.57</v>
      </c>
      <c r="J388" s="4">
        <v>12</v>
      </c>
      <c r="K388" s="4">
        <v>11.57</v>
      </c>
      <c r="L388" s="4">
        <v>-15.939957112223</v>
      </c>
    </row>
    <row r="389" spans="1:12" ht="15" customHeight="1" x14ac:dyDescent="0.2">
      <c r="A389" s="6">
        <v>45485</v>
      </c>
      <c r="B389" s="7">
        <v>11.63</v>
      </c>
      <c r="C389" s="8">
        <v>2163892</v>
      </c>
      <c r="D389" s="7">
        <v>0.23</v>
      </c>
      <c r="E389" s="7">
        <v>2.01754385964911</v>
      </c>
      <c r="F389" s="7">
        <v>2.01754385964911</v>
      </c>
      <c r="G389" s="7">
        <v>11.63</v>
      </c>
      <c r="H389" s="7">
        <v>-16.8691922802001</v>
      </c>
      <c r="I389" s="7">
        <v>11.41</v>
      </c>
      <c r="J389" s="7">
        <v>11.71</v>
      </c>
      <c r="K389" s="7">
        <v>11.41</v>
      </c>
      <c r="L389" s="7">
        <v>-16.8691922802001</v>
      </c>
    </row>
    <row r="390" spans="1:12" ht="15" customHeight="1" x14ac:dyDescent="0.2">
      <c r="A390" s="3">
        <v>45484</v>
      </c>
      <c r="B390" s="4">
        <v>11.4</v>
      </c>
      <c r="C390" s="5">
        <v>1097042</v>
      </c>
      <c r="D390" s="4">
        <v>0.110000000000001</v>
      </c>
      <c r="E390" s="4">
        <v>0.97431355181578605</v>
      </c>
      <c r="F390" s="4">
        <v>0.97431355181578605</v>
      </c>
      <c r="G390" s="4">
        <v>11.4</v>
      </c>
      <c r="H390" s="4">
        <v>-18.513223731236501</v>
      </c>
      <c r="I390" s="4">
        <v>11.3</v>
      </c>
      <c r="J390" s="4">
        <v>11.41</v>
      </c>
      <c r="K390" s="4">
        <v>11.19</v>
      </c>
      <c r="L390" s="4">
        <v>-18.513223731236501</v>
      </c>
    </row>
    <row r="391" spans="1:12" ht="15" customHeight="1" x14ac:dyDescent="0.2">
      <c r="A391" s="6">
        <v>45483</v>
      </c>
      <c r="B391" s="7">
        <v>11.29</v>
      </c>
      <c r="C391" s="8">
        <v>1540953</v>
      </c>
      <c r="D391" s="7">
        <v>7.9999999999998295E-2</v>
      </c>
      <c r="E391" s="7">
        <v>0.71364852809989698</v>
      </c>
      <c r="F391" s="7">
        <v>0.71364852809989698</v>
      </c>
      <c r="G391" s="7">
        <v>11.29</v>
      </c>
      <c r="H391" s="7">
        <v>-19.299499642601798</v>
      </c>
      <c r="I391" s="7">
        <v>11.15</v>
      </c>
      <c r="J391" s="7">
        <v>11.32</v>
      </c>
      <c r="K391" s="7">
        <v>11.1</v>
      </c>
      <c r="L391" s="7">
        <v>-19.299499642601798</v>
      </c>
    </row>
    <row r="392" spans="1:12" ht="15" customHeight="1" x14ac:dyDescent="0.2">
      <c r="A392" s="3">
        <v>45482</v>
      </c>
      <c r="B392" s="4">
        <v>11.21</v>
      </c>
      <c r="C392" s="5">
        <v>930177</v>
      </c>
      <c r="D392" s="4">
        <v>-4.9999999999998899E-2</v>
      </c>
      <c r="E392" s="4">
        <v>-0.44404973357015098</v>
      </c>
      <c r="F392" s="4">
        <v>-0.44404973357015098</v>
      </c>
      <c r="G392" s="4">
        <v>11.21</v>
      </c>
      <c r="H392" s="4">
        <v>-19.871336669049299</v>
      </c>
      <c r="I392" s="4">
        <v>11.28</v>
      </c>
      <c r="J392" s="4">
        <v>11.44</v>
      </c>
      <c r="K392" s="4">
        <v>11.17</v>
      </c>
      <c r="L392" s="4">
        <v>-19.871336669049299</v>
      </c>
    </row>
    <row r="393" spans="1:12" ht="15" customHeight="1" x14ac:dyDescent="0.2">
      <c r="A393" s="6">
        <v>45481</v>
      </c>
      <c r="B393" s="7">
        <v>11.26</v>
      </c>
      <c r="C393" s="8">
        <v>1771020</v>
      </c>
      <c r="D393" s="7">
        <v>6.0000000000000497E-2</v>
      </c>
      <c r="E393" s="7">
        <v>0.53571428571428303</v>
      </c>
      <c r="F393" s="7">
        <v>0.53571428571428303</v>
      </c>
      <c r="G393" s="7">
        <v>11.26</v>
      </c>
      <c r="H393" s="7">
        <v>-19.513938527519599</v>
      </c>
      <c r="I393" s="7">
        <v>11.2</v>
      </c>
      <c r="J393" s="7">
        <v>11.39</v>
      </c>
      <c r="K393" s="7">
        <v>10.98</v>
      </c>
      <c r="L393" s="7">
        <v>-19.513938527519599</v>
      </c>
    </row>
    <row r="394" spans="1:12" ht="15" customHeight="1" x14ac:dyDescent="0.2">
      <c r="A394" s="3">
        <v>45478</v>
      </c>
      <c r="B394" s="4">
        <v>11.2</v>
      </c>
      <c r="C394" s="5">
        <v>1669990</v>
      </c>
      <c r="D394" s="4">
        <v>-0.4</v>
      </c>
      <c r="E394" s="4">
        <v>-3.4482758620689702</v>
      </c>
      <c r="F394" s="4">
        <v>-3.4482758620689702</v>
      </c>
      <c r="G394" s="4">
        <v>11.2</v>
      </c>
      <c r="H394" s="4">
        <v>-19.942816297355201</v>
      </c>
      <c r="I394" s="4">
        <v>11.54</v>
      </c>
      <c r="J394" s="4">
        <v>11.64</v>
      </c>
      <c r="K394" s="4">
        <v>11.15</v>
      </c>
      <c r="L394" s="4">
        <v>-19.942816297355201</v>
      </c>
    </row>
    <row r="395" spans="1:12" ht="15" customHeight="1" x14ac:dyDescent="0.2">
      <c r="A395" s="6">
        <v>45477</v>
      </c>
      <c r="B395" s="7">
        <v>11.6</v>
      </c>
      <c r="C395" s="8">
        <v>84392</v>
      </c>
      <c r="D395" s="7">
        <v>-9.9999999999997799E-3</v>
      </c>
      <c r="E395" s="7">
        <v>-8.6132644272174305E-2</v>
      </c>
      <c r="F395" s="7">
        <v>-8.6132644272174305E-2</v>
      </c>
      <c r="G395" s="7">
        <v>11.6</v>
      </c>
      <c r="H395" s="7">
        <v>-17.0836311651179</v>
      </c>
      <c r="I395" s="7">
        <v>11.52</v>
      </c>
      <c r="J395" s="7">
        <v>11.63</v>
      </c>
      <c r="K395" s="7">
        <v>11.49</v>
      </c>
      <c r="L395" s="7">
        <v>-17.0836311651179</v>
      </c>
    </row>
    <row r="396" spans="1:12" ht="15" customHeight="1" x14ac:dyDescent="0.2">
      <c r="A396" s="3">
        <v>45476</v>
      </c>
      <c r="B396" s="4">
        <v>11.61</v>
      </c>
      <c r="C396" s="5">
        <v>884873</v>
      </c>
      <c r="D396" s="4">
        <v>0.19999999999999901</v>
      </c>
      <c r="E396" s="4">
        <v>1.75284837861524</v>
      </c>
      <c r="F396" s="4">
        <v>1.75284837861524</v>
      </c>
      <c r="G396" s="4">
        <v>11.61</v>
      </c>
      <c r="H396" s="4">
        <v>-17.012151536811999</v>
      </c>
      <c r="I396" s="4">
        <v>11.7</v>
      </c>
      <c r="J396" s="4">
        <v>11.7</v>
      </c>
      <c r="K396" s="4">
        <v>11.46</v>
      </c>
      <c r="L396" s="4">
        <v>-17.012151536811999</v>
      </c>
    </row>
    <row r="397" spans="1:12" ht="15" customHeight="1" x14ac:dyDescent="0.2">
      <c r="A397" s="6">
        <v>45475</v>
      </c>
      <c r="B397" s="7">
        <v>11.41</v>
      </c>
      <c r="C397" s="8">
        <v>3446399</v>
      </c>
      <c r="D397" s="7">
        <v>-0.109999999999999</v>
      </c>
      <c r="E397" s="7">
        <v>-0.95486111111110406</v>
      </c>
      <c r="F397" s="7">
        <v>-0.95486111111110406</v>
      </c>
      <c r="G397" s="7">
        <v>11.41</v>
      </c>
      <c r="H397" s="7">
        <v>-18.441744102930599</v>
      </c>
      <c r="I397" s="7">
        <v>11.53</v>
      </c>
      <c r="J397" s="7">
        <v>11.79</v>
      </c>
      <c r="K397" s="7">
        <v>11.38</v>
      </c>
      <c r="L397" s="7">
        <v>-18.441744102930599</v>
      </c>
    </row>
    <row r="398" spans="1:12" ht="15" customHeight="1" x14ac:dyDescent="0.2">
      <c r="A398" s="3">
        <v>45474</v>
      </c>
      <c r="B398" s="4">
        <v>11.52</v>
      </c>
      <c r="C398" s="5">
        <v>1094612</v>
      </c>
      <c r="D398" s="4">
        <v>-6.0000000000000497E-2</v>
      </c>
      <c r="E398" s="4">
        <v>-0.51813471502590802</v>
      </c>
      <c r="F398" s="4">
        <v>-0.51813471502590802</v>
      </c>
      <c r="G398" s="4">
        <v>11.52</v>
      </c>
      <c r="H398" s="4">
        <v>-17.655468191565401</v>
      </c>
      <c r="I398" s="4">
        <v>11.68</v>
      </c>
      <c r="J398" s="4">
        <v>11.74</v>
      </c>
      <c r="K398" s="4">
        <v>11.46</v>
      </c>
      <c r="L398" s="4">
        <v>-17.655468191565401</v>
      </c>
    </row>
    <row r="399" spans="1:12" ht="15" customHeight="1" x14ac:dyDescent="0.2">
      <c r="A399" s="6">
        <v>45471</v>
      </c>
      <c r="B399" s="7">
        <v>11.58</v>
      </c>
      <c r="C399" s="8">
        <v>3811744</v>
      </c>
      <c r="D399" s="7">
        <v>-0.109999999999999</v>
      </c>
      <c r="E399" s="7">
        <v>-0.94097519247219297</v>
      </c>
      <c r="F399" s="7">
        <v>-0.94097519247219297</v>
      </c>
      <c r="G399" s="7">
        <v>11.58</v>
      </c>
      <c r="H399" s="7">
        <v>-17.226590421729799</v>
      </c>
      <c r="I399" s="7">
        <v>11.79</v>
      </c>
      <c r="J399" s="7">
        <v>12.02</v>
      </c>
      <c r="K399" s="7">
        <v>11.53</v>
      </c>
      <c r="L399" s="7">
        <v>-17.226590421729799</v>
      </c>
    </row>
    <row r="400" spans="1:12" ht="15" customHeight="1" x14ac:dyDescent="0.2">
      <c r="A400" s="3">
        <v>45470</v>
      </c>
      <c r="B400" s="4">
        <v>11.69</v>
      </c>
      <c r="C400" s="5">
        <v>3794540</v>
      </c>
      <c r="D400" s="4">
        <v>-0.14000000000000001</v>
      </c>
      <c r="E400" s="4">
        <v>-1.1834319526627199</v>
      </c>
      <c r="F400" s="4">
        <v>-1.1834319526627199</v>
      </c>
      <c r="G400" s="4">
        <v>11.69</v>
      </c>
      <c r="H400" s="4">
        <v>-16.440314510364502</v>
      </c>
      <c r="I400" s="4">
        <v>11.83</v>
      </c>
      <c r="J400" s="4">
        <v>12.07</v>
      </c>
      <c r="K400" s="4">
        <v>11.63</v>
      </c>
      <c r="L400" s="4">
        <v>-16.440314510364502</v>
      </c>
    </row>
    <row r="401" spans="1:12" ht="15" customHeight="1" x14ac:dyDescent="0.2">
      <c r="A401" s="6">
        <v>45469</v>
      </c>
      <c r="B401" s="7">
        <v>11.83</v>
      </c>
      <c r="C401" s="8">
        <v>3260944</v>
      </c>
      <c r="D401" s="7">
        <v>-0.23</v>
      </c>
      <c r="E401" s="7">
        <v>-1.90713101160863</v>
      </c>
      <c r="F401" s="7">
        <v>-1.90713101160863</v>
      </c>
      <c r="G401" s="7">
        <v>11.83</v>
      </c>
      <c r="H401" s="7">
        <v>-15.4395997140814</v>
      </c>
      <c r="I401" s="7">
        <v>11.87</v>
      </c>
      <c r="J401" s="7">
        <v>11.95</v>
      </c>
      <c r="K401" s="7">
        <v>11.7</v>
      </c>
      <c r="L401" s="7">
        <v>-15.4395997140814</v>
      </c>
    </row>
    <row r="402" spans="1:12" ht="15" customHeight="1" x14ac:dyDescent="0.2">
      <c r="A402" s="3">
        <v>45468</v>
      </c>
      <c r="B402" s="4">
        <v>12.06</v>
      </c>
      <c r="C402" s="5">
        <v>3358053</v>
      </c>
      <c r="D402" s="4">
        <v>9.9999999999999603E-2</v>
      </c>
      <c r="E402" s="4">
        <v>0.83612040133778098</v>
      </c>
      <c r="F402" s="4">
        <v>0.83612040133778098</v>
      </c>
      <c r="G402" s="4">
        <v>12.06</v>
      </c>
      <c r="H402" s="4">
        <v>-13.795568263045</v>
      </c>
      <c r="I402" s="4">
        <v>12.04</v>
      </c>
      <c r="J402" s="4">
        <v>12.18</v>
      </c>
      <c r="K402" s="4">
        <v>11.79</v>
      </c>
      <c r="L402" s="4">
        <v>-13.795568263045</v>
      </c>
    </row>
    <row r="403" spans="1:12" ht="15" customHeight="1" x14ac:dyDescent="0.2">
      <c r="A403" s="6">
        <v>45467</v>
      </c>
      <c r="B403" s="7">
        <v>11.96</v>
      </c>
      <c r="C403" s="8">
        <v>1214170</v>
      </c>
      <c r="D403" s="7">
        <v>0.37000000000000099</v>
      </c>
      <c r="E403" s="7">
        <v>3.1924072476272798</v>
      </c>
      <c r="F403" s="7">
        <v>3.1924072476272798</v>
      </c>
      <c r="G403" s="7">
        <v>11.96</v>
      </c>
      <c r="H403" s="7">
        <v>-14.5103645461043</v>
      </c>
      <c r="I403" s="7">
        <v>11.64</v>
      </c>
      <c r="J403" s="7">
        <v>11.99</v>
      </c>
      <c r="K403" s="7">
        <v>11.52</v>
      </c>
      <c r="L403" s="7">
        <v>-14.5103645461043</v>
      </c>
    </row>
    <row r="404" spans="1:12" ht="15" customHeight="1" x14ac:dyDescent="0.2">
      <c r="A404" s="3">
        <v>45464</v>
      </c>
      <c r="B404" s="4">
        <v>11.59</v>
      </c>
      <c r="C404" s="5">
        <v>3247205</v>
      </c>
      <c r="D404" s="4">
        <v>-0.5</v>
      </c>
      <c r="E404" s="4">
        <v>-4.1356492969396097</v>
      </c>
      <c r="F404" s="4">
        <v>-4.1356492969396097</v>
      </c>
      <c r="G404" s="4">
        <v>11.59</v>
      </c>
      <c r="H404" s="4">
        <v>-17.155110793423798</v>
      </c>
      <c r="I404" s="4">
        <v>12.09</v>
      </c>
      <c r="J404" s="4">
        <v>12.1</v>
      </c>
      <c r="K404" s="4">
        <v>11.48</v>
      </c>
      <c r="L404" s="4">
        <v>-17.155110793423798</v>
      </c>
    </row>
    <row r="405" spans="1:12" ht="15" customHeight="1" x14ac:dyDescent="0.2">
      <c r="A405" s="6">
        <v>45463</v>
      </c>
      <c r="B405" s="7">
        <v>12.09</v>
      </c>
      <c r="C405" s="8">
        <v>1810766</v>
      </c>
      <c r="D405" s="7">
        <v>-0.31</v>
      </c>
      <c r="E405" s="7">
        <v>-2.5</v>
      </c>
      <c r="F405" s="7">
        <v>-2.5</v>
      </c>
      <c r="G405" s="7">
        <v>12.09</v>
      </c>
      <c r="H405" s="7">
        <v>-13.5811293781272</v>
      </c>
      <c r="I405" s="7">
        <v>12.41</v>
      </c>
      <c r="J405" s="7">
        <v>12.46</v>
      </c>
      <c r="K405" s="7">
        <v>11.91</v>
      </c>
      <c r="L405" s="7">
        <v>-13.5811293781272</v>
      </c>
    </row>
    <row r="406" spans="1:12" ht="15" customHeight="1" x14ac:dyDescent="0.2">
      <c r="A406" s="3">
        <v>45462</v>
      </c>
      <c r="B406" s="4">
        <v>12.4</v>
      </c>
      <c r="C406" s="5">
        <v>377106</v>
      </c>
      <c r="D406" s="4">
        <v>0.14000000000000001</v>
      </c>
      <c r="E406" s="4">
        <v>1.14192495921696</v>
      </c>
      <c r="F406" s="4">
        <v>1.14192495921696</v>
      </c>
      <c r="G406" s="4">
        <v>12.4</v>
      </c>
      <c r="H406" s="4">
        <v>-11.3652609006433</v>
      </c>
      <c r="I406" s="4">
        <v>12.27</v>
      </c>
      <c r="J406" s="4">
        <v>12.5</v>
      </c>
      <c r="K406" s="4">
        <v>12.27</v>
      </c>
      <c r="L406" s="4">
        <v>-11.3652609006433</v>
      </c>
    </row>
    <row r="407" spans="1:12" ht="15" customHeight="1" x14ac:dyDescent="0.2">
      <c r="A407" s="6">
        <v>45461</v>
      </c>
      <c r="B407" s="7">
        <v>12.26</v>
      </c>
      <c r="C407" s="8">
        <v>2109141</v>
      </c>
      <c r="D407" s="7">
        <v>-7.0000000000000201E-2</v>
      </c>
      <c r="E407" s="7">
        <v>-0.56772100567721295</v>
      </c>
      <c r="F407" s="7">
        <v>-0.56772100567721295</v>
      </c>
      <c r="G407" s="7">
        <v>12.26</v>
      </c>
      <c r="H407" s="7">
        <v>-12.3659756969263</v>
      </c>
      <c r="I407" s="7">
        <v>12.26</v>
      </c>
      <c r="J407" s="7">
        <v>12.71</v>
      </c>
      <c r="K407" s="7">
        <v>12.2</v>
      </c>
      <c r="L407" s="7">
        <v>-12.3659756969263</v>
      </c>
    </row>
    <row r="408" spans="1:12" ht="15" customHeight="1" x14ac:dyDescent="0.2">
      <c r="A408" s="3">
        <v>45460</v>
      </c>
      <c r="B408" s="4">
        <v>12.33</v>
      </c>
      <c r="C408" s="5">
        <v>920971</v>
      </c>
      <c r="D408" s="4">
        <v>-0.14000000000000001</v>
      </c>
      <c r="E408" s="4">
        <v>-1.12269446672013</v>
      </c>
      <c r="F408" s="4">
        <v>-1.12269446672013</v>
      </c>
      <c r="G408" s="4">
        <v>12.33</v>
      </c>
      <c r="H408" s="4">
        <v>-11.865618298784799</v>
      </c>
      <c r="I408" s="4">
        <v>12.73</v>
      </c>
      <c r="J408" s="4">
        <v>12.73</v>
      </c>
      <c r="K408" s="4">
        <v>12.11</v>
      </c>
      <c r="L408" s="4">
        <v>-11.865618298784799</v>
      </c>
    </row>
    <row r="409" spans="1:12" ht="15" customHeight="1" x14ac:dyDescent="0.2">
      <c r="A409" s="6">
        <v>45457</v>
      </c>
      <c r="B409" s="7">
        <v>12.47</v>
      </c>
      <c r="C409" s="8">
        <v>3152462</v>
      </c>
      <c r="D409" s="7">
        <v>-0.20999999999999899</v>
      </c>
      <c r="E409" s="7">
        <v>-1.65615141955834</v>
      </c>
      <c r="F409" s="7">
        <v>-1.65615141955834</v>
      </c>
      <c r="G409" s="7">
        <v>12.47</v>
      </c>
      <c r="H409" s="7">
        <v>-10.864903502501701</v>
      </c>
      <c r="I409" s="7">
        <v>12.7</v>
      </c>
      <c r="J409" s="7">
        <v>12.8</v>
      </c>
      <c r="K409" s="7">
        <v>12.26</v>
      </c>
      <c r="L409" s="7">
        <v>-10.864903502501701</v>
      </c>
    </row>
    <row r="410" spans="1:12" ht="15" customHeight="1" x14ac:dyDescent="0.2">
      <c r="A410" s="3">
        <v>45456</v>
      </c>
      <c r="B410" s="4">
        <v>12.68</v>
      </c>
      <c r="C410" s="5">
        <v>2994741</v>
      </c>
      <c r="D410" s="4">
        <v>-0.39</v>
      </c>
      <c r="E410" s="4">
        <v>-2.9839326702371798</v>
      </c>
      <c r="F410" s="4">
        <v>-2.9839326702371798</v>
      </c>
      <c r="G410" s="4">
        <v>12.68</v>
      </c>
      <c r="H410" s="4">
        <v>-9.3638313080772004</v>
      </c>
      <c r="I410" s="4">
        <v>13.15</v>
      </c>
      <c r="J410" s="4">
        <v>13.15</v>
      </c>
      <c r="K410" s="4">
        <v>12.59</v>
      </c>
      <c r="L410" s="4">
        <v>-9.3638313080772004</v>
      </c>
    </row>
    <row r="411" spans="1:12" ht="15" customHeight="1" x14ac:dyDescent="0.2">
      <c r="A411" s="6">
        <v>45455</v>
      </c>
      <c r="B411" s="7">
        <v>13.07</v>
      </c>
      <c r="C411" s="8">
        <v>1068290</v>
      </c>
      <c r="D411" s="7">
        <v>6.0000000000000497E-2</v>
      </c>
      <c r="E411" s="7">
        <v>0.46118370484242699</v>
      </c>
      <c r="F411" s="7">
        <v>0.46118370484242699</v>
      </c>
      <c r="G411" s="7">
        <v>13.07</v>
      </c>
      <c r="H411" s="7">
        <v>-6.5761258041458097</v>
      </c>
      <c r="I411" s="7">
        <v>12.98</v>
      </c>
      <c r="J411" s="7">
        <v>13.31</v>
      </c>
      <c r="K411" s="7">
        <v>12.98</v>
      </c>
      <c r="L411" s="7">
        <v>-6.5761258041458097</v>
      </c>
    </row>
    <row r="412" spans="1:12" ht="15" customHeight="1" x14ac:dyDescent="0.2">
      <c r="A412" s="3">
        <v>45454</v>
      </c>
      <c r="B412" s="4">
        <v>13.01</v>
      </c>
      <c r="C412" s="5">
        <v>1429715</v>
      </c>
      <c r="D412" s="4">
        <v>9.9999999999997799E-3</v>
      </c>
      <c r="E412" s="4">
        <v>7.6923076923085504E-2</v>
      </c>
      <c r="F412" s="4">
        <v>7.6923076923085504E-2</v>
      </c>
      <c r="G412" s="4">
        <v>13.01</v>
      </c>
      <c r="H412" s="4">
        <v>-7.0050035739814103</v>
      </c>
      <c r="I412" s="4">
        <v>13.02</v>
      </c>
      <c r="J412" s="4">
        <v>13.06</v>
      </c>
      <c r="K412" s="4">
        <v>12.81</v>
      </c>
      <c r="L412" s="4">
        <v>-7.0050035739814103</v>
      </c>
    </row>
    <row r="413" spans="1:12" ht="15" customHeight="1" x14ac:dyDescent="0.2">
      <c r="A413" s="6">
        <v>45453</v>
      </c>
      <c r="B413" s="7">
        <v>13</v>
      </c>
      <c r="C413" s="8">
        <v>1120313</v>
      </c>
      <c r="D413" s="7">
        <v>0.22</v>
      </c>
      <c r="E413" s="7">
        <v>1.7214397496087599</v>
      </c>
      <c r="F413" s="7">
        <v>1.7214397496087599</v>
      </c>
      <c r="G413" s="7">
        <v>13</v>
      </c>
      <c r="H413" s="7">
        <v>-7.0764832022873501</v>
      </c>
      <c r="I413" s="7">
        <v>12.86</v>
      </c>
      <c r="J413" s="7">
        <v>13.04</v>
      </c>
      <c r="K413" s="7">
        <v>12.73</v>
      </c>
      <c r="L413" s="7">
        <v>-7.0764832022873501</v>
      </c>
    </row>
    <row r="414" spans="1:12" ht="15" customHeight="1" x14ac:dyDescent="0.2">
      <c r="A414" s="3">
        <v>45450</v>
      </c>
      <c r="B414" s="4">
        <v>12.78</v>
      </c>
      <c r="C414" s="5">
        <v>2497930</v>
      </c>
      <c r="D414" s="4">
        <v>1.9999999999999501E-2</v>
      </c>
      <c r="E414" s="4">
        <v>0.15673981191222</v>
      </c>
      <c r="F414" s="4">
        <v>0.15673981191222</v>
      </c>
      <c r="G414" s="4">
        <v>12.78</v>
      </c>
      <c r="H414" s="4">
        <v>-8.64903502501787</v>
      </c>
      <c r="I414" s="4">
        <v>12.82</v>
      </c>
      <c r="J414" s="4">
        <v>13.02</v>
      </c>
      <c r="K414" s="4">
        <v>12.65</v>
      </c>
      <c r="L414" s="4">
        <v>-8.64903502501787</v>
      </c>
    </row>
    <row r="415" spans="1:12" ht="15" customHeight="1" x14ac:dyDescent="0.2">
      <c r="A415" s="6">
        <v>45449</v>
      </c>
      <c r="B415" s="7">
        <v>12.76</v>
      </c>
      <c r="C415" s="8">
        <v>3272507</v>
      </c>
      <c r="D415" s="7">
        <v>0.19999999999999901</v>
      </c>
      <c r="E415" s="7">
        <v>1.5923566878980699</v>
      </c>
      <c r="F415" s="7">
        <v>1.5923566878980699</v>
      </c>
      <c r="G415" s="7">
        <v>12.76</v>
      </c>
      <c r="H415" s="7">
        <v>-8.7919942816297301</v>
      </c>
      <c r="I415" s="7">
        <v>12.57</v>
      </c>
      <c r="J415" s="7">
        <v>12.88</v>
      </c>
      <c r="K415" s="7">
        <v>12.55</v>
      </c>
      <c r="L415" s="7">
        <v>-8.7919942816297301</v>
      </c>
    </row>
    <row r="416" spans="1:12" ht="15" customHeight="1" x14ac:dyDescent="0.2">
      <c r="A416" s="3">
        <v>45448</v>
      </c>
      <c r="B416" s="4">
        <v>12.56</v>
      </c>
      <c r="C416" s="5">
        <v>2329717</v>
      </c>
      <c r="D416" s="4">
        <v>0.25999999999999901</v>
      </c>
      <c r="E416" s="4">
        <v>2.1138211382113599</v>
      </c>
      <c r="F416" s="4">
        <v>2.1138211382113599</v>
      </c>
      <c r="G416" s="4">
        <v>12.56</v>
      </c>
      <c r="H416" s="4">
        <v>-10.2215868477483</v>
      </c>
      <c r="I416" s="4">
        <v>12.3</v>
      </c>
      <c r="J416" s="4">
        <v>12.8</v>
      </c>
      <c r="K416" s="4">
        <v>12.25</v>
      </c>
      <c r="L416" s="4">
        <v>-10.2215868477483</v>
      </c>
    </row>
    <row r="417" spans="1:12" ht="15" customHeight="1" x14ac:dyDescent="0.2">
      <c r="A417" s="6">
        <v>45447</v>
      </c>
      <c r="B417" s="7">
        <v>12.3</v>
      </c>
      <c r="C417" s="8">
        <v>7968547</v>
      </c>
      <c r="D417" s="7">
        <v>-0.57999999999999996</v>
      </c>
      <c r="E417" s="7">
        <v>-4.50310559006211</v>
      </c>
      <c r="F417" s="7">
        <v>-4.50310559006211</v>
      </c>
      <c r="G417" s="7">
        <v>12.3</v>
      </c>
      <c r="H417" s="7">
        <v>-12.0800571837026</v>
      </c>
      <c r="I417" s="7">
        <v>12.9</v>
      </c>
      <c r="J417" s="7">
        <v>12.9</v>
      </c>
      <c r="K417" s="7">
        <v>12.04</v>
      </c>
      <c r="L417" s="7">
        <v>-12.0800571837026</v>
      </c>
    </row>
    <row r="418" spans="1:12" ht="15" customHeight="1" x14ac:dyDescent="0.2">
      <c r="A418" s="3">
        <v>45446</v>
      </c>
      <c r="B418" s="4">
        <v>12.88</v>
      </c>
      <c r="C418" s="5">
        <v>3006599</v>
      </c>
      <c r="D418" s="4">
        <v>-0.67999999999999905</v>
      </c>
      <c r="E418" s="4">
        <v>-5.0147492625368599</v>
      </c>
      <c r="F418" s="4">
        <v>-5.0147492625368599</v>
      </c>
      <c r="G418" s="4">
        <v>12.88</v>
      </c>
      <c r="H418" s="4">
        <v>-7.9342387419585299</v>
      </c>
      <c r="I418" s="4">
        <v>13.56</v>
      </c>
      <c r="J418" s="4">
        <v>13.75</v>
      </c>
      <c r="K418" s="4">
        <v>12.65</v>
      </c>
      <c r="L418" s="4">
        <v>-7.9342387419585299</v>
      </c>
    </row>
    <row r="419" spans="1:12" ht="15" customHeight="1" x14ac:dyDescent="0.2">
      <c r="A419" s="6">
        <v>45443</v>
      </c>
      <c r="B419" s="7">
        <v>13.56</v>
      </c>
      <c r="C419" s="8">
        <v>13352640</v>
      </c>
      <c r="D419" s="7">
        <v>9.9999999999997799E-3</v>
      </c>
      <c r="E419" s="7">
        <v>7.3800738007379005E-2</v>
      </c>
      <c r="F419" s="7">
        <v>7.3800738007379005E-2</v>
      </c>
      <c r="G419" s="7">
        <v>13.56</v>
      </c>
      <c r="H419" s="7">
        <v>-3.0736240171551001</v>
      </c>
      <c r="I419" s="7">
        <v>13.5</v>
      </c>
      <c r="J419" s="7">
        <v>13.64</v>
      </c>
      <c r="K419" s="7">
        <v>13.2</v>
      </c>
      <c r="L419" s="7">
        <v>-3.0736240171551001</v>
      </c>
    </row>
    <row r="420" spans="1:12" ht="15" customHeight="1" x14ac:dyDescent="0.2">
      <c r="A420" s="3">
        <v>45442</v>
      </c>
      <c r="B420" s="4">
        <v>13.55</v>
      </c>
      <c r="C420" s="5">
        <v>3743311</v>
      </c>
      <c r="D420" s="4"/>
      <c r="E420" s="4"/>
      <c r="F420" s="4"/>
      <c r="G420" s="4">
        <v>13.55</v>
      </c>
      <c r="H420" s="4">
        <v>-3.1451036454610399</v>
      </c>
      <c r="I420" s="4">
        <v>13.55</v>
      </c>
      <c r="J420" s="4">
        <v>13.75</v>
      </c>
      <c r="K420" s="4">
        <v>13.33</v>
      </c>
      <c r="L420" s="4">
        <v>-3.1451036454610399</v>
      </c>
    </row>
    <row r="421" spans="1:12" ht="15" customHeight="1" x14ac:dyDescent="0.2">
      <c r="A421" s="6">
        <v>45441</v>
      </c>
      <c r="B421" s="7">
        <v>13.55</v>
      </c>
      <c r="C421" s="8">
        <v>3019701</v>
      </c>
      <c r="D421" s="7">
        <v>8.9999999999999802E-2</v>
      </c>
      <c r="E421" s="7">
        <v>0.66864784546805101</v>
      </c>
      <c r="F421" s="7">
        <v>0.66864784546805101</v>
      </c>
      <c r="G421" s="7">
        <v>13.55</v>
      </c>
      <c r="H421" s="7">
        <v>-3.1451036454610399</v>
      </c>
      <c r="I421" s="7">
        <v>13.4</v>
      </c>
      <c r="J421" s="7">
        <v>13.63</v>
      </c>
      <c r="K421" s="7">
        <v>13.05</v>
      </c>
      <c r="L421" s="7">
        <v>-3.1451036454610399</v>
      </c>
    </row>
    <row r="422" spans="1:12" ht="15" customHeight="1" x14ac:dyDescent="0.2">
      <c r="A422" s="3">
        <v>45440</v>
      </c>
      <c r="B422" s="4">
        <v>13.46</v>
      </c>
      <c r="C422" s="5">
        <v>2212906</v>
      </c>
      <c r="D422" s="4">
        <v>0.110000000000001</v>
      </c>
      <c r="E422" s="4">
        <v>0.82397003745320296</v>
      </c>
      <c r="F422" s="4">
        <v>0.82397003745320296</v>
      </c>
      <c r="G422" s="4">
        <v>13.46</v>
      </c>
      <c r="H422" s="4">
        <v>-3.7884203002144301</v>
      </c>
      <c r="I422" s="4">
        <v>13.32</v>
      </c>
      <c r="J422" s="4">
        <v>13.55</v>
      </c>
      <c r="K422" s="4">
        <v>13.16</v>
      </c>
      <c r="L422" s="4">
        <v>-3.7884203002144301</v>
      </c>
    </row>
    <row r="423" spans="1:12" ht="15" customHeight="1" x14ac:dyDescent="0.2">
      <c r="A423" s="6">
        <v>45439</v>
      </c>
      <c r="B423" s="7">
        <v>13.35</v>
      </c>
      <c r="C423" s="8">
        <v>229216</v>
      </c>
      <c r="D423" s="7">
        <v>0.23</v>
      </c>
      <c r="E423" s="7">
        <v>1.7530487804878001</v>
      </c>
      <c r="F423" s="7">
        <v>1.7530487804878001</v>
      </c>
      <c r="G423" s="7">
        <v>13.35</v>
      </c>
      <c r="H423" s="7">
        <v>-4.5746962115796999</v>
      </c>
      <c r="I423" s="7">
        <v>13.15</v>
      </c>
      <c r="J423" s="7">
        <v>13.48</v>
      </c>
      <c r="K423" s="7">
        <v>13.09</v>
      </c>
      <c r="L423" s="7">
        <v>-4.5746962115796999</v>
      </c>
    </row>
    <row r="424" spans="1:12" ht="15" customHeight="1" x14ac:dyDescent="0.2">
      <c r="A424" s="3">
        <v>45436</v>
      </c>
      <c r="B424" s="4">
        <v>13.12</v>
      </c>
      <c r="C424" s="5">
        <v>1380262</v>
      </c>
      <c r="D424" s="4">
        <v>-0.34000000000000102</v>
      </c>
      <c r="E424" s="4">
        <v>-2.52600297176821</v>
      </c>
      <c r="F424" s="4">
        <v>-2.52600297176821</v>
      </c>
      <c r="G424" s="4">
        <v>13.12</v>
      </c>
      <c r="H424" s="4">
        <v>-6.2187276626161596</v>
      </c>
      <c r="I424" s="4">
        <v>13.46</v>
      </c>
      <c r="J424" s="4">
        <v>13.56</v>
      </c>
      <c r="K424" s="4">
        <v>13</v>
      </c>
      <c r="L424" s="4">
        <v>-6.2187276626161596</v>
      </c>
    </row>
    <row r="425" spans="1:12" ht="15" customHeight="1" x14ac:dyDescent="0.2">
      <c r="A425" s="6">
        <v>45435</v>
      </c>
      <c r="B425" s="7">
        <v>13.46</v>
      </c>
      <c r="C425" s="8">
        <v>3435077</v>
      </c>
      <c r="D425" s="7">
        <v>-0.58999999999999897</v>
      </c>
      <c r="E425" s="7">
        <v>-4.19928825622776</v>
      </c>
      <c r="F425" s="7">
        <v>-4.19928825622776</v>
      </c>
      <c r="G425" s="7">
        <v>13.46</v>
      </c>
      <c r="H425" s="7">
        <v>-3.7884203002144301</v>
      </c>
      <c r="I425" s="7">
        <v>13.98</v>
      </c>
      <c r="J425" s="7">
        <v>13.98</v>
      </c>
      <c r="K425" s="7">
        <v>13.34</v>
      </c>
      <c r="L425" s="7">
        <v>-3.7884203002144301</v>
      </c>
    </row>
    <row r="426" spans="1:12" ht="15" customHeight="1" x14ac:dyDescent="0.2">
      <c r="A426" s="3">
        <v>45434</v>
      </c>
      <c r="B426" s="4">
        <v>14.05</v>
      </c>
      <c r="C426" s="5">
        <v>2062746.99999999</v>
      </c>
      <c r="D426" s="4">
        <v>0.3</v>
      </c>
      <c r="E426" s="4">
        <v>2.1818181818181901</v>
      </c>
      <c r="F426" s="4">
        <v>2.1818181818181901</v>
      </c>
      <c r="G426" s="4">
        <v>14.05</v>
      </c>
      <c r="H426" s="4">
        <v>0.4288777698356</v>
      </c>
      <c r="I426" s="4">
        <v>13.85</v>
      </c>
      <c r="J426" s="4">
        <v>14.22</v>
      </c>
      <c r="K426" s="4">
        <v>13.78</v>
      </c>
      <c r="L426" s="4">
        <v>0.4288777698356</v>
      </c>
    </row>
    <row r="427" spans="1:12" ht="15" customHeight="1" x14ac:dyDescent="0.2">
      <c r="A427" s="6">
        <v>45433</v>
      </c>
      <c r="B427" s="7">
        <v>13.75</v>
      </c>
      <c r="C427" s="8">
        <v>2120627</v>
      </c>
      <c r="D427" s="7">
        <v>-0.39</v>
      </c>
      <c r="E427" s="7">
        <v>-2.7581329561527501</v>
      </c>
      <c r="F427" s="7">
        <v>-2.7581329561527501</v>
      </c>
      <c r="G427" s="7">
        <v>13.75</v>
      </c>
      <c r="H427" s="7">
        <v>-1.71551107934238</v>
      </c>
      <c r="I427" s="7">
        <v>14.13</v>
      </c>
      <c r="J427" s="7">
        <v>14.13</v>
      </c>
      <c r="K427" s="7">
        <v>13.63</v>
      </c>
      <c r="L427" s="7">
        <v>-1.71551107934238</v>
      </c>
    </row>
    <row r="428" spans="1:12" ht="15" customHeight="1" x14ac:dyDescent="0.2">
      <c r="A428" s="3">
        <v>45432</v>
      </c>
      <c r="B428" s="4">
        <v>14.14</v>
      </c>
      <c r="C428" s="5">
        <v>1986015</v>
      </c>
      <c r="D428" s="4">
        <v>-0.42999999999999899</v>
      </c>
      <c r="E428" s="4">
        <v>-2.9512697323267001</v>
      </c>
      <c r="F428" s="4">
        <v>-2.9512697323267001</v>
      </c>
      <c r="G428" s="4">
        <v>14.14</v>
      </c>
      <c r="H428" s="4">
        <v>1.0721944245889901</v>
      </c>
      <c r="I428" s="4">
        <v>14.5</v>
      </c>
      <c r="J428" s="4">
        <v>14.6</v>
      </c>
      <c r="K428" s="4">
        <v>14.1</v>
      </c>
      <c r="L428" s="4">
        <v>1.0721944245889901</v>
      </c>
    </row>
    <row r="429" spans="1:12" ht="15" customHeight="1" x14ac:dyDescent="0.2">
      <c r="A429" s="6">
        <v>45429</v>
      </c>
      <c r="B429" s="7">
        <v>14.57</v>
      </c>
      <c r="C429" s="8">
        <v>2071639.99999999</v>
      </c>
      <c r="D429" s="7">
        <v>0.33</v>
      </c>
      <c r="E429" s="7">
        <v>2.3174157303370801</v>
      </c>
      <c r="F429" s="7">
        <v>2.3174157303370801</v>
      </c>
      <c r="G429" s="7">
        <v>14.57</v>
      </c>
      <c r="H429" s="7">
        <v>4.1458184417441002</v>
      </c>
      <c r="I429" s="7">
        <v>14.24</v>
      </c>
      <c r="J429" s="7">
        <v>14.63</v>
      </c>
      <c r="K429" s="7">
        <v>14.12</v>
      </c>
      <c r="L429" s="7">
        <v>4.1458184417441002</v>
      </c>
    </row>
    <row r="430" spans="1:12" ht="15" customHeight="1" x14ac:dyDescent="0.2">
      <c r="A430" s="3">
        <v>45428</v>
      </c>
      <c r="B430" s="4">
        <v>14.24</v>
      </c>
      <c r="C430" s="5">
        <v>4053234</v>
      </c>
      <c r="D430" s="4">
        <v>-0.33</v>
      </c>
      <c r="E430" s="4">
        <v>-2.2649279341111801</v>
      </c>
      <c r="F430" s="4">
        <v>-2.2649279341111801</v>
      </c>
      <c r="G430" s="4">
        <v>14.24</v>
      </c>
      <c r="H430" s="4">
        <v>1.78699070764832</v>
      </c>
      <c r="I430" s="4">
        <v>14.57</v>
      </c>
      <c r="J430" s="4">
        <v>14.69</v>
      </c>
      <c r="K430" s="4">
        <v>14.15</v>
      </c>
      <c r="L430" s="4">
        <v>1.78699070764832</v>
      </c>
    </row>
    <row r="431" spans="1:12" ht="15" customHeight="1" x14ac:dyDescent="0.2">
      <c r="A431" s="6">
        <v>45427</v>
      </c>
      <c r="B431" s="7">
        <v>14.57</v>
      </c>
      <c r="C431" s="8">
        <v>2523716</v>
      </c>
      <c r="D431" s="7">
        <v>-0.17999999999999899</v>
      </c>
      <c r="E431" s="7">
        <v>-1.22033898305085</v>
      </c>
      <c r="F431" s="7">
        <v>-1.22033898305085</v>
      </c>
      <c r="G431" s="7">
        <v>14.57</v>
      </c>
      <c r="H431" s="7">
        <v>4.1458184417441002</v>
      </c>
      <c r="I431" s="7">
        <v>14.7</v>
      </c>
      <c r="J431" s="7">
        <v>14.98</v>
      </c>
      <c r="K431" s="7">
        <v>14.5</v>
      </c>
      <c r="L431" s="7">
        <v>4.1458184417441002</v>
      </c>
    </row>
    <row r="432" spans="1:12" ht="15" customHeight="1" x14ac:dyDescent="0.2">
      <c r="A432" s="3">
        <v>45426</v>
      </c>
      <c r="B432" s="4">
        <v>14.75</v>
      </c>
      <c r="C432" s="5">
        <v>2686596</v>
      </c>
      <c r="D432" s="4">
        <v>0.41</v>
      </c>
      <c r="E432" s="4">
        <v>2.8591352859135202</v>
      </c>
      <c r="F432" s="4">
        <v>2.8591352859135202</v>
      </c>
      <c r="G432" s="4">
        <v>14.75</v>
      </c>
      <c r="H432" s="4">
        <v>5.4324517512508903</v>
      </c>
      <c r="I432" s="4">
        <v>14.43</v>
      </c>
      <c r="J432" s="4">
        <v>14.87</v>
      </c>
      <c r="K432" s="4">
        <v>14.4</v>
      </c>
      <c r="L432" s="4">
        <v>5.4324517512508903</v>
      </c>
    </row>
    <row r="433" spans="1:12" ht="15" customHeight="1" x14ac:dyDescent="0.2">
      <c r="A433" s="6">
        <v>45425</v>
      </c>
      <c r="B433" s="7">
        <v>14.34</v>
      </c>
      <c r="C433" s="8">
        <v>1462204</v>
      </c>
      <c r="D433" s="7">
        <v>-0.14000000000000001</v>
      </c>
      <c r="E433" s="7">
        <v>-0.96685082872928196</v>
      </c>
      <c r="F433" s="7">
        <v>-0.96685082872928196</v>
      </c>
      <c r="G433" s="7">
        <v>14.34</v>
      </c>
      <c r="H433" s="7">
        <v>2.50178699070764</v>
      </c>
      <c r="I433" s="7">
        <v>14.53</v>
      </c>
      <c r="J433" s="7">
        <v>14.86</v>
      </c>
      <c r="K433" s="7">
        <v>14.3</v>
      </c>
      <c r="L433" s="7">
        <v>2.50178699070764</v>
      </c>
    </row>
    <row r="434" spans="1:12" ht="15" customHeight="1" x14ac:dyDescent="0.2">
      <c r="A434" s="3">
        <v>45422</v>
      </c>
      <c r="B434" s="4">
        <v>14.48</v>
      </c>
      <c r="C434" s="5">
        <v>2166340</v>
      </c>
      <c r="D434" s="4">
        <v>0.28000000000000103</v>
      </c>
      <c r="E434" s="4">
        <v>1.9718309859154901</v>
      </c>
      <c r="F434" s="4">
        <v>1.9718309859154901</v>
      </c>
      <c r="G434" s="4">
        <v>14.48</v>
      </c>
      <c r="H434" s="4">
        <v>3.5025017869906998</v>
      </c>
      <c r="I434" s="4">
        <v>14.25</v>
      </c>
      <c r="J434" s="4">
        <v>14.54</v>
      </c>
      <c r="K434" s="4">
        <v>14.06</v>
      </c>
      <c r="L434" s="4">
        <v>3.5025017869906998</v>
      </c>
    </row>
    <row r="435" spans="1:12" ht="15" customHeight="1" x14ac:dyDescent="0.2">
      <c r="A435" s="6">
        <v>45421</v>
      </c>
      <c r="B435" s="7">
        <v>14.2</v>
      </c>
      <c r="C435" s="8">
        <v>1819098</v>
      </c>
      <c r="D435" s="7">
        <v>4.9999999999998899E-2</v>
      </c>
      <c r="E435" s="7">
        <v>0.35335689045936602</v>
      </c>
      <c r="F435" s="7">
        <v>0.35335689045936602</v>
      </c>
      <c r="G435" s="7">
        <v>14.2</v>
      </c>
      <c r="H435" s="7">
        <v>1.50107219442458</v>
      </c>
      <c r="I435" s="7">
        <v>14.07</v>
      </c>
      <c r="J435" s="7">
        <v>14.34</v>
      </c>
      <c r="K435" s="7">
        <v>13.87</v>
      </c>
      <c r="L435" s="7">
        <v>1.50107219442458</v>
      </c>
    </row>
    <row r="436" spans="1:12" ht="15" customHeight="1" x14ac:dyDescent="0.2">
      <c r="A436" s="3">
        <v>45420</v>
      </c>
      <c r="B436" s="4">
        <v>14.15</v>
      </c>
      <c r="C436" s="5">
        <v>1743957</v>
      </c>
      <c r="D436" s="4">
        <v>-9.9999999999997799E-3</v>
      </c>
      <c r="E436" s="4">
        <v>-7.0621468926557102E-2</v>
      </c>
      <c r="F436" s="4">
        <v>-7.0621468926557102E-2</v>
      </c>
      <c r="G436" s="4">
        <v>14.15</v>
      </c>
      <c r="H436" s="4">
        <v>1.1436740528949201</v>
      </c>
      <c r="I436" s="4">
        <v>14.11</v>
      </c>
      <c r="J436" s="4">
        <v>14.23</v>
      </c>
      <c r="K436" s="4">
        <v>13.88</v>
      </c>
      <c r="L436" s="4">
        <v>1.1436740528949201</v>
      </c>
    </row>
    <row r="437" spans="1:12" ht="15" customHeight="1" x14ac:dyDescent="0.2">
      <c r="A437" s="6">
        <v>45419</v>
      </c>
      <c r="B437" s="7">
        <v>14.16</v>
      </c>
      <c r="C437" s="8">
        <v>1595309</v>
      </c>
      <c r="D437" s="7">
        <v>-1.9999999999999501E-2</v>
      </c>
      <c r="E437" s="7">
        <v>-0.141043723554301</v>
      </c>
      <c r="F437" s="7">
        <v>-0.141043723554301</v>
      </c>
      <c r="G437" s="7">
        <v>14.16</v>
      </c>
      <c r="H437" s="7">
        <v>1.2151536812008501</v>
      </c>
      <c r="I437" s="7">
        <v>14.06</v>
      </c>
      <c r="J437" s="7">
        <v>14.26</v>
      </c>
      <c r="K437" s="7">
        <v>13.92</v>
      </c>
      <c r="L437" s="7">
        <v>1.2151536812008501</v>
      </c>
    </row>
    <row r="438" spans="1:12" ht="15" customHeight="1" x14ac:dyDescent="0.2">
      <c r="A438" s="3">
        <v>45418</v>
      </c>
      <c r="B438" s="4">
        <v>14.18</v>
      </c>
      <c r="C438" s="5">
        <v>1348318</v>
      </c>
      <c r="D438" s="4">
        <v>-0.21</v>
      </c>
      <c r="E438" s="4">
        <v>-1.4593467685893</v>
      </c>
      <c r="F438" s="4">
        <v>-1.4593467685893</v>
      </c>
      <c r="G438" s="4">
        <v>14.18</v>
      </c>
      <c r="H438" s="4">
        <v>1.3581129378127099</v>
      </c>
      <c r="I438" s="4">
        <v>14.37</v>
      </c>
      <c r="J438" s="4">
        <v>14.6</v>
      </c>
      <c r="K438" s="4">
        <v>14.14</v>
      </c>
      <c r="L438" s="4">
        <v>1.3581129378127099</v>
      </c>
    </row>
    <row r="439" spans="1:12" ht="15" customHeight="1" x14ac:dyDescent="0.2">
      <c r="A439" s="6">
        <v>45415</v>
      </c>
      <c r="B439" s="7">
        <v>14.39</v>
      </c>
      <c r="C439" s="8">
        <v>1560955</v>
      </c>
      <c r="D439" s="7">
        <v>8.9999999999999802E-2</v>
      </c>
      <c r="E439" s="7">
        <v>0.62937062937062904</v>
      </c>
      <c r="F439" s="7">
        <v>0.62937062937062904</v>
      </c>
      <c r="G439" s="7">
        <v>14.39</v>
      </c>
      <c r="H439" s="7">
        <v>2.8591851322373101</v>
      </c>
      <c r="I439" s="7">
        <v>14.37</v>
      </c>
      <c r="J439" s="7">
        <v>14.47</v>
      </c>
      <c r="K439" s="7">
        <v>14.17</v>
      </c>
      <c r="L439" s="7">
        <v>2.8591851322373101</v>
      </c>
    </row>
    <row r="440" spans="1:12" ht="15" customHeight="1" x14ac:dyDescent="0.2">
      <c r="A440" s="3">
        <v>45414</v>
      </c>
      <c r="B440" s="4">
        <v>14.3</v>
      </c>
      <c r="C440" s="5">
        <v>2749807</v>
      </c>
      <c r="D440" s="4">
        <v>0.21</v>
      </c>
      <c r="E440" s="4">
        <v>1.49041873669268</v>
      </c>
      <c r="F440" s="4">
        <v>1.49041873669268</v>
      </c>
      <c r="G440" s="4">
        <v>14.3</v>
      </c>
      <c r="H440" s="4">
        <v>2.2158684774839199</v>
      </c>
      <c r="I440" s="4">
        <v>14.16</v>
      </c>
      <c r="J440" s="4">
        <v>14.38</v>
      </c>
      <c r="K440" s="4">
        <v>13.99</v>
      </c>
      <c r="L440" s="4">
        <v>2.2158684774839199</v>
      </c>
    </row>
    <row r="441" spans="1:12" ht="15" customHeight="1" x14ac:dyDescent="0.2">
      <c r="A441" s="6">
        <v>45412</v>
      </c>
      <c r="B441" s="7">
        <v>14.09</v>
      </c>
      <c r="C441" s="8">
        <v>2109204</v>
      </c>
      <c r="D441" s="7">
        <v>-0.28999999999999998</v>
      </c>
      <c r="E441" s="7">
        <v>-2.0166898470097401</v>
      </c>
      <c r="F441" s="7">
        <v>-2.0166898470097401</v>
      </c>
      <c r="G441" s="7">
        <v>14.09</v>
      </c>
      <c r="H441" s="7">
        <v>0.71479628305932497</v>
      </c>
      <c r="I441" s="7">
        <v>14.35</v>
      </c>
      <c r="J441" s="7">
        <v>14.42</v>
      </c>
      <c r="K441" s="7">
        <v>14.03</v>
      </c>
      <c r="L441" s="7">
        <v>0.71479628305932497</v>
      </c>
    </row>
    <row r="442" spans="1:12" ht="15" customHeight="1" x14ac:dyDescent="0.2">
      <c r="A442" s="3">
        <v>45411</v>
      </c>
      <c r="B442" s="4">
        <v>14.38</v>
      </c>
      <c r="C442" s="5">
        <v>2139453</v>
      </c>
      <c r="D442" s="4">
        <v>-0.29999999999999799</v>
      </c>
      <c r="E442" s="4">
        <v>-2.0435967302452198</v>
      </c>
      <c r="F442" s="4">
        <v>-2.0435967302452198</v>
      </c>
      <c r="G442" s="4">
        <v>14.38</v>
      </c>
      <c r="H442" s="4">
        <v>2.7877055039313801</v>
      </c>
      <c r="I442" s="4">
        <v>14.74</v>
      </c>
      <c r="J442" s="4">
        <v>14.99</v>
      </c>
      <c r="K442" s="4">
        <v>14.3</v>
      </c>
      <c r="L442" s="4">
        <v>2.7877055039313801</v>
      </c>
    </row>
    <row r="443" spans="1:12" ht="15" customHeight="1" x14ac:dyDescent="0.2">
      <c r="A443" s="6">
        <v>45408</v>
      </c>
      <c r="B443" s="7">
        <v>14.68</v>
      </c>
      <c r="C443" s="8">
        <v>1982401</v>
      </c>
      <c r="D443" s="7">
        <v>-0.32</v>
      </c>
      <c r="E443" s="7">
        <v>-2.1333333333333302</v>
      </c>
      <c r="F443" s="7">
        <v>-2.1333333333333302</v>
      </c>
      <c r="G443" s="7">
        <v>14.68</v>
      </c>
      <c r="H443" s="7">
        <v>4.9320943531093597</v>
      </c>
      <c r="I443" s="7">
        <v>15</v>
      </c>
      <c r="J443" s="7">
        <v>15</v>
      </c>
      <c r="K443" s="7">
        <v>14.33</v>
      </c>
      <c r="L443" s="7">
        <v>4.9320943531093597</v>
      </c>
    </row>
    <row r="444" spans="1:12" ht="15" customHeight="1" x14ac:dyDescent="0.2">
      <c r="A444" s="3">
        <v>45407</v>
      </c>
      <c r="B444" s="4">
        <v>15</v>
      </c>
      <c r="C444" s="5">
        <v>3129234</v>
      </c>
      <c r="D444" s="4">
        <v>0.26999999999999902</v>
      </c>
      <c r="E444" s="4">
        <v>1.83299389002036</v>
      </c>
      <c r="F444" s="4">
        <v>1.83299389002036</v>
      </c>
      <c r="G444" s="4">
        <v>15</v>
      </c>
      <c r="H444" s="4">
        <v>7.2194424588992101</v>
      </c>
      <c r="I444" s="4">
        <v>14.7</v>
      </c>
      <c r="J444" s="4">
        <v>15.06</v>
      </c>
      <c r="K444" s="4">
        <v>14.15</v>
      </c>
      <c r="L444" s="4">
        <v>7.2194424588992101</v>
      </c>
    </row>
    <row r="445" spans="1:12" ht="15" customHeight="1" x14ac:dyDescent="0.2">
      <c r="A445" s="6">
        <v>45406</v>
      </c>
      <c r="B445" s="7">
        <v>14.73</v>
      </c>
      <c r="C445" s="8">
        <v>5415058</v>
      </c>
      <c r="D445" s="7">
        <v>0.41999999999999899</v>
      </c>
      <c r="E445" s="7">
        <v>2.9350104821802998</v>
      </c>
      <c r="F445" s="7">
        <v>2.9350104821802998</v>
      </c>
      <c r="G445" s="7">
        <v>14.73</v>
      </c>
      <c r="H445" s="7">
        <v>5.2894924946390303</v>
      </c>
      <c r="I445" s="7">
        <v>14.28</v>
      </c>
      <c r="J445" s="7">
        <v>14.99</v>
      </c>
      <c r="K445" s="7">
        <v>14.19</v>
      </c>
      <c r="L445" s="7">
        <v>5.2894924946390303</v>
      </c>
    </row>
    <row r="446" spans="1:12" ht="15" customHeight="1" x14ac:dyDescent="0.2">
      <c r="A446" s="3">
        <v>45405</v>
      </c>
      <c r="B446" s="4">
        <v>14.31</v>
      </c>
      <c r="C446" s="5">
        <v>10897960</v>
      </c>
      <c r="D446" s="4">
        <v>0.65</v>
      </c>
      <c r="E446" s="4">
        <v>4.7584187408491898</v>
      </c>
      <c r="F446" s="4">
        <v>4.7584187408491898</v>
      </c>
      <c r="G446" s="4">
        <v>14.31</v>
      </c>
      <c r="H446" s="4">
        <v>2.2873481057898499</v>
      </c>
      <c r="I446" s="4">
        <v>13.75</v>
      </c>
      <c r="J446" s="4">
        <v>15.84</v>
      </c>
      <c r="K446" s="4">
        <v>13.75</v>
      </c>
      <c r="L446" s="4">
        <v>2.2873481057898499</v>
      </c>
    </row>
    <row r="447" spans="1:12" ht="15" customHeight="1" x14ac:dyDescent="0.2">
      <c r="A447" s="6">
        <v>45404</v>
      </c>
      <c r="B447" s="7">
        <v>13.66</v>
      </c>
      <c r="C447" s="8">
        <v>4218867</v>
      </c>
      <c r="D447" s="7">
        <v>0.39</v>
      </c>
      <c r="E447" s="7">
        <v>2.9389600602863499</v>
      </c>
      <c r="F447" s="7">
        <v>2.9389600602863499</v>
      </c>
      <c r="G447" s="7">
        <v>13.66</v>
      </c>
      <c r="H447" s="7">
        <v>-2.3588277340957799</v>
      </c>
      <c r="I447" s="7">
        <v>13.24</v>
      </c>
      <c r="J447" s="7">
        <v>13.72</v>
      </c>
      <c r="K447" s="7">
        <v>13.11</v>
      </c>
      <c r="L447" s="7">
        <v>-2.3588277340957799</v>
      </c>
    </row>
    <row r="448" spans="1:12" ht="15" customHeight="1" x14ac:dyDescent="0.2">
      <c r="A448" s="3">
        <v>45401</v>
      </c>
      <c r="B448" s="4">
        <v>13.27</v>
      </c>
      <c r="C448" s="5">
        <v>1660069</v>
      </c>
      <c r="D448" s="4">
        <v>-1.9999999999999501E-2</v>
      </c>
      <c r="E448" s="4">
        <v>-0.15048908954100601</v>
      </c>
      <c r="F448" s="4">
        <v>-0.15048908954100601</v>
      </c>
      <c r="G448" s="4">
        <v>13.27</v>
      </c>
      <c r="H448" s="4">
        <v>-5.1465332380271596</v>
      </c>
      <c r="I448" s="4">
        <v>13.22</v>
      </c>
      <c r="J448" s="4">
        <v>13.69</v>
      </c>
      <c r="K448" s="4">
        <v>13.22</v>
      </c>
      <c r="L448" s="4">
        <v>-5.1465332380271596</v>
      </c>
    </row>
    <row r="449" spans="1:12" ht="15" customHeight="1" x14ac:dyDescent="0.2">
      <c r="A449" s="6">
        <v>45400</v>
      </c>
      <c r="B449" s="7">
        <v>13.29</v>
      </c>
      <c r="C449" s="8">
        <v>5142497</v>
      </c>
      <c r="D449" s="7">
        <v>0.51999999999999902</v>
      </c>
      <c r="E449" s="7">
        <v>4.0720438527799496</v>
      </c>
      <c r="F449" s="7">
        <v>4.0720438527799496</v>
      </c>
      <c r="G449" s="7">
        <v>13.29</v>
      </c>
      <c r="H449" s="7">
        <v>-5.0035739814153004</v>
      </c>
      <c r="I449" s="7">
        <v>12.74</v>
      </c>
      <c r="J449" s="7">
        <v>13.43</v>
      </c>
      <c r="K449" s="7">
        <v>12.74</v>
      </c>
      <c r="L449" s="7">
        <v>-5.0035739814153004</v>
      </c>
    </row>
    <row r="450" spans="1:12" ht="15" customHeight="1" x14ac:dyDescent="0.2">
      <c r="A450" s="3">
        <v>45399</v>
      </c>
      <c r="B450" s="4">
        <v>12.77</v>
      </c>
      <c r="C450" s="5">
        <v>2797522</v>
      </c>
      <c r="D450" s="4">
        <v>0.75999999999999901</v>
      </c>
      <c r="E450" s="4">
        <v>6.3280599500416201</v>
      </c>
      <c r="F450" s="4">
        <v>6.3280599500416201</v>
      </c>
      <c r="G450" s="4">
        <v>12.77</v>
      </c>
      <c r="H450" s="4">
        <v>-8.7205146533238</v>
      </c>
      <c r="I450" s="4">
        <v>12.1</v>
      </c>
      <c r="J450" s="4">
        <v>12.88</v>
      </c>
      <c r="K450" s="4">
        <v>12.08</v>
      </c>
      <c r="L450" s="4">
        <v>-8.7205146533238</v>
      </c>
    </row>
    <row r="451" spans="1:12" ht="15" customHeight="1" x14ac:dyDescent="0.2">
      <c r="A451" s="6">
        <v>45398</v>
      </c>
      <c r="B451" s="7">
        <v>12.01</v>
      </c>
      <c r="C451" s="8">
        <v>1484264</v>
      </c>
      <c r="D451" s="7">
        <v>-1.9999999999999501E-2</v>
      </c>
      <c r="E451" s="7">
        <v>-0.166251039068987</v>
      </c>
      <c r="F451" s="7">
        <v>-0.166251039068987</v>
      </c>
      <c r="G451" s="7">
        <v>12.01</v>
      </c>
      <c r="H451" s="7">
        <v>-14.1529664045747</v>
      </c>
      <c r="I451" s="7">
        <v>12.01</v>
      </c>
      <c r="J451" s="7">
        <v>12.08</v>
      </c>
      <c r="K451" s="7">
        <v>11.7</v>
      </c>
      <c r="L451" s="7">
        <v>-14.1529664045747</v>
      </c>
    </row>
    <row r="452" spans="1:12" ht="15" customHeight="1" x14ac:dyDescent="0.2">
      <c r="A452" s="3">
        <v>45397</v>
      </c>
      <c r="B452" s="4">
        <v>12.03</v>
      </c>
      <c r="C452" s="5">
        <v>2662177</v>
      </c>
      <c r="D452" s="4">
        <v>0.309999999999998</v>
      </c>
      <c r="E452" s="4">
        <v>2.6450511945392301</v>
      </c>
      <c r="F452" s="4">
        <v>2.6450511945392301</v>
      </c>
      <c r="G452" s="4">
        <v>12.03</v>
      </c>
      <c r="H452" s="4">
        <v>-14.010007147962799</v>
      </c>
      <c r="I452" s="4">
        <v>11.75</v>
      </c>
      <c r="J452" s="4">
        <v>12.35</v>
      </c>
      <c r="K452" s="4">
        <v>11.68</v>
      </c>
      <c r="L452" s="4">
        <v>-14.010007147962799</v>
      </c>
    </row>
    <row r="453" spans="1:12" ht="15" customHeight="1" x14ac:dyDescent="0.2">
      <c r="A453" s="6">
        <v>45394</v>
      </c>
      <c r="B453" s="7">
        <v>11.72</v>
      </c>
      <c r="C453" s="8">
        <v>5470153</v>
      </c>
      <c r="D453" s="7">
        <v>-0.60999999999999899</v>
      </c>
      <c r="E453" s="7">
        <v>-4.9472830494728202</v>
      </c>
      <c r="F453" s="7">
        <v>-4.9472830494728202</v>
      </c>
      <c r="G453" s="7">
        <v>11.72</v>
      </c>
      <c r="H453" s="7">
        <v>-16.225875625446701</v>
      </c>
      <c r="I453" s="7">
        <v>12.35</v>
      </c>
      <c r="J453" s="7">
        <v>12.4</v>
      </c>
      <c r="K453" s="7">
        <v>11.6</v>
      </c>
      <c r="L453" s="7">
        <v>-16.225875625446701</v>
      </c>
    </row>
    <row r="454" spans="1:12" ht="15" customHeight="1" x14ac:dyDescent="0.2">
      <c r="A454" s="3">
        <v>45393</v>
      </c>
      <c r="B454" s="4">
        <v>12.33</v>
      </c>
      <c r="C454" s="5">
        <v>939825</v>
      </c>
      <c r="D454" s="4">
        <v>-0.3</v>
      </c>
      <c r="E454" s="4">
        <v>-2.3752969121140199</v>
      </c>
      <c r="F454" s="4">
        <v>-2.3752969121140199</v>
      </c>
      <c r="G454" s="4">
        <v>12.33</v>
      </c>
      <c r="H454" s="4">
        <v>-11.865618298784799</v>
      </c>
      <c r="I454" s="4">
        <v>12.7</v>
      </c>
      <c r="J454" s="4">
        <v>12.7</v>
      </c>
      <c r="K454" s="4">
        <v>12.28</v>
      </c>
      <c r="L454" s="4">
        <v>-11.865618298784799</v>
      </c>
    </row>
    <row r="455" spans="1:12" ht="15" customHeight="1" x14ac:dyDescent="0.2">
      <c r="A455" s="6">
        <v>45392</v>
      </c>
      <c r="B455" s="7">
        <v>12.63</v>
      </c>
      <c r="C455" s="8">
        <v>3175756</v>
      </c>
      <c r="D455" s="7">
        <v>0.08</v>
      </c>
      <c r="E455" s="7">
        <v>0.63745019920318202</v>
      </c>
      <c r="F455" s="7">
        <v>0.63745019920318202</v>
      </c>
      <c r="G455" s="7">
        <v>12.63</v>
      </c>
      <c r="H455" s="7">
        <v>-9.7212294496068505</v>
      </c>
      <c r="I455" s="7">
        <v>12.6</v>
      </c>
      <c r="J455" s="7">
        <v>12.67</v>
      </c>
      <c r="K455" s="7">
        <v>12.28</v>
      </c>
      <c r="L455" s="7">
        <v>-9.7212294496068505</v>
      </c>
    </row>
    <row r="456" spans="1:12" ht="15" customHeight="1" x14ac:dyDescent="0.2">
      <c r="A456" s="3">
        <v>45391</v>
      </c>
      <c r="B456" s="4">
        <v>12.55</v>
      </c>
      <c r="C456" s="5">
        <v>2305383</v>
      </c>
      <c r="D456" s="4">
        <v>-0.28999999999999898</v>
      </c>
      <c r="E456" s="4">
        <v>-2.2585669781931399</v>
      </c>
      <c r="F456" s="4">
        <v>-2.2585669781931399</v>
      </c>
      <c r="G456" s="4">
        <v>12.55</v>
      </c>
      <c r="H456" s="4">
        <v>-10.2930664760543</v>
      </c>
      <c r="I456" s="4">
        <v>12.77</v>
      </c>
      <c r="J456" s="4">
        <v>13.01</v>
      </c>
      <c r="K456" s="4">
        <v>12.51</v>
      </c>
      <c r="L456" s="4">
        <v>-10.2930664760543</v>
      </c>
    </row>
    <row r="457" spans="1:12" ht="15" customHeight="1" x14ac:dyDescent="0.2">
      <c r="A457" s="6">
        <v>45390</v>
      </c>
      <c r="B457" s="7">
        <v>12.84</v>
      </c>
      <c r="C457" s="8">
        <v>3275469</v>
      </c>
      <c r="D457" s="7">
        <v>-0.16</v>
      </c>
      <c r="E457" s="7">
        <v>-1.2307692307692299</v>
      </c>
      <c r="F457" s="7">
        <v>-1.2307692307692299</v>
      </c>
      <c r="G457" s="7">
        <v>12.84</v>
      </c>
      <c r="H457" s="7">
        <v>-8.2201572551822704</v>
      </c>
      <c r="I457" s="7">
        <v>13</v>
      </c>
      <c r="J457" s="7">
        <v>13.44</v>
      </c>
      <c r="K457" s="7">
        <v>12.77</v>
      </c>
      <c r="L457" s="7">
        <v>-8.2201572551822704</v>
      </c>
    </row>
    <row r="458" spans="1:12" ht="15" customHeight="1" x14ac:dyDescent="0.2">
      <c r="A458" s="3">
        <v>45387</v>
      </c>
      <c r="B458" s="4">
        <v>13</v>
      </c>
      <c r="C458" s="5">
        <v>2985572</v>
      </c>
      <c r="D458" s="4">
        <v>9.9999999999997799E-3</v>
      </c>
      <c r="E458" s="4">
        <v>7.6982294072358501E-2</v>
      </c>
      <c r="F458" s="4">
        <v>7.6982294072358501E-2</v>
      </c>
      <c r="G458" s="4">
        <v>13</v>
      </c>
      <c r="H458" s="4">
        <v>-7.0764832022873501</v>
      </c>
      <c r="I458" s="4">
        <v>12.93</v>
      </c>
      <c r="J458" s="4">
        <v>13.06</v>
      </c>
      <c r="K458" s="4">
        <v>12.55</v>
      </c>
      <c r="L458" s="4">
        <v>-7.0764832022873501</v>
      </c>
    </row>
    <row r="459" spans="1:12" ht="15" customHeight="1" x14ac:dyDescent="0.2">
      <c r="A459" s="6">
        <v>45386</v>
      </c>
      <c r="B459" s="7">
        <v>12.99</v>
      </c>
      <c r="C459" s="8">
        <v>3408196</v>
      </c>
      <c r="D459" s="7">
        <v>-8.9999999999999802E-2</v>
      </c>
      <c r="E459" s="7">
        <v>-0.68807339449541405</v>
      </c>
      <c r="F459" s="7">
        <v>-0.68807339449541405</v>
      </c>
      <c r="G459" s="7">
        <v>12.99</v>
      </c>
      <c r="H459" s="7">
        <v>-7.1479628305932801</v>
      </c>
      <c r="I459" s="7">
        <v>13.1</v>
      </c>
      <c r="J459" s="7">
        <v>13.38</v>
      </c>
      <c r="K459" s="7">
        <v>12.87</v>
      </c>
      <c r="L459" s="7">
        <v>-7.1479628305932801</v>
      </c>
    </row>
    <row r="460" spans="1:12" ht="15" customHeight="1" x14ac:dyDescent="0.2">
      <c r="A460" s="3">
        <v>45385</v>
      </c>
      <c r="B460" s="4">
        <v>13.08</v>
      </c>
      <c r="C460" s="5">
        <v>2278420</v>
      </c>
      <c r="D460" s="4">
        <v>0.25999999999999901</v>
      </c>
      <c r="E460" s="4">
        <v>2.0280811232449198</v>
      </c>
      <c r="F460" s="4">
        <v>2.0280811232449198</v>
      </c>
      <c r="G460" s="4">
        <v>13.08</v>
      </c>
      <c r="H460" s="4">
        <v>-6.5046461758398797</v>
      </c>
      <c r="I460" s="4">
        <v>12.8</v>
      </c>
      <c r="J460" s="4">
        <v>13.23</v>
      </c>
      <c r="K460" s="4">
        <v>12.67</v>
      </c>
      <c r="L460" s="4">
        <v>-6.5046461758398797</v>
      </c>
    </row>
    <row r="461" spans="1:12" ht="15" customHeight="1" x14ac:dyDescent="0.2">
      <c r="A461" s="6">
        <v>45384</v>
      </c>
      <c r="B461" s="7">
        <v>12.82</v>
      </c>
      <c r="C461" s="8">
        <v>2817939</v>
      </c>
      <c r="D461" s="7">
        <v>0.32</v>
      </c>
      <c r="E461" s="7">
        <v>2.56</v>
      </c>
      <c r="F461" s="7">
        <v>2.56</v>
      </c>
      <c r="G461" s="7">
        <v>12.82</v>
      </c>
      <c r="H461" s="7">
        <v>-8.3631165117941393</v>
      </c>
      <c r="I461" s="7">
        <v>12.54</v>
      </c>
      <c r="J461" s="7">
        <v>12.87</v>
      </c>
      <c r="K461" s="7">
        <v>12.2</v>
      </c>
      <c r="L461" s="7">
        <v>-8.3631165117941393</v>
      </c>
    </row>
    <row r="462" spans="1:12" ht="15" customHeight="1" x14ac:dyDescent="0.2">
      <c r="A462" s="3">
        <v>45383</v>
      </c>
      <c r="B462" s="4">
        <v>12.5</v>
      </c>
      <c r="C462" s="5">
        <v>16940490</v>
      </c>
      <c r="D462" s="4">
        <v>0.35999999999999899</v>
      </c>
      <c r="E462" s="4">
        <v>2.9654036243822</v>
      </c>
      <c r="F462" s="4">
        <v>2.9654036243822</v>
      </c>
      <c r="G462" s="4">
        <v>12.5</v>
      </c>
      <c r="H462" s="4">
        <v>-10.6504646175839</v>
      </c>
      <c r="I462" s="4">
        <v>12.13</v>
      </c>
      <c r="J462" s="4">
        <v>12.65</v>
      </c>
      <c r="K462" s="4">
        <v>12.13</v>
      </c>
      <c r="L462" s="4">
        <v>-10.6504646175839</v>
      </c>
    </row>
    <row r="463" spans="1:12" ht="15" customHeight="1" x14ac:dyDescent="0.2">
      <c r="A463" s="6">
        <v>45378</v>
      </c>
      <c r="B463" s="7">
        <v>12.14</v>
      </c>
      <c r="C463" s="8">
        <v>1703919</v>
      </c>
      <c r="D463" s="7">
        <v>0.12000000000000099</v>
      </c>
      <c r="E463" s="7">
        <v>0.99833610648918303</v>
      </c>
      <c r="F463" s="7">
        <v>0.99833610648918303</v>
      </c>
      <c r="G463" s="7">
        <v>12.14</v>
      </c>
      <c r="H463" s="7">
        <v>-13.2237312365975</v>
      </c>
      <c r="I463" s="7">
        <v>12.04</v>
      </c>
      <c r="J463" s="7">
        <v>12.23</v>
      </c>
      <c r="K463" s="7">
        <v>11.93</v>
      </c>
      <c r="L463" s="7">
        <v>-13.2237312365975</v>
      </c>
    </row>
    <row r="464" spans="1:12" ht="15" customHeight="1" x14ac:dyDescent="0.2">
      <c r="A464" s="3">
        <v>45377</v>
      </c>
      <c r="B464" s="4">
        <v>12.02</v>
      </c>
      <c r="C464" s="5">
        <v>1924960</v>
      </c>
      <c r="D464" s="4">
        <v>2.9999999999999302E-2</v>
      </c>
      <c r="E464" s="4">
        <v>0.25020850708923298</v>
      </c>
      <c r="F464" s="4">
        <v>0.25020850708923298</v>
      </c>
      <c r="G464" s="4">
        <v>12.02</v>
      </c>
      <c r="H464" s="4">
        <v>-14.081486776268701</v>
      </c>
      <c r="I464" s="4">
        <v>12.01</v>
      </c>
      <c r="J464" s="4">
        <v>12.3</v>
      </c>
      <c r="K464" s="4">
        <v>11.92</v>
      </c>
      <c r="L464" s="4">
        <v>-14.081486776268701</v>
      </c>
    </row>
    <row r="465" spans="1:12" ht="15" customHeight="1" x14ac:dyDescent="0.2">
      <c r="A465" s="6">
        <v>45376</v>
      </c>
      <c r="B465" s="7">
        <v>11.99</v>
      </c>
      <c r="C465" s="8">
        <v>3710528</v>
      </c>
      <c r="D465" s="7">
        <v>-0.20999999999999899</v>
      </c>
      <c r="E465" s="7">
        <v>-1.72131147540982</v>
      </c>
      <c r="F465" s="7">
        <v>-1.72131147540982</v>
      </c>
      <c r="G465" s="7">
        <v>11.99</v>
      </c>
      <c r="H465" s="7">
        <v>-14.2959256611865</v>
      </c>
      <c r="I465" s="7">
        <v>12.2</v>
      </c>
      <c r="J465" s="7">
        <v>12.21</v>
      </c>
      <c r="K465" s="7">
        <v>11.82</v>
      </c>
      <c r="L465" s="7">
        <v>-14.2959256611865</v>
      </c>
    </row>
    <row r="466" spans="1:12" ht="15" customHeight="1" x14ac:dyDescent="0.2">
      <c r="A466" s="3">
        <v>45373</v>
      </c>
      <c r="B466" s="4">
        <v>12.2</v>
      </c>
      <c r="C466" s="5">
        <v>4678197</v>
      </c>
      <c r="D466" s="4">
        <v>4.9999999999998899E-2</v>
      </c>
      <c r="E466" s="4">
        <v>0.41152263374484299</v>
      </c>
      <c r="F466" s="4">
        <v>0.41152263374484299</v>
      </c>
      <c r="G466" s="4">
        <v>12.2</v>
      </c>
      <c r="H466" s="4">
        <v>-12.7948534667619</v>
      </c>
      <c r="I466" s="4">
        <v>12.17</v>
      </c>
      <c r="J466" s="4">
        <v>12.29</v>
      </c>
      <c r="K466" s="4">
        <v>11.98</v>
      </c>
      <c r="L466" s="4">
        <v>-12.7948534667619</v>
      </c>
    </row>
    <row r="467" spans="1:12" ht="15" customHeight="1" x14ac:dyDescent="0.2">
      <c r="A467" s="6">
        <v>45372</v>
      </c>
      <c r="B467" s="7">
        <v>12.15</v>
      </c>
      <c r="C467" s="8">
        <v>4548245</v>
      </c>
      <c r="D467" s="7">
        <v>0.28000000000000103</v>
      </c>
      <c r="E467" s="7">
        <v>2.35888795282224</v>
      </c>
      <c r="F467" s="7">
        <v>2.35888795282224</v>
      </c>
      <c r="G467" s="7">
        <v>12.15</v>
      </c>
      <c r="H467" s="7">
        <v>-13.1522516082916</v>
      </c>
      <c r="I467" s="7">
        <v>11.92</v>
      </c>
      <c r="J467" s="7">
        <v>12.2</v>
      </c>
      <c r="K467" s="7">
        <v>11.88</v>
      </c>
      <c r="L467" s="7">
        <v>-13.1522516082916</v>
      </c>
    </row>
    <row r="468" spans="1:12" ht="15" customHeight="1" x14ac:dyDescent="0.2">
      <c r="A468" s="3">
        <v>45371</v>
      </c>
      <c r="B468" s="4">
        <v>11.87</v>
      </c>
      <c r="C468" s="5">
        <v>4774542</v>
      </c>
      <c r="D468" s="4">
        <v>0.35999999999999899</v>
      </c>
      <c r="E468" s="4">
        <v>3.1277150304083401</v>
      </c>
      <c r="F468" s="4">
        <v>3.1277150304083401</v>
      </c>
      <c r="G468" s="4">
        <v>11.87</v>
      </c>
      <c r="H468" s="4">
        <v>-15.153681200857701</v>
      </c>
      <c r="I468" s="4">
        <v>11.5</v>
      </c>
      <c r="J468" s="4">
        <v>11.95</v>
      </c>
      <c r="K468" s="4">
        <v>11.4</v>
      </c>
      <c r="L468" s="4">
        <v>-15.153681200857701</v>
      </c>
    </row>
    <row r="469" spans="1:12" ht="15" customHeight="1" x14ac:dyDescent="0.2">
      <c r="A469" s="6">
        <v>45370</v>
      </c>
      <c r="B469" s="7">
        <v>11.51</v>
      </c>
      <c r="C469" s="8">
        <v>3561733</v>
      </c>
      <c r="D469" s="7">
        <v>-0.20000000000000101</v>
      </c>
      <c r="E469" s="7">
        <v>-1.7079419299743801</v>
      </c>
      <c r="F469" s="7">
        <v>-1.7079419299743801</v>
      </c>
      <c r="G469" s="7">
        <v>11.51</v>
      </c>
      <c r="H469" s="7">
        <v>-17.726947819871299</v>
      </c>
      <c r="I469" s="7">
        <v>11.75</v>
      </c>
      <c r="J469" s="7">
        <v>11.97</v>
      </c>
      <c r="K469" s="7">
        <v>11.43</v>
      </c>
      <c r="L469" s="7">
        <v>-17.726947819871299</v>
      </c>
    </row>
    <row r="470" spans="1:12" ht="15" customHeight="1" x14ac:dyDescent="0.2">
      <c r="A470" s="3">
        <v>45366</v>
      </c>
      <c r="B470" s="4">
        <v>11.71</v>
      </c>
      <c r="C470" s="5">
        <v>27531500</v>
      </c>
      <c r="D470" s="4">
        <v>-0.189999999999999</v>
      </c>
      <c r="E470" s="4">
        <v>-1.5966386554621701</v>
      </c>
      <c r="F470" s="4">
        <v>-1.5966386554621701</v>
      </c>
      <c r="G470" s="4">
        <v>11.71</v>
      </c>
      <c r="H470" s="4">
        <v>-16.297355253752599</v>
      </c>
      <c r="I470" s="4">
        <v>11.98</v>
      </c>
      <c r="J470" s="4">
        <v>12.19</v>
      </c>
      <c r="K470" s="4">
        <v>11.64</v>
      </c>
      <c r="L470" s="4">
        <v>-16.297355253752599</v>
      </c>
    </row>
    <row r="471" spans="1:12" ht="15" customHeight="1" x14ac:dyDescent="0.2">
      <c r="A471" s="6">
        <v>45365</v>
      </c>
      <c r="B471" s="7">
        <v>11.9</v>
      </c>
      <c r="C471" s="8">
        <v>7137693</v>
      </c>
      <c r="D471" s="7">
        <v>-0.41999999999999899</v>
      </c>
      <c r="E471" s="7">
        <v>-3.4090909090908998</v>
      </c>
      <c r="F471" s="7">
        <v>-3.4090909090908998</v>
      </c>
      <c r="G471" s="7">
        <v>11.9</v>
      </c>
      <c r="H471" s="7">
        <v>-14.9392423159399</v>
      </c>
      <c r="I471" s="7">
        <v>12.33</v>
      </c>
      <c r="J471" s="7">
        <v>12.35</v>
      </c>
      <c r="K471" s="7">
        <v>11.86</v>
      </c>
      <c r="L471" s="7">
        <v>-14.9392423159399</v>
      </c>
    </row>
    <row r="472" spans="1:12" ht="15" customHeight="1" x14ac:dyDescent="0.2">
      <c r="A472" s="3">
        <v>45364</v>
      </c>
      <c r="B472" s="4">
        <v>12.32</v>
      </c>
      <c r="C472" s="5">
        <v>2382090</v>
      </c>
      <c r="D472" s="4">
        <v>0.28000000000000103</v>
      </c>
      <c r="E472" s="4">
        <v>2.32558139534884</v>
      </c>
      <c r="F472" s="4">
        <v>2.32558139534884</v>
      </c>
      <c r="G472" s="4">
        <v>12.32</v>
      </c>
      <c r="H472" s="4">
        <v>-11.937097927090701</v>
      </c>
      <c r="I472" s="4">
        <v>12.03</v>
      </c>
      <c r="J472" s="4">
        <v>12.49</v>
      </c>
      <c r="K472" s="4">
        <v>11.96</v>
      </c>
      <c r="L472" s="4">
        <v>-11.937097927090701</v>
      </c>
    </row>
    <row r="473" spans="1:12" ht="15" customHeight="1" x14ac:dyDescent="0.2">
      <c r="A473" s="6">
        <v>45363</v>
      </c>
      <c r="B473" s="7">
        <v>12.04</v>
      </c>
      <c r="C473" s="8">
        <v>1968648</v>
      </c>
      <c r="D473" s="7">
        <v>-0.25</v>
      </c>
      <c r="E473" s="7">
        <v>-2.0341741253051202</v>
      </c>
      <c r="F473" s="7">
        <v>-2.0341741253051202</v>
      </c>
      <c r="G473" s="7">
        <v>12.04</v>
      </c>
      <c r="H473" s="7">
        <v>-13.938527519656899</v>
      </c>
      <c r="I473" s="7">
        <v>12.3</v>
      </c>
      <c r="J473" s="7">
        <v>12.31</v>
      </c>
      <c r="K473" s="7">
        <v>11.96</v>
      </c>
      <c r="L473" s="7">
        <v>-13.938527519656899</v>
      </c>
    </row>
    <row r="474" spans="1:12" ht="15" customHeight="1" x14ac:dyDescent="0.2">
      <c r="A474" s="3">
        <v>45362</v>
      </c>
      <c r="B474" s="4">
        <v>12.29</v>
      </c>
      <c r="C474" s="5">
        <v>1571593</v>
      </c>
      <c r="D474" s="4">
        <v>-0.100000000000001</v>
      </c>
      <c r="E474" s="4">
        <v>-0.80710250201776401</v>
      </c>
      <c r="F474" s="4">
        <v>-0.80710250201776401</v>
      </c>
      <c r="G474" s="4">
        <v>12.29</v>
      </c>
      <c r="H474" s="4">
        <v>-12.1515368120085</v>
      </c>
      <c r="I474" s="4">
        <v>12.39</v>
      </c>
      <c r="J474" s="4">
        <v>12.5</v>
      </c>
      <c r="K474" s="4">
        <v>12.19</v>
      </c>
      <c r="L474" s="4">
        <v>-12.1515368120085</v>
      </c>
    </row>
    <row r="475" spans="1:12" ht="15" customHeight="1" x14ac:dyDescent="0.2">
      <c r="A475" s="6">
        <v>45359</v>
      </c>
      <c r="B475" s="7">
        <v>12.39</v>
      </c>
      <c r="C475" s="8">
        <v>2234110</v>
      </c>
      <c r="D475" s="7">
        <v>-2.9999999999999302E-2</v>
      </c>
      <c r="E475" s="7">
        <v>-0.24154589371979601</v>
      </c>
      <c r="F475" s="7">
        <v>-0.24154589371979601</v>
      </c>
      <c r="G475" s="7">
        <v>12.39</v>
      </c>
      <c r="H475" s="7">
        <v>-11.436740528949199</v>
      </c>
      <c r="I475" s="7">
        <v>12.49</v>
      </c>
      <c r="J475" s="7">
        <v>12.59</v>
      </c>
      <c r="K475" s="7">
        <v>12.21</v>
      </c>
      <c r="L475" s="7">
        <v>-11.436740528949199</v>
      </c>
    </row>
    <row r="476" spans="1:12" ht="15" customHeight="1" x14ac:dyDescent="0.2">
      <c r="A476" s="3">
        <v>45358</v>
      </c>
      <c r="B476" s="4">
        <v>12.42</v>
      </c>
      <c r="C476" s="5">
        <v>1993705</v>
      </c>
      <c r="D476" s="4">
        <v>-0.32</v>
      </c>
      <c r="E476" s="4">
        <v>-2.5117739403453698</v>
      </c>
      <c r="F476" s="4">
        <v>-2.5117739403453698</v>
      </c>
      <c r="G476" s="4">
        <v>12.42</v>
      </c>
      <c r="H476" s="4">
        <v>-11.222301644031401</v>
      </c>
      <c r="I476" s="4">
        <v>12.8</v>
      </c>
      <c r="J476" s="4">
        <v>12.8</v>
      </c>
      <c r="K476" s="4">
        <v>12.33</v>
      </c>
      <c r="L476" s="4">
        <v>-11.222301644031401</v>
      </c>
    </row>
    <row r="477" spans="1:12" ht="15" customHeight="1" x14ac:dyDescent="0.2">
      <c r="A477" s="6">
        <v>45357</v>
      </c>
      <c r="B477" s="7">
        <v>12.74</v>
      </c>
      <c r="C477" s="8">
        <v>4045639</v>
      </c>
      <c r="D477" s="7">
        <v>0.45000000000000101</v>
      </c>
      <c r="E477" s="7">
        <v>3.6615134255492299</v>
      </c>
      <c r="F477" s="7">
        <v>3.6615134255492299</v>
      </c>
      <c r="G477" s="7">
        <v>12.74</v>
      </c>
      <c r="H477" s="7">
        <v>-8.9349535382416008</v>
      </c>
      <c r="I477" s="7">
        <v>12.34</v>
      </c>
      <c r="J477" s="7">
        <v>12.76</v>
      </c>
      <c r="K477" s="7">
        <v>12.34</v>
      </c>
      <c r="L477" s="7">
        <v>-8.9349535382416008</v>
      </c>
    </row>
    <row r="478" spans="1:12" ht="15" customHeight="1" x14ac:dyDescent="0.2">
      <c r="A478" s="3">
        <v>45356</v>
      </c>
      <c r="B478" s="4">
        <v>12.29</v>
      </c>
      <c r="C478" s="5">
        <v>2327199</v>
      </c>
      <c r="D478" s="4">
        <v>0.219999999999998</v>
      </c>
      <c r="E478" s="4">
        <v>1.82270091135043</v>
      </c>
      <c r="F478" s="4">
        <v>1.82270091135043</v>
      </c>
      <c r="G478" s="4">
        <v>12.29</v>
      </c>
      <c r="H478" s="4">
        <v>-12.1515368120085</v>
      </c>
      <c r="I478" s="4">
        <v>12.04</v>
      </c>
      <c r="J478" s="4">
        <v>12.43</v>
      </c>
      <c r="K478" s="4">
        <v>11.97</v>
      </c>
      <c r="L478" s="4">
        <v>-12.1515368120085</v>
      </c>
    </row>
    <row r="479" spans="1:12" ht="15" customHeight="1" x14ac:dyDescent="0.2">
      <c r="A479" s="6">
        <v>45355</v>
      </c>
      <c r="B479" s="7">
        <v>12.07</v>
      </c>
      <c r="C479" s="8">
        <v>1970921</v>
      </c>
      <c r="D479" s="7">
        <v>-0.29999999999999799</v>
      </c>
      <c r="E479" s="7">
        <v>-2.4252223120452601</v>
      </c>
      <c r="F479" s="7">
        <v>-2.4252223120452601</v>
      </c>
      <c r="G479" s="7">
        <v>12.07</v>
      </c>
      <c r="H479" s="7">
        <v>-13.724088634738999</v>
      </c>
      <c r="I479" s="7">
        <v>12.39</v>
      </c>
      <c r="J479" s="7">
        <v>12.41</v>
      </c>
      <c r="K479" s="7">
        <v>12.02</v>
      </c>
      <c r="L479" s="7">
        <v>-13.724088634738999</v>
      </c>
    </row>
    <row r="480" spans="1:12" ht="15" customHeight="1" x14ac:dyDescent="0.2">
      <c r="A480" s="3">
        <v>45352</v>
      </c>
      <c r="B480" s="4">
        <v>12.37</v>
      </c>
      <c r="C480" s="5">
        <v>2618341</v>
      </c>
      <c r="D480" s="4">
        <v>-3.0000000000001099E-2</v>
      </c>
      <c r="E480" s="4">
        <v>-0.24193548387097999</v>
      </c>
      <c r="F480" s="4">
        <v>-0.24193548387097999</v>
      </c>
      <c r="G480" s="4">
        <v>12.37</v>
      </c>
      <c r="H480" s="4">
        <v>-11.5796997855611</v>
      </c>
      <c r="I480" s="4">
        <v>12.41</v>
      </c>
      <c r="J480" s="4">
        <v>12.45</v>
      </c>
      <c r="K480" s="4">
        <v>12.04</v>
      </c>
      <c r="L480" s="4">
        <v>-11.5796997855611</v>
      </c>
    </row>
    <row r="481" spans="1:12" ht="15" customHeight="1" x14ac:dyDescent="0.2">
      <c r="A481" s="6">
        <v>45351</v>
      </c>
      <c r="B481" s="7">
        <v>12.4</v>
      </c>
      <c r="C481" s="8">
        <v>3070139</v>
      </c>
      <c r="D481" s="7">
        <v>-0.08</v>
      </c>
      <c r="E481" s="7">
        <v>-0.64102564102563797</v>
      </c>
      <c r="F481" s="7">
        <v>-0.64102564102563797</v>
      </c>
      <c r="G481" s="7">
        <v>12.4</v>
      </c>
      <c r="H481" s="7">
        <v>-11.3652609006433</v>
      </c>
      <c r="I481" s="7">
        <v>12.42</v>
      </c>
      <c r="J481" s="7">
        <v>12.6</v>
      </c>
      <c r="K481" s="7">
        <v>12.21</v>
      </c>
      <c r="L481" s="7">
        <v>-11.3652609006433</v>
      </c>
    </row>
    <row r="482" spans="1:12" ht="15" customHeight="1" x14ac:dyDescent="0.2">
      <c r="A482" s="3">
        <v>45350</v>
      </c>
      <c r="B482" s="4">
        <v>12.48</v>
      </c>
      <c r="C482" s="5">
        <v>2699635</v>
      </c>
      <c r="D482" s="4">
        <v>-8.9999999999999802E-2</v>
      </c>
      <c r="E482" s="4">
        <v>-0.71599045346062395</v>
      </c>
      <c r="F482" s="4">
        <v>-0.71599045346062395</v>
      </c>
      <c r="G482" s="4">
        <v>12.48</v>
      </c>
      <c r="H482" s="4">
        <v>-10.793423874195801</v>
      </c>
      <c r="I482" s="4">
        <v>12.56</v>
      </c>
      <c r="J482" s="4">
        <v>12.68</v>
      </c>
      <c r="K482" s="4">
        <v>12.04</v>
      </c>
      <c r="L482" s="4">
        <v>-10.793423874195801</v>
      </c>
    </row>
    <row r="483" spans="1:12" ht="15" customHeight="1" x14ac:dyDescent="0.2">
      <c r="A483" s="6">
        <v>45349</v>
      </c>
      <c r="B483" s="7">
        <v>12.57</v>
      </c>
      <c r="C483" s="8">
        <v>7841596</v>
      </c>
      <c r="D483" s="7">
        <v>5.0000000000000697E-2</v>
      </c>
      <c r="E483" s="7">
        <v>0.399361022364219</v>
      </c>
      <c r="F483" s="7">
        <v>0.399361022364219</v>
      </c>
      <c r="G483" s="7">
        <v>12.57</v>
      </c>
      <c r="H483" s="7">
        <v>-10.1501072194424</v>
      </c>
      <c r="I483" s="7">
        <v>13.02</v>
      </c>
      <c r="J483" s="7">
        <v>13.7</v>
      </c>
      <c r="K483" s="7">
        <v>12.5</v>
      </c>
      <c r="L483" s="7">
        <v>-10.1501072194424</v>
      </c>
    </row>
    <row r="484" spans="1:12" ht="15" customHeight="1" x14ac:dyDescent="0.2">
      <c r="A484" s="3">
        <v>45348</v>
      </c>
      <c r="B484" s="4">
        <v>12.52</v>
      </c>
      <c r="C484" s="5">
        <v>4629869</v>
      </c>
      <c r="D484" s="4">
        <v>-0.110000000000001</v>
      </c>
      <c r="E484" s="4">
        <v>-0.87094220110848197</v>
      </c>
      <c r="F484" s="4">
        <v>-0.87094220110848197</v>
      </c>
      <c r="G484" s="4">
        <v>12.52</v>
      </c>
      <c r="H484" s="4">
        <v>-10.5075053609721</v>
      </c>
      <c r="I484" s="4">
        <v>12.65</v>
      </c>
      <c r="J484" s="4">
        <v>12.7</v>
      </c>
      <c r="K484" s="4">
        <v>12.41</v>
      </c>
      <c r="L484" s="4">
        <v>-10.5075053609721</v>
      </c>
    </row>
    <row r="485" spans="1:12" ht="15" customHeight="1" x14ac:dyDescent="0.2">
      <c r="A485" s="6">
        <v>45345</v>
      </c>
      <c r="B485" s="7">
        <v>12.63</v>
      </c>
      <c r="C485" s="8">
        <v>2557182</v>
      </c>
      <c r="D485" s="7"/>
      <c r="E485" s="7"/>
      <c r="F485" s="7"/>
      <c r="G485" s="7">
        <v>12.63</v>
      </c>
      <c r="H485" s="7">
        <v>-9.7212294496068505</v>
      </c>
      <c r="I485" s="7">
        <v>12.61</v>
      </c>
      <c r="J485" s="7">
        <v>12.77</v>
      </c>
      <c r="K485" s="7">
        <v>12.12</v>
      </c>
      <c r="L485" s="7">
        <v>-9.7212294496068505</v>
      </c>
    </row>
    <row r="486" spans="1:12" ht="15" customHeight="1" x14ac:dyDescent="0.2">
      <c r="A486" s="3">
        <v>45344</v>
      </c>
      <c r="B486" s="4">
        <v>12.63</v>
      </c>
      <c r="C486" s="5">
        <v>4841645</v>
      </c>
      <c r="D486" s="4">
        <v>7.0000000000000201E-2</v>
      </c>
      <c r="E486" s="4">
        <v>0.55732484076433897</v>
      </c>
      <c r="F486" s="4">
        <v>0.55732484076433897</v>
      </c>
      <c r="G486" s="4">
        <v>12.63</v>
      </c>
      <c r="H486" s="4">
        <v>-9.7212294496068505</v>
      </c>
      <c r="I486" s="4">
        <v>12.6</v>
      </c>
      <c r="J486" s="4">
        <v>13.08</v>
      </c>
      <c r="K486" s="4">
        <v>12.57</v>
      </c>
      <c r="L486" s="4">
        <v>-9.7212294496068505</v>
      </c>
    </row>
    <row r="487" spans="1:12" ht="15" customHeight="1" x14ac:dyDescent="0.2">
      <c r="A487" s="6">
        <v>45343</v>
      </c>
      <c r="B487" s="7">
        <v>12.56</v>
      </c>
      <c r="C487" s="8">
        <v>1920940</v>
      </c>
      <c r="D487" s="7">
        <v>-0.369999999999999</v>
      </c>
      <c r="E487" s="7">
        <v>-2.8615622583139801</v>
      </c>
      <c r="F487" s="7">
        <v>-2.8615622583139801</v>
      </c>
      <c r="G487" s="7">
        <v>12.56</v>
      </c>
      <c r="H487" s="7">
        <v>-10.2215868477483</v>
      </c>
      <c r="I487" s="7">
        <v>12.87</v>
      </c>
      <c r="J487" s="7">
        <v>13.02</v>
      </c>
      <c r="K487" s="7">
        <v>12.45</v>
      </c>
      <c r="L487" s="7">
        <v>-10.2215868477483</v>
      </c>
    </row>
    <row r="488" spans="1:12" ht="15" customHeight="1" x14ac:dyDescent="0.2">
      <c r="A488" s="3">
        <v>45342</v>
      </c>
      <c r="B488" s="4">
        <v>12.93</v>
      </c>
      <c r="C488" s="5">
        <v>3161117</v>
      </c>
      <c r="D488" s="4">
        <v>0.189999999999999</v>
      </c>
      <c r="E488" s="4">
        <v>1.4913657770800599</v>
      </c>
      <c r="F488" s="4">
        <v>1.4913657770800599</v>
      </c>
      <c r="G488" s="4">
        <v>12.93</v>
      </c>
      <c r="H488" s="4">
        <v>-7.5768406004288797</v>
      </c>
      <c r="I488" s="4">
        <v>12.63</v>
      </c>
      <c r="J488" s="4">
        <v>13.04</v>
      </c>
      <c r="K488" s="4">
        <v>12.56</v>
      </c>
      <c r="L488" s="4">
        <v>-7.5768406004288797</v>
      </c>
    </row>
    <row r="489" spans="1:12" ht="15" customHeight="1" x14ac:dyDescent="0.2">
      <c r="A489" s="6">
        <v>45341</v>
      </c>
      <c r="B489" s="7">
        <v>12.74</v>
      </c>
      <c r="C489" s="8">
        <v>243666</v>
      </c>
      <c r="D489" s="7">
        <v>-9.9999999999997799E-3</v>
      </c>
      <c r="E489" s="7">
        <v>-7.8431372549014805E-2</v>
      </c>
      <c r="F489" s="7">
        <v>-7.8431372549014805E-2</v>
      </c>
      <c r="G489" s="7">
        <v>12.74</v>
      </c>
      <c r="H489" s="7">
        <v>-8.9349535382416008</v>
      </c>
      <c r="I489" s="7">
        <v>12.72</v>
      </c>
      <c r="J489" s="7">
        <v>12.8</v>
      </c>
      <c r="K489" s="7">
        <v>12.58</v>
      </c>
      <c r="L489" s="7">
        <v>-8.9349535382416008</v>
      </c>
    </row>
    <row r="490" spans="1:12" ht="15" customHeight="1" x14ac:dyDescent="0.2">
      <c r="A490" s="3">
        <v>45338</v>
      </c>
      <c r="B490" s="4">
        <v>12.75</v>
      </c>
      <c r="C490" s="5">
        <v>1162684</v>
      </c>
      <c r="D490" s="4">
        <v>7.0000000000000201E-2</v>
      </c>
      <c r="E490" s="4">
        <v>0.552050473186116</v>
      </c>
      <c r="F490" s="4">
        <v>0.552050473186116</v>
      </c>
      <c r="G490" s="4">
        <v>12.75</v>
      </c>
      <c r="H490" s="4">
        <v>-8.8634739099356707</v>
      </c>
      <c r="I490" s="4">
        <v>12.66</v>
      </c>
      <c r="J490" s="4">
        <v>12.97</v>
      </c>
      <c r="K490" s="4">
        <v>12.51</v>
      </c>
      <c r="L490" s="4">
        <v>-8.8634739099356707</v>
      </c>
    </row>
    <row r="491" spans="1:12" ht="15" customHeight="1" x14ac:dyDescent="0.2">
      <c r="A491" s="6">
        <v>45337</v>
      </c>
      <c r="B491" s="7">
        <v>12.68</v>
      </c>
      <c r="C491" s="8">
        <v>1246397</v>
      </c>
      <c r="D491" s="7">
        <v>0.24</v>
      </c>
      <c r="E491" s="7">
        <v>1.92926045016077</v>
      </c>
      <c r="F491" s="7">
        <v>1.92926045016077</v>
      </c>
      <c r="G491" s="7">
        <v>12.68</v>
      </c>
      <c r="H491" s="7">
        <v>-9.3638313080772004</v>
      </c>
      <c r="I491" s="7">
        <v>12.5</v>
      </c>
      <c r="J491" s="7">
        <v>12.76</v>
      </c>
      <c r="K491" s="7">
        <v>12.42</v>
      </c>
      <c r="L491" s="7">
        <v>-9.3638313080772004</v>
      </c>
    </row>
    <row r="492" spans="1:12" ht="15" customHeight="1" x14ac:dyDescent="0.2">
      <c r="A492" s="3">
        <v>45336</v>
      </c>
      <c r="B492" s="4">
        <v>12.44</v>
      </c>
      <c r="C492" s="5">
        <v>1097961</v>
      </c>
      <c r="D492" s="4">
        <v>0.20999999999999899</v>
      </c>
      <c r="E492" s="4">
        <v>1.7170891251022</v>
      </c>
      <c r="F492" s="4">
        <v>1.7170891251022</v>
      </c>
      <c r="G492" s="4">
        <v>12.44</v>
      </c>
      <c r="H492" s="4">
        <v>-11.0793423874195</v>
      </c>
      <c r="I492" s="4">
        <v>12.56</v>
      </c>
      <c r="J492" s="4">
        <v>12.64</v>
      </c>
      <c r="K492" s="4">
        <v>12.27</v>
      </c>
      <c r="L492" s="4">
        <v>-11.0793423874195</v>
      </c>
    </row>
    <row r="493" spans="1:12" ht="15" customHeight="1" x14ac:dyDescent="0.2">
      <c r="A493" s="6">
        <v>45335</v>
      </c>
      <c r="B493" s="7">
        <v>12.23</v>
      </c>
      <c r="C493" s="8">
        <v>1987612</v>
      </c>
      <c r="D493" s="7">
        <v>-0.66999999999999904</v>
      </c>
      <c r="E493" s="7">
        <v>-5.1937984496123999</v>
      </c>
      <c r="F493" s="7">
        <v>-5.1937984496123999</v>
      </c>
      <c r="G493" s="7">
        <v>12.23</v>
      </c>
      <c r="H493" s="7">
        <v>-12.580414581844099</v>
      </c>
      <c r="I493" s="7">
        <v>12.77</v>
      </c>
      <c r="J493" s="7">
        <v>12.89</v>
      </c>
      <c r="K493" s="7">
        <v>12.2</v>
      </c>
      <c r="L493" s="7">
        <v>-12.580414581844099</v>
      </c>
    </row>
    <row r="494" spans="1:12" ht="15" customHeight="1" x14ac:dyDescent="0.2">
      <c r="A494" s="3">
        <v>45334</v>
      </c>
      <c r="B494" s="4">
        <v>12.9</v>
      </c>
      <c r="C494" s="5">
        <v>1091032</v>
      </c>
      <c r="D494" s="4">
        <v>8.9999999999999802E-2</v>
      </c>
      <c r="E494" s="4">
        <v>0.70257611241217799</v>
      </c>
      <c r="F494" s="4">
        <v>0.70257611241217799</v>
      </c>
      <c r="G494" s="4">
        <v>12.9</v>
      </c>
      <c r="H494" s="4">
        <v>-7.7912794853466698</v>
      </c>
      <c r="I494" s="4">
        <v>12.79</v>
      </c>
      <c r="J494" s="4">
        <v>13.19</v>
      </c>
      <c r="K494" s="4">
        <v>12.71</v>
      </c>
      <c r="L494" s="4">
        <v>-7.7912794853466698</v>
      </c>
    </row>
    <row r="495" spans="1:12" ht="15" customHeight="1" x14ac:dyDescent="0.2">
      <c r="A495" s="6">
        <v>45331</v>
      </c>
      <c r="B495" s="7">
        <v>12.81</v>
      </c>
      <c r="C495" s="8">
        <v>901762</v>
      </c>
      <c r="D495" s="7">
        <v>-0.109999999999999</v>
      </c>
      <c r="E495" s="7">
        <v>-0.851393188854487</v>
      </c>
      <c r="F495" s="7">
        <v>-0.851393188854487</v>
      </c>
      <c r="G495" s="7">
        <v>12.81</v>
      </c>
      <c r="H495" s="7">
        <v>-8.4345961401000693</v>
      </c>
      <c r="I495" s="7">
        <v>12.95</v>
      </c>
      <c r="J495" s="7">
        <v>13</v>
      </c>
      <c r="K495" s="7">
        <v>12.63</v>
      </c>
      <c r="L495" s="7">
        <v>-8.4345961401000693</v>
      </c>
    </row>
    <row r="496" spans="1:12" ht="15" customHeight="1" x14ac:dyDescent="0.2">
      <c r="A496" s="3">
        <v>45330</v>
      </c>
      <c r="B496" s="4">
        <v>12.92</v>
      </c>
      <c r="C496" s="5">
        <v>1495369</v>
      </c>
      <c r="D496" s="4">
        <v>-0.15</v>
      </c>
      <c r="E496" s="4">
        <v>-1.14766641162968</v>
      </c>
      <c r="F496" s="4">
        <v>-1.14766641162968</v>
      </c>
      <c r="G496" s="4">
        <v>12.92</v>
      </c>
      <c r="H496" s="4">
        <v>-7.6483202287348098</v>
      </c>
      <c r="I496" s="4">
        <v>13.12</v>
      </c>
      <c r="J496" s="4">
        <v>13.13</v>
      </c>
      <c r="K496" s="4">
        <v>12.75</v>
      </c>
      <c r="L496" s="4">
        <v>-7.6483202287348098</v>
      </c>
    </row>
    <row r="497" spans="1:12" ht="15" customHeight="1" x14ac:dyDescent="0.2">
      <c r="A497" s="6">
        <v>45329</v>
      </c>
      <c r="B497" s="7">
        <v>13.07</v>
      </c>
      <c r="C497" s="8">
        <v>1826642</v>
      </c>
      <c r="D497" s="7">
        <v>-0.4</v>
      </c>
      <c r="E497" s="7">
        <v>-2.9695619896065302</v>
      </c>
      <c r="F497" s="7">
        <v>-2.9695619896065302</v>
      </c>
      <c r="G497" s="7">
        <v>13.07</v>
      </c>
      <c r="H497" s="7">
        <v>-6.5761258041458097</v>
      </c>
      <c r="I497" s="7">
        <v>13.55</v>
      </c>
      <c r="J497" s="7">
        <v>13.55</v>
      </c>
      <c r="K497" s="7">
        <v>13</v>
      </c>
      <c r="L497" s="7">
        <v>-6.5761258041458097</v>
      </c>
    </row>
    <row r="498" spans="1:12" ht="15" customHeight="1" x14ac:dyDescent="0.2">
      <c r="A498" s="3">
        <v>45328</v>
      </c>
      <c r="B498" s="4">
        <v>13.47</v>
      </c>
      <c r="C498" s="5">
        <v>3622743</v>
      </c>
      <c r="D498" s="4">
        <v>-0.38999999999999801</v>
      </c>
      <c r="E498" s="4">
        <v>-2.8138528138528001</v>
      </c>
      <c r="F498" s="4">
        <v>-2.8138528138528001</v>
      </c>
      <c r="G498" s="4">
        <v>13.47</v>
      </c>
      <c r="H498" s="4">
        <v>-3.7169406719085001</v>
      </c>
      <c r="I498" s="4">
        <v>13.78</v>
      </c>
      <c r="J498" s="4">
        <v>13.78</v>
      </c>
      <c r="K498" s="4">
        <v>12.66</v>
      </c>
      <c r="L498" s="4">
        <v>-3.7169406719085001</v>
      </c>
    </row>
    <row r="499" spans="1:12" ht="15" customHeight="1" x14ac:dyDescent="0.2">
      <c r="A499" s="6">
        <v>45324</v>
      </c>
      <c r="B499" s="7">
        <v>13.86</v>
      </c>
      <c r="C499" s="8">
        <v>1853441</v>
      </c>
      <c r="D499" s="7">
        <v>8.9999999999999802E-2</v>
      </c>
      <c r="E499" s="7">
        <v>0.65359477124182697</v>
      </c>
      <c r="F499" s="7">
        <v>0.65359477124182697</v>
      </c>
      <c r="G499" s="7">
        <v>13.86</v>
      </c>
      <c r="H499" s="7">
        <v>-0.92923516797713201</v>
      </c>
      <c r="I499" s="7">
        <v>13.7</v>
      </c>
      <c r="J499" s="7">
        <v>13.94</v>
      </c>
      <c r="K499" s="7">
        <v>13.41</v>
      </c>
      <c r="L499" s="7">
        <v>-0.92923516797713201</v>
      </c>
    </row>
    <row r="500" spans="1:12" ht="15" customHeight="1" x14ac:dyDescent="0.2">
      <c r="A500" s="3">
        <v>45323</v>
      </c>
      <c r="B500" s="4">
        <v>13.77</v>
      </c>
      <c r="C500" s="5">
        <v>1610017</v>
      </c>
      <c r="D500" s="4">
        <v>9.9999999999997799E-3</v>
      </c>
      <c r="E500" s="4">
        <v>7.2674418604656801E-2</v>
      </c>
      <c r="F500" s="4">
        <v>7.2674418604656801E-2</v>
      </c>
      <c r="G500" s="4">
        <v>13.77</v>
      </c>
      <c r="H500" s="4">
        <v>-1.57255182273052</v>
      </c>
      <c r="I500" s="4">
        <v>13.91</v>
      </c>
      <c r="J500" s="4">
        <v>13.95</v>
      </c>
      <c r="K500" s="4">
        <v>13.6</v>
      </c>
      <c r="L500" s="4">
        <v>-1.57255182273052</v>
      </c>
    </row>
    <row r="501" spans="1:12" ht="15" customHeight="1" x14ac:dyDescent="0.2">
      <c r="A501" s="6">
        <v>45322</v>
      </c>
      <c r="B501" s="7">
        <v>13.76</v>
      </c>
      <c r="C501" s="8">
        <v>1821586</v>
      </c>
      <c r="D501" s="7">
        <v>-0.12000000000000099</v>
      </c>
      <c r="E501" s="7">
        <v>-0.86455331412104097</v>
      </c>
      <c r="F501" s="7">
        <v>-0.86455331412104097</v>
      </c>
      <c r="G501" s="7">
        <v>13.76</v>
      </c>
      <c r="H501" s="7">
        <v>-1.64403145103645</v>
      </c>
      <c r="I501" s="7">
        <v>13.86</v>
      </c>
      <c r="J501" s="7">
        <v>14.06</v>
      </c>
      <c r="K501" s="7">
        <v>13.59</v>
      </c>
      <c r="L501" s="7">
        <v>-1.64403145103645</v>
      </c>
    </row>
    <row r="502" spans="1:12" ht="15" customHeight="1" x14ac:dyDescent="0.2">
      <c r="A502" s="3">
        <v>45321</v>
      </c>
      <c r="B502" s="4">
        <v>13.88</v>
      </c>
      <c r="C502" s="5">
        <v>2020451</v>
      </c>
      <c r="D502" s="4">
        <v>-0.45999999999999902</v>
      </c>
      <c r="E502" s="4">
        <v>-3.2078103207810198</v>
      </c>
      <c r="F502" s="4">
        <v>-3.2078103207810198</v>
      </c>
      <c r="G502" s="4">
        <v>13.88</v>
      </c>
      <c r="H502" s="4">
        <v>-0.78627591136525599</v>
      </c>
      <c r="I502" s="4">
        <v>14.37</v>
      </c>
      <c r="J502" s="4">
        <v>14.37</v>
      </c>
      <c r="K502" s="4">
        <v>13.83</v>
      </c>
      <c r="L502" s="4">
        <v>-0.78627591136525599</v>
      </c>
    </row>
    <row r="503" spans="1:12" ht="15" customHeight="1" x14ac:dyDescent="0.2">
      <c r="A503" s="6">
        <v>45320</v>
      </c>
      <c r="B503" s="7">
        <v>14.34</v>
      </c>
      <c r="C503" s="8">
        <v>1498821</v>
      </c>
      <c r="D503" s="7">
        <v>0.34999999999999898</v>
      </c>
      <c r="E503" s="7">
        <v>2.50178699070764</v>
      </c>
      <c r="F503" s="7">
        <v>2.50178699070764</v>
      </c>
      <c r="G503" s="7">
        <v>14.34</v>
      </c>
      <c r="H503" s="7">
        <v>2.50178699070764</v>
      </c>
      <c r="I503" s="7">
        <v>13.7</v>
      </c>
      <c r="J503" s="7">
        <v>14.39</v>
      </c>
      <c r="K503" s="7">
        <v>13.7</v>
      </c>
      <c r="L503" s="7">
        <v>2.50178699070764</v>
      </c>
    </row>
    <row r="504" spans="1:12" ht="15" customHeight="1" x14ac:dyDescent="0.2">
      <c r="A504" s="3">
        <v>45317</v>
      </c>
      <c r="B504" s="4">
        <v>13.99</v>
      </c>
      <c r="C504" s="5">
        <v>1621022</v>
      </c>
      <c r="D504" s="4"/>
      <c r="E504" s="4"/>
      <c r="F504" s="4"/>
      <c r="G504" s="4">
        <v>13.99</v>
      </c>
      <c r="H504" s="4"/>
      <c r="I504" s="4">
        <v>14.18</v>
      </c>
      <c r="J504" s="4">
        <v>14.48</v>
      </c>
      <c r="K504" s="4">
        <v>13.8</v>
      </c>
      <c r="L504" s="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26D6-3910-49FF-BE5E-1B34EFBC094A}">
  <sheetPr>
    <outlinePr summaryBelow="0" summaryRight="0"/>
  </sheetPr>
  <dimension ref="A1:L504"/>
  <sheetViews>
    <sheetView workbookViewId="0">
      <pane ySplit="3" topLeftCell="A471" activePane="bottomLeft" state="frozen"/>
      <selection pane="bottomLeft" activeCell="C1" sqref="C1:C1048576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9.85546875" customWidth="1"/>
    <col min="4" max="4" width="8.28515625" customWidth="1"/>
    <col min="5" max="5" width="10.28515625" customWidth="1"/>
    <col min="6" max="6" width="9.28515625" customWidth="1"/>
    <col min="7" max="7" width="19.140625" customWidth="1"/>
    <col min="8" max="8" width="20.140625" customWidth="1"/>
    <col min="9" max="9" width="6.140625" customWidth="1"/>
    <col min="10" max="11" width="5.85546875" customWidth="1"/>
    <col min="12" max="12" width="21.140625" customWidth="1"/>
  </cols>
  <sheetData>
    <row r="1" spans="1:12" ht="15" customHeight="1" x14ac:dyDescent="0.2">
      <c r="A1" s="1" t="s">
        <v>29</v>
      </c>
    </row>
    <row r="3" spans="1:12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5" customHeight="1" x14ac:dyDescent="0.2">
      <c r="A4" s="3">
        <v>46048</v>
      </c>
      <c r="B4" s="4">
        <v>80.349999999999994</v>
      </c>
      <c r="C4" s="5">
        <v>414705</v>
      </c>
      <c r="D4" s="4">
        <v>-0.35999999999999899</v>
      </c>
      <c r="E4" s="4">
        <v>-0.44604138272828497</v>
      </c>
      <c r="F4" s="4">
        <v>-0.35930974223372603</v>
      </c>
      <c r="G4" s="4">
        <v>87.107950000000002</v>
      </c>
      <c r="H4" s="4">
        <v>24.823350239550098</v>
      </c>
      <c r="I4" s="4">
        <v>81</v>
      </c>
      <c r="J4" s="4">
        <v>80.42</v>
      </c>
      <c r="K4" s="4">
        <v>80.349999999999994</v>
      </c>
      <c r="L4" s="4">
        <v>15.2396977114559</v>
      </c>
    </row>
    <row r="5" spans="1:12" ht="15" customHeight="1" x14ac:dyDescent="0.2">
      <c r="A5" s="6">
        <v>46045</v>
      </c>
      <c r="B5" s="7">
        <v>80.709999999999994</v>
      </c>
      <c r="C5" s="8">
        <v>1134749</v>
      </c>
      <c r="D5" s="7">
        <v>0.69999999999998797</v>
      </c>
      <c r="E5" s="7">
        <v>0.87489063867014405</v>
      </c>
      <c r="F5" s="7">
        <v>0.87488140962104199</v>
      </c>
      <c r="G5" s="7">
        <v>87.422066000000001</v>
      </c>
      <c r="H5" s="7">
        <v>25.2734700217725</v>
      </c>
      <c r="I5" s="7">
        <v>80.41</v>
      </c>
      <c r="J5" s="7">
        <v>81.5</v>
      </c>
      <c r="K5" s="7">
        <v>79.7</v>
      </c>
      <c r="L5" s="7">
        <v>15.655259914096099</v>
      </c>
    </row>
    <row r="6" spans="1:12" ht="15" customHeight="1" x14ac:dyDescent="0.2">
      <c r="A6" s="3">
        <v>46044</v>
      </c>
      <c r="B6" s="4">
        <v>80.010000000000005</v>
      </c>
      <c r="C6" s="5">
        <v>3434444</v>
      </c>
      <c r="D6" s="4">
        <v>-0.32999999999999802</v>
      </c>
      <c r="E6" s="4">
        <v>-0.41075429424943799</v>
      </c>
      <c r="F6" s="4">
        <v>-0.41073856753903698</v>
      </c>
      <c r="G6" s="4">
        <v>86.66386</v>
      </c>
      <c r="H6" s="4">
        <v>24.186981209996699</v>
      </c>
      <c r="I6" s="4">
        <v>80</v>
      </c>
      <c r="J6" s="4">
        <v>81.84</v>
      </c>
      <c r="K6" s="4">
        <v>79.19</v>
      </c>
      <c r="L6" s="4">
        <v>14.6521787353095</v>
      </c>
    </row>
    <row r="7" spans="1:12" ht="15" customHeight="1" x14ac:dyDescent="0.2">
      <c r="A7" s="6">
        <v>46043</v>
      </c>
      <c r="B7" s="7">
        <v>80.34</v>
      </c>
      <c r="C7" s="8">
        <v>1239994</v>
      </c>
      <c r="D7" s="7">
        <v>-1.0499999999999901</v>
      </c>
      <c r="E7" s="7">
        <v>-1.29008477699962</v>
      </c>
      <c r="F7" s="7">
        <v>-1.29008945977656</v>
      </c>
      <c r="G7" s="7">
        <v>87.021289999999993</v>
      </c>
      <c r="H7" s="7">
        <v>24.699168789616301</v>
      </c>
      <c r="I7" s="7">
        <v>81.48</v>
      </c>
      <c r="J7" s="7">
        <v>82.68</v>
      </c>
      <c r="K7" s="7">
        <v>79.5</v>
      </c>
      <c r="L7" s="7">
        <v>15.1250598624517</v>
      </c>
    </row>
    <row r="8" spans="1:12" ht="15" customHeight="1" x14ac:dyDescent="0.2">
      <c r="A8" s="3">
        <v>46042</v>
      </c>
      <c r="B8" s="4">
        <v>81.39</v>
      </c>
      <c r="C8" s="5">
        <v>1314478</v>
      </c>
      <c r="D8" s="4">
        <v>-2.71999999999999</v>
      </c>
      <c r="E8" s="4">
        <v>-3.23386042087742</v>
      </c>
      <c r="F8" s="4">
        <v>-3.2338629284378202</v>
      </c>
      <c r="G8" s="4">
        <v>88.158614999999998</v>
      </c>
      <c r="H8" s="4">
        <v>26.328924934849798</v>
      </c>
      <c r="I8" s="4">
        <v>83</v>
      </c>
      <c r="J8" s="4">
        <v>84.44</v>
      </c>
      <c r="K8" s="4">
        <v>80.989999999999995</v>
      </c>
      <c r="L8" s="4">
        <v>16.629681630631602</v>
      </c>
    </row>
    <row r="9" spans="1:12" ht="15" customHeight="1" x14ac:dyDescent="0.2">
      <c r="A9" s="6">
        <v>46041</v>
      </c>
      <c r="B9" s="7">
        <v>84.11</v>
      </c>
      <c r="C9" s="8">
        <v>432359</v>
      </c>
      <c r="D9" s="7">
        <v>-0.56000000000000205</v>
      </c>
      <c r="E9" s="7">
        <v>-0.66139128380772105</v>
      </c>
      <c r="F9" s="7">
        <v>-0.66139004108430799</v>
      </c>
      <c r="G9" s="7">
        <v>91.104820000000004</v>
      </c>
      <c r="H9" s="7">
        <v>30.550757483917</v>
      </c>
      <c r="I9" s="7">
        <v>85.09</v>
      </c>
      <c r="J9" s="7">
        <v>85.46</v>
      </c>
      <c r="K9" s="7">
        <v>82.73</v>
      </c>
      <c r="L9" s="7">
        <v>20.527368496773899</v>
      </c>
    </row>
    <row r="10" spans="1:12" ht="15" customHeight="1" x14ac:dyDescent="0.2">
      <c r="A10" s="3">
        <v>46038</v>
      </c>
      <c r="B10" s="4">
        <v>84.67</v>
      </c>
      <c r="C10" s="5">
        <v>1495745</v>
      </c>
      <c r="D10" s="4">
        <v>2.87</v>
      </c>
      <c r="E10" s="4">
        <v>3.5085574572127198</v>
      </c>
      <c r="F10" s="4">
        <v>3.5085550143694602</v>
      </c>
      <c r="G10" s="4">
        <v>91.711389999999994</v>
      </c>
      <c r="H10" s="4">
        <v>31.419955984797799</v>
      </c>
      <c r="I10" s="4">
        <v>82</v>
      </c>
      <c r="J10" s="4">
        <v>85.02</v>
      </c>
      <c r="K10" s="4">
        <v>81.99</v>
      </c>
      <c r="L10" s="4">
        <v>21.329833439803199</v>
      </c>
    </row>
    <row r="11" spans="1:12" ht="15" customHeight="1" x14ac:dyDescent="0.2">
      <c r="A11" s="6">
        <v>46037</v>
      </c>
      <c r="B11" s="7">
        <v>81.8</v>
      </c>
      <c r="C11" s="8">
        <v>704954</v>
      </c>
      <c r="D11" s="7">
        <v>0.75999999999999002</v>
      </c>
      <c r="E11" s="7">
        <v>0.93780848963473895</v>
      </c>
      <c r="F11" s="7">
        <v>0.937809974104442</v>
      </c>
      <c r="G11" s="7">
        <v>88.602715000000003</v>
      </c>
      <c r="H11" s="7">
        <v>26.965308294134299</v>
      </c>
      <c r="I11" s="7">
        <v>80.8</v>
      </c>
      <c r="J11" s="7">
        <v>82.82</v>
      </c>
      <c r="K11" s="7">
        <v>80.63</v>
      </c>
      <c r="L11" s="7">
        <v>17.2172006067781</v>
      </c>
    </row>
    <row r="12" spans="1:12" ht="15" customHeight="1" x14ac:dyDescent="0.2">
      <c r="A12" s="3">
        <v>46036</v>
      </c>
      <c r="B12" s="4">
        <v>81.040000000000006</v>
      </c>
      <c r="C12" s="5">
        <v>3967096</v>
      </c>
      <c r="D12" s="4">
        <v>1.67</v>
      </c>
      <c r="E12" s="4">
        <v>2.1040695476880402</v>
      </c>
      <c r="F12" s="4">
        <v>2.1040626500439599</v>
      </c>
      <c r="G12" s="4">
        <v>87.779510000000002</v>
      </c>
      <c r="H12" s="4">
        <v>25.785677663015701</v>
      </c>
      <c r="I12" s="4">
        <v>79.540000000000006</v>
      </c>
      <c r="J12" s="4">
        <v>81.39</v>
      </c>
      <c r="K12" s="4">
        <v>79</v>
      </c>
      <c r="L12" s="4">
        <v>16.128141041238301</v>
      </c>
    </row>
    <row r="13" spans="1:12" ht="15" customHeight="1" x14ac:dyDescent="0.2">
      <c r="A13" s="6">
        <v>46035</v>
      </c>
      <c r="B13" s="7">
        <v>79.37</v>
      </c>
      <c r="C13" s="8">
        <v>1705934</v>
      </c>
      <c r="D13" s="7">
        <v>-0.67999999999999206</v>
      </c>
      <c r="E13" s="7">
        <v>-0.84946908182384995</v>
      </c>
      <c r="F13" s="7">
        <v>-0.84946825167334605</v>
      </c>
      <c r="G13" s="7">
        <v>85.970634000000004</v>
      </c>
      <c r="H13" s="7">
        <v>23.1936069910745</v>
      </c>
      <c r="I13" s="7">
        <v>80.099999999999994</v>
      </c>
      <c r="J13" s="7">
        <v>81.34</v>
      </c>
      <c r="K13" s="7">
        <v>78.59</v>
      </c>
      <c r="L13" s="7">
        <v>13.735075943276</v>
      </c>
    </row>
    <row r="14" spans="1:12" ht="15" customHeight="1" x14ac:dyDescent="0.2">
      <c r="A14" s="3">
        <v>46034</v>
      </c>
      <c r="B14" s="4">
        <v>80.05</v>
      </c>
      <c r="C14" s="5">
        <v>865262</v>
      </c>
      <c r="D14" s="4">
        <v>0.45999999999999303</v>
      </c>
      <c r="E14" s="4">
        <v>0.57796205553459701</v>
      </c>
      <c r="F14" s="4">
        <v>0.57797267382539896</v>
      </c>
      <c r="G14" s="4">
        <v>86.707183999999998</v>
      </c>
      <c r="H14" s="4">
        <v>24.249063337124898</v>
      </c>
      <c r="I14" s="4">
        <v>79.59</v>
      </c>
      <c r="J14" s="4">
        <v>80.260000000000005</v>
      </c>
      <c r="K14" s="4">
        <v>78.81</v>
      </c>
      <c r="L14" s="4">
        <v>14.7094976598115</v>
      </c>
    </row>
    <row r="15" spans="1:12" ht="15" customHeight="1" x14ac:dyDescent="0.2">
      <c r="A15" s="6">
        <v>46031</v>
      </c>
      <c r="B15" s="7">
        <v>79.59</v>
      </c>
      <c r="C15" s="8">
        <v>844918</v>
      </c>
      <c r="D15" s="7">
        <v>1.37</v>
      </c>
      <c r="E15" s="7">
        <v>1.7514702122219501</v>
      </c>
      <c r="F15" s="7">
        <v>1.75146671601849</v>
      </c>
      <c r="G15" s="7">
        <v>86.208920000000006</v>
      </c>
      <c r="H15" s="7">
        <v>23.535064422172201</v>
      </c>
      <c r="I15" s="7">
        <v>77.819999999999993</v>
      </c>
      <c r="J15" s="7">
        <v>79.95</v>
      </c>
      <c r="K15" s="7">
        <v>77.42</v>
      </c>
      <c r="L15" s="7">
        <v>14.0503300280375</v>
      </c>
    </row>
    <row r="16" spans="1:12" ht="15" customHeight="1" x14ac:dyDescent="0.2">
      <c r="A16" s="3">
        <v>46030</v>
      </c>
      <c r="B16" s="4">
        <v>78.22</v>
      </c>
      <c r="C16" s="5">
        <v>954973</v>
      </c>
      <c r="D16" s="4">
        <v>1.7</v>
      </c>
      <c r="E16" s="4">
        <v>2.22164140094094</v>
      </c>
      <c r="F16" s="4">
        <v>2.2216455098903198</v>
      </c>
      <c r="G16" s="4">
        <v>84.724990000000005</v>
      </c>
      <c r="H16" s="4">
        <v>21.4086326312624</v>
      </c>
      <c r="I16" s="4">
        <v>76.47</v>
      </c>
      <c r="J16" s="4">
        <v>79.72</v>
      </c>
      <c r="K16" s="4">
        <v>76.239999999999995</v>
      </c>
      <c r="L16" s="4">
        <v>12.0871568638408</v>
      </c>
    </row>
    <row r="17" spans="1:12" ht="15" customHeight="1" x14ac:dyDescent="0.2">
      <c r="A17" s="6">
        <v>46029</v>
      </c>
      <c r="B17" s="7">
        <v>76.52</v>
      </c>
      <c r="C17" s="8">
        <v>1490723</v>
      </c>
      <c r="D17" s="7">
        <v>-0.82999999999999796</v>
      </c>
      <c r="E17" s="7">
        <v>-1.07304460245636</v>
      </c>
      <c r="F17" s="7">
        <v>-1.07305045532104</v>
      </c>
      <c r="G17" s="7">
        <v>82.883610000000004</v>
      </c>
      <c r="H17" s="7">
        <v>18.769984601270899</v>
      </c>
      <c r="I17" s="7">
        <v>77.680000000000007</v>
      </c>
      <c r="J17" s="7">
        <v>77.680000000000007</v>
      </c>
      <c r="K17" s="7">
        <v>75.069999999999993</v>
      </c>
      <c r="L17" s="7">
        <v>9.6511025725019692</v>
      </c>
    </row>
    <row r="18" spans="1:12" ht="15" customHeight="1" x14ac:dyDescent="0.2">
      <c r="A18" s="3">
        <v>46028</v>
      </c>
      <c r="B18" s="4">
        <v>77.349999999999994</v>
      </c>
      <c r="C18" s="5">
        <v>1597360</v>
      </c>
      <c r="D18" s="4">
        <v>-1.9100000000000099</v>
      </c>
      <c r="E18" s="4">
        <v>-2.4097905627050298</v>
      </c>
      <c r="F18" s="4">
        <v>-2.4097895575009298</v>
      </c>
      <c r="G18" s="4">
        <v>83.782640000000001</v>
      </c>
      <c r="H18" s="4">
        <v>20.058270418648799</v>
      </c>
      <c r="I18" s="4">
        <v>78.86</v>
      </c>
      <c r="J18" s="4">
        <v>79.41</v>
      </c>
      <c r="K18" s="4">
        <v>76.459999999999994</v>
      </c>
      <c r="L18" s="4">
        <v>10.8404702559203</v>
      </c>
    </row>
    <row r="19" spans="1:12" ht="15" customHeight="1" x14ac:dyDescent="0.2">
      <c r="A19" s="6">
        <v>46027</v>
      </c>
      <c r="B19" s="7">
        <v>79.260000000000005</v>
      </c>
      <c r="C19" s="8">
        <v>511771</v>
      </c>
      <c r="D19" s="7">
        <v>2.92</v>
      </c>
      <c r="E19" s="7">
        <v>3.82499345035367</v>
      </c>
      <c r="F19" s="7">
        <v>3.8249943970540801</v>
      </c>
      <c r="G19" s="7">
        <v>85.851479999999995</v>
      </c>
      <c r="H19" s="7">
        <v>23.022862512821501</v>
      </c>
      <c r="I19" s="7">
        <v>76.72</v>
      </c>
      <c r="J19" s="7">
        <v>80.069999999999993</v>
      </c>
      <c r="K19" s="7">
        <v>75.349999999999994</v>
      </c>
      <c r="L19" s="7">
        <v>13.577448900895201</v>
      </c>
    </row>
    <row r="20" spans="1:12" ht="15" customHeight="1" x14ac:dyDescent="0.2">
      <c r="A20" s="3">
        <v>46024</v>
      </c>
      <c r="B20" s="4">
        <v>76.34</v>
      </c>
      <c r="C20" s="5">
        <v>491395</v>
      </c>
      <c r="D20" s="4">
        <v>0.90000000000000502</v>
      </c>
      <c r="E20" s="4">
        <v>1.19300106044539</v>
      </c>
      <c r="F20" s="4">
        <v>1.1929980003377401</v>
      </c>
      <c r="G20" s="4">
        <v>82.688643999999996</v>
      </c>
      <c r="H20" s="4">
        <v>18.490603565409</v>
      </c>
      <c r="I20" s="4">
        <v>75.8</v>
      </c>
      <c r="J20" s="4">
        <v>76.97</v>
      </c>
      <c r="K20" s="4">
        <v>75.25</v>
      </c>
      <c r="L20" s="4">
        <v>9.3931674122425708</v>
      </c>
    </row>
    <row r="21" spans="1:12" ht="15" customHeight="1" x14ac:dyDescent="0.2">
      <c r="A21" s="6">
        <v>46022</v>
      </c>
      <c r="B21" s="7">
        <v>75.44</v>
      </c>
      <c r="C21" s="8">
        <v>507243</v>
      </c>
      <c r="D21" s="7">
        <v>-2.99</v>
      </c>
      <c r="E21" s="7">
        <v>-3.8123167155425199</v>
      </c>
      <c r="F21" s="7">
        <v>-3.8123091211612898</v>
      </c>
      <c r="G21" s="7">
        <v>81.713800000000006</v>
      </c>
      <c r="H21" s="7">
        <v>17.093678324476102</v>
      </c>
      <c r="I21" s="7">
        <v>78.31</v>
      </c>
      <c r="J21" s="7">
        <v>78.31</v>
      </c>
      <c r="K21" s="7">
        <v>75.099999999999994</v>
      </c>
      <c r="L21" s="7">
        <v>8.1034916109454898</v>
      </c>
    </row>
    <row r="22" spans="1:12" ht="15" customHeight="1" x14ac:dyDescent="0.2">
      <c r="A22" s="3">
        <v>46021</v>
      </c>
      <c r="B22" s="4">
        <v>78.430000000000007</v>
      </c>
      <c r="C22" s="5">
        <v>1835805</v>
      </c>
      <c r="D22" s="4">
        <v>-5.9999999999988E-2</v>
      </c>
      <c r="E22" s="4">
        <v>-7.6442858962910698E-2</v>
      </c>
      <c r="F22" s="4">
        <v>-7.6443139195902995E-2</v>
      </c>
      <c r="G22" s="4">
        <v>84.952449999999999</v>
      </c>
      <c r="H22" s="4">
        <v>21.7345766954436</v>
      </c>
      <c r="I22" s="4">
        <v>78.06</v>
      </c>
      <c r="J22" s="4">
        <v>79.58</v>
      </c>
      <c r="K22" s="4">
        <v>77.209999999999994</v>
      </c>
      <c r="L22" s="4">
        <v>12.388081217476801</v>
      </c>
    </row>
    <row r="23" spans="1:12" ht="15" customHeight="1" x14ac:dyDescent="0.2">
      <c r="A23" s="6">
        <v>46020</v>
      </c>
      <c r="B23" s="7">
        <v>78.489999999999995</v>
      </c>
      <c r="C23" s="8">
        <v>467331</v>
      </c>
      <c r="D23" s="7">
        <v>1.03</v>
      </c>
      <c r="E23" s="7">
        <v>1.32971856442034</v>
      </c>
      <c r="F23" s="7">
        <v>1.3297094138277501</v>
      </c>
      <c r="G23" s="7">
        <v>85.017439999999993</v>
      </c>
      <c r="H23" s="7">
        <v>21.8277056180283</v>
      </c>
      <c r="I23" s="7">
        <v>77</v>
      </c>
      <c r="J23" s="7">
        <v>78.760000000000005</v>
      </c>
      <c r="K23" s="7">
        <v>77</v>
      </c>
      <c r="L23" s="7">
        <v>12.47405960423</v>
      </c>
    </row>
    <row r="24" spans="1:12" ht="15" customHeight="1" x14ac:dyDescent="0.2">
      <c r="A24" s="3">
        <v>46017</v>
      </c>
      <c r="B24" s="4">
        <v>77.459999999999994</v>
      </c>
      <c r="C24" s="5">
        <v>233338</v>
      </c>
      <c r="D24" s="4">
        <v>0.68999999999999695</v>
      </c>
      <c r="E24" s="4">
        <v>0.89878858929268701</v>
      </c>
      <c r="F24" s="4">
        <v>0.89879789884841299</v>
      </c>
      <c r="G24" s="4">
        <v>83.901790000000005</v>
      </c>
      <c r="H24" s="4">
        <v>20.229009165009401</v>
      </c>
      <c r="I24" s="4">
        <v>76.489999999999995</v>
      </c>
      <c r="J24" s="4">
        <v>77.8</v>
      </c>
      <c r="K24" s="4">
        <v>76.36</v>
      </c>
      <c r="L24" s="4">
        <v>10.998097298301101</v>
      </c>
    </row>
    <row r="25" spans="1:12" ht="15" customHeight="1" x14ac:dyDescent="0.2">
      <c r="A25" s="6">
        <v>46015</v>
      </c>
      <c r="B25" s="7">
        <v>76.77</v>
      </c>
      <c r="C25" s="8">
        <v>235671</v>
      </c>
      <c r="D25" s="7">
        <v>1.2</v>
      </c>
      <c r="E25" s="7">
        <v>1.58793171893609</v>
      </c>
      <c r="F25" s="7">
        <v>1.5879252249812099</v>
      </c>
      <c r="G25" s="7">
        <v>83.154399999999995</v>
      </c>
      <c r="H25" s="7">
        <v>19.1580193904189</v>
      </c>
      <c r="I25" s="7">
        <v>75.86</v>
      </c>
      <c r="J25" s="7">
        <v>77.25</v>
      </c>
      <c r="K25" s="7">
        <v>75.599999999999994</v>
      </c>
      <c r="L25" s="7">
        <v>10.009345850640001</v>
      </c>
    </row>
    <row r="26" spans="1:12" ht="15" customHeight="1" x14ac:dyDescent="0.2">
      <c r="A26" s="3">
        <v>46014</v>
      </c>
      <c r="B26" s="4">
        <v>75.569999999999993</v>
      </c>
      <c r="C26" s="5">
        <v>496073</v>
      </c>
      <c r="D26" s="4">
        <v>0.51999999999999602</v>
      </c>
      <c r="E26" s="4">
        <v>0.69287141905396399</v>
      </c>
      <c r="F26" s="4">
        <v>0.69286567565536294</v>
      </c>
      <c r="G26" s="4">
        <v>81.854609999999994</v>
      </c>
      <c r="H26" s="4">
        <v>17.295455268454599</v>
      </c>
      <c r="I26" s="4">
        <v>74.64</v>
      </c>
      <c r="J26" s="4">
        <v>75.819999999999993</v>
      </c>
      <c r="K26" s="4">
        <v>74.05</v>
      </c>
      <c r="L26" s="4">
        <v>8.2897781155772794</v>
      </c>
    </row>
    <row r="27" spans="1:12" ht="15" customHeight="1" x14ac:dyDescent="0.2">
      <c r="A27" s="6">
        <v>46013</v>
      </c>
      <c r="B27" s="7">
        <v>75.05</v>
      </c>
      <c r="C27" s="8">
        <v>591082</v>
      </c>
      <c r="D27" s="7">
        <v>-0.40000000000000502</v>
      </c>
      <c r="E27" s="7">
        <v>-0.53015241882041697</v>
      </c>
      <c r="F27" s="7">
        <v>-0.53014008935495704</v>
      </c>
      <c r="G27" s="7">
        <v>81.291370000000001</v>
      </c>
      <c r="H27" s="7">
        <v>16.488347492540601</v>
      </c>
      <c r="I27" s="7">
        <v>75.58</v>
      </c>
      <c r="J27" s="7">
        <v>75.58</v>
      </c>
      <c r="K27" s="7">
        <v>73.14</v>
      </c>
      <c r="L27" s="7">
        <v>7.5446320970500897</v>
      </c>
    </row>
    <row r="28" spans="1:12" ht="15" customHeight="1" x14ac:dyDescent="0.2">
      <c r="A28" s="3">
        <v>46010</v>
      </c>
      <c r="B28" s="4">
        <v>75.45</v>
      </c>
      <c r="C28" s="5">
        <v>2974571</v>
      </c>
      <c r="D28" s="4">
        <v>1.96999999999999</v>
      </c>
      <c r="E28" s="4">
        <v>2.6810016330974298</v>
      </c>
      <c r="F28" s="4">
        <v>2.6809880865007001</v>
      </c>
      <c r="G28" s="4">
        <v>81.724625000000003</v>
      </c>
      <c r="H28" s="4">
        <v>17.109190258419499</v>
      </c>
      <c r="I28" s="4">
        <v>73.84</v>
      </c>
      <c r="J28" s="4">
        <v>75.72</v>
      </c>
      <c r="K28" s="4">
        <v>73.2</v>
      </c>
      <c r="L28" s="4">
        <v>8.1178213420710197</v>
      </c>
    </row>
    <row r="29" spans="1:12" ht="15" customHeight="1" x14ac:dyDescent="0.2">
      <c r="A29" s="6">
        <v>46009</v>
      </c>
      <c r="B29" s="7">
        <v>73.48</v>
      </c>
      <c r="C29" s="8">
        <v>2074208</v>
      </c>
      <c r="D29" s="7">
        <v>1.7</v>
      </c>
      <c r="E29" s="7">
        <v>2.3683477291724699</v>
      </c>
      <c r="F29" s="7">
        <v>2.3683585035103798</v>
      </c>
      <c r="G29" s="7">
        <v>79.590805000000003</v>
      </c>
      <c r="H29" s="7">
        <v>14.051483571393099</v>
      </c>
      <c r="I29" s="7">
        <v>72.150000000000006</v>
      </c>
      <c r="J29" s="7">
        <v>73.989999999999995</v>
      </c>
      <c r="K29" s="7">
        <v>72</v>
      </c>
      <c r="L29" s="7">
        <v>5.29486431034299</v>
      </c>
    </row>
    <row r="30" spans="1:12" ht="15" customHeight="1" x14ac:dyDescent="0.2">
      <c r="A30" s="3">
        <v>46008</v>
      </c>
      <c r="B30" s="4">
        <v>71.78</v>
      </c>
      <c r="C30" s="5">
        <v>1237757</v>
      </c>
      <c r="D30" s="4">
        <v>-0.81000000000000205</v>
      </c>
      <c r="E30" s="4">
        <v>-1.11585617853698</v>
      </c>
      <c r="F30" s="4">
        <v>-1.11585391135182</v>
      </c>
      <c r="G30" s="4">
        <v>77.749420000000001</v>
      </c>
      <c r="H30" s="4">
        <v>11.412828376536</v>
      </c>
      <c r="I30" s="4">
        <v>73.400000000000006</v>
      </c>
      <c r="J30" s="4">
        <v>73.400000000000006</v>
      </c>
      <c r="K30" s="4">
        <v>71.459999999999994</v>
      </c>
      <c r="L30" s="4">
        <v>2.8588100190040802</v>
      </c>
    </row>
    <row r="31" spans="1:12" ht="15" customHeight="1" x14ac:dyDescent="0.2">
      <c r="A31" s="6">
        <v>46007</v>
      </c>
      <c r="B31" s="7">
        <v>72.59</v>
      </c>
      <c r="C31" s="8">
        <v>459316</v>
      </c>
      <c r="D31" s="7">
        <v>-0.37999999999999501</v>
      </c>
      <c r="E31" s="7">
        <v>-0.52076195696860705</v>
      </c>
      <c r="F31" s="7">
        <v>-0.52077224751163598</v>
      </c>
      <c r="G31" s="7">
        <v>78.626779999999997</v>
      </c>
      <c r="H31" s="7">
        <v>12.6700616665649</v>
      </c>
      <c r="I31" s="7">
        <v>72.599999999999994</v>
      </c>
      <c r="J31" s="7">
        <v>73.41</v>
      </c>
      <c r="K31" s="7">
        <v>72.31</v>
      </c>
      <c r="L31" s="7">
        <v>4.0195182401714504</v>
      </c>
    </row>
    <row r="32" spans="1:12" ht="15" customHeight="1" x14ac:dyDescent="0.2">
      <c r="A32" s="3">
        <v>46006</v>
      </c>
      <c r="B32" s="4">
        <v>72.97</v>
      </c>
      <c r="C32" s="5">
        <v>699589</v>
      </c>
      <c r="D32" s="4">
        <v>-0.15000000000000499</v>
      </c>
      <c r="E32" s="4">
        <v>-0.20514223194748599</v>
      </c>
      <c r="F32" s="4">
        <v>-0.205149261617942</v>
      </c>
      <c r="G32" s="4">
        <v>79.038390000000007</v>
      </c>
      <c r="H32" s="4">
        <v>13.2598877294225</v>
      </c>
      <c r="I32" s="4">
        <v>73.2</v>
      </c>
      <c r="J32" s="4">
        <v>73.569999999999993</v>
      </c>
      <c r="K32" s="4">
        <v>72.28</v>
      </c>
      <c r="L32" s="4">
        <v>4.5640480229413098</v>
      </c>
    </row>
    <row r="33" spans="1:12" ht="15" customHeight="1" x14ac:dyDescent="0.2">
      <c r="A33" s="6">
        <v>46002</v>
      </c>
      <c r="B33" s="7">
        <v>73.12</v>
      </c>
      <c r="C33" s="8">
        <v>1001220</v>
      </c>
      <c r="D33" s="7">
        <v>0.82000000000000695</v>
      </c>
      <c r="E33" s="7">
        <v>1.1341632088520199</v>
      </c>
      <c r="F33" s="7">
        <v>1.1341715203938301</v>
      </c>
      <c r="G33" s="7">
        <v>79.200869999999995</v>
      </c>
      <c r="H33" s="7">
        <v>13.49271720075</v>
      </c>
      <c r="I33" s="7">
        <v>72.66</v>
      </c>
      <c r="J33" s="7">
        <v>73.44</v>
      </c>
      <c r="K33" s="7">
        <v>71.790000000000006</v>
      </c>
      <c r="L33" s="7">
        <v>4.77899398982417</v>
      </c>
    </row>
    <row r="34" spans="1:12" ht="15" customHeight="1" x14ac:dyDescent="0.2">
      <c r="A34" s="3">
        <v>46001</v>
      </c>
      <c r="B34" s="4">
        <v>72.3</v>
      </c>
      <c r="C34" s="5">
        <v>801058</v>
      </c>
      <c r="D34" s="4">
        <v>-1.99985999999999</v>
      </c>
      <c r="E34" s="4">
        <v>-2.69160668674207</v>
      </c>
      <c r="F34" s="4">
        <v>-1.78098822691317</v>
      </c>
      <c r="G34" s="4">
        <v>78.312669999999997</v>
      </c>
      <c r="H34" s="4">
        <v>12.219950482181099</v>
      </c>
      <c r="I34" s="4">
        <v>74.959999999999994</v>
      </c>
      <c r="J34" s="4">
        <v>74.959999999999994</v>
      </c>
      <c r="K34" s="4">
        <v>71.63</v>
      </c>
      <c r="L34" s="4">
        <v>3.6039560375312698</v>
      </c>
    </row>
    <row r="35" spans="1:12" ht="15" customHeight="1" x14ac:dyDescent="0.2">
      <c r="A35" s="6">
        <v>46000</v>
      </c>
      <c r="B35" s="7">
        <v>74.299859999999995</v>
      </c>
      <c r="C35" s="8">
        <v>764874.1</v>
      </c>
      <c r="D35" s="7">
        <v>1.2427299999999899</v>
      </c>
      <c r="E35" s="7">
        <v>1.7010386255249701</v>
      </c>
      <c r="F35" s="7">
        <v>1.7010399354074</v>
      </c>
      <c r="G35" s="7">
        <v>79.732699999999994</v>
      </c>
      <c r="H35" s="7">
        <v>14.2548152911987</v>
      </c>
      <c r="I35" s="7">
        <v>73.419179999999997</v>
      </c>
      <c r="J35" s="7">
        <v>74.368354999999994</v>
      </c>
      <c r="K35" s="7">
        <v>73.057130000000001</v>
      </c>
      <c r="L35" s="7">
        <v>6.46970164640011</v>
      </c>
    </row>
    <row r="36" spans="1:12" ht="15" customHeight="1" x14ac:dyDescent="0.2">
      <c r="A36" s="3">
        <v>45999</v>
      </c>
      <c r="B36" s="4">
        <v>73.057130000000001</v>
      </c>
      <c r="C36" s="5">
        <v>538742.25</v>
      </c>
      <c r="D36" s="4">
        <v>-0.469689999999999</v>
      </c>
      <c r="E36" s="4">
        <v>-0.63880091645470705</v>
      </c>
      <c r="F36" s="4">
        <v>-0.638795951440707</v>
      </c>
      <c r="G36" s="4">
        <v>78.399100000000004</v>
      </c>
      <c r="H36" s="4">
        <v>12.343802348299</v>
      </c>
      <c r="I36" s="4">
        <v>72.655929999999998</v>
      </c>
      <c r="J36" s="4">
        <v>73.458320000000001</v>
      </c>
      <c r="K36" s="4">
        <v>72.098169999999996</v>
      </c>
      <c r="L36" s="4">
        <v>4.6889029702379998</v>
      </c>
    </row>
    <row r="37" spans="1:12" ht="15" customHeight="1" x14ac:dyDescent="0.2">
      <c r="A37" s="6">
        <v>45996</v>
      </c>
      <c r="B37" s="7">
        <v>73.526820000000001</v>
      </c>
      <c r="C37" s="8">
        <v>435912.6</v>
      </c>
      <c r="D37" s="7">
        <v>0.79260499999999401</v>
      </c>
      <c r="E37" s="7">
        <v>1.0897278536655599</v>
      </c>
      <c r="F37" s="7">
        <v>1.08972190974765</v>
      </c>
      <c r="G37" s="7">
        <v>78.903130000000004</v>
      </c>
      <c r="H37" s="7">
        <v>13.066063786218701</v>
      </c>
      <c r="I37" s="7">
        <v>73.096260000000001</v>
      </c>
      <c r="J37" s="7">
        <v>73.64425</v>
      </c>
      <c r="K37" s="7">
        <v>72.675489999999996</v>
      </c>
      <c r="L37" s="7">
        <v>5.3619561114726899</v>
      </c>
    </row>
    <row r="38" spans="1:12" ht="15" customHeight="1" x14ac:dyDescent="0.2">
      <c r="A38" s="3">
        <v>45995</v>
      </c>
      <c r="B38" s="4">
        <v>72.734215000000006</v>
      </c>
      <c r="C38" s="5">
        <v>1187136.6000000001</v>
      </c>
      <c r="D38" s="4">
        <v>1.360161</v>
      </c>
      <c r="E38" s="4">
        <v>1.9056798987486501</v>
      </c>
      <c r="F38" s="4">
        <v>1.90567644859267</v>
      </c>
      <c r="G38" s="4">
        <v>78.052574000000007</v>
      </c>
      <c r="H38" s="4">
        <v>11.8472399074987</v>
      </c>
      <c r="I38" s="4">
        <v>72.029669999999996</v>
      </c>
      <c r="J38" s="4">
        <v>72.959270000000004</v>
      </c>
      <c r="K38" s="4">
        <v>71.354479999999995</v>
      </c>
      <c r="L38" s="4">
        <v>4.2261744575981801</v>
      </c>
    </row>
    <row r="39" spans="1:12" ht="15" customHeight="1" x14ac:dyDescent="0.2">
      <c r="A39" s="6">
        <v>45994</v>
      </c>
      <c r="B39" s="7">
        <v>71.374054000000001</v>
      </c>
      <c r="C39" s="8">
        <v>2383817.1</v>
      </c>
      <c r="D39" s="7">
        <v>-2.9355959999999999</v>
      </c>
      <c r="E39" s="7">
        <v>-3.9504909523863998</v>
      </c>
      <c r="F39" s="7">
        <v>-3.95048104415172</v>
      </c>
      <c r="G39" s="7">
        <v>76.592960000000005</v>
      </c>
      <c r="H39" s="7">
        <v>9.7556522907937993</v>
      </c>
      <c r="I39" s="7">
        <v>74.671700000000001</v>
      </c>
      <c r="J39" s="7">
        <v>74.671700000000001</v>
      </c>
      <c r="K39" s="7">
        <v>71.227270000000004</v>
      </c>
      <c r="L39" s="7">
        <v>2.27710031585592</v>
      </c>
    </row>
    <row r="40" spans="1:12" ht="15" customHeight="1" x14ac:dyDescent="0.2">
      <c r="A40" s="3">
        <v>45993</v>
      </c>
      <c r="B40" s="4">
        <v>74.309650000000005</v>
      </c>
      <c r="C40" s="5">
        <v>1423232.4</v>
      </c>
      <c r="D40" s="4">
        <v>-9.7799999999921196E-3</v>
      </c>
      <c r="E40" s="4">
        <v>-1.3159412013774499E-2</v>
      </c>
      <c r="F40" s="4">
        <v>-1.3165533385905899E-2</v>
      </c>
      <c r="G40" s="4">
        <v>79.743200000000002</v>
      </c>
      <c r="H40" s="4">
        <v>14.269861508880499</v>
      </c>
      <c r="I40" s="4">
        <v>74.564059999999998</v>
      </c>
      <c r="J40" s="4">
        <v>76.276489999999995</v>
      </c>
      <c r="K40" s="4">
        <v>73.937799999999996</v>
      </c>
      <c r="L40" s="4">
        <v>6.4837304531720097</v>
      </c>
    </row>
    <row r="41" spans="1:12" ht="15" customHeight="1" x14ac:dyDescent="0.2">
      <c r="A41" s="6">
        <v>45992</v>
      </c>
      <c r="B41" s="7">
        <v>74.319429999999997</v>
      </c>
      <c r="C41" s="8">
        <v>1725970.8</v>
      </c>
      <c r="D41" s="7">
        <v>-2.0744799999999999</v>
      </c>
      <c r="E41" s="7">
        <v>-2.7155044165169699</v>
      </c>
      <c r="F41" s="7">
        <v>-2.7155080875341699</v>
      </c>
      <c r="G41" s="7">
        <v>79.753699999999995</v>
      </c>
      <c r="H41" s="7">
        <v>14.284907726562301</v>
      </c>
      <c r="I41" s="7">
        <v>76.325419999999994</v>
      </c>
      <c r="J41" s="7">
        <v>76.599400000000003</v>
      </c>
      <c r="K41" s="7">
        <v>74.055229999999995</v>
      </c>
      <c r="L41" s="7">
        <v>6.4977449302127601</v>
      </c>
    </row>
    <row r="42" spans="1:12" ht="15" customHeight="1" x14ac:dyDescent="0.2">
      <c r="A42" s="3">
        <v>45989</v>
      </c>
      <c r="B42" s="4">
        <v>76.393910000000005</v>
      </c>
      <c r="C42" s="5">
        <v>1029767.1</v>
      </c>
      <c r="D42" s="4">
        <v>1.0665899999999999</v>
      </c>
      <c r="E42" s="4">
        <v>1.41594045825605</v>
      </c>
      <c r="F42" s="4">
        <v>1.4159535292015999</v>
      </c>
      <c r="G42" s="4">
        <v>81.979870000000005</v>
      </c>
      <c r="H42" s="4">
        <v>17.474949480532899</v>
      </c>
      <c r="I42" s="4">
        <v>75.513239999999996</v>
      </c>
      <c r="J42" s="4">
        <v>76.902749999999997</v>
      </c>
      <c r="K42" s="4">
        <v>74.877189999999999</v>
      </c>
      <c r="L42" s="4">
        <v>9.4704189927402709</v>
      </c>
    </row>
    <row r="43" spans="1:12" ht="15" customHeight="1" x14ac:dyDescent="0.2">
      <c r="A43" s="6">
        <v>45988</v>
      </c>
      <c r="B43" s="7">
        <v>75.32732</v>
      </c>
      <c r="C43" s="8">
        <v>173172.84</v>
      </c>
      <c r="D43" s="7">
        <v>0.43054999999999599</v>
      </c>
      <c r="E43" s="7">
        <v>0.57485790108171497</v>
      </c>
      <c r="F43" s="7">
        <v>0.57485544008735101</v>
      </c>
      <c r="G43" s="7">
        <v>80.835279999999997</v>
      </c>
      <c r="H43" s="7">
        <v>15.8347827856366</v>
      </c>
      <c r="I43" s="7">
        <v>75.151184000000001</v>
      </c>
      <c r="J43" s="7">
        <v>75.552375999999995</v>
      </c>
      <c r="K43" s="7">
        <v>74.632549999999995</v>
      </c>
      <c r="L43" s="7">
        <v>7.9420242006231003</v>
      </c>
    </row>
    <row r="44" spans="1:12" ht="15" customHeight="1" x14ac:dyDescent="0.2">
      <c r="A44" s="3">
        <v>45987</v>
      </c>
      <c r="B44" s="4">
        <v>74.896770000000004</v>
      </c>
      <c r="C44" s="5">
        <v>386863.56</v>
      </c>
      <c r="D44" s="4">
        <v>-0.83174599999999499</v>
      </c>
      <c r="E44" s="4">
        <v>-1.0983260255621401</v>
      </c>
      <c r="F44" s="4">
        <v>-1.09832897020316</v>
      </c>
      <c r="G44" s="4">
        <v>80.373249999999999</v>
      </c>
      <c r="H44" s="4">
        <v>15.1727062184441</v>
      </c>
      <c r="I44" s="4">
        <v>75.934005999999997</v>
      </c>
      <c r="J44" s="4">
        <v>76.070999999999998</v>
      </c>
      <c r="K44" s="4">
        <v>74.172650000000004</v>
      </c>
      <c r="L44" s="4">
        <v>7.3250576270137104</v>
      </c>
    </row>
    <row r="45" spans="1:12" ht="15" customHeight="1" x14ac:dyDescent="0.2">
      <c r="A45" s="6">
        <v>45986</v>
      </c>
      <c r="B45" s="7">
        <v>75.728515999999999</v>
      </c>
      <c r="C45" s="8">
        <v>439596.68</v>
      </c>
      <c r="D45" s="7">
        <v>-0.29356400000000299</v>
      </c>
      <c r="E45" s="7">
        <v>-0.38615623250508602</v>
      </c>
      <c r="F45" s="7">
        <v>-0.38616170338994199</v>
      </c>
      <c r="G45" s="7">
        <v>81.265816000000001</v>
      </c>
      <c r="H45" s="7">
        <v>16.4517292976224</v>
      </c>
      <c r="I45" s="7">
        <v>75.777439999999999</v>
      </c>
      <c r="J45" s="7">
        <v>76.031850000000006</v>
      </c>
      <c r="K45" s="7">
        <v>74.710840000000005</v>
      </c>
      <c r="L45" s="7">
        <v>8.5169272814866304</v>
      </c>
    </row>
    <row r="46" spans="1:12" ht="15" customHeight="1" x14ac:dyDescent="0.2">
      <c r="A46" s="3">
        <v>45985</v>
      </c>
      <c r="B46" s="4">
        <v>76.022080000000003</v>
      </c>
      <c r="C46" s="5">
        <v>9255222</v>
      </c>
      <c r="D46" s="4">
        <v>0.36205999999999899</v>
      </c>
      <c r="E46" s="4">
        <v>0.47853542729701098</v>
      </c>
      <c r="F46" s="4">
        <v>0.47853790692553499</v>
      </c>
      <c r="G46" s="4">
        <v>81.580849999999998</v>
      </c>
      <c r="H46" s="4">
        <v>16.903164549162199</v>
      </c>
      <c r="I46" s="4">
        <v>75.836150000000004</v>
      </c>
      <c r="J46" s="4">
        <v>76.824470000000005</v>
      </c>
      <c r="K46" s="4">
        <v>74.671700000000001</v>
      </c>
      <c r="L46" s="4">
        <v>8.9375966002999405</v>
      </c>
    </row>
    <row r="47" spans="1:12" ht="15" customHeight="1" x14ac:dyDescent="0.2">
      <c r="A47" s="6">
        <v>45982</v>
      </c>
      <c r="B47" s="7">
        <v>75.660020000000003</v>
      </c>
      <c r="C47" s="8">
        <v>1541907.2</v>
      </c>
      <c r="D47" s="7">
        <v>1.3112349999999899</v>
      </c>
      <c r="E47" s="7">
        <v>1.76362666854608</v>
      </c>
      <c r="F47" s="7">
        <v>1.76362784075241</v>
      </c>
      <c r="G47" s="7">
        <v>81.192313999999996</v>
      </c>
      <c r="H47" s="7">
        <v>16.346402907903599</v>
      </c>
      <c r="I47" s="7">
        <v>74.661919999999995</v>
      </c>
      <c r="J47" s="7">
        <v>75.836150000000004</v>
      </c>
      <c r="K47" s="7">
        <v>74.368354999999994</v>
      </c>
      <c r="L47" s="7">
        <v>8.4187743551692602</v>
      </c>
    </row>
    <row r="48" spans="1:12" ht="15" customHeight="1" x14ac:dyDescent="0.2">
      <c r="A48" s="3">
        <v>45981</v>
      </c>
      <c r="B48" s="4">
        <v>74.348785000000007</v>
      </c>
      <c r="C48" s="5">
        <v>1380590.8</v>
      </c>
      <c r="D48" s="4">
        <v>-1.2035909999999801</v>
      </c>
      <c r="E48" s="4">
        <v>-1.59305512774341</v>
      </c>
      <c r="F48" s="4">
        <v>-1.5930574467665199</v>
      </c>
      <c r="G48" s="4">
        <v>79.785200000000003</v>
      </c>
      <c r="H48" s="4">
        <v>14.330046379607699</v>
      </c>
      <c r="I48" s="4">
        <v>76.795109999999994</v>
      </c>
      <c r="J48" s="4">
        <v>76.795109999999994</v>
      </c>
      <c r="K48" s="4">
        <v>73.311539999999994</v>
      </c>
      <c r="L48" s="4">
        <v>6.5398098559317503</v>
      </c>
    </row>
    <row r="49" spans="1:12" ht="15" customHeight="1" x14ac:dyDescent="0.2">
      <c r="A49" s="6">
        <v>45980</v>
      </c>
      <c r="B49" s="7">
        <v>75.552375999999995</v>
      </c>
      <c r="C49" s="8">
        <v>1069677.8999999999</v>
      </c>
      <c r="D49" s="7">
        <v>-1.3112440000000001</v>
      </c>
      <c r="E49" s="7">
        <v>-1.7059357860064399</v>
      </c>
      <c r="F49" s="7">
        <v>-1.70593250175306</v>
      </c>
      <c r="G49" s="7">
        <v>81.076800000000006</v>
      </c>
      <c r="H49" s="7">
        <v>16.180874451780301</v>
      </c>
      <c r="I49" s="7">
        <v>77.196309999999997</v>
      </c>
      <c r="J49" s="7">
        <v>77.30395</v>
      </c>
      <c r="K49" s="7">
        <v>75.072900000000004</v>
      </c>
      <c r="L49" s="7">
        <v>8.2645233974416694</v>
      </c>
    </row>
    <row r="50" spans="1:12" ht="15" customHeight="1" x14ac:dyDescent="0.2">
      <c r="A50" s="3">
        <v>45979</v>
      </c>
      <c r="B50" s="4">
        <v>76.863619999999997</v>
      </c>
      <c r="C50" s="5">
        <v>4152821</v>
      </c>
      <c r="D50" s="4">
        <v>0.78283000000000402</v>
      </c>
      <c r="E50" s="4">
        <v>1.0289456773516701</v>
      </c>
      <c r="F50" s="4">
        <v>1.0289446173839201</v>
      </c>
      <c r="G50" s="4">
        <v>82.483919999999998</v>
      </c>
      <c r="H50" s="4">
        <v>18.1972395779148</v>
      </c>
      <c r="I50" s="4">
        <v>76.452619999999996</v>
      </c>
      <c r="J50" s="4">
        <v>77.939994999999996</v>
      </c>
      <c r="K50" s="4">
        <v>76.325419999999994</v>
      </c>
      <c r="L50" s="4">
        <v>10.1435007934372</v>
      </c>
    </row>
    <row r="51" spans="1:12" ht="15" customHeight="1" x14ac:dyDescent="0.2">
      <c r="A51" s="6">
        <v>45975</v>
      </c>
      <c r="B51" s="7">
        <v>76.080789999999993</v>
      </c>
      <c r="C51" s="8">
        <v>1286567.3</v>
      </c>
      <c r="D51" s="7">
        <v>0.59690999999999395</v>
      </c>
      <c r="E51" s="7">
        <v>0.79077811050518498</v>
      </c>
      <c r="F51" s="7">
        <v>0.79077522968942204</v>
      </c>
      <c r="G51" s="7">
        <v>81.64385</v>
      </c>
      <c r="H51" s="7">
        <v>16.993441855253</v>
      </c>
      <c r="I51" s="7">
        <v>75.219679999999997</v>
      </c>
      <c r="J51" s="7">
        <v>76.579840000000004</v>
      </c>
      <c r="K51" s="7">
        <v>74.945689999999999</v>
      </c>
      <c r="L51" s="7">
        <v>9.0217264517378695</v>
      </c>
    </row>
    <row r="52" spans="1:12" ht="15" customHeight="1" x14ac:dyDescent="0.2">
      <c r="A52" s="3">
        <v>45974</v>
      </c>
      <c r="B52" s="4">
        <v>75.483879999999999</v>
      </c>
      <c r="C52" s="5">
        <v>1318673.6000000001</v>
      </c>
      <c r="D52" s="4">
        <v>0.70454499999999598</v>
      </c>
      <c r="E52" s="4">
        <v>0.94216537229168096</v>
      </c>
      <c r="F52" s="4">
        <v>0.94217083879406505</v>
      </c>
      <c r="G52" s="4">
        <v>81.003296000000006</v>
      </c>
      <c r="H52" s="4">
        <v>16.0755451961152</v>
      </c>
      <c r="I52" s="4">
        <v>75.611084000000005</v>
      </c>
      <c r="J52" s="4">
        <v>76.423270000000002</v>
      </c>
      <c r="K52" s="4">
        <v>75.151184000000001</v>
      </c>
      <c r="L52" s="4">
        <v>8.1663704711242904</v>
      </c>
    </row>
    <row r="53" spans="1:12" ht="15" customHeight="1" x14ac:dyDescent="0.2">
      <c r="A53" s="6">
        <v>45973</v>
      </c>
      <c r="B53" s="7">
        <v>74.779335000000003</v>
      </c>
      <c r="C53" s="8">
        <v>2008994.0999999901</v>
      </c>
      <c r="D53" s="7">
        <v>-0.99810499999999502</v>
      </c>
      <c r="E53" s="7">
        <v>-1.31715323188537</v>
      </c>
      <c r="F53" s="7">
        <v>-1.3171570686654599</v>
      </c>
      <c r="G53" s="7">
        <v>80.247230000000002</v>
      </c>
      <c r="H53" s="7">
        <v>14.992122946800199</v>
      </c>
      <c r="I53" s="7">
        <v>76.15907</v>
      </c>
      <c r="J53" s="7">
        <v>76.795109999999994</v>
      </c>
      <c r="K53" s="7">
        <v>74.427059999999997</v>
      </c>
      <c r="L53" s="7">
        <v>7.1567764295411296</v>
      </c>
    </row>
    <row r="54" spans="1:12" ht="15" customHeight="1" x14ac:dyDescent="0.2">
      <c r="A54" s="3">
        <v>45972</v>
      </c>
      <c r="B54" s="4">
        <v>75.777439999999999</v>
      </c>
      <c r="C54" s="5">
        <v>1109384.3999999999</v>
      </c>
      <c r="D54" s="4">
        <v>0.55776000000000103</v>
      </c>
      <c r="E54" s="4">
        <v>0.74150807341908298</v>
      </c>
      <c r="F54" s="4">
        <v>0.74150350756654304</v>
      </c>
      <c r="G54" s="4">
        <v>81.31832</v>
      </c>
      <c r="H54" s="4">
        <v>16.526966117923902</v>
      </c>
      <c r="I54" s="4">
        <v>75.395809999999997</v>
      </c>
      <c r="J54" s="4">
        <v>76.863619999999997</v>
      </c>
      <c r="K54" s="4">
        <v>75.346885999999998</v>
      </c>
      <c r="L54" s="4">
        <v>8.5870340580451394</v>
      </c>
    </row>
    <row r="55" spans="1:12" ht="15" customHeight="1" x14ac:dyDescent="0.2">
      <c r="A55" s="6">
        <v>45971</v>
      </c>
      <c r="B55" s="7">
        <v>75.219679999999997</v>
      </c>
      <c r="C55" s="8">
        <v>460161.2</v>
      </c>
      <c r="D55" s="7">
        <v>-0.47948000000000901</v>
      </c>
      <c r="E55" s="7">
        <v>-0.63340200868808805</v>
      </c>
      <c r="F55" s="7">
        <v>-0.63339489762909096</v>
      </c>
      <c r="G55" s="7">
        <v>80.71978</v>
      </c>
      <c r="H55" s="7">
        <v>15.669274391136801</v>
      </c>
      <c r="I55" s="7">
        <v>76.070999999999998</v>
      </c>
      <c r="J55" s="7">
        <v>76.070999999999998</v>
      </c>
      <c r="K55" s="7">
        <v>74.984825000000001</v>
      </c>
      <c r="L55" s="7">
        <v>7.7877789747879698</v>
      </c>
    </row>
    <row r="56" spans="1:12" ht="15" customHeight="1" x14ac:dyDescent="0.2">
      <c r="A56" s="3">
        <v>45968</v>
      </c>
      <c r="B56" s="4">
        <v>75.699160000000006</v>
      </c>
      <c r="C56" s="5">
        <v>351321.52999999898</v>
      </c>
      <c r="D56" s="4">
        <v>0.52841000000000804</v>
      </c>
      <c r="E56" s="4">
        <v>0.70294629227460803</v>
      </c>
      <c r="F56" s="4">
        <v>0.702936856401015</v>
      </c>
      <c r="G56" s="4">
        <v>81.234313999999998</v>
      </c>
      <c r="H56" s="4">
        <v>16.406587778630801</v>
      </c>
      <c r="I56" s="4">
        <v>75.131609999999995</v>
      </c>
      <c r="J56" s="4">
        <v>76.188419999999994</v>
      </c>
      <c r="K56" s="4">
        <v>74.877189999999999</v>
      </c>
      <c r="L56" s="4">
        <v>8.4748609227945604</v>
      </c>
    </row>
    <row r="57" spans="1:12" ht="15" customHeight="1" x14ac:dyDescent="0.2">
      <c r="A57" s="6">
        <v>45967</v>
      </c>
      <c r="B57" s="7">
        <v>75.170749999999998</v>
      </c>
      <c r="C57" s="8">
        <v>1814522</v>
      </c>
      <c r="D57" s="7">
        <v>1.5167299999999899</v>
      </c>
      <c r="E57" s="7">
        <v>2.05926302461154</v>
      </c>
      <c r="F57" s="7">
        <v>2.0592693779519502</v>
      </c>
      <c r="G57" s="7">
        <v>80.667274000000006</v>
      </c>
      <c r="H57" s="7">
        <v>15.5940347048892</v>
      </c>
      <c r="I57" s="7">
        <v>73.243039999999993</v>
      </c>
      <c r="J57" s="7">
        <v>75.79701</v>
      </c>
      <c r="K57" s="7">
        <v>72.577644000000006</v>
      </c>
      <c r="L57" s="7">
        <v>7.7176636003907904</v>
      </c>
    </row>
    <row r="58" spans="1:12" ht="15" customHeight="1" x14ac:dyDescent="0.2">
      <c r="A58" s="3">
        <v>45966</v>
      </c>
      <c r="B58" s="4">
        <v>73.654020000000003</v>
      </c>
      <c r="C58" s="5">
        <v>785478.45</v>
      </c>
      <c r="D58" s="4">
        <v>1.0470250000000001</v>
      </c>
      <c r="E58" s="4">
        <v>1.4420442548269601</v>
      </c>
      <c r="F58" s="4">
        <v>1.44204563758045</v>
      </c>
      <c r="G58" s="4">
        <v>79.039635000000004</v>
      </c>
      <c r="H58" s="4">
        <v>13.261671780947699</v>
      </c>
      <c r="I58" s="4">
        <v>72.763565</v>
      </c>
      <c r="J58" s="4">
        <v>73.879090000000005</v>
      </c>
      <c r="K58" s="4">
        <v>72.323229999999995</v>
      </c>
      <c r="L58" s="4">
        <v>5.54423029138934</v>
      </c>
    </row>
    <row r="59" spans="1:12" ht="15" customHeight="1" x14ac:dyDescent="0.2">
      <c r="A59" s="6">
        <v>45965</v>
      </c>
      <c r="B59" s="7">
        <v>72.606994999999998</v>
      </c>
      <c r="C59" s="8">
        <v>1006744.8</v>
      </c>
      <c r="D59" s="7">
        <v>0.90024499999999796</v>
      </c>
      <c r="E59" s="7">
        <v>1.2554536358153101</v>
      </c>
      <c r="F59" s="7">
        <v>1.2554519182461199</v>
      </c>
      <c r="G59" s="7">
        <v>77.916049999999998</v>
      </c>
      <c r="H59" s="7">
        <v>11.651604686280599</v>
      </c>
      <c r="I59" s="7">
        <v>71.696960000000004</v>
      </c>
      <c r="J59" s="7">
        <v>72.880989999999997</v>
      </c>
      <c r="K59" s="7">
        <v>70.297659999999993</v>
      </c>
      <c r="L59" s="7">
        <v>4.04387161821926</v>
      </c>
    </row>
    <row r="60" spans="1:12" ht="15" customHeight="1" x14ac:dyDescent="0.2">
      <c r="A60" s="3">
        <v>45964</v>
      </c>
      <c r="B60" s="4">
        <v>71.70675</v>
      </c>
      <c r="C60" s="5">
        <v>1365156.5</v>
      </c>
      <c r="D60" s="4">
        <v>-0.89046000000000403</v>
      </c>
      <c r="E60" s="4">
        <v>-1.22657606263382</v>
      </c>
      <c r="F60" s="4">
        <v>-1.226582607279</v>
      </c>
      <c r="G60" s="4">
        <v>76.949979999999996</v>
      </c>
      <c r="H60" s="4">
        <v>10.2672523514372</v>
      </c>
      <c r="I60" s="4">
        <v>72.538499999999999</v>
      </c>
      <c r="J60" s="4">
        <v>72.773349999999994</v>
      </c>
      <c r="K60" s="4">
        <v>70.786929999999998</v>
      </c>
      <c r="L60" s="4">
        <v>2.7538447385096201</v>
      </c>
    </row>
    <row r="61" spans="1:12" ht="15" customHeight="1" x14ac:dyDescent="0.2">
      <c r="A61" s="6">
        <v>45961</v>
      </c>
      <c r="B61" s="7">
        <v>72.597210000000004</v>
      </c>
      <c r="C61" s="8">
        <v>1574047.2</v>
      </c>
      <c r="D61" s="7">
        <v>0.33270000000000199</v>
      </c>
      <c r="E61" s="7">
        <v>0.46039196833964602</v>
      </c>
      <c r="F61" s="7">
        <v>0.46040337068973203</v>
      </c>
      <c r="G61" s="7">
        <v>77.905556000000004</v>
      </c>
      <c r="H61" s="7">
        <v>11.6365670664375</v>
      </c>
      <c r="I61" s="7">
        <v>71.873099999999994</v>
      </c>
      <c r="J61" s="7">
        <v>73.380035000000007</v>
      </c>
      <c r="K61" s="7">
        <v>71.736109999999996</v>
      </c>
      <c r="L61" s="7">
        <v>4.0298499763129501</v>
      </c>
    </row>
    <row r="62" spans="1:12" ht="15" customHeight="1" x14ac:dyDescent="0.2">
      <c r="A62" s="3">
        <v>45960</v>
      </c>
      <c r="B62" s="4">
        <v>72.264510000000001</v>
      </c>
      <c r="C62" s="5">
        <v>7906367</v>
      </c>
      <c r="D62" s="4">
        <v>-0.21527999999999201</v>
      </c>
      <c r="E62" s="4">
        <v>-0.29702072812296498</v>
      </c>
      <c r="F62" s="4">
        <v>-0.297018984684149</v>
      </c>
      <c r="G62" s="4">
        <v>77.548519999999996</v>
      </c>
      <c r="H62" s="4">
        <v>11.1249440782242</v>
      </c>
      <c r="I62" s="4">
        <v>71.716539999999995</v>
      </c>
      <c r="J62" s="4">
        <v>72.792919999999995</v>
      </c>
      <c r="K62" s="4">
        <v>70.777150000000006</v>
      </c>
      <c r="L62" s="4">
        <v>3.5530998217667902</v>
      </c>
    </row>
    <row r="63" spans="1:12" ht="15" customHeight="1" x14ac:dyDescent="0.2">
      <c r="A63" s="6">
        <v>45959</v>
      </c>
      <c r="B63" s="7">
        <v>72.479789999999994</v>
      </c>
      <c r="C63" s="8">
        <v>833873.39999999898</v>
      </c>
      <c r="D63" s="7">
        <v>1.12530999999999</v>
      </c>
      <c r="E63" s="7">
        <v>1.5770698630275199</v>
      </c>
      <c r="F63" s="7">
        <v>1.57707238597635</v>
      </c>
      <c r="G63" s="7">
        <v>77.779539999999997</v>
      </c>
      <c r="H63" s="7">
        <v>11.4559895266861</v>
      </c>
      <c r="I63" s="7">
        <v>72.274299999999997</v>
      </c>
      <c r="J63" s="7">
        <v>73.448530000000005</v>
      </c>
      <c r="K63" s="7">
        <v>69.974754000000004</v>
      </c>
      <c r="L63" s="7">
        <v>3.8615902734370402</v>
      </c>
    </row>
    <row r="64" spans="1:12" ht="15" customHeight="1" x14ac:dyDescent="0.2">
      <c r="A64" s="3">
        <v>45958</v>
      </c>
      <c r="B64" s="4">
        <v>71.354479999999995</v>
      </c>
      <c r="C64" s="5">
        <v>1087310.5</v>
      </c>
      <c r="D64" s="4">
        <v>-0.25442000000001003</v>
      </c>
      <c r="E64" s="4">
        <v>-0.35529103225997399</v>
      </c>
      <c r="F64" s="4">
        <v>-0.35530622820125701</v>
      </c>
      <c r="G64" s="4">
        <v>76.571944999999999</v>
      </c>
      <c r="H64" s="4">
        <v>9.7255383608335109</v>
      </c>
      <c r="I64" s="4">
        <v>71.970955000000004</v>
      </c>
      <c r="J64" s="4">
        <v>73.321330000000003</v>
      </c>
      <c r="K64" s="4">
        <v>70.865210000000005</v>
      </c>
      <c r="L64" s="4">
        <v>2.2490513001508199</v>
      </c>
    </row>
    <row r="65" spans="1:12" ht="15" customHeight="1" x14ac:dyDescent="0.2">
      <c r="A65" s="6">
        <v>45957</v>
      </c>
      <c r="B65" s="7">
        <v>71.608900000000006</v>
      </c>
      <c r="C65" s="8">
        <v>411819.34</v>
      </c>
      <c r="D65" s="7">
        <v>0.82197000000000697</v>
      </c>
      <c r="E65" s="7">
        <v>1.1611889369972801</v>
      </c>
      <c r="F65" s="7">
        <v>1.16119842712691</v>
      </c>
      <c r="G65" s="7">
        <v>76.844980000000007</v>
      </c>
      <c r="H65" s="7">
        <v>10.116790174619201</v>
      </c>
      <c r="I65" s="7">
        <v>70.894570000000002</v>
      </c>
      <c r="J65" s="7">
        <v>72.205799999999996</v>
      </c>
      <c r="K65" s="7">
        <v>70.062820000000002</v>
      </c>
      <c r="L65" s="7">
        <v>2.6136283194463901</v>
      </c>
    </row>
    <row r="66" spans="1:12" ht="15" customHeight="1" x14ac:dyDescent="0.2">
      <c r="A66" s="3">
        <v>45954</v>
      </c>
      <c r="B66" s="4">
        <v>70.786929999999998</v>
      </c>
      <c r="C66" s="5">
        <v>1163133.3</v>
      </c>
      <c r="D66" s="4">
        <v>-1.62435999999999</v>
      </c>
      <c r="E66" s="4">
        <v>-2.2432413508998299</v>
      </c>
      <c r="F66" s="4">
        <v>-2.2432490447331901</v>
      </c>
      <c r="G66" s="4">
        <v>75.962900000000005</v>
      </c>
      <c r="H66" s="4">
        <v>8.8527932514991008</v>
      </c>
      <c r="I66" s="4">
        <v>72.773349999999994</v>
      </c>
      <c r="J66" s="4">
        <v>72.773349999999994</v>
      </c>
      <c r="K66" s="4">
        <v>70.669510000000002</v>
      </c>
      <c r="L66" s="4">
        <v>1.4357674101217599</v>
      </c>
    </row>
    <row r="67" spans="1:12" ht="15" customHeight="1" x14ac:dyDescent="0.2">
      <c r="A67" s="6">
        <v>45953</v>
      </c>
      <c r="B67" s="7">
        <v>72.411289999999994</v>
      </c>
      <c r="C67" s="8">
        <v>1058507.1000000001</v>
      </c>
      <c r="D67" s="7">
        <v>1.7515700000000001</v>
      </c>
      <c r="E67" s="7">
        <v>2.4788804710802599</v>
      </c>
      <c r="F67" s="7">
        <v>2.4788863085793702</v>
      </c>
      <c r="G67" s="7">
        <v>77.706040000000002</v>
      </c>
      <c r="H67" s="7">
        <v>11.350666002913499</v>
      </c>
      <c r="I67" s="7">
        <v>70.464020000000005</v>
      </c>
      <c r="J67" s="7">
        <v>72.685280000000006</v>
      </c>
      <c r="K67" s="7">
        <v>70.366164999999995</v>
      </c>
      <c r="L67" s="7">
        <v>3.7634316152272098</v>
      </c>
    </row>
    <row r="68" spans="1:12" ht="15" customHeight="1" x14ac:dyDescent="0.2">
      <c r="A68" s="3">
        <v>45952</v>
      </c>
      <c r="B68" s="4">
        <v>70.659719999999993</v>
      </c>
      <c r="C68" s="5">
        <v>852868.2</v>
      </c>
      <c r="D68" s="4">
        <v>0.78281999999998597</v>
      </c>
      <c r="E68" s="4">
        <v>1.1202843858270499</v>
      </c>
      <c r="F68" s="4">
        <v>1.12028419046512</v>
      </c>
      <c r="G68" s="4">
        <v>75.826390000000004</v>
      </c>
      <c r="H68" s="4">
        <v>8.65717809190458</v>
      </c>
      <c r="I68" s="4">
        <v>69.935615999999996</v>
      </c>
      <c r="J68" s="4">
        <v>70.855429999999998</v>
      </c>
      <c r="K68" s="4">
        <v>69.43656</v>
      </c>
      <c r="L68" s="4">
        <v>1.2534789004739799</v>
      </c>
    </row>
    <row r="69" spans="1:12" ht="15" customHeight="1" x14ac:dyDescent="0.2">
      <c r="A69" s="6">
        <v>45951</v>
      </c>
      <c r="B69" s="7">
        <v>69.876900000000006</v>
      </c>
      <c r="C69" s="8">
        <v>457930.3</v>
      </c>
      <c r="D69" s="7">
        <v>-0.136989999999997</v>
      </c>
      <c r="E69" s="7">
        <v>-0.19566117523250801</v>
      </c>
      <c r="F69" s="7">
        <v>-0.195665466223127</v>
      </c>
      <c r="G69" s="7">
        <v>74.986329999999995</v>
      </c>
      <c r="H69" s="7">
        <v>7.4533946989738897</v>
      </c>
      <c r="I69" s="7">
        <v>70.552086000000003</v>
      </c>
      <c r="J69" s="7">
        <v>70.552086000000003</v>
      </c>
      <c r="K69" s="7">
        <v>69.289779999999993</v>
      </c>
      <c r="L69" s="7">
        <v>0.13171888850580901</v>
      </c>
    </row>
    <row r="70" spans="1:12" ht="15" customHeight="1" x14ac:dyDescent="0.2">
      <c r="A70" s="3">
        <v>45950</v>
      </c>
      <c r="B70" s="4">
        <v>70.013890000000004</v>
      </c>
      <c r="C70" s="5">
        <v>682421.94</v>
      </c>
      <c r="D70" s="4">
        <v>-0.34249400000000202</v>
      </c>
      <c r="E70" s="4">
        <v>-0.48679875304563602</v>
      </c>
      <c r="F70" s="4">
        <v>-0.48680227303309298</v>
      </c>
      <c r="G70" s="4">
        <v>75.133340000000004</v>
      </c>
      <c r="H70" s="4">
        <v>7.6640560762502101</v>
      </c>
      <c r="I70" s="4">
        <v>69.553985999999995</v>
      </c>
      <c r="J70" s="4">
        <v>70.366164999999995</v>
      </c>
      <c r="K70" s="4">
        <v>68.957085000000006</v>
      </c>
      <c r="L70" s="4">
        <v>0.328021875194345</v>
      </c>
    </row>
    <row r="71" spans="1:12" ht="15" customHeight="1" x14ac:dyDescent="0.2">
      <c r="A71" s="6">
        <v>45947</v>
      </c>
      <c r="B71" s="7">
        <v>70.356384000000006</v>
      </c>
      <c r="C71" s="8">
        <v>1523031</v>
      </c>
      <c r="D71" s="7">
        <v>3.9144000000007298E-2</v>
      </c>
      <c r="E71" s="7">
        <v>5.5667713920515199E-2</v>
      </c>
      <c r="F71" s="7">
        <v>5.5685972462327003E-2</v>
      </c>
      <c r="G71" s="7">
        <v>75.500879999999995</v>
      </c>
      <c r="H71" s="7">
        <v>8.1907310140376701</v>
      </c>
      <c r="I71" s="7">
        <v>70.532520000000005</v>
      </c>
      <c r="J71" s="7">
        <v>70.982640000000004</v>
      </c>
      <c r="K71" s="7">
        <v>68.653739999999999</v>
      </c>
      <c r="L71" s="7">
        <v>0.81880656840483601</v>
      </c>
    </row>
    <row r="72" spans="1:12" ht="15" customHeight="1" x14ac:dyDescent="0.2">
      <c r="A72" s="3">
        <v>45946</v>
      </c>
      <c r="B72" s="4">
        <v>70.317239999999998</v>
      </c>
      <c r="C72" s="5">
        <v>898202.5</v>
      </c>
      <c r="D72" s="4">
        <v>0.59690000000000498</v>
      </c>
      <c r="E72" s="4">
        <v>0.85613466600995503</v>
      </c>
      <c r="F72" s="4">
        <v>0.85612721590113605</v>
      </c>
      <c r="G72" s="4">
        <v>75.458860000000001</v>
      </c>
      <c r="H72" s="4">
        <v>8.1305174838482301</v>
      </c>
      <c r="I72" s="4">
        <v>70.131320000000002</v>
      </c>
      <c r="J72" s="4">
        <v>70.786929999999998</v>
      </c>
      <c r="K72" s="4">
        <v>69.632270000000005</v>
      </c>
      <c r="L72" s="4">
        <v>0.76271426888707805</v>
      </c>
    </row>
    <row r="73" spans="1:12" ht="15" customHeight="1" x14ac:dyDescent="0.2">
      <c r="A73" s="6">
        <v>45945</v>
      </c>
      <c r="B73" s="7">
        <v>69.720339999999993</v>
      </c>
      <c r="C73" s="8">
        <v>1682325.9</v>
      </c>
      <c r="D73" s="7">
        <v>-0.743680000000011</v>
      </c>
      <c r="E73" s="7">
        <v>-1.0554038784616799</v>
      </c>
      <c r="F73" s="7">
        <v>-1.05540624928092</v>
      </c>
      <c r="G73" s="7">
        <v>74.81832</v>
      </c>
      <c r="H73" s="7">
        <v>7.2126408863339799</v>
      </c>
      <c r="I73" s="7">
        <v>70.454229999999995</v>
      </c>
      <c r="J73" s="7">
        <v>71.207695000000001</v>
      </c>
      <c r="K73" s="7">
        <v>69.534409999999994</v>
      </c>
      <c r="L73" s="7">
        <v>-9.2627381995396899E-2</v>
      </c>
    </row>
    <row r="74" spans="1:12" ht="15" customHeight="1" x14ac:dyDescent="0.2">
      <c r="A74" s="3">
        <v>45944</v>
      </c>
      <c r="B74" s="4">
        <v>70.464020000000005</v>
      </c>
      <c r="C74" s="5">
        <v>466059.84</v>
      </c>
      <c r="D74" s="4">
        <v>-1.3503699999999901</v>
      </c>
      <c r="E74" s="4">
        <v>-1.8803613036328699</v>
      </c>
      <c r="F74" s="4">
        <v>-1.8803617546582601</v>
      </c>
      <c r="G74" s="4">
        <v>75.616380000000007</v>
      </c>
      <c r="H74" s="4">
        <v>8.3562394085374798</v>
      </c>
      <c r="I74" s="4">
        <v>71.628460000000004</v>
      </c>
      <c r="J74" s="4">
        <v>71.853530000000006</v>
      </c>
      <c r="K74" s="4">
        <v>70.170456000000001</v>
      </c>
      <c r="L74" s="4">
        <v>0.97304606234751401</v>
      </c>
    </row>
    <row r="75" spans="1:12" ht="15" customHeight="1" x14ac:dyDescent="0.2">
      <c r="A75" s="6">
        <v>45943</v>
      </c>
      <c r="B75" s="7">
        <v>71.814390000000003</v>
      </c>
      <c r="C75" s="8">
        <v>932023.6</v>
      </c>
      <c r="D75" s="7">
        <v>2.0059949999999902</v>
      </c>
      <c r="E75" s="7">
        <v>2.8735727271770002</v>
      </c>
      <c r="F75" s="7">
        <v>2.8735669008321998</v>
      </c>
      <c r="G75" s="7">
        <v>77.065489999999997</v>
      </c>
      <c r="H75" s="7">
        <v>10.432775075668101</v>
      </c>
      <c r="I75" s="7">
        <v>70.835859999999997</v>
      </c>
      <c r="J75" s="7">
        <v>72.127520000000004</v>
      </c>
      <c r="K75" s="7">
        <v>70.327029999999993</v>
      </c>
      <c r="L75" s="7">
        <v>2.90808996434476</v>
      </c>
    </row>
    <row r="76" spans="1:12" ht="15" customHeight="1" x14ac:dyDescent="0.2">
      <c r="A76" s="3">
        <v>45940</v>
      </c>
      <c r="B76" s="4">
        <v>69.808395000000004</v>
      </c>
      <c r="C76" s="5">
        <v>967778.26</v>
      </c>
      <c r="D76" s="4">
        <v>-2.8475349999999899</v>
      </c>
      <c r="E76" s="4">
        <v>-3.9192052183489898</v>
      </c>
      <c r="F76" s="4">
        <v>-3.91920744474344</v>
      </c>
      <c r="G76" s="4">
        <v>74.912819999999996</v>
      </c>
      <c r="H76" s="4">
        <v>7.34805684547017</v>
      </c>
      <c r="I76" s="4">
        <v>73.027760000000001</v>
      </c>
      <c r="J76" s="4">
        <v>73.027760000000001</v>
      </c>
      <c r="K76" s="4">
        <v>69.28</v>
      </c>
      <c r="L76" s="4">
        <v>3.3553065430411998E-2</v>
      </c>
    </row>
    <row r="77" spans="1:12" ht="15" customHeight="1" x14ac:dyDescent="0.2">
      <c r="A77" s="6">
        <v>45939</v>
      </c>
      <c r="B77" s="7">
        <v>72.655929999999998</v>
      </c>
      <c r="C77" s="8">
        <v>894456.05</v>
      </c>
      <c r="D77" s="7">
        <v>-0.23484000000000499</v>
      </c>
      <c r="E77" s="7">
        <v>-0.32218070957407102</v>
      </c>
      <c r="F77" s="7">
        <v>-0.32216589574839399</v>
      </c>
      <c r="G77" s="7">
        <v>77.96857</v>
      </c>
      <c r="H77" s="7">
        <v>11.7268644341518</v>
      </c>
      <c r="I77" s="7">
        <v>73.057130000000001</v>
      </c>
      <c r="J77" s="7">
        <v>73.057130000000001</v>
      </c>
      <c r="K77" s="7">
        <v>71.432760000000002</v>
      </c>
      <c r="L77" s="7">
        <v>4.1139941574820096</v>
      </c>
    </row>
    <row r="78" spans="1:12" ht="15" customHeight="1" x14ac:dyDescent="0.2">
      <c r="A78" s="3">
        <v>45938</v>
      </c>
      <c r="B78" s="4">
        <v>72.890770000000003</v>
      </c>
      <c r="C78" s="5">
        <v>1211302.5</v>
      </c>
      <c r="D78" s="4">
        <v>-0.78282999999998903</v>
      </c>
      <c r="E78" s="4">
        <v>-1.06256515223904</v>
      </c>
      <c r="F78" s="4">
        <v>-1.06257163646248</v>
      </c>
      <c r="G78" s="4">
        <v>78.220569999999995</v>
      </c>
      <c r="H78" s="4">
        <v>12.087973658515001</v>
      </c>
      <c r="I78" s="4">
        <v>73.702960000000004</v>
      </c>
      <c r="J78" s="4">
        <v>73.702960000000004</v>
      </c>
      <c r="K78" s="4">
        <v>72.137309999999999</v>
      </c>
      <c r="L78" s="4">
        <v>4.4505135632338</v>
      </c>
    </row>
    <row r="79" spans="1:12" ht="15" customHeight="1" x14ac:dyDescent="0.2">
      <c r="A79" s="6">
        <v>45937</v>
      </c>
      <c r="B79" s="7">
        <v>73.673599999999993</v>
      </c>
      <c r="C79" s="8">
        <v>362099.94999999902</v>
      </c>
      <c r="D79" s="7">
        <v>0.156569999999987</v>
      </c>
      <c r="E79" s="7">
        <v>0.21297106262316801</v>
      </c>
      <c r="F79" s="7">
        <v>0.21297555016044301</v>
      </c>
      <c r="G79" s="7">
        <v>79.060646000000006</v>
      </c>
      <c r="H79" s="7">
        <v>13.2917799790155</v>
      </c>
      <c r="I79" s="7">
        <v>73.507249999999999</v>
      </c>
      <c r="J79" s="7">
        <v>74.642340000000004</v>
      </c>
      <c r="K79" s="7">
        <v>73.027760000000001</v>
      </c>
      <c r="L79" s="7">
        <v>5.5722879049331002</v>
      </c>
    </row>
    <row r="80" spans="1:12" ht="15" customHeight="1" x14ac:dyDescent="0.2">
      <c r="A80" s="3">
        <v>45936</v>
      </c>
      <c r="B80" s="4">
        <v>73.517030000000005</v>
      </c>
      <c r="C80" s="5">
        <v>434171.2</v>
      </c>
      <c r="D80" s="4">
        <v>-0.25442399999999998</v>
      </c>
      <c r="E80" s="4">
        <v>-0.34488136834065403</v>
      </c>
      <c r="F80" s="4">
        <v>-0.34489196452098803</v>
      </c>
      <c r="G80" s="4">
        <v>78.892623999999998</v>
      </c>
      <c r="H80" s="4">
        <v>13.0510089706982</v>
      </c>
      <c r="I80" s="4">
        <v>73.614890000000003</v>
      </c>
      <c r="J80" s="4">
        <v>74.065020000000004</v>
      </c>
      <c r="K80" s="4">
        <v>71.726326</v>
      </c>
      <c r="L80" s="4">
        <v>5.3479273047008098</v>
      </c>
    </row>
    <row r="81" spans="1:12" ht="15" customHeight="1" x14ac:dyDescent="0.2">
      <c r="A81" s="6">
        <v>45933</v>
      </c>
      <c r="B81" s="7">
        <v>73.771454000000006</v>
      </c>
      <c r="C81" s="8">
        <v>450403.72</v>
      </c>
      <c r="D81" s="7">
        <v>1.8592139999999999</v>
      </c>
      <c r="E81" s="7">
        <v>2.5853929734354</v>
      </c>
      <c r="F81" s="7">
        <v>2.5854000623606099</v>
      </c>
      <c r="G81" s="7">
        <v>79.165660000000003</v>
      </c>
      <c r="H81" s="7">
        <v>13.442262217457101</v>
      </c>
      <c r="I81" s="7">
        <v>72.186226000000005</v>
      </c>
      <c r="J81" s="7">
        <v>74.182434000000001</v>
      </c>
      <c r="K81" s="7">
        <v>71.442549999999997</v>
      </c>
      <c r="L81" s="7">
        <v>5.71251005588881</v>
      </c>
    </row>
    <row r="82" spans="1:12" ht="15" customHeight="1" x14ac:dyDescent="0.2">
      <c r="A82" s="3">
        <v>45932</v>
      </c>
      <c r="B82" s="4">
        <v>71.912239999999997</v>
      </c>
      <c r="C82" s="5">
        <v>679568.66</v>
      </c>
      <c r="D82" s="4">
        <v>-0.58711999999999798</v>
      </c>
      <c r="E82" s="4">
        <v>-0.80982783848022599</v>
      </c>
      <c r="F82" s="4">
        <v>-0.80982851726809602</v>
      </c>
      <c r="G82" s="4">
        <v>77.170494000000005</v>
      </c>
      <c r="H82" s="4">
        <v>10.583242984378501</v>
      </c>
      <c r="I82" s="4">
        <v>72.127520000000004</v>
      </c>
      <c r="J82" s="4">
        <v>72.763565</v>
      </c>
      <c r="K82" s="4">
        <v>71.432760000000002</v>
      </c>
      <c r="L82" s="4">
        <v>3.04830638340799</v>
      </c>
    </row>
    <row r="83" spans="1:12" ht="15" customHeight="1" x14ac:dyDescent="0.2">
      <c r="A83" s="6">
        <v>45931</v>
      </c>
      <c r="B83" s="7">
        <v>72.499359999999996</v>
      </c>
      <c r="C83" s="8">
        <v>580818.54</v>
      </c>
      <c r="D83" s="7">
        <v>-0.87089500000000397</v>
      </c>
      <c r="E83" s="7">
        <v>-1.1869864701983099</v>
      </c>
      <c r="F83" s="7">
        <v>-1.1869861886284001</v>
      </c>
      <c r="G83" s="7">
        <v>77.800545</v>
      </c>
      <c r="H83" s="7">
        <v>11.4860891269152</v>
      </c>
      <c r="I83" s="7">
        <v>73.066909999999993</v>
      </c>
      <c r="J83" s="7">
        <v>73.419179999999997</v>
      </c>
      <c r="K83" s="7">
        <v>71.863320000000002</v>
      </c>
      <c r="L83" s="7">
        <v>3.8896335572496898</v>
      </c>
    </row>
    <row r="84" spans="1:12" ht="15" customHeight="1" x14ac:dyDescent="0.2">
      <c r="A84" s="3">
        <v>45930</v>
      </c>
      <c r="B84" s="4">
        <v>73.370255</v>
      </c>
      <c r="C84" s="5">
        <v>2109884</v>
      </c>
      <c r="D84" s="4">
        <v>1.966845</v>
      </c>
      <c r="E84" s="4">
        <v>2.7545533189521301</v>
      </c>
      <c r="F84" s="4">
        <v>2.7545512229384599</v>
      </c>
      <c r="G84" s="4">
        <v>78.735119999999995</v>
      </c>
      <c r="H84" s="4">
        <v>12.825309973578801</v>
      </c>
      <c r="I84" s="4">
        <v>71.618679999999998</v>
      </c>
      <c r="J84" s="4">
        <v>75.092470000000006</v>
      </c>
      <c r="K84" s="4">
        <v>71.618679999999998</v>
      </c>
      <c r="L84" s="4">
        <v>5.1376026761059403</v>
      </c>
    </row>
    <row r="85" spans="1:12" ht="15" customHeight="1" x14ac:dyDescent="0.2">
      <c r="A85" s="6">
        <v>45929</v>
      </c>
      <c r="B85" s="7">
        <v>71.403409999999994</v>
      </c>
      <c r="C85" s="8">
        <v>365252.6</v>
      </c>
      <c r="D85" s="7">
        <v>0.89046999999999299</v>
      </c>
      <c r="E85" s="7">
        <v>1.2628462236860201</v>
      </c>
      <c r="F85" s="7">
        <v>1.2628441176874801</v>
      </c>
      <c r="G85" s="7">
        <v>76.624459999999999</v>
      </c>
      <c r="H85" s="7">
        <v>9.8007909438391891</v>
      </c>
      <c r="I85" s="7">
        <v>70.845650000000006</v>
      </c>
      <c r="J85" s="7">
        <v>71.941599999999994</v>
      </c>
      <c r="K85" s="7">
        <v>70.610799999999998</v>
      </c>
      <c r="L85" s="7">
        <v>2.3191666745480002</v>
      </c>
    </row>
    <row r="86" spans="1:12" ht="15" customHeight="1" x14ac:dyDescent="0.2">
      <c r="A86" s="3">
        <v>45926</v>
      </c>
      <c r="B86" s="4">
        <v>70.51294</v>
      </c>
      <c r="C86" s="5">
        <v>693283.1</v>
      </c>
      <c r="D86" s="4">
        <v>0.75346399999999303</v>
      </c>
      <c r="E86" s="4">
        <v>1.0800883882785901</v>
      </c>
      <c r="F86" s="4">
        <v>1.0800915625260401</v>
      </c>
      <c r="G86" s="4">
        <v>75.668880000000001</v>
      </c>
      <c r="H86" s="4">
        <v>8.4314704969464707</v>
      </c>
      <c r="I86" s="4">
        <v>69.534409999999994</v>
      </c>
      <c r="J86" s="4">
        <v>70.826070000000001</v>
      </c>
      <c r="K86" s="4">
        <v>69.143005000000002</v>
      </c>
      <c r="L86" s="4">
        <v>1.0431471070135601</v>
      </c>
    </row>
    <row r="87" spans="1:12" ht="15" customHeight="1" x14ac:dyDescent="0.2">
      <c r="A87" s="6">
        <v>45925</v>
      </c>
      <c r="B87" s="7">
        <v>69.759476000000006</v>
      </c>
      <c r="C87" s="8">
        <v>769663.94</v>
      </c>
      <c r="D87" s="7">
        <v>-0.55776399999999104</v>
      </c>
      <c r="E87" s="7">
        <v>-0.79321088256590899</v>
      </c>
      <c r="F87" s="7">
        <v>-0.793200427358697</v>
      </c>
      <c r="G87" s="7">
        <v>74.860320000000002</v>
      </c>
      <c r="H87" s="7">
        <v>7.2728257570611801</v>
      </c>
      <c r="I87" s="7">
        <v>70.141105999999994</v>
      </c>
      <c r="J87" s="7">
        <v>70.424880000000002</v>
      </c>
      <c r="K87" s="7">
        <v>69.221279999999993</v>
      </c>
      <c r="L87" s="7">
        <v>-3.6546546262530899E-2</v>
      </c>
    </row>
    <row r="88" spans="1:12" ht="15" customHeight="1" x14ac:dyDescent="0.2">
      <c r="A88" s="3">
        <v>45924</v>
      </c>
      <c r="B88" s="4">
        <v>70.317239999999998</v>
      </c>
      <c r="C88" s="5">
        <v>1095361.2</v>
      </c>
      <c r="D88" s="4">
        <v>9.7899999999953007E-3</v>
      </c>
      <c r="E88" s="4">
        <v>1.39245556480815E-2</v>
      </c>
      <c r="F88" s="4">
        <v>1.3911501116181601E-2</v>
      </c>
      <c r="G88" s="4">
        <v>75.458860000000001</v>
      </c>
      <c r="H88" s="4">
        <v>8.1305174838482301</v>
      </c>
      <c r="I88" s="4">
        <v>70.121539999999996</v>
      </c>
      <c r="J88" s="4">
        <v>70.718429999999998</v>
      </c>
      <c r="K88" s="4">
        <v>69.015789999999996</v>
      </c>
      <c r="L88" s="4">
        <v>0.76271426888707805</v>
      </c>
    </row>
    <row r="89" spans="1:12" ht="15" customHeight="1" x14ac:dyDescent="0.2">
      <c r="A89" s="6">
        <v>45923</v>
      </c>
      <c r="B89" s="7">
        <v>70.307450000000003</v>
      </c>
      <c r="C89" s="8">
        <v>654171.39999999898</v>
      </c>
      <c r="D89" s="7">
        <v>0.68497000000000696</v>
      </c>
      <c r="E89" s="7">
        <v>0.98383453160530898</v>
      </c>
      <c r="F89" s="7">
        <v>0.98383273341791</v>
      </c>
      <c r="G89" s="7">
        <v>75.448363999999998</v>
      </c>
      <c r="H89" s="7">
        <v>8.1154769980588792</v>
      </c>
      <c r="I89" s="7">
        <v>69.955179999999999</v>
      </c>
      <c r="J89" s="7">
        <v>70.640150000000006</v>
      </c>
      <c r="K89" s="7">
        <v>69.182140000000004</v>
      </c>
      <c r="L89" s="7">
        <v>0.74868546211519704</v>
      </c>
    </row>
    <row r="90" spans="1:12" ht="15" customHeight="1" x14ac:dyDescent="0.2">
      <c r="A90" s="3">
        <v>45922</v>
      </c>
      <c r="B90" s="4">
        <v>69.622479999999996</v>
      </c>
      <c r="C90" s="5">
        <v>858401</v>
      </c>
      <c r="D90" s="4">
        <v>-2.0842700000000001</v>
      </c>
      <c r="E90" s="4">
        <v>-2.90665802033979</v>
      </c>
      <c r="F90" s="4">
        <v>-2.9066544266807899</v>
      </c>
      <c r="G90" s="4">
        <v>74.713310000000007</v>
      </c>
      <c r="H90" s="4">
        <v>7.0621643797848703</v>
      </c>
      <c r="I90" s="4">
        <v>71.393619999999999</v>
      </c>
      <c r="J90" s="4">
        <v>71.530619999999999</v>
      </c>
      <c r="K90" s="4">
        <v>69.240849999999995</v>
      </c>
      <c r="L90" s="4">
        <v>-0.23285813078976</v>
      </c>
    </row>
    <row r="91" spans="1:12" ht="15" customHeight="1" x14ac:dyDescent="0.2">
      <c r="A91" s="6">
        <v>45919</v>
      </c>
      <c r="B91" s="7">
        <v>71.70675</v>
      </c>
      <c r="C91" s="8">
        <v>4871992</v>
      </c>
      <c r="D91" s="7">
        <v>2.2995499999999902</v>
      </c>
      <c r="E91" s="7">
        <v>3.3131288972901798</v>
      </c>
      <c r="F91" s="7">
        <v>3.3131231598813402</v>
      </c>
      <c r="G91" s="7">
        <v>76.949979999999996</v>
      </c>
      <c r="H91" s="7">
        <v>10.2672523514372</v>
      </c>
      <c r="I91" s="7">
        <v>69.632270000000005</v>
      </c>
      <c r="J91" s="7">
        <v>72.910349999999994</v>
      </c>
      <c r="K91" s="7">
        <v>68.193825000000004</v>
      </c>
      <c r="L91" s="7">
        <v>2.7538447385096201</v>
      </c>
    </row>
    <row r="92" spans="1:12" ht="15" customHeight="1" x14ac:dyDescent="0.2">
      <c r="A92" s="3">
        <v>45918</v>
      </c>
      <c r="B92" s="4">
        <v>69.407200000000003</v>
      </c>
      <c r="C92" s="5">
        <v>519226.26</v>
      </c>
      <c r="D92" s="4">
        <v>-0.86110999999999605</v>
      </c>
      <c r="E92" s="4">
        <v>-1.2254599548501901</v>
      </c>
      <c r="F92" s="4">
        <v>-1.2254536619987899</v>
      </c>
      <c r="G92" s="4">
        <v>74.482290000000006</v>
      </c>
      <c r="H92" s="4">
        <v>6.7311189313230404</v>
      </c>
      <c r="I92" s="4">
        <v>69.86712</v>
      </c>
      <c r="J92" s="4">
        <v>70.26831</v>
      </c>
      <c r="K92" s="4">
        <v>68.506960000000007</v>
      </c>
      <c r="L92" s="4">
        <v>-0.54134858246000905</v>
      </c>
    </row>
    <row r="93" spans="1:12" ht="15" customHeight="1" x14ac:dyDescent="0.2">
      <c r="A93" s="6">
        <v>45917</v>
      </c>
      <c r="B93" s="7">
        <v>70.26831</v>
      </c>
      <c r="C93" s="8">
        <v>5867651.3999999901</v>
      </c>
      <c r="D93" s="7">
        <v>-0.15657000000000201</v>
      </c>
      <c r="E93" s="7">
        <v>-0.22232199756677601</v>
      </c>
      <c r="F93" s="7">
        <v>-0.22232402038891899</v>
      </c>
      <c r="G93" s="7">
        <v>75.406360000000006</v>
      </c>
      <c r="H93" s="7">
        <v>8.05528639543925</v>
      </c>
      <c r="I93" s="7">
        <v>70.464020000000005</v>
      </c>
      <c r="J93" s="7">
        <v>71.197913999999997</v>
      </c>
      <c r="K93" s="7">
        <v>68.761369999999999</v>
      </c>
      <c r="L93" s="7">
        <v>0.69259889448989598</v>
      </c>
    </row>
    <row r="94" spans="1:12" ht="15" customHeight="1" x14ac:dyDescent="0.2">
      <c r="A94" s="3">
        <v>45915</v>
      </c>
      <c r="B94" s="4">
        <v>70.424880000000002</v>
      </c>
      <c r="C94" s="5">
        <v>663307.55999999901</v>
      </c>
      <c r="D94" s="4">
        <v>2.9359999999996899E-2</v>
      </c>
      <c r="E94" s="4">
        <v>4.1707199549056898E-2</v>
      </c>
      <c r="F94" s="4">
        <v>4.1698171952142503E-2</v>
      </c>
      <c r="G94" s="4">
        <v>75.574380000000005</v>
      </c>
      <c r="H94" s="4">
        <v>8.2960545378102797</v>
      </c>
      <c r="I94" s="4">
        <v>70.835859999999997</v>
      </c>
      <c r="J94" s="4">
        <v>70.9435</v>
      </c>
      <c r="K94" s="4">
        <v>70.111750000000001</v>
      </c>
      <c r="L94" s="4">
        <v>0.91695949472221205</v>
      </c>
    </row>
    <row r="95" spans="1:12" ht="15" customHeight="1" x14ac:dyDescent="0.2">
      <c r="A95" s="6">
        <v>45912</v>
      </c>
      <c r="B95" s="7">
        <v>70.395520000000005</v>
      </c>
      <c r="C95" s="8">
        <v>2786678.1999999899</v>
      </c>
      <c r="D95" s="7">
        <v>1.9574000000005701E-2</v>
      </c>
      <c r="E95" s="7">
        <v>2.7813480475291599E-2</v>
      </c>
      <c r="F95" s="7">
        <v>2.7825054004870699E-2</v>
      </c>
      <c r="G95" s="7">
        <v>75.542879999999997</v>
      </c>
      <c r="H95" s="7">
        <v>8.2509158847648703</v>
      </c>
      <c r="I95" s="7">
        <v>70.209599999999995</v>
      </c>
      <c r="J95" s="7">
        <v>70.845650000000006</v>
      </c>
      <c r="K95" s="7">
        <v>69.563770000000005</v>
      </c>
      <c r="L95" s="7">
        <v>0.87488740413768096</v>
      </c>
    </row>
    <row r="96" spans="1:12" ht="15" customHeight="1" x14ac:dyDescent="0.2">
      <c r="A96" s="3">
        <v>45911</v>
      </c>
      <c r="B96" s="4">
        <v>70.375945999999999</v>
      </c>
      <c r="C96" s="5">
        <v>356050.02</v>
      </c>
      <c r="D96" s="4">
        <v>1.8004909999999901</v>
      </c>
      <c r="E96" s="4">
        <v>2.6255618719554801</v>
      </c>
      <c r="F96" s="4">
        <v>2.6255650925156302</v>
      </c>
      <c r="G96" s="4">
        <v>75.521866000000003</v>
      </c>
      <c r="H96" s="4">
        <v>8.2208033877777105</v>
      </c>
      <c r="I96" s="4">
        <v>68.506960000000007</v>
      </c>
      <c r="J96" s="4">
        <v>70.845650000000006</v>
      </c>
      <c r="K96" s="4">
        <v>68.438460000000006</v>
      </c>
      <c r="L96" s="4">
        <v>0.84683838843257397</v>
      </c>
    </row>
    <row r="97" spans="1:12" ht="15" customHeight="1" x14ac:dyDescent="0.2">
      <c r="A97" s="6">
        <v>45910</v>
      </c>
      <c r="B97" s="7">
        <v>68.575455000000005</v>
      </c>
      <c r="C97" s="8">
        <v>666198.6</v>
      </c>
      <c r="D97" s="7">
        <v>-1.0372349999999899</v>
      </c>
      <c r="E97" s="7">
        <v>-1.49000850276005</v>
      </c>
      <c r="F97" s="7">
        <v>-1.49001767738172</v>
      </c>
      <c r="G97" s="7">
        <v>73.58972</v>
      </c>
      <c r="H97" s="7">
        <v>5.4520901202522296</v>
      </c>
      <c r="I97" s="7">
        <v>69.143005000000002</v>
      </c>
      <c r="J97" s="7">
        <v>69.994320000000002</v>
      </c>
      <c r="K97" s="7">
        <v>67.773055999999997</v>
      </c>
      <c r="L97" s="7">
        <v>-1.7332168039598099</v>
      </c>
    </row>
    <row r="98" spans="1:12" ht="15" customHeight="1" x14ac:dyDescent="0.2">
      <c r="A98" s="3">
        <v>45909</v>
      </c>
      <c r="B98" s="4">
        <v>69.612690000000001</v>
      </c>
      <c r="C98" s="5">
        <v>599212.5</v>
      </c>
      <c r="D98" s="4">
        <v>-0.30334999999999401</v>
      </c>
      <c r="E98" s="4">
        <v>-0.43387754798468398</v>
      </c>
      <c r="F98" s="4">
        <v>-0.43386944638111802</v>
      </c>
      <c r="G98" s="4">
        <v>74.702804999999998</v>
      </c>
      <c r="H98" s="4">
        <v>7.0471109972374997</v>
      </c>
      <c r="I98" s="4">
        <v>70.013890000000004</v>
      </c>
      <c r="J98" s="4">
        <v>70.013890000000004</v>
      </c>
      <c r="K98" s="4">
        <v>68.976650000000006</v>
      </c>
      <c r="L98" s="4">
        <v>-0.24688693756164101</v>
      </c>
    </row>
    <row r="99" spans="1:12" ht="15" customHeight="1" x14ac:dyDescent="0.2">
      <c r="A99" s="6">
        <v>45908</v>
      </c>
      <c r="B99" s="7">
        <v>69.916039999999995</v>
      </c>
      <c r="C99" s="8">
        <v>580226.87</v>
      </c>
      <c r="D99" s="7">
        <v>-0.13699000000001099</v>
      </c>
      <c r="E99" s="7">
        <v>-0.19555185550148499</v>
      </c>
      <c r="F99" s="7">
        <v>-0.195556149130826</v>
      </c>
      <c r="G99" s="7">
        <v>75.028329999999997</v>
      </c>
      <c r="H99" s="7">
        <v>7.5135795697010899</v>
      </c>
      <c r="I99" s="7">
        <v>69.700770000000006</v>
      </c>
      <c r="J99" s="7">
        <v>70.307450000000003</v>
      </c>
      <c r="K99" s="7">
        <v>69.064719999999994</v>
      </c>
      <c r="L99" s="7">
        <v>0.18780545613109101</v>
      </c>
    </row>
    <row r="100" spans="1:12" ht="15" customHeight="1" x14ac:dyDescent="0.2">
      <c r="A100" s="3">
        <v>45905</v>
      </c>
      <c r="B100" s="4">
        <v>70.053030000000007</v>
      </c>
      <c r="C100" s="5">
        <v>722561.7</v>
      </c>
      <c r="D100" s="4">
        <v>1.2133799999999999</v>
      </c>
      <c r="E100" s="4">
        <v>1.7626179098818799</v>
      </c>
      <c r="F100" s="4">
        <v>1.7626139045749201</v>
      </c>
      <c r="G100" s="4">
        <v>75.175340000000006</v>
      </c>
      <c r="H100" s="4">
        <v>7.7242409469774103</v>
      </c>
      <c r="I100" s="4">
        <v>68.839650000000006</v>
      </c>
      <c r="J100" s="4">
        <v>70.327029999999993</v>
      </c>
      <c r="K100" s="4">
        <v>68.516739999999999</v>
      </c>
      <c r="L100" s="4">
        <v>0.38410844281964701</v>
      </c>
    </row>
    <row r="101" spans="1:12" ht="15" customHeight="1" x14ac:dyDescent="0.2">
      <c r="A101" s="6">
        <v>45904</v>
      </c>
      <c r="B101" s="7">
        <v>68.839650000000006</v>
      </c>
      <c r="C101" s="8">
        <v>202921.51</v>
      </c>
      <c r="D101" s="7">
        <v>0.62625600000001203</v>
      </c>
      <c r="E101" s="7">
        <v>0.91808362445653302</v>
      </c>
      <c r="F101" s="7">
        <v>0.91808616772486296</v>
      </c>
      <c r="G101" s="7">
        <v>73.873239999999996</v>
      </c>
      <c r="H101" s="7">
        <v>5.8583666571230504</v>
      </c>
      <c r="I101" s="7">
        <v>68.448239999999998</v>
      </c>
      <c r="J101" s="7">
        <v>69.309349999999995</v>
      </c>
      <c r="K101" s="7">
        <v>68.027469999999994</v>
      </c>
      <c r="L101" s="7">
        <v>-1.3546324724890599</v>
      </c>
    </row>
    <row r="102" spans="1:12" ht="15" customHeight="1" x14ac:dyDescent="0.2">
      <c r="A102" s="3">
        <v>45903</v>
      </c>
      <c r="B102" s="4">
        <v>68.213393999999994</v>
      </c>
      <c r="C102" s="5">
        <v>333019.59999999998</v>
      </c>
      <c r="D102" s="4">
        <v>-0.36206100000001101</v>
      </c>
      <c r="E102" s="4">
        <v>-0.52797462299012299</v>
      </c>
      <c r="F102" s="4">
        <v>-0.52796776506284204</v>
      </c>
      <c r="G102" s="4">
        <v>73.201189999999997</v>
      </c>
      <c r="H102" s="4">
        <v>4.8953370768322797</v>
      </c>
      <c r="I102" s="4">
        <v>68.448239999999998</v>
      </c>
      <c r="J102" s="4">
        <v>69.260419999999996</v>
      </c>
      <c r="K102" s="4">
        <v>67.499070000000003</v>
      </c>
      <c r="L102" s="4">
        <v>-2.2520404820636299</v>
      </c>
    </row>
    <row r="103" spans="1:12" ht="15" customHeight="1" x14ac:dyDescent="0.2">
      <c r="A103" s="6">
        <v>45902</v>
      </c>
      <c r="B103" s="7">
        <v>68.575455000000005</v>
      </c>
      <c r="C103" s="8">
        <v>310764.79999999999</v>
      </c>
      <c r="D103" s="7">
        <v>0.72412500000000002</v>
      </c>
      <c r="E103" s="7">
        <v>1.06722300063977</v>
      </c>
      <c r="F103" s="7">
        <v>1.0672184022968401</v>
      </c>
      <c r="G103" s="7">
        <v>73.58972</v>
      </c>
      <c r="H103" s="7">
        <v>5.4520901202522296</v>
      </c>
      <c r="I103" s="7">
        <v>67.655630000000002</v>
      </c>
      <c r="J103" s="7">
        <v>69.43656</v>
      </c>
      <c r="K103" s="7">
        <v>67.362070000000003</v>
      </c>
      <c r="L103" s="7">
        <v>-1.7332168039598099</v>
      </c>
    </row>
    <row r="104" spans="1:12" ht="15" customHeight="1" x14ac:dyDescent="0.2">
      <c r="A104" s="3">
        <v>45901</v>
      </c>
      <c r="B104" s="4">
        <v>67.851330000000004</v>
      </c>
      <c r="C104" s="5">
        <v>275558.96000000002</v>
      </c>
      <c r="D104" s="4">
        <v>0.49904000000000698</v>
      </c>
      <c r="E104" s="4">
        <v>0.740939914589411</v>
      </c>
      <c r="F104" s="4">
        <v>0.74094684050409698</v>
      </c>
      <c r="G104" s="4">
        <v>72.812650000000005</v>
      </c>
      <c r="H104" s="4">
        <v>4.3385697036812196</v>
      </c>
      <c r="I104" s="4">
        <v>67.636060000000001</v>
      </c>
      <c r="J104" s="4">
        <v>68.458029999999994</v>
      </c>
      <c r="K104" s="4">
        <v>66.980446000000001</v>
      </c>
      <c r="L104" s="4">
        <v>-2.7708684590867501</v>
      </c>
    </row>
    <row r="105" spans="1:12" ht="15" customHeight="1" x14ac:dyDescent="0.2">
      <c r="A105" s="6">
        <v>45898</v>
      </c>
      <c r="B105" s="7">
        <v>67.352289999999996</v>
      </c>
      <c r="C105" s="8">
        <v>1334483</v>
      </c>
      <c r="D105" s="7">
        <v>-1.1350899999999999</v>
      </c>
      <c r="E105" s="7">
        <v>-1.6573710368246</v>
      </c>
      <c r="F105" s="7">
        <v>-1.65738012041873</v>
      </c>
      <c r="G105" s="7">
        <v>72.277114999999995</v>
      </c>
      <c r="H105" s="7">
        <v>3.5711624478505102</v>
      </c>
      <c r="I105" s="7">
        <v>68.389533999999998</v>
      </c>
      <c r="J105" s="7">
        <v>68.389533999999998</v>
      </c>
      <c r="K105" s="7">
        <v>67.176154999999994</v>
      </c>
      <c r="L105" s="7">
        <v>-3.4859793611748602</v>
      </c>
    </row>
    <row r="106" spans="1:12" ht="15" customHeight="1" x14ac:dyDescent="0.2">
      <c r="A106" s="3">
        <v>45897</v>
      </c>
      <c r="B106" s="4">
        <v>68.487380000000002</v>
      </c>
      <c r="C106" s="5">
        <v>888021.89999999898</v>
      </c>
      <c r="D106" s="4">
        <v>0.45991000000000698</v>
      </c>
      <c r="E106" s="4">
        <v>0.67606512486795201</v>
      </c>
      <c r="F106" s="4">
        <v>0.67606672559681302</v>
      </c>
      <c r="G106" s="4">
        <v>73.49521</v>
      </c>
      <c r="H106" s="4">
        <v>5.3166598313849098</v>
      </c>
      <c r="I106" s="4">
        <v>67.704560000000001</v>
      </c>
      <c r="J106" s="4">
        <v>69.211500000000001</v>
      </c>
      <c r="K106" s="4">
        <v>67.704560000000001</v>
      </c>
      <c r="L106" s="4">
        <v>-1.8594259108478599</v>
      </c>
    </row>
    <row r="107" spans="1:12" ht="15" customHeight="1" x14ac:dyDescent="0.2">
      <c r="A107" s="6">
        <v>45896</v>
      </c>
      <c r="B107" s="7">
        <v>68.027469999999994</v>
      </c>
      <c r="C107" s="8">
        <v>677613.7</v>
      </c>
      <c r="D107" s="7">
        <v>-0.19571000000000499</v>
      </c>
      <c r="E107" s="7">
        <v>-0.28686730814952899</v>
      </c>
      <c r="F107" s="7">
        <v>-0.286866755841863</v>
      </c>
      <c r="G107" s="7">
        <v>73.001670000000004</v>
      </c>
      <c r="H107" s="7">
        <v>4.6094302814158503</v>
      </c>
      <c r="I107" s="7">
        <v>68.604810000000001</v>
      </c>
      <c r="J107" s="7">
        <v>69.475700000000003</v>
      </c>
      <c r="K107" s="7">
        <v>67.636060000000001</v>
      </c>
      <c r="L107" s="7">
        <v>-2.5184645750418002</v>
      </c>
    </row>
    <row r="108" spans="1:12" ht="15" customHeight="1" x14ac:dyDescent="0.2">
      <c r="A108" s="3">
        <v>45895</v>
      </c>
      <c r="B108" s="4">
        <v>68.223179999999999</v>
      </c>
      <c r="C108" s="5">
        <v>4183140.5999999898</v>
      </c>
      <c r="D108" s="4">
        <v>-2.5148299999999999</v>
      </c>
      <c r="E108" s="4">
        <v>-3.55513252351883</v>
      </c>
      <c r="F108" s="4">
        <v>-3.5551255163982698</v>
      </c>
      <c r="G108" s="4">
        <v>73.211690000000004</v>
      </c>
      <c r="H108" s="4">
        <v>4.9103832945140899</v>
      </c>
      <c r="I108" s="4">
        <v>69.974754000000004</v>
      </c>
      <c r="J108" s="4">
        <v>70.738010000000003</v>
      </c>
      <c r="K108" s="4">
        <v>67.332719999999995</v>
      </c>
      <c r="L108" s="4">
        <v>-2.2380174071841799</v>
      </c>
    </row>
    <row r="109" spans="1:12" ht="15" customHeight="1" x14ac:dyDescent="0.2">
      <c r="A109" s="6">
        <v>45894</v>
      </c>
      <c r="B109" s="7">
        <v>70.738010000000003</v>
      </c>
      <c r="C109" s="8">
        <v>922647.34</v>
      </c>
      <c r="D109" s="7">
        <v>0.17613599999999899</v>
      </c>
      <c r="E109" s="7">
        <v>0.249619220714003</v>
      </c>
      <c r="F109" s="7">
        <v>0.2496124278754</v>
      </c>
      <c r="G109" s="7">
        <v>75.910399999999996</v>
      </c>
      <c r="H109" s="7">
        <v>8.7775621630900904</v>
      </c>
      <c r="I109" s="7">
        <v>70.953284999999994</v>
      </c>
      <c r="J109" s="7">
        <v>71.41319</v>
      </c>
      <c r="K109" s="7">
        <v>70.317239999999998</v>
      </c>
      <c r="L109" s="7">
        <v>1.36566636545571</v>
      </c>
    </row>
    <row r="110" spans="1:12" ht="15" customHeight="1" x14ac:dyDescent="0.2">
      <c r="A110" s="3">
        <v>45891</v>
      </c>
      <c r="B110" s="4">
        <v>70.561874000000003</v>
      </c>
      <c r="C110" s="5">
        <v>832845.4</v>
      </c>
      <c r="D110" s="4">
        <v>1.4677939999999901</v>
      </c>
      <c r="E110" s="4">
        <v>2.1243411881307401</v>
      </c>
      <c r="F110" s="4">
        <v>2.1243415211581</v>
      </c>
      <c r="G110" s="4">
        <v>75.72139</v>
      </c>
      <c r="H110" s="4">
        <v>8.5067159150865894</v>
      </c>
      <c r="I110" s="4">
        <v>69.182140000000004</v>
      </c>
      <c r="J110" s="4">
        <v>71.383835000000005</v>
      </c>
      <c r="K110" s="4">
        <v>68.839650000000006</v>
      </c>
      <c r="L110" s="4">
        <v>1.1132682133031999</v>
      </c>
    </row>
    <row r="111" spans="1:12" ht="15" customHeight="1" x14ac:dyDescent="0.2">
      <c r="A111" s="6">
        <v>45890</v>
      </c>
      <c r="B111" s="7">
        <v>69.094080000000005</v>
      </c>
      <c r="C111" s="8">
        <v>460447.36</v>
      </c>
      <c r="D111" s="7">
        <v>0.53820000000000301</v>
      </c>
      <c r="E111" s="7">
        <v>0.78505301077018697</v>
      </c>
      <c r="F111" s="7">
        <v>0.78506201889363403</v>
      </c>
      <c r="G111" s="7">
        <v>74.146270000000001</v>
      </c>
      <c r="H111" s="7">
        <v>6.2496113060432101</v>
      </c>
      <c r="I111" s="7">
        <v>68.448239999999998</v>
      </c>
      <c r="J111" s="7">
        <v>69.671400000000006</v>
      </c>
      <c r="K111" s="7">
        <v>68.213393999999994</v>
      </c>
      <c r="L111" s="7">
        <v>-0.99004112346238204</v>
      </c>
    </row>
    <row r="112" spans="1:12" ht="15" customHeight="1" x14ac:dyDescent="0.2">
      <c r="A112" s="3">
        <v>45889</v>
      </c>
      <c r="B112" s="4">
        <v>68.555880000000002</v>
      </c>
      <c r="C112" s="5">
        <v>599489.43999999994</v>
      </c>
      <c r="D112" s="4">
        <v>-0.136989999999997</v>
      </c>
      <c r="E112" s="4">
        <v>-0.19942389945273301</v>
      </c>
      <c r="F112" s="4">
        <v>-0.199428290193748</v>
      </c>
      <c r="G112" s="4">
        <v>73.568709999999996</v>
      </c>
      <c r="H112" s="4">
        <v>5.4219833551574999</v>
      </c>
      <c r="I112" s="4">
        <v>69.035359999999997</v>
      </c>
      <c r="J112" s="4">
        <v>69.211500000000001</v>
      </c>
      <c r="K112" s="4">
        <v>68.095969999999994</v>
      </c>
      <c r="L112" s="4">
        <v>-1.76126725263803</v>
      </c>
    </row>
    <row r="113" spans="1:12" ht="15" customHeight="1" x14ac:dyDescent="0.2">
      <c r="A113" s="6">
        <v>45888</v>
      </c>
      <c r="B113" s="7">
        <v>68.692869999999999</v>
      </c>
      <c r="C113" s="8">
        <v>567527.19999999995</v>
      </c>
      <c r="D113" s="7">
        <v>8.8059999999998695E-2</v>
      </c>
      <c r="E113" s="7">
        <v>0.12835834688558201</v>
      </c>
      <c r="F113" s="7">
        <v>0.128359731066685</v>
      </c>
      <c r="G113" s="7">
        <v>73.715720000000005</v>
      </c>
      <c r="H113" s="7">
        <v>5.6326447324338202</v>
      </c>
      <c r="I113" s="7">
        <v>68.007903999999996</v>
      </c>
      <c r="J113" s="7">
        <v>69.28</v>
      </c>
      <c r="K113" s="7">
        <v>67.567565999999999</v>
      </c>
      <c r="L113" s="7">
        <v>-1.56496426594949</v>
      </c>
    </row>
    <row r="114" spans="1:12" ht="15" customHeight="1" x14ac:dyDescent="0.2">
      <c r="A114" s="3">
        <v>45887</v>
      </c>
      <c r="B114" s="4">
        <v>68.604810000000001</v>
      </c>
      <c r="C114" s="5">
        <v>562323.5</v>
      </c>
      <c r="D114" s="4">
        <v>-0.74368499999999904</v>
      </c>
      <c r="E114" s="4">
        <v>-1.07238808859514</v>
      </c>
      <c r="F114" s="4">
        <v>-1.07239668639678</v>
      </c>
      <c r="G114" s="4">
        <v>73.621219999999994</v>
      </c>
      <c r="H114" s="4">
        <v>5.4972287732976097</v>
      </c>
      <c r="I114" s="4">
        <v>69.769264000000007</v>
      </c>
      <c r="J114" s="4">
        <v>69.769264000000007</v>
      </c>
      <c r="K114" s="4">
        <v>68.448239999999998</v>
      </c>
      <c r="L114" s="4">
        <v>-1.6911518782408499</v>
      </c>
    </row>
    <row r="115" spans="1:12" ht="15" customHeight="1" x14ac:dyDescent="0.2">
      <c r="A115" s="6">
        <v>45884</v>
      </c>
      <c r="B115" s="7">
        <v>69.348495</v>
      </c>
      <c r="C115" s="8">
        <v>533479.25</v>
      </c>
      <c r="D115" s="7">
        <v>-7.8275000000004896E-2</v>
      </c>
      <c r="E115" s="7">
        <v>-0.112744694877786</v>
      </c>
      <c r="F115" s="7">
        <v>-0.112746698837062</v>
      </c>
      <c r="G115" s="7">
        <v>74.419290000000004</v>
      </c>
      <c r="H115" s="7">
        <v>6.6408416252322402</v>
      </c>
      <c r="I115" s="7">
        <v>69.368065000000001</v>
      </c>
      <c r="J115" s="7">
        <v>69.749690000000001</v>
      </c>
      <c r="K115" s="7">
        <v>69.054929999999999</v>
      </c>
      <c r="L115" s="7">
        <v>-0.62547126903239703</v>
      </c>
    </row>
    <row r="116" spans="1:12" ht="15" customHeight="1" x14ac:dyDescent="0.2">
      <c r="A116" s="3">
        <v>45883</v>
      </c>
      <c r="B116" s="4">
        <v>69.426770000000005</v>
      </c>
      <c r="C116" s="5">
        <v>599874.69999999995</v>
      </c>
      <c r="D116" s="4">
        <v>-0.17613500000000201</v>
      </c>
      <c r="E116" s="4">
        <v>-0.25305696651598503</v>
      </c>
      <c r="F116" s="4">
        <v>-0.25305151936678699</v>
      </c>
      <c r="G116" s="4">
        <v>74.503290000000007</v>
      </c>
      <c r="H116" s="4">
        <v>6.7612113666866396</v>
      </c>
      <c r="I116" s="4">
        <v>69.270210000000006</v>
      </c>
      <c r="J116" s="4">
        <v>69.651840000000007</v>
      </c>
      <c r="K116" s="4">
        <v>68.379745</v>
      </c>
      <c r="L116" s="4">
        <v>-0.51330529864735797</v>
      </c>
    </row>
    <row r="117" spans="1:12" ht="15" customHeight="1" x14ac:dyDescent="0.2">
      <c r="A117" s="6">
        <v>45882</v>
      </c>
      <c r="B117" s="7">
        <v>69.602905000000007</v>
      </c>
      <c r="C117" s="8">
        <v>1605745.7</v>
      </c>
      <c r="D117" s="7">
        <v>1.3699350000000099</v>
      </c>
      <c r="E117" s="7">
        <v>2.0077317461045698</v>
      </c>
      <c r="F117" s="7">
        <v>2.0077244333002802</v>
      </c>
      <c r="G117" s="7">
        <v>74.692300000000003</v>
      </c>
      <c r="H117" s="7">
        <v>7.0320576146901503</v>
      </c>
      <c r="I117" s="7">
        <v>68.262320000000003</v>
      </c>
      <c r="J117" s="7">
        <v>69.906260000000003</v>
      </c>
      <c r="K117" s="7">
        <v>68.154685999999998</v>
      </c>
      <c r="L117" s="7">
        <v>-0.26090857946795598</v>
      </c>
    </row>
    <row r="118" spans="1:12" ht="15" customHeight="1" x14ac:dyDescent="0.2">
      <c r="A118" s="3">
        <v>45881</v>
      </c>
      <c r="B118" s="4">
        <v>68.232969999999995</v>
      </c>
      <c r="C118" s="5">
        <v>1528305.2</v>
      </c>
      <c r="D118" s="4">
        <v>-0.61647000000000596</v>
      </c>
      <c r="E118" s="4">
        <v>-0.89538854637017895</v>
      </c>
      <c r="F118" s="4">
        <v>-0.89537968705970505</v>
      </c>
      <c r="G118" s="4">
        <v>73.222200000000001</v>
      </c>
      <c r="H118" s="4">
        <v>4.9254438419270103</v>
      </c>
      <c r="I118" s="4">
        <v>68.780945000000003</v>
      </c>
      <c r="J118" s="4">
        <v>68.780945000000003</v>
      </c>
      <c r="K118" s="4">
        <v>67.802413999999999</v>
      </c>
      <c r="L118" s="4">
        <v>-2.2239886004123002</v>
      </c>
    </row>
    <row r="119" spans="1:12" ht="15" customHeight="1" x14ac:dyDescent="0.2">
      <c r="A119" s="6">
        <v>45880</v>
      </c>
      <c r="B119" s="7">
        <v>68.849440000000001</v>
      </c>
      <c r="C119" s="8">
        <v>282232.24</v>
      </c>
      <c r="D119" s="7">
        <v>-0.802400000000005</v>
      </c>
      <c r="E119" s="7">
        <v>-1.1520155102865901</v>
      </c>
      <c r="F119" s="7">
        <v>-0.17451011918192499</v>
      </c>
      <c r="G119" s="7">
        <v>73.883740000000003</v>
      </c>
      <c r="H119" s="7">
        <v>5.8734128748048597</v>
      </c>
      <c r="I119" s="7">
        <v>69.651840000000007</v>
      </c>
      <c r="J119" s="7">
        <v>69.906260000000003</v>
      </c>
      <c r="K119" s="7">
        <v>68.595023999999995</v>
      </c>
      <c r="L119" s="7">
        <v>-1.34060366571718</v>
      </c>
    </row>
    <row r="120" spans="1:12" ht="15" customHeight="1" x14ac:dyDescent="0.2">
      <c r="A120" s="3">
        <v>45877</v>
      </c>
      <c r="B120" s="4">
        <v>69.651840000000007</v>
      </c>
      <c r="C120" s="5">
        <v>225165.06999999899</v>
      </c>
      <c r="D120" s="4">
        <v>0.469700000000003</v>
      </c>
      <c r="E120" s="4">
        <v>0.67893245279779801</v>
      </c>
      <c r="F120" s="4">
        <v>0.67893384356867403</v>
      </c>
      <c r="G120" s="4">
        <v>74.012900000000002</v>
      </c>
      <c r="H120" s="4">
        <v>6.0584956820221096</v>
      </c>
      <c r="I120" s="4">
        <v>69.416989999999998</v>
      </c>
      <c r="J120" s="4">
        <v>70.004109999999997</v>
      </c>
      <c r="K120" s="4">
        <v>68.673310000000001</v>
      </c>
      <c r="L120" s="4">
        <v>-0.19078604020520901</v>
      </c>
    </row>
    <row r="121" spans="1:12" ht="15" customHeight="1" x14ac:dyDescent="0.2">
      <c r="A121" s="6">
        <v>45876</v>
      </c>
      <c r="B121" s="7">
        <v>69.182140000000004</v>
      </c>
      <c r="C121" s="8">
        <v>426062.13</v>
      </c>
      <c r="D121" s="7">
        <v>-1.01767399999999</v>
      </c>
      <c r="E121" s="7">
        <v>-1.4496819037155799</v>
      </c>
      <c r="F121" s="7">
        <v>-1.44968340047261</v>
      </c>
      <c r="G121" s="7">
        <v>73.51379</v>
      </c>
      <c r="H121" s="7">
        <v>5.3432844718161299</v>
      </c>
      <c r="I121" s="7">
        <v>70.190029999999993</v>
      </c>
      <c r="J121" s="7">
        <v>70.561874000000003</v>
      </c>
      <c r="K121" s="7">
        <v>68.193825000000004</v>
      </c>
      <c r="L121" s="7">
        <v>-0.86385351117102904</v>
      </c>
    </row>
    <row r="122" spans="1:12" ht="15" customHeight="1" x14ac:dyDescent="0.2">
      <c r="A122" s="3">
        <v>45875</v>
      </c>
      <c r="B122" s="4">
        <v>70.199814000000003</v>
      </c>
      <c r="C122" s="5">
        <v>1614740.8</v>
      </c>
      <c r="D122" s="4">
        <v>0.508834000000007</v>
      </c>
      <c r="E122" s="4">
        <v>0.73012892055759304</v>
      </c>
      <c r="F122" s="4">
        <v>0.73012993540297799</v>
      </c>
      <c r="G122" s="4">
        <v>74.595184000000003</v>
      </c>
      <c r="H122" s="4">
        <v>6.8928929978915203</v>
      </c>
      <c r="I122" s="4">
        <v>70.072609999999997</v>
      </c>
      <c r="J122" s="4">
        <v>70.845650000000006</v>
      </c>
      <c r="K122" s="4">
        <v>69.338710000000006</v>
      </c>
      <c r="L122" s="4">
        <v>0.59444596817251905</v>
      </c>
    </row>
    <row r="123" spans="1:12" ht="15" customHeight="1" x14ac:dyDescent="0.2">
      <c r="A123" s="6">
        <v>45874</v>
      </c>
      <c r="B123" s="7">
        <v>69.690979999999996</v>
      </c>
      <c r="C123" s="8">
        <v>1655241.29999999</v>
      </c>
      <c r="D123" s="7">
        <v>0.166349999999994</v>
      </c>
      <c r="E123" s="7">
        <v>0.23926772425828499</v>
      </c>
      <c r="F123" s="7">
        <v>0.23927376210310899</v>
      </c>
      <c r="G123" s="7">
        <v>74.054490000000001</v>
      </c>
      <c r="H123" s="7">
        <v>6.1180930337731603</v>
      </c>
      <c r="I123" s="7">
        <v>69.270210000000006</v>
      </c>
      <c r="J123" s="7">
        <v>70.26831</v>
      </c>
      <c r="K123" s="7">
        <v>68.800514000000007</v>
      </c>
      <c r="L123" s="7">
        <v>-0.13469947257992801</v>
      </c>
    </row>
    <row r="124" spans="1:12" ht="15" customHeight="1" x14ac:dyDescent="0.2">
      <c r="A124" s="3">
        <v>45873</v>
      </c>
      <c r="B124" s="4">
        <v>69.524630000000002</v>
      </c>
      <c r="C124" s="5">
        <v>1393444.8</v>
      </c>
      <c r="D124" s="4">
        <v>0.31313000000000102</v>
      </c>
      <c r="E124" s="4">
        <v>0.45242481379539301</v>
      </c>
      <c r="F124" s="4">
        <v>0.45241694913549202</v>
      </c>
      <c r="G124" s="4">
        <v>73.877719999999997</v>
      </c>
      <c r="H124" s="4">
        <v>5.8647863766672801</v>
      </c>
      <c r="I124" s="4">
        <v>69.162575000000004</v>
      </c>
      <c r="J124" s="4">
        <v>69.759476000000006</v>
      </c>
      <c r="K124" s="4">
        <v>68.888580000000005</v>
      </c>
      <c r="L124" s="4">
        <v>-0.37307454985299399</v>
      </c>
    </row>
    <row r="125" spans="1:12" ht="15" customHeight="1" x14ac:dyDescent="0.2">
      <c r="A125" s="6">
        <v>45870</v>
      </c>
      <c r="B125" s="7">
        <v>69.211500000000001</v>
      </c>
      <c r="C125" s="8">
        <v>940560.85</v>
      </c>
      <c r="D125" s="7">
        <v>-0.17613400000000401</v>
      </c>
      <c r="E125" s="7">
        <v>-0.25384061949713599</v>
      </c>
      <c r="F125" s="7">
        <v>-0.25384447260493598</v>
      </c>
      <c r="G125" s="7">
        <v>73.544989999999999</v>
      </c>
      <c r="H125" s="7">
        <v>5.3879932329277596</v>
      </c>
      <c r="I125" s="7">
        <v>69.377849999999995</v>
      </c>
      <c r="J125" s="7">
        <v>70.845650000000006</v>
      </c>
      <c r="K125" s="7">
        <v>69.025580000000005</v>
      </c>
      <c r="L125" s="7">
        <v>-0.82178142058649795</v>
      </c>
    </row>
    <row r="126" spans="1:12" ht="15" customHeight="1" x14ac:dyDescent="0.2">
      <c r="A126" s="3">
        <v>45869</v>
      </c>
      <c r="B126" s="4">
        <v>69.387634000000006</v>
      </c>
      <c r="C126" s="5">
        <v>3571898</v>
      </c>
      <c r="D126" s="4">
        <v>2.788818</v>
      </c>
      <c r="E126" s="4">
        <v>4.1874888586608003</v>
      </c>
      <c r="F126" s="4">
        <v>4.18750008390007</v>
      </c>
      <c r="G126" s="4">
        <v>73.732155000000006</v>
      </c>
      <c r="H126" s="4">
        <v>5.6561956455386202</v>
      </c>
      <c r="I126" s="4">
        <v>66.549899999999994</v>
      </c>
      <c r="J126" s="4">
        <v>70.053030000000007</v>
      </c>
      <c r="K126" s="4">
        <v>66.540109999999999</v>
      </c>
      <c r="L126" s="4">
        <v>-0.56938613438020402</v>
      </c>
    </row>
    <row r="127" spans="1:12" ht="15" customHeight="1" x14ac:dyDescent="0.2">
      <c r="A127" s="6">
        <v>45868</v>
      </c>
      <c r="B127" s="7">
        <v>66.598815999999999</v>
      </c>
      <c r="C127" s="8">
        <v>992749.299999999</v>
      </c>
      <c r="D127" s="7">
        <v>-0.16635899999999901</v>
      </c>
      <c r="E127" s="7">
        <v>-0.24917031970634801</v>
      </c>
      <c r="F127" s="7">
        <v>-0.24917860888590199</v>
      </c>
      <c r="G127" s="7">
        <v>70.768715</v>
      </c>
      <c r="H127" s="7">
        <v>1.40966580487663</v>
      </c>
      <c r="I127" s="7">
        <v>66.442250000000001</v>
      </c>
      <c r="J127" s="7">
        <v>66.980446000000001</v>
      </c>
      <c r="K127" s="7">
        <v>65.669219999999996</v>
      </c>
      <c r="L127" s="7">
        <v>-4.5656873441820904</v>
      </c>
    </row>
    <row r="128" spans="1:12" ht="15" customHeight="1" x14ac:dyDescent="0.2">
      <c r="A128" s="3">
        <v>45867</v>
      </c>
      <c r="B128" s="4">
        <v>66.765174999999999</v>
      </c>
      <c r="C128" s="5">
        <v>653909.80000000005</v>
      </c>
      <c r="D128" s="4">
        <v>1.33080499999999</v>
      </c>
      <c r="E128" s="4">
        <v>2.0338011965271399</v>
      </c>
      <c r="F128" s="4">
        <v>2.0338044856994499</v>
      </c>
      <c r="G128" s="4">
        <v>70.945496000000006</v>
      </c>
      <c r="H128" s="4">
        <v>1.66298822468674</v>
      </c>
      <c r="I128" s="4">
        <v>65.561580000000006</v>
      </c>
      <c r="J128" s="4">
        <v>67.09787</v>
      </c>
      <c r="K128" s="4">
        <v>63.810004999999997</v>
      </c>
      <c r="L128" s="4">
        <v>-4.3272993701509996</v>
      </c>
    </row>
    <row r="129" spans="1:12" ht="15" customHeight="1" x14ac:dyDescent="0.2">
      <c r="A129" s="6">
        <v>45866</v>
      </c>
      <c r="B129" s="7">
        <v>65.434370000000001</v>
      </c>
      <c r="C129" s="8">
        <v>772867.7</v>
      </c>
      <c r="D129" s="7">
        <v>-0.89046000000000403</v>
      </c>
      <c r="E129" s="7">
        <v>-1.34257411590803</v>
      </c>
      <c r="F129" s="7">
        <v>-1.3425773132392</v>
      </c>
      <c r="G129" s="7">
        <v>69.531363999999996</v>
      </c>
      <c r="H129" s="7">
        <v>-0.363424908913075</v>
      </c>
      <c r="I129" s="7">
        <v>65.669219999999996</v>
      </c>
      <c r="J129" s="7">
        <v>66.001914999999997</v>
      </c>
      <c r="K129" s="7">
        <v>64.837459999999993</v>
      </c>
      <c r="L129" s="7">
        <v>-6.2343071532011596</v>
      </c>
    </row>
    <row r="130" spans="1:12" ht="15" customHeight="1" x14ac:dyDescent="0.2">
      <c r="A130" s="3">
        <v>45863</v>
      </c>
      <c r="B130" s="4">
        <v>66.324830000000006</v>
      </c>
      <c r="C130" s="5">
        <v>278753.57</v>
      </c>
      <c r="D130" s="4">
        <v>0.58711000000000901</v>
      </c>
      <c r="E130" s="4">
        <v>0.89310977015937199</v>
      </c>
      <c r="F130" s="4">
        <v>0.89310932805142196</v>
      </c>
      <c r="G130" s="4">
        <v>70.477580000000003</v>
      </c>
      <c r="H130" s="4">
        <v>0.99247717775372102</v>
      </c>
      <c r="I130" s="4">
        <v>66.226979999999998</v>
      </c>
      <c r="J130" s="4">
        <v>66.432469999999995</v>
      </c>
      <c r="K130" s="4">
        <v>65.287589999999994</v>
      </c>
      <c r="L130" s="4">
        <v>-4.9583019153978301</v>
      </c>
    </row>
    <row r="131" spans="1:12" ht="15" customHeight="1" x14ac:dyDescent="0.2">
      <c r="A131" s="6">
        <v>45862</v>
      </c>
      <c r="B131" s="7">
        <v>65.737719999999996</v>
      </c>
      <c r="C131" s="8">
        <v>1770927</v>
      </c>
      <c r="D131" s="7">
        <v>-1.9277</v>
      </c>
      <c r="E131" s="7">
        <v>-2.8488702205646499</v>
      </c>
      <c r="F131" s="7">
        <v>-2.8488732806310999</v>
      </c>
      <c r="G131" s="7">
        <v>69.853710000000007</v>
      </c>
      <c r="H131" s="7">
        <v>9.8488242025722594E-2</v>
      </c>
      <c r="I131" s="7">
        <v>67.919839999999994</v>
      </c>
      <c r="J131" s="7">
        <v>68.056830000000005</v>
      </c>
      <c r="K131" s="7">
        <v>65.199520000000007</v>
      </c>
      <c r="L131" s="7">
        <v>-5.7996147595084304</v>
      </c>
    </row>
    <row r="132" spans="1:12" ht="15" customHeight="1" x14ac:dyDescent="0.2">
      <c r="A132" s="3">
        <v>45861</v>
      </c>
      <c r="B132" s="4">
        <v>67.665419999999997</v>
      </c>
      <c r="C132" s="5">
        <v>1119355.5</v>
      </c>
      <c r="D132" s="4">
        <v>0.117419999999995</v>
      </c>
      <c r="E132" s="4">
        <v>0.17383194173032901</v>
      </c>
      <c r="F132" s="4">
        <v>0.17384318976476601</v>
      </c>
      <c r="G132" s="4">
        <v>71.902109999999993</v>
      </c>
      <c r="H132" s="4">
        <v>3.03379036577783</v>
      </c>
      <c r="I132" s="4">
        <v>67.381645000000006</v>
      </c>
      <c r="J132" s="4">
        <v>69.818184000000002</v>
      </c>
      <c r="K132" s="4">
        <v>67.371859999999998</v>
      </c>
      <c r="L132" s="4">
        <v>-3.0372724904413602</v>
      </c>
    </row>
    <row r="133" spans="1:12" ht="15" customHeight="1" x14ac:dyDescent="0.2">
      <c r="A133" s="6">
        <v>45860</v>
      </c>
      <c r="B133" s="7">
        <v>67.548000000000002</v>
      </c>
      <c r="C133" s="8">
        <v>871492.07</v>
      </c>
      <c r="D133" s="7">
        <v>0.36205999999999899</v>
      </c>
      <c r="E133" s="7">
        <v>0.53889251233218904</v>
      </c>
      <c r="F133" s="7">
        <v>0.53887930417448804</v>
      </c>
      <c r="G133" s="7">
        <v>71.777330000000006</v>
      </c>
      <c r="H133" s="7">
        <v>2.8549839807935702</v>
      </c>
      <c r="I133" s="7">
        <v>67.068520000000007</v>
      </c>
      <c r="J133" s="7">
        <v>67.763274999999993</v>
      </c>
      <c r="K133" s="7">
        <v>66.540109999999999</v>
      </c>
      <c r="L133" s="7">
        <v>-3.2055321933172398</v>
      </c>
    </row>
    <row r="134" spans="1:12" ht="15" customHeight="1" x14ac:dyDescent="0.2">
      <c r="A134" s="3">
        <v>45859</v>
      </c>
      <c r="B134" s="4">
        <v>67.185940000000002</v>
      </c>
      <c r="C134" s="5">
        <v>587477.53999999899</v>
      </c>
      <c r="D134" s="4">
        <v>-0.25440999999999198</v>
      </c>
      <c r="E134" s="4">
        <v>-0.37723706949918101</v>
      </c>
      <c r="F134" s="4">
        <v>-0.37723816839801899</v>
      </c>
      <c r="G134" s="4">
        <v>71.392610000000005</v>
      </c>
      <c r="H134" s="4">
        <v>2.3036905649324502</v>
      </c>
      <c r="I134" s="4">
        <v>67.215294</v>
      </c>
      <c r="J134" s="4">
        <v>67.841549999999998</v>
      </c>
      <c r="K134" s="4">
        <v>66.931520000000006</v>
      </c>
      <c r="L134" s="4">
        <v>-3.7243544384479299</v>
      </c>
    </row>
    <row r="135" spans="1:12" ht="15" customHeight="1" x14ac:dyDescent="0.2">
      <c r="A135" s="6">
        <v>45856</v>
      </c>
      <c r="B135" s="7">
        <v>67.440349999999995</v>
      </c>
      <c r="C135" s="8">
        <v>406802.64</v>
      </c>
      <c r="D135" s="7">
        <v>-0.16635500000000999</v>
      </c>
      <c r="E135" s="7">
        <v>-0.24606287201840399</v>
      </c>
      <c r="F135" s="7">
        <v>-0.24605331808532599</v>
      </c>
      <c r="G135" s="7">
        <v>71.662949999999995</v>
      </c>
      <c r="H135" s="7">
        <v>2.6910805161798201</v>
      </c>
      <c r="I135" s="7">
        <v>67.900270000000006</v>
      </c>
      <c r="J135" s="7">
        <v>67.900270000000006</v>
      </c>
      <c r="K135" s="7">
        <v>66.726029999999994</v>
      </c>
      <c r="L135" s="7">
        <v>-3.3597917488835098</v>
      </c>
    </row>
    <row r="136" spans="1:12" ht="15" customHeight="1" x14ac:dyDescent="0.2">
      <c r="A136" s="3">
        <v>45855</v>
      </c>
      <c r="B136" s="4">
        <v>67.606705000000005</v>
      </c>
      <c r="C136" s="5">
        <v>891023.4</v>
      </c>
      <c r="D136" s="4">
        <v>0.518625</v>
      </c>
      <c r="E136" s="4">
        <v>0.77305089070964705</v>
      </c>
      <c r="F136" s="4">
        <v>0.7730462449687</v>
      </c>
      <c r="G136" s="4">
        <v>71.839714000000001</v>
      </c>
      <c r="H136" s="4">
        <v>2.94437857544703</v>
      </c>
      <c r="I136" s="4">
        <v>67.117440000000002</v>
      </c>
      <c r="J136" s="4">
        <v>68.203605999999994</v>
      </c>
      <c r="K136" s="4">
        <v>67.117440000000002</v>
      </c>
      <c r="L136" s="4">
        <v>-3.12140950674485</v>
      </c>
    </row>
    <row r="137" spans="1:12" ht="15" customHeight="1" x14ac:dyDescent="0.2">
      <c r="A137" s="6">
        <v>45854</v>
      </c>
      <c r="B137" s="7">
        <v>67.088080000000005</v>
      </c>
      <c r="C137" s="8">
        <v>665140.9</v>
      </c>
      <c r="D137" s="7">
        <v>-0.50884399999999597</v>
      </c>
      <c r="E137" s="7">
        <v>-0.75276206355188102</v>
      </c>
      <c r="F137" s="7">
        <v>-0.75275667373713095</v>
      </c>
      <c r="G137" s="7">
        <v>71.288619999999995</v>
      </c>
      <c r="H137" s="7">
        <v>2.1546756909581202</v>
      </c>
      <c r="I137" s="7">
        <v>67.09787</v>
      </c>
      <c r="J137" s="7">
        <v>67.870909999999995</v>
      </c>
      <c r="K137" s="7">
        <v>66.246544</v>
      </c>
      <c r="L137" s="7">
        <v>-3.8645851872422901</v>
      </c>
    </row>
    <row r="138" spans="1:12" ht="15" customHeight="1" x14ac:dyDescent="0.2">
      <c r="A138" s="3">
        <v>45853</v>
      </c>
      <c r="B138" s="4">
        <v>67.596924000000001</v>
      </c>
      <c r="C138" s="5">
        <v>1211170.7</v>
      </c>
      <c r="D138" s="4">
        <v>-0.52840600000000304</v>
      </c>
      <c r="E138" s="4">
        <v>-0.77563807764308101</v>
      </c>
      <c r="F138" s="4">
        <v>-0.77563712852501898</v>
      </c>
      <c r="G138" s="4">
        <v>71.829319999999996</v>
      </c>
      <c r="H138" s="4">
        <v>2.9294842529151501</v>
      </c>
      <c r="I138" s="4">
        <v>67.616489999999999</v>
      </c>
      <c r="J138" s="4">
        <v>67.968765000000005</v>
      </c>
      <c r="K138" s="4">
        <v>66.686890000000005</v>
      </c>
      <c r="L138" s="4">
        <v>-3.1354254167587299</v>
      </c>
    </row>
    <row r="139" spans="1:12" ht="15" customHeight="1" x14ac:dyDescent="0.2">
      <c r="A139" s="6">
        <v>45852</v>
      </c>
      <c r="B139" s="7">
        <v>68.125330000000005</v>
      </c>
      <c r="C139" s="8">
        <v>451078.19999999902</v>
      </c>
      <c r="D139" s="7">
        <v>1.2720899999999999</v>
      </c>
      <c r="E139" s="7">
        <v>1.90280979650352</v>
      </c>
      <c r="F139" s="7">
        <v>1.9028120722864099</v>
      </c>
      <c r="G139" s="7">
        <v>72.390810000000002</v>
      </c>
      <c r="H139" s="7">
        <v>3.7340843258821499</v>
      </c>
      <c r="I139" s="7">
        <v>66.843450000000004</v>
      </c>
      <c r="J139" s="7">
        <v>68.418884000000006</v>
      </c>
      <c r="K139" s="7">
        <v>66.344406000000006</v>
      </c>
      <c r="L139" s="7">
        <v>-2.3782338262474201</v>
      </c>
    </row>
    <row r="140" spans="1:12" ht="15" customHeight="1" x14ac:dyDescent="0.2">
      <c r="A140" s="3">
        <v>45849</v>
      </c>
      <c r="B140" s="4">
        <v>66.85324</v>
      </c>
      <c r="C140" s="5">
        <v>2213361.7999999998</v>
      </c>
      <c r="D140" s="4">
        <v>-0.78282000000000096</v>
      </c>
      <c r="E140" s="4">
        <v>-1.1574003571467599</v>
      </c>
      <c r="F140" s="4">
        <v>-1.15740847026981</v>
      </c>
      <c r="G140" s="4">
        <v>71.039069999999995</v>
      </c>
      <c r="H140" s="4">
        <v>1.7970772507207</v>
      </c>
      <c r="I140" s="4">
        <v>68.399315000000001</v>
      </c>
      <c r="J140" s="4">
        <v>68.937510000000003</v>
      </c>
      <c r="K140" s="4">
        <v>65.620284999999996</v>
      </c>
      <c r="L140" s="4">
        <v>-4.2011045929940796</v>
      </c>
    </row>
    <row r="141" spans="1:12" ht="15" customHeight="1" x14ac:dyDescent="0.2">
      <c r="A141" s="6">
        <v>45848</v>
      </c>
      <c r="B141" s="7">
        <v>67.636060000000001</v>
      </c>
      <c r="C141" s="8">
        <v>2351428.6999999899</v>
      </c>
      <c r="D141" s="7">
        <v>-2.35826</v>
      </c>
      <c r="E141" s="7">
        <v>-3.3692162449752998</v>
      </c>
      <c r="F141" s="7">
        <v>-3.3692083097932901</v>
      </c>
      <c r="G141" s="7">
        <v>71.870909999999995</v>
      </c>
      <c r="H141" s="7">
        <v>2.9890816046661999</v>
      </c>
      <c r="I141" s="7">
        <v>69.964966000000004</v>
      </c>
      <c r="J141" s="7">
        <v>69.964966000000004</v>
      </c>
      <c r="K141" s="7">
        <v>67.02937</v>
      </c>
      <c r="L141" s="7">
        <v>-3.0793445810258899</v>
      </c>
    </row>
    <row r="142" spans="1:12" ht="15" customHeight="1" x14ac:dyDescent="0.2">
      <c r="A142" s="3">
        <v>45847</v>
      </c>
      <c r="B142" s="4">
        <v>69.994320000000002</v>
      </c>
      <c r="C142" s="5">
        <v>1620172.5</v>
      </c>
      <c r="D142" s="4">
        <v>-0.39141499999999402</v>
      </c>
      <c r="E142" s="4">
        <v>-0.55609989723058795</v>
      </c>
      <c r="F142" s="4">
        <v>-0.55611005077363895</v>
      </c>
      <c r="G142" s="4">
        <v>74.376819999999995</v>
      </c>
      <c r="H142" s="4">
        <v>6.5799832571421302</v>
      </c>
      <c r="I142" s="4">
        <v>70.630369999999999</v>
      </c>
      <c r="J142" s="4">
        <v>71.27619</v>
      </c>
      <c r="K142" s="4">
        <v>69.798614999999998</v>
      </c>
      <c r="L142" s="4">
        <v>0.29997859138169403</v>
      </c>
    </row>
    <row r="143" spans="1:12" ht="15" customHeight="1" x14ac:dyDescent="0.2">
      <c r="A143" s="6">
        <v>45846</v>
      </c>
      <c r="B143" s="7">
        <v>70.385734999999997</v>
      </c>
      <c r="C143" s="8">
        <v>1094152.3</v>
      </c>
      <c r="D143" s="7">
        <v>-8.8065000000000199E-2</v>
      </c>
      <c r="E143" s="7">
        <v>-0.124961333147921</v>
      </c>
      <c r="F143" s="7">
        <v>-0.124949389955331</v>
      </c>
      <c r="G143" s="7">
        <v>74.792749999999998</v>
      </c>
      <c r="H143" s="7">
        <v>7.1759997638460202</v>
      </c>
      <c r="I143" s="7">
        <v>70.424880000000002</v>
      </c>
      <c r="J143" s="7">
        <v>70.542299999999997</v>
      </c>
      <c r="K143" s="7">
        <v>69.847539999999995</v>
      </c>
      <c r="L143" s="7">
        <v>0.86086576223134503</v>
      </c>
    </row>
    <row r="144" spans="1:12" ht="15" customHeight="1" x14ac:dyDescent="0.2">
      <c r="A144" s="3">
        <v>45845</v>
      </c>
      <c r="B144" s="4">
        <v>70.473799999999997</v>
      </c>
      <c r="C144" s="5">
        <v>984376.6</v>
      </c>
      <c r="D144" s="4">
        <v>0.74367999999999701</v>
      </c>
      <c r="E144" s="4">
        <v>1.06651186029795</v>
      </c>
      <c r="F144" s="4">
        <v>1.0665071620522899</v>
      </c>
      <c r="G144" s="4">
        <v>74.886319999999998</v>
      </c>
      <c r="H144" s="4">
        <v>7.3100830579875398</v>
      </c>
      <c r="I144" s="4">
        <v>69.739900000000006</v>
      </c>
      <c r="J144" s="4">
        <v>70.747794999999996</v>
      </c>
      <c r="K144" s="4">
        <v>69.671400000000006</v>
      </c>
      <c r="L144" s="4">
        <v>0.98706053938826399</v>
      </c>
    </row>
    <row r="145" spans="1:12" ht="15" customHeight="1" x14ac:dyDescent="0.2">
      <c r="A145" s="6">
        <v>45842</v>
      </c>
      <c r="B145" s="7">
        <v>69.730119999999999</v>
      </c>
      <c r="C145" s="8">
        <v>1928432.5</v>
      </c>
      <c r="D145" s="7">
        <v>-0.70453999999999395</v>
      </c>
      <c r="E145" s="7">
        <v>-1.0002745807248801</v>
      </c>
      <c r="F145" s="7">
        <v>-1.0002761182904301</v>
      </c>
      <c r="G145" s="7">
        <v>74.096080000000001</v>
      </c>
      <c r="H145" s="7">
        <v>6.17769038552421</v>
      </c>
      <c r="I145" s="7">
        <v>70.356384000000006</v>
      </c>
      <c r="J145" s="7">
        <v>70.356384000000006</v>
      </c>
      <c r="K145" s="7">
        <v>69.309349999999995</v>
      </c>
      <c r="L145" s="7">
        <v>-7.8612904954626306E-2</v>
      </c>
    </row>
    <row r="146" spans="1:12" ht="15" customHeight="1" x14ac:dyDescent="0.2">
      <c r="A146" s="3">
        <v>45841</v>
      </c>
      <c r="B146" s="4">
        <v>70.434659999999994</v>
      </c>
      <c r="C146" s="5">
        <v>881863.799999999</v>
      </c>
      <c r="D146" s="4">
        <v>-0.39141000000000697</v>
      </c>
      <c r="E146" s="4">
        <v>-0.55263549142287005</v>
      </c>
      <c r="F146" s="4">
        <v>-0.55263407903066697</v>
      </c>
      <c r="G146" s="4">
        <v>74.844734000000003</v>
      </c>
      <c r="H146" s="4">
        <v>7.2504914381289396</v>
      </c>
      <c r="I146" s="4">
        <v>70.141105999999994</v>
      </c>
      <c r="J146" s="4">
        <v>71.677400000000006</v>
      </c>
      <c r="K146" s="4">
        <v>69.28</v>
      </c>
      <c r="L146" s="4">
        <v>0.93097397176296204</v>
      </c>
    </row>
    <row r="147" spans="1:12" ht="15" customHeight="1" x14ac:dyDescent="0.2">
      <c r="A147" s="6">
        <v>45840</v>
      </c>
      <c r="B147" s="7">
        <v>70.826070000000001</v>
      </c>
      <c r="C147" s="8">
        <v>970871.64</v>
      </c>
      <c r="D147" s="7">
        <v>1.6439299999999899</v>
      </c>
      <c r="E147" s="7">
        <v>2.3762346755969102</v>
      </c>
      <c r="F147" s="7">
        <v>2.3762344452652902</v>
      </c>
      <c r="G147" s="7">
        <v>75.260649999999998</v>
      </c>
      <c r="H147" s="7">
        <v>7.8464878832092397</v>
      </c>
      <c r="I147" s="7">
        <v>69.28</v>
      </c>
      <c r="J147" s="7">
        <v>71.217479999999995</v>
      </c>
      <c r="K147" s="7">
        <v>69.260419999999996</v>
      </c>
      <c r="L147" s="7">
        <v>1.4918539777470601</v>
      </c>
    </row>
    <row r="148" spans="1:12" ht="15" customHeight="1" x14ac:dyDescent="0.2">
      <c r="A148" s="3">
        <v>45839</v>
      </c>
      <c r="B148" s="4">
        <v>69.182140000000004</v>
      </c>
      <c r="C148" s="5">
        <v>750594.5</v>
      </c>
      <c r="D148" s="4">
        <v>-0.215274999999991</v>
      </c>
      <c r="E148" s="4">
        <v>-0.310206079001629</v>
      </c>
      <c r="F148" s="4">
        <v>-0.31020898030833499</v>
      </c>
      <c r="G148" s="4">
        <v>73.51379</v>
      </c>
      <c r="H148" s="4">
        <v>5.3432844718161299</v>
      </c>
      <c r="I148" s="4">
        <v>69.328919999999997</v>
      </c>
      <c r="J148" s="4">
        <v>69.690979999999996</v>
      </c>
      <c r="K148" s="4">
        <v>68.154685999999998</v>
      </c>
      <c r="L148" s="4">
        <v>-0.86385351117102904</v>
      </c>
    </row>
    <row r="149" spans="1:12" ht="15" customHeight="1" x14ac:dyDescent="0.2">
      <c r="A149" s="6">
        <v>45838</v>
      </c>
      <c r="B149" s="7">
        <v>69.397414999999995</v>
      </c>
      <c r="C149" s="8">
        <v>2624815.2000000002</v>
      </c>
      <c r="D149" s="7">
        <v>-0.92961499999999797</v>
      </c>
      <c r="E149" s="7">
        <v>-1.32184595311362</v>
      </c>
      <c r="F149" s="7">
        <v>-1.32183760388683</v>
      </c>
      <c r="G149" s="7">
        <v>73.742546000000004</v>
      </c>
      <c r="H149" s="7">
        <v>5.6710856691511502</v>
      </c>
      <c r="I149" s="7">
        <v>69.475700000000003</v>
      </c>
      <c r="J149" s="7">
        <v>70.522729999999996</v>
      </c>
      <c r="K149" s="7">
        <v>68.732020000000006</v>
      </c>
      <c r="L149" s="7">
        <v>-0.55537022436634498</v>
      </c>
    </row>
    <row r="150" spans="1:12" ht="15" customHeight="1" x14ac:dyDescent="0.2">
      <c r="A150" s="3">
        <v>45835</v>
      </c>
      <c r="B150" s="4">
        <v>70.327029999999993</v>
      </c>
      <c r="C150" s="5">
        <v>1134277.7</v>
      </c>
      <c r="D150" s="4">
        <v>1.6635099999999801</v>
      </c>
      <c r="E150" s="4">
        <v>2.4226983993829299</v>
      </c>
      <c r="F150" s="4">
        <v>2.42268994979626</v>
      </c>
      <c r="G150" s="4">
        <v>74.730360000000005</v>
      </c>
      <c r="H150" s="4">
        <v>7.0865965713538897</v>
      </c>
      <c r="I150" s="4">
        <v>68.301469999999995</v>
      </c>
      <c r="J150" s="4">
        <v>70.718429999999998</v>
      </c>
      <c r="K150" s="4">
        <v>68.301469999999995</v>
      </c>
      <c r="L150" s="4">
        <v>0.77674307565895795</v>
      </c>
    </row>
    <row r="151" spans="1:12" ht="15" customHeight="1" x14ac:dyDescent="0.2">
      <c r="A151" s="6">
        <v>45834</v>
      </c>
      <c r="B151" s="7">
        <v>68.663520000000005</v>
      </c>
      <c r="C151" s="8">
        <v>2280814.6999999899</v>
      </c>
      <c r="D151" s="7">
        <v>0.91981400000000202</v>
      </c>
      <c r="E151" s="7">
        <v>1.3577851793346001</v>
      </c>
      <c r="F151" s="7">
        <v>1.35779129319335</v>
      </c>
      <c r="G151" s="7">
        <v>72.962699999999998</v>
      </c>
      <c r="H151" s="7">
        <v>4.5535873192196803</v>
      </c>
      <c r="I151" s="7">
        <v>67.802413999999999</v>
      </c>
      <c r="J151" s="7">
        <v>68.869010000000003</v>
      </c>
      <c r="K151" s="7">
        <v>67.596924000000001</v>
      </c>
      <c r="L151" s="7">
        <v>-1.6070220268029001</v>
      </c>
    </row>
    <row r="152" spans="1:12" ht="15" customHeight="1" x14ac:dyDescent="0.2">
      <c r="A152" s="3">
        <v>45833</v>
      </c>
      <c r="B152" s="4">
        <v>67.743706000000003</v>
      </c>
      <c r="C152" s="5">
        <v>1321823.2</v>
      </c>
      <c r="D152" s="4">
        <v>-0.107624000000001</v>
      </c>
      <c r="E152" s="4">
        <v>-0.158617377139114</v>
      </c>
      <c r="F152" s="4">
        <v>-0.158627655109599</v>
      </c>
      <c r="G152" s="4">
        <v>71.985290000000006</v>
      </c>
      <c r="H152" s="4">
        <v>3.1529850692799499</v>
      </c>
      <c r="I152" s="4">
        <v>67.52843</v>
      </c>
      <c r="J152" s="4">
        <v>69.328919999999997</v>
      </c>
      <c r="K152" s="4">
        <v>67.518640000000005</v>
      </c>
      <c r="L152" s="4">
        <v>-2.9250907573520801</v>
      </c>
    </row>
    <row r="153" spans="1:12" ht="15" customHeight="1" x14ac:dyDescent="0.2">
      <c r="A153" s="6">
        <v>45832</v>
      </c>
      <c r="B153" s="7">
        <v>67.851330000000004</v>
      </c>
      <c r="C153" s="8">
        <v>1101786.3</v>
      </c>
      <c r="D153" s="7">
        <v>0.77303000000000499</v>
      </c>
      <c r="E153" s="7">
        <v>1.1524293251319699</v>
      </c>
      <c r="F153" s="7">
        <v>1.15244179778899</v>
      </c>
      <c r="G153" s="7">
        <v>72.09966</v>
      </c>
      <c r="H153" s="7">
        <v>3.3168742041625499</v>
      </c>
      <c r="I153" s="7">
        <v>67.616489999999999</v>
      </c>
      <c r="J153" s="7">
        <v>68.643950000000004</v>
      </c>
      <c r="K153" s="7">
        <v>67.156580000000005</v>
      </c>
      <c r="L153" s="7">
        <v>-2.7708684590867501</v>
      </c>
    </row>
    <row r="154" spans="1:12" ht="15" customHeight="1" x14ac:dyDescent="0.2">
      <c r="A154" s="3">
        <v>45831</v>
      </c>
      <c r="B154" s="4">
        <v>67.078299999999999</v>
      </c>
      <c r="C154" s="5">
        <v>950654.6</v>
      </c>
      <c r="D154" s="4">
        <v>2.9359999999996899E-2</v>
      </c>
      <c r="E154" s="4">
        <v>4.3788910011111001E-2</v>
      </c>
      <c r="F154" s="4">
        <v>4.3777263417177303E-2</v>
      </c>
      <c r="G154" s="4">
        <v>71.278220000000005</v>
      </c>
      <c r="H154" s="4">
        <v>2.13977277058759</v>
      </c>
      <c r="I154" s="4">
        <v>66.070409999999995</v>
      </c>
      <c r="J154" s="4">
        <v>67.694779999999994</v>
      </c>
      <c r="K154" s="4">
        <v>65.972560000000001</v>
      </c>
      <c r="L154" s="4">
        <v>-3.87859966428306</v>
      </c>
    </row>
    <row r="155" spans="1:12" ht="15" customHeight="1" x14ac:dyDescent="0.2">
      <c r="A155" s="6">
        <v>45828</v>
      </c>
      <c r="B155" s="7">
        <v>67.048940000000002</v>
      </c>
      <c r="C155" s="8">
        <v>10383176</v>
      </c>
      <c r="D155" s="7">
        <v>-1.54608399999999</v>
      </c>
      <c r="E155" s="7">
        <v>-2.25393025593225</v>
      </c>
      <c r="F155" s="7">
        <v>-2.2539263490703898</v>
      </c>
      <c r="G155" s="7">
        <v>71.247029999999995</v>
      </c>
      <c r="H155" s="7">
        <v>2.09507833920707</v>
      </c>
      <c r="I155" s="7">
        <v>68.604810000000001</v>
      </c>
      <c r="J155" s="7">
        <v>68.604810000000001</v>
      </c>
      <c r="K155" s="7">
        <v>66.021484000000001</v>
      </c>
      <c r="L155" s="7">
        <v>-3.9206717548675898</v>
      </c>
    </row>
    <row r="156" spans="1:12" ht="15" customHeight="1" x14ac:dyDescent="0.2">
      <c r="A156" s="3">
        <v>45827</v>
      </c>
      <c r="B156" s="4">
        <v>68.595023999999995</v>
      </c>
      <c r="C156" s="5">
        <v>660296.93999999994</v>
      </c>
      <c r="D156" s="4">
        <v>0.61647399999999597</v>
      </c>
      <c r="E156" s="4">
        <v>0.90686547447687005</v>
      </c>
      <c r="F156" s="4">
        <v>0.90685451689871399</v>
      </c>
      <c r="G156" s="4">
        <v>72.889915000000002</v>
      </c>
      <c r="H156" s="4">
        <v>4.4492883712225701</v>
      </c>
      <c r="I156" s="4">
        <v>68.321039999999996</v>
      </c>
      <c r="J156" s="4">
        <v>68.829864999999998</v>
      </c>
      <c r="K156" s="4">
        <v>67.821979999999996</v>
      </c>
      <c r="L156" s="4">
        <v>-1.70517495312029</v>
      </c>
    </row>
    <row r="157" spans="1:12" ht="15" customHeight="1" x14ac:dyDescent="0.2">
      <c r="A157" s="6">
        <v>45826</v>
      </c>
      <c r="B157" s="7">
        <v>67.978549999999998</v>
      </c>
      <c r="C157" s="8">
        <v>3009719.7</v>
      </c>
      <c r="D157" s="7">
        <v>1.2818699999999901</v>
      </c>
      <c r="E157" s="7">
        <v>1.92193974272782</v>
      </c>
      <c r="F157" s="7">
        <v>1.9219527516303401</v>
      </c>
      <c r="G157" s="7">
        <v>72.234849999999994</v>
      </c>
      <c r="H157" s="7">
        <v>3.5105978392484798</v>
      </c>
      <c r="I157" s="7">
        <v>66.872799999999998</v>
      </c>
      <c r="J157" s="7">
        <v>68.360175999999996</v>
      </c>
      <c r="K157" s="7">
        <v>65.610504000000006</v>
      </c>
      <c r="L157" s="7">
        <v>-2.5885656197078499</v>
      </c>
    </row>
    <row r="158" spans="1:12" ht="15" customHeight="1" x14ac:dyDescent="0.2">
      <c r="A158" s="3">
        <v>45825</v>
      </c>
      <c r="B158" s="4">
        <v>66.696680000000001</v>
      </c>
      <c r="C158" s="5">
        <v>2557815.7000000002</v>
      </c>
      <c r="D158" s="4">
        <v>-1.06659499999999</v>
      </c>
      <c r="E158" s="4">
        <v>-1.57400155172546</v>
      </c>
      <c r="F158" s="4">
        <v>-1.5740057542354999</v>
      </c>
      <c r="G158" s="4">
        <v>70.872709999999998</v>
      </c>
      <c r="H158" s="4">
        <v>1.5586878437164999</v>
      </c>
      <c r="I158" s="4">
        <v>68.047049999999999</v>
      </c>
      <c r="J158" s="4">
        <v>68.105760000000004</v>
      </c>
      <c r="K158" s="4">
        <v>66.236760000000004</v>
      </c>
      <c r="L158" s="4">
        <v>-4.4254508634952696</v>
      </c>
    </row>
    <row r="159" spans="1:12" ht="15" customHeight="1" x14ac:dyDescent="0.2">
      <c r="A159" s="6">
        <v>45824</v>
      </c>
      <c r="B159" s="7">
        <v>67.763274999999993</v>
      </c>
      <c r="C159" s="8">
        <v>953799.13</v>
      </c>
      <c r="D159" s="7">
        <v>-0.420769000000007</v>
      </c>
      <c r="E159" s="7">
        <v>-0.61710772097942601</v>
      </c>
      <c r="F159" s="7">
        <v>-0.61710179812622901</v>
      </c>
      <c r="G159" s="7">
        <v>72.00609</v>
      </c>
      <c r="H159" s="7">
        <v>3.1827909100210299</v>
      </c>
      <c r="I159" s="7">
        <v>68.467820000000003</v>
      </c>
      <c r="J159" s="7">
        <v>69.143005000000002</v>
      </c>
      <c r="K159" s="7">
        <v>67.332719999999995</v>
      </c>
      <c r="L159" s="7">
        <v>-2.89704890651256</v>
      </c>
    </row>
    <row r="160" spans="1:12" ht="15" customHeight="1" x14ac:dyDescent="0.2">
      <c r="A160" s="3">
        <v>45821</v>
      </c>
      <c r="B160" s="4">
        <v>68.184044</v>
      </c>
      <c r="C160" s="5">
        <v>1078879.5</v>
      </c>
      <c r="D160" s="4">
        <v>-0.508825999999999</v>
      </c>
      <c r="E160" s="4">
        <v>-0.74072607535541302</v>
      </c>
      <c r="F160" s="4">
        <v>-0.74073323123345902</v>
      </c>
      <c r="G160" s="4">
        <v>72.453199999999995</v>
      </c>
      <c r="H160" s="4">
        <v>3.82348751837428</v>
      </c>
      <c r="I160" s="4">
        <v>68.683090000000007</v>
      </c>
      <c r="J160" s="4">
        <v>68.878799999999998</v>
      </c>
      <c r="K160" s="4">
        <v>67.02937</v>
      </c>
      <c r="L160" s="4">
        <v>-2.29409824291703</v>
      </c>
    </row>
    <row r="161" spans="1:12" ht="15" customHeight="1" x14ac:dyDescent="0.2">
      <c r="A161" s="6">
        <v>45820</v>
      </c>
      <c r="B161" s="7">
        <v>68.692869999999999</v>
      </c>
      <c r="C161" s="8">
        <v>897683.35</v>
      </c>
      <c r="D161" s="7">
        <v>-1.3405899999999999</v>
      </c>
      <c r="E161" s="7">
        <v>-1.9142135773386</v>
      </c>
      <c r="F161" s="7">
        <v>-1.91421693715078</v>
      </c>
      <c r="G161" s="7">
        <v>72.993889999999993</v>
      </c>
      <c r="H161" s="7">
        <v>4.5982817506001803</v>
      </c>
      <c r="I161" s="7">
        <v>70.591224999999994</v>
      </c>
      <c r="J161" s="7">
        <v>71.687179999999998</v>
      </c>
      <c r="K161" s="7">
        <v>68.311250000000001</v>
      </c>
      <c r="L161" s="7">
        <v>-1.56496426594949</v>
      </c>
    </row>
    <row r="162" spans="1:12" ht="15" customHeight="1" x14ac:dyDescent="0.2">
      <c r="A162" s="3">
        <v>45819</v>
      </c>
      <c r="B162" s="4">
        <v>70.033460000000005</v>
      </c>
      <c r="C162" s="5">
        <v>1600392.8</v>
      </c>
      <c r="D162" s="4">
        <v>2.8181660000000002</v>
      </c>
      <c r="E162" s="4">
        <v>4.1927451808810101</v>
      </c>
      <c r="F162" s="4">
        <v>4.1927480755714397</v>
      </c>
      <c r="G162" s="4">
        <v>74.418419999999998</v>
      </c>
      <c r="H162" s="4">
        <v>6.6395949386243096</v>
      </c>
      <c r="I162" s="4">
        <v>67.479500000000002</v>
      </c>
      <c r="J162" s="4">
        <v>71.422970000000007</v>
      </c>
      <c r="K162" s="4">
        <v>67.479500000000002</v>
      </c>
      <c r="L162" s="4">
        <v>0.35606515900699598</v>
      </c>
    </row>
    <row r="163" spans="1:12" ht="15" customHeight="1" x14ac:dyDescent="0.2">
      <c r="A163" s="6">
        <v>45818</v>
      </c>
      <c r="B163" s="7">
        <v>67.215294</v>
      </c>
      <c r="C163" s="8">
        <v>841883.36</v>
      </c>
      <c r="D163" s="7">
        <v>-0.64582599999999901</v>
      </c>
      <c r="E163" s="7">
        <v>-0.95168780002452502</v>
      </c>
      <c r="F163" s="7">
        <v>-0.95168413394747198</v>
      </c>
      <c r="G163" s="7">
        <v>71.4238</v>
      </c>
      <c r="H163" s="7">
        <v>2.3483849963129502</v>
      </c>
      <c r="I163" s="7">
        <v>67.587135000000004</v>
      </c>
      <c r="J163" s="7">
        <v>68.252539999999996</v>
      </c>
      <c r="K163" s="7">
        <v>66.060630000000003</v>
      </c>
      <c r="L163" s="7">
        <v>-3.6822909457020701</v>
      </c>
    </row>
    <row r="164" spans="1:12" ht="15" customHeight="1" x14ac:dyDescent="0.2">
      <c r="A164" s="3">
        <v>45817</v>
      </c>
      <c r="B164" s="4">
        <v>67.86112</v>
      </c>
      <c r="C164" s="5">
        <v>3220740</v>
      </c>
      <c r="D164" s="4">
        <v>-0.68497999999999504</v>
      </c>
      <c r="E164" s="4">
        <v>-0.99929828246975105</v>
      </c>
      <c r="F164" s="4">
        <v>-0.99928718447752596</v>
      </c>
      <c r="G164" s="4">
        <v>72.110060000000004</v>
      </c>
      <c r="H164" s="4">
        <v>3.3317771245331</v>
      </c>
      <c r="I164" s="4">
        <v>68.839650000000006</v>
      </c>
      <c r="J164" s="4">
        <v>69.103859999999997</v>
      </c>
      <c r="K164" s="4">
        <v>67.52843</v>
      </c>
      <c r="L164" s="4">
        <v>-2.7568396523148699</v>
      </c>
    </row>
    <row r="165" spans="1:12" ht="15" customHeight="1" x14ac:dyDescent="0.2">
      <c r="A165" s="6">
        <v>45814</v>
      </c>
      <c r="B165" s="7">
        <v>68.546099999999996</v>
      </c>
      <c r="C165" s="8">
        <v>2082513.4</v>
      </c>
      <c r="D165" s="7">
        <v>1.4188699999999901</v>
      </c>
      <c r="E165" s="7">
        <v>2.1137025913328999</v>
      </c>
      <c r="F165" s="7">
        <v>2.1136975403761098</v>
      </c>
      <c r="G165" s="7">
        <v>72.837919999999997</v>
      </c>
      <c r="H165" s="7">
        <v>4.3747809342353996</v>
      </c>
      <c r="I165" s="7">
        <v>66.980446000000001</v>
      </c>
      <c r="J165" s="7">
        <v>68.751589999999993</v>
      </c>
      <c r="K165" s="7">
        <v>66.540109999999999</v>
      </c>
      <c r="L165" s="7">
        <v>-1.7752817296787999</v>
      </c>
    </row>
    <row r="166" spans="1:12" ht="15" customHeight="1" x14ac:dyDescent="0.2">
      <c r="A166" s="3">
        <v>45813</v>
      </c>
      <c r="B166" s="4">
        <v>67.127229999999997</v>
      </c>
      <c r="C166" s="5">
        <v>1841935.5</v>
      </c>
      <c r="D166" s="4">
        <v>-0.85132000000000096</v>
      </c>
      <c r="E166" s="4">
        <v>-1.2523362148795401</v>
      </c>
      <c r="F166" s="4">
        <v>-1.2523525694315101</v>
      </c>
      <c r="G166" s="4">
        <v>71.330214999999995</v>
      </c>
      <c r="H166" s="4">
        <v>2.2142802075747401</v>
      </c>
      <c r="I166" s="4">
        <v>67.626279999999994</v>
      </c>
      <c r="J166" s="4">
        <v>68.595023999999995</v>
      </c>
      <c r="K166" s="4">
        <v>66.686890000000005</v>
      </c>
      <c r="L166" s="4">
        <v>-3.8084842898858802</v>
      </c>
    </row>
    <row r="167" spans="1:12" ht="15" customHeight="1" x14ac:dyDescent="0.2">
      <c r="A167" s="6">
        <v>45812</v>
      </c>
      <c r="B167" s="7">
        <v>67.978549999999998</v>
      </c>
      <c r="C167" s="8">
        <v>3210935.5</v>
      </c>
      <c r="D167" s="7">
        <v>-2.4658899999999999</v>
      </c>
      <c r="E167" s="7">
        <v>-3.5004749842570901</v>
      </c>
      <c r="F167" s="7">
        <v>-3.5004617252325798</v>
      </c>
      <c r="G167" s="7">
        <v>72.234849999999994</v>
      </c>
      <c r="H167" s="7">
        <v>3.5105978392484798</v>
      </c>
      <c r="I167" s="7">
        <v>69.485489999999999</v>
      </c>
      <c r="J167" s="7">
        <v>71.021780000000007</v>
      </c>
      <c r="K167" s="7">
        <v>67.773055999999997</v>
      </c>
      <c r="L167" s="7">
        <v>-2.5885656197078499</v>
      </c>
    </row>
    <row r="168" spans="1:12" ht="15" customHeight="1" x14ac:dyDescent="0.2">
      <c r="A168" s="3">
        <v>45811</v>
      </c>
      <c r="B168" s="4">
        <v>70.44444</v>
      </c>
      <c r="C168" s="5">
        <v>1744732.7</v>
      </c>
      <c r="D168" s="4">
        <v>-0.15657000000000201</v>
      </c>
      <c r="E168" s="4">
        <v>-0.22176736565100399</v>
      </c>
      <c r="F168" s="4">
        <v>-0.22176975933565399</v>
      </c>
      <c r="G168" s="4">
        <v>74.855125000000001</v>
      </c>
      <c r="H168" s="4">
        <v>7.2653814617414696</v>
      </c>
      <c r="I168" s="4">
        <v>71.325130000000001</v>
      </c>
      <c r="J168" s="4">
        <v>71.325130000000001</v>
      </c>
      <c r="K168" s="4">
        <v>69.123429999999999</v>
      </c>
      <c r="L168" s="4">
        <v>0.94498844880373301</v>
      </c>
    </row>
    <row r="169" spans="1:12" ht="15" customHeight="1" x14ac:dyDescent="0.2">
      <c r="A169" s="6">
        <v>45810</v>
      </c>
      <c r="B169" s="7">
        <v>70.601010000000002</v>
      </c>
      <c r="C169" s="8">
        <v>954579.89999999898</v>
      </c>
      <c r="D169" s="7">
        <v>-2.0549199999999899</v>
      </c>
      <c r="E169" s="7">
        <v>-2.8282894458855501</v>
      </c>
      <c r="F169" s="7">
        <v>-2.8282853926192302</v>
      </c>
      <c r="G169" s="7">
        <v>75.021500000000003</v>
      </c>
      <c r="H169" s="7">
        <v>7.5037923633423604</v>
      </c>
      <c r="I169" s="7">
        <v>73.027760000000001</v>
      </c>
      <c r="J169" s="7">
        <v>73.243039999999993</v>
      </c>
      <c r="K169" s="7">
        <v>70.101960000000005</v>
      </c>
      <c r="L169" s="7">
        <v>1.1693490490360501</v>
      </c>
    </row>
    <row r="170" spans="1:12" ht="15" customHeight="1" x14ac:dyDescent="0.2">
      <c r="A170" s="3">
        <v>45807</v>
      </c>
      <c r="B170" s="4">
        <v>72.655929999999998</v>
      </c>
      <c r="C170" s="5">
        <v>6408492</v>
      </c>
      <c r="D170" s="4">
        <v>1.73199999999999</v>
      </c>
      <c r="E170" s="4">
        <v>2.4420530559995801</v>
      </c>
      <c r="F170" s="4">
        <v>2.4420606854966098</v>
      </c>
      <c r="G170" s="4">
        <v>77.205079999999995</v>
      </c>
      <c r="H170" s="4">
        <v>10.6328037924493</v>
      </c>
      <c r="I170" s="4">
        <v>70.219380000000001</v>
      </c>
      <c r="J170" s="4">
        <v>73.262619999999998</v>
      </c>
      <c r="K170" s="4">
        <v>68.379745</v>
      </c>
      <c r="L170" s="4">
        <v>4.1139941574820096</v>
      </c>
    </row>
    <row r="171" spans="1:12" ht="15" customHeight="1" x14ac:dyDescent="0.2">
      <c r="A171" s="6">
        <v>45806</v>
      </c>
      <c r="B171" s="7">
        <v>70.923929999999999</v>
      </c>
      <c r="C171" s="8">
        <v>1545394</v>
      </c>
      <c r="D171" s="7">
        <v>0.70454999999999701</v>
      </c>
      <c r="E171" s="7">
        <v>1.00335548391341</v>
      </c>
      <c r="F171" s="7">
        <v>1.00334547666698</v>
      </c>
      <c r="G171" s="7">
        <v>75.364630000000005</v>
      </c>
      <c r="H171" s="7">
        <v>7.9954884274524396</v>
      </c>
      <c r="I171" s="7">
        <v>69.86712</v>
      </c>
      <c r="J171" s="7">
        <v>71.217479999999995</v>
      </c>
      <c r="K171" s="7">
        <v>69.240849999999995</v>
      </c>
      <c r="L171" s="7">
        <v>1.63208472654143</v>
      </c>
    </row>
    <row r="172" spans="1:12" ht="15" customHeight="1" x14ac:dyDescent="0.2">
      <c r="A172" s="3">
        <v>45805</v>
      </c>
      <c r="B172" s="4">
        <v>70.219380000000001</v>
      </c>
      <c r="C172" s="5">
        <v>1099021.8999999999</v>
      </c>
      <c r="D172" s="4">
        <v>0.29354999999999598</v>
      </c>
      <c r="E172" s="4">
        <v>0.41980195301221102</v>
      </c>
      <c r="F172" s="4">
        <v>0.41980759054285299</v>
      </c>
      <c r="G172" s="4">
        <v>74.615973999999994</v>
      </c>
      <c r="H172" s="4">
        <v>6.9226845089014697</v>
      </c>
      <c r="I172" s="4">
        <v>69.925830000000005</v>
      </c>
      <c r="J172" s="4">
        <v>71.256630000000001</v>
      </c>
      <c r="K172" s="4">
        <v>69.231070000000003</v>
      </c>
      <c r="L172" s="4">
        <v>0.62248352009271402</v>
      </c>
    </row>
    <row r="173" spans="1:12" ht="15" customHeight="1" x14ac:dyDescent="0.2">
      <c r="A173" s="6">
        <v>45804</v>
      </c>
      <c r="B173" s="7">
        <v>69.925830000000005</v>
      </c>
      <c r="C173" s="8">
        <v>1303917.7</v>
      </c>
      <c r="D173" s="7">
        <v>1.7613559999999999</v>
      </c>
      <c r="E173" s="7">
        <v>2.58397944947099</v>
      </c>
      <c r="F173" s="7">
        <v>2.5839817540216798</v>
      </c>
      <c r="G173" s="7">
        <v>74.304040000000001</v>
      </c>
      <c r="H173" s="7">
        <v>6.4756914740105902</v>
      </c>
      <c r="I173" s="7">
        <v>68.105760000000004</v>
      </c>
      <c r="J173" s="7">
        <v>71.452330000000003</v>
      </c>
      <c r="K173" s="7">
        <v>67.812200000000004</v>
      </c>
      <c r="L173" s="7">
        <v>0.201834262902991</v>
      </c>
    </row>
    <row r="174" spans="1:12" ht="15" customHeight="1" x14ac:dyDescent="0.2">
      <c r="A174" s="3">
        <v>45803</v>
      </c>
      <c r="B174" s="4">
        <v>68.164473999999998</v>
      </c>
      <c r="C174" s="5">
        <v>238714.97</v>
      </c>
      <c r="D174" s="4">
        <v>1.17423999999999</v>
      </c>
      <c r="E174" s="4">
        <v>1.7528525128005901</v>
      </c>
      <c r="F174" s="4">
        <v>1.7528357588328201</v>
      </c>
      <c r="G174" s="4">
        <v>72.432400000000001</v>
      </c>
      <c r="H174" s="4">
        <v>3.7936816776332001</v>
      </c>
      <c r="I174" s="4">
        <v>67.763274999999993</v>
      </c>
      <c r="J174" s="4">
        <v>68.438460000000006</v>
      </c>
      <c r="K174" s="4">
        <v>67.283789999999996</v>
      </c>
      <c r="L174" s="4">
        <v>-2.3221415267296801</v>
      </c>
    </row>
    <row r="175" spans="1:12" ht="15" customHeight="1" x14ac:dyDescent="0.2">
      <c r="A175" s="6">
        <v>45800</v>
      </c>
      <c r="B175" s="7">
        <v>66.990234000000001</v>
      </c>
      <c r="C175" s="8">
        <v>798345.7</v>
      </c>
      <c r="D175" s="7">
        <v>-2.9351000000005401E-2</v>
      </c>
      <c r="E175" s="7">
        <v>-4.3794660918905402E-2</v>
      </c>
      <c r="F175" s="7">
        <v>-4.37908220300764E-2</v>
      </c>
      <c r="G175" s="7">
        <v>71.184650000000005</v>
      </c>
      <c r="H175" s="7">
        <v>2.00568947644607</v>
      </c>
      <c r="I175" s="7">
        <v>66.637960000000007</v>
      </c>
      <c r="J175" s="7">
        <v>67.86112</v>
      </c>
      <c r="K175" s="7">
        <v>65.845349999999996</v>
      </c>
      <c r="L175" s="7">
        <v>-4.00479587441309</v>
      </c>
    </row>
    <row r="176" spans="1:12" ht="15" customHeight="1" x14ac:dyDescent="0.2">
      <c r="A176" s="3">
        <v>45799</v>
      </c>
      <c r="B176" s="4">
        <v>67.019585000000006</v>
      </c>
      <c r="C176" s="5">
        <v>646080.69999999995</v>
      </c>
      <c r="D176" s="4">
        <v>-1.5265149999999801</v>
      </c>
      <c r="E176" s="4">
        <v>-2.2269903028764402</v>
      </c>
      <c r="F176" s="4">
        <v>-2.2269773766192098</v>
      </c>
      <c r="G176" s="4">
        <v>71.215835999999996</v>
      </c>
      <c r="H176" s="4">
        <v>2.05037817593412</v>
      </c>
      <c r="I176" s="4">
        <v>68.546099999999996</v>
      </c>
      <c r="J176" s="4">
        <v>70.023674</v>
      </c>
      <c r="K176" s="4">
        <v>66.579254000000006</v>
      </c>
      <c r="L176" s="4">
        <v>-3.96273668058656</v>
      </c>
    </row>
    <row r="177" spans="1:12" ht="15" customHeight="1" x14ac:dyDescent="0.2">
      <c r="A177" s="6">
        <v>45798</v>
      </c>
      <c r="B177" s="7">
        <v>68.546099999999996</v>
      </c>
      <c r="C177" s="8">
        <v>642700.12999999896</v>
      </c>
      <c r="D177" s="7">
        <v>1.82984999999999</v>
      </c>
      <c r="E177" s="7">
        <v>2.74273509077622</v>
      </c>
      <c r="F177" s="7">
        <v>2.7427338190384001</v>
      </c>
      <c r="G177" s="7">
        <v>72.837919999999997</v>
      </c>
      <c r="H177" s="7">
        <v>4.3747809342353996</v>
      </c>
      <c r="I177" s="7">
        <v>66.589034999999996</v>
      </c>
      <c r="J177" s="7">
        <v>69.289779999999993</v>
      </c>
      <c r="K177" s="7">
        <v>66.452039999999997</v>
      </c>
      <c r="L177" s="7">
        <v>-1.7752817296787999</v>
      </c>
    </row>
    <row r="178" spans="1:12" ht="15" customHeight="1" x14ac:dyDescent="0.2">
      <c r="A178" s="3">
        <v>45797</v>
      </c>
      <c r="B178" s="4">
        <v>66.716250000000002</v>
      </c>
      <c r="C178" s="5">
        <v>472286.53</v>
      </c>
      <c r="D178" s="4">
        <v>0.93939500000000398</v>
      </c>
      <c r="E178" s="4">
        <v>1.4281543257122999</v>
      </c>
      <c r="F178" s="4">
        <v>1.42814479040604</v>
      </c>
      <c r="G178" s="4">
        <v>70.893500000000003</v>
      </c>
      <c r="H178" s="4">
        <v>1.5884793547264699</v>
      </c>
      <c r="I178" s="4">
        <v>66.050839999999994</v>
      </c>
      <c r="J178" s="4">
        <v>67.45993</v>
      </c>
      <c r="K178" s="4">
        <v>65.649640000000005</v>
      </c>
      <c r="L178" s="4">
        <v>-4.3974075796826204</v>
      </c>
    </row>
    <row r="179" spans="1:12" ht="15" customHeight="1" x14ac:dyDescent="0.2">
      <c r="A179" s="6">
        <v>45796</v>
      </c>
      <c r="B179" s="7">
        <v>65.776854999999998</v>
      </c>
      <c r="C179" s="8">
        <v>1330465.7</v>
      </c>
      <c r="D179" s="7">
        <v>-1.0568150000000001</v>
      </c>
      <c r="E179" s="7">
        <v>-1.5812613612270501</v>
      </c>
      <c r="F179" s="7">
        <v>-1.5812633029129901</v>
      </c>
      <c r="G179" s="7">
        <v>69.895294000000007</v>
      </c>
      <c r="H179" s="7">
        <v>0.15807699593809699</v>
      </c>
      <c r="I179" s="7">
        <v>66.833669999999998</v>
      </c>
      <c r="J179" s="7">
        <v>66.833669999999998</v>
      </c>
      <c r="K179" s="7">
        <v>64.984245000000001</v>
      </c>
      <c r="L179" s="7">
        <v>-5.7435353567486898</v>
      </c>
    </row>
    <row r="180" spans="1:12" ht="15" customHeight="1" x14ac:dyDescent="0.2">
      <c r="A180" s="3">
        <v>45793</v>
      </c>
      <c r="B180" s="4">
        <v>66.833669999999998</v>
      </c>
      <c r="C180" s="5">
        <v>816445.25</v>
      </c>
      <c r="D180" s="4">
        <v>1.92771</v>
      </c>
      <c r="E180" s="4">
        <v>2.9700046035834</v>
      </c>
      <c r="F180" s="4">
        <v>2.9700070480051601</v>
      </c>
      <c r="G180" s="4">
        <v>71.018280000000004</v>
      </c>
      <c r="H180" s="4">
        <v>1.76728573971075</v>
      </c>
      <c r="I180" s="4">
        <v>65.170165999999995</v>
      </c>
      <c r="J180" s="4">
        <v>68.105760000000004</v>
      </c>
      <c r="K180" s="4">
        <v>64.093779999999995</v>
      </c>
      <c r="L180" s="4">
        <v>-4.2291478768067297</v>
      </c>
    </row>
    <row r="181" spans="1:12" ht="15" customHeight="1" x14ac:dyDescent="0.2">
      <c r="A181" s="6">
        <v>45792</v>
      </c>
      <c r="B181" s="7">
        <v>64.905959999999993</v>
      </c>
      <c r="C181" s="8">
        <v>1118084.1000000001</v>
      </c>
      <c r="D181" s="7">
        <v>-1.64394</v>
      </c>
      <c r="E181" s="7">
        <v>-2.47023661943894</v>
      </c>
      <c r="F181" s="7">
        <v>-2.4702299608398199</v>
      </c>
      <c r="G181" s="7">
        <v>68.96987</v>
      </c>
      <c r="H181" s="7">
        <v>-1.1680307137725101</v>
      </c>
      <c r="I181" s="7">
        <v>66.295479999999998</v>
      </c>
      <c r="J181" s="7">
        <v>66.295479999999998</v>
      </c>
      <c r="K181" s="7">
        <v>64.406909999999996</v>
      </c>
      <c r="L181" s="7">
        <v>-6.9915044756049296</v>
      </c>
    </row>
    <row r="182" spans="1:12" ht="15" customHeight="1" x14ac:dyDescent="0.2">
      <c r="A182" s="3">
        <v>45791</v>
      </c>
      <c r="B182" s="4">
        <v>66.549899999999994</v>
      </c>
      <c r="C182" s="5">
        <v>700076.97</v>
      </c>
      <c r="D182" s="4">
        <v>-0.61647000000000596</v>
      </c>
      <c r="E182" s="4">
        <v>-0.91782539386899797</v>
      </c>
      <c r="F182" s="4">
        <v>-0.91781908260685197</v>
      </c>
      <c r="G182" s="4">
        <v>70.716735999999997</v>
      </c>
      <c r="H182" s="4">
        <v>1.3351812954592699</v>
      </c>
      <c r="I182" s="4">
        <v>67.792625000000001</v>
      </c>
      <c r="J182" s="4">
        <v>67.900270000000006</v>
      </c>
      <c r="K182" s="4">
        <v>66.295479999999998</v>
      </c>
      <c r="L182" s="4">
        <v>-4.6357826569557004</v>
      </c>
    </row>
    <row r="183" spans="1:12" ht="15" customHeight="1" x14ac:dyDescent="0.2">
      <c r="A183" s="6">
        <v>45790</v>
      </c>
      <c r="B183" s="7">
        <v>67.166370000000001</v>
      </c>
      <c r="C183" s="8">
        <v>724177.37</v>
      </c>
      <c r="D183" s="7">
        <v>-1.1155200000000001</v>
      </c>
      <c r="E183" s="7">
        <v>-1.6336981884947901</v>
      </c>
      <c r="F183" s="7">
        <v>-1.6337116212145899</v>
      </c>
      <c r="G183" s="7">
        <v>71.371799999999993</v>
      </c>
      <c r="H183" s="7">
        <v>2.2738703944602201</v>
      </c>
      <c r="I183" s="7">
        <v>68.213393999999994</v>
      </c>
      <c r="J183" s="7">
        <v>68.223179999999999</v>
      </c>
      <c r="K183" s="7">
        <v>65.767070000000004</v>
      </c>
      <c r="L183" s="7">
        <v>-3.75239772226058</v>
      </c>
    </row>
    <row r="184" spans="1:12" ht="15" customHeight="1" x14ac:dyDescent="0.2">
      <c r="A184" s="3">
        <v>45789</v>
      </c>
      <c r="B184" s="4">
        <v>68.281890000000004</v>
      </c>
      <c r="C184" s="5">
        <v>519785.3</v>
      </c>
      <c r="D184" s="4">
        <v>-0.68497599999999104</v>
      </c>
      <c r="E184" s="4">
        <v>-0.99319577607019904</v>
      </c>
      <c r="F184" s="4">
        <v>4.8592194899388298E-2</v>
      </c>
      <c r="G184" s="4">
        <v>72.557175000000001</v>
      </c>
      <c r="H184" s="4">
        <v>3.9724808977519102</v>
      </c>
      <c r="I184" s="4">
        <v>68.966865999999996</v>
      </c>
      <c r="J184" s="4">
        <v>68.966865999999996</v>
      </c>
      <c r="K184" s="4">
        <v>65.874709999999993</v>
      </c>
      <c r="L184" s="4">
        <v>-2.15388755574623</v>
      </c>
    </row>
    <row r="185" spans="1:12" ht="15" customHeight="1" x14ac:dyDescent="0.2">
      <c r="A185" s="6">
        <v>45786</v>
      </c>
      <c r="B185" s="7">
        <v>68.966865999999996</v>
      </c>
      <c r="C185" s="8">
        <v>588366.64</v>
      </c>
      <c r="D185" s="7">
        <v>-0.76325400000000299</v>
      </c>
      <c r="E185" s="7">
        <v>-1.09458294349701</v>
      </c>
      <c r="F185" s="7">
        <v>-1.0945791265214999</v>
      </c>
      <c r="G185" s="7">
        <v>72.521934999999999</v>
      </c>
      <c r="H185" s="7">
        <v>3.9219829252655698</v>
      </c>
      <c r="I185" s="7">
        <v>69.974754000000004</v>
      </c>
      <c r="J185" s="7">
        <v>70.620580000000004</v>
      </c>
      <c r="K185" s="7">
        <v>68.281890000000004</v>
      </c>
      <c r="L185" s="7">
        <v>-1.17233536500262</v>
      </c>
    </row>
    <row r="186" spans="1:12" ht="15" customHeight="1" x14ac:dyDescent="0.2">
      <c r="A186" s="3">
        <v>45785</v>
      </c>
      <c r="B186" s="4">
        <v>69.730119999999999</v>
      </c>
      <c r="C186" s="5">
        <v>1366092.7</v>
      </c>
      <c r="D186" s="4">
        <v>-2.2701899999999902</v>
      </c>
      <c r="E186" s="4">
        <v>-3.15302809112905</v>
      </c>
      <c r="F186" s="4">
        <v>-3.15303767248809</v>
      </c>
      <c r="G186" s="4">
        <v>73.324529999999996</v>
      </c>
      <c r="H186" s="4">
        <v>5.0720799805344798</v>
      </c>
      <c r="I186" s="4">
        <v>72.352585000000005</v>
      </c>
      <c r="J186" s="4">
        <v>72.401505</v>
      </c>
      <c r="K186" s="4">
        <v>68.712450000000004</v>
      </c>
      <c r="L186" s="4">
        <v>-7.8612904954626306E-2</v>
      </c>
    </row>
    <row r="187" spans="1:12" ht="15" customHeight="1" x14ac:dyDescent="0.2">
      <c r="A187" s="6">
        <v>45784</v>
      </c>
      <c r="B187" s="7">
        <v>72.000309999999999</v>
      </c>
      <c r="C187" s="8">
        <v>2440949.7000000002</v>
      </c>
      <c r="D187" s="7">
        <v>3.7771299999999899</v>
      </c>
      <c r="E187" s="7">
        <v>5.5364320455305496</v>
      </c>
      <c r="F187" s="7">
        <v>5.53643819533991</v>
      </c>
      <c r="G187" s="7">
        <v>75.711749999999995</v>
      </c>
      <c r="H187" s="7">
        <v>8.4929020542815792</v>
      </c>
      <c r="I187" s="7">
        <v>68.487380000000002</v>
      </c>
      <c r="J187" s="7">
        <v>72.978840000000005</v>
      </c>
      <c r="K187" s="7">
        <v>68.047049999999999</v>
      </c>
      <c r="L187" s="7">
        <v>3.17450832543047</v>
      </c>
    </row>
    <row r="188" spans="1:12" ht="15" customHeight="1" x14ac:dyDescent="0.2">
      <c r="A188" s="3">
        <v>45783</v>
      </c>
      <c r="B188" s="4">
        <v>68.223179999999999</v>
      </c>
      <c r="C188" s="5">
        <v>567568.1</v>
      </c>
      <c r="D188" s="4">
        <v>0.52840000000000398</v>
      </c>
      <c r="E188" s="4">
        <v>0.78056240082322503</v>
      </c>
      <c r="F188" s="4">
        <v>0.78057132565945098</v>
      </c>
      <c r="G188" s="4">
        <v>71.739913999999999</v>
      </c>
      <c r="H188" s="4">
        <v>2.8013678588143098</v>
      </c>
      <c r="I188" s="4">
        <v>68.976650000000006</v>
      </c>
      <c r="J188" s="4">
        <v>68.976650000000006</v>
      </c>
      <c r="K188" s="4">
        <v>67.479500000000002</v>
      </c>
      <c r="L188" s="4">
        <v>-2.2380174071841799</v>
      </c>
    </row>
    <row r="189" spans="1:12" ht="15" customHeight="1" x14ac:dyDescent="0.2">
      <c r="A189" s="6">
        <v>45782</v>
      </c>
      <c r="B189" s="7">
        <v>67.694779999999994</v>
      </c>
      <c r="C189" s="8">
        <v>675390.9</v>
      </c>
      <c r="D189" s="7">
        <v>-0.205490000000011</v>
      </c>
      <c r="E189" s="7">
        <v>-0.30263502634085798</v>
      </c>
      <c r="F189" s="7">
        <v>-0.30264553287967499</v>
      </c>
      <c r="G189" s="7">
        <v>71.184269999999998</v>
      </c>
      <c r="H189" s="7">
        <v>2.00514494666329</v>
      </c>
      <c r="I189" s="7">
        <v>69.475700000000003</v>
      </c>
      <c r="J189" s="7">
        <v>69.475700000000003</v>
      </c>
      <c r="K189" s="7">
        <v>67.205510000000004</v>
      </c>
      <c r="L189" s="7">
        <v>-2.99520039985683</v>
      </c>
    </row>
    <row r="190" spans="1:12" ht="15" customHeight="1" x14ac:dyDescent="0.2">
      <c r="A190" s="3">
        <v>45779</v>
      </c>
      <c r="B190" s="4">
        <v>67.900270000000006</v>
      </c>
      <c r="C190" s="5">
        <v>1298169.3999999999</v>
      </c>
      <c r="D190" s="4">
        <v>-0.45011999999999802</v>
      </c>
      <c r="E190" s="4">
        <v>-0.658547815162424</v>
      </c>
      <c r="F190" s="4">
        <v>-0.658544268221672</v>
      </c>
      <c r="G190" s="4">
        <v>71.400360000000006</v>
      </c>
      <c r="H190" s="4">
        <v>2.3147961065547298</v>
      </c>
      <c r="I190" s="4">
        <v>68.683090000000007</v>
      </c>
      <c r="J190" s="4">
        <v>69.054929999999999</v>
      </c>
      <c r="K190" s="4">
        <v>67.185940000000002</v>
      </c>
      <c r="L190" s="4">
        <v>-2.7007387549584401</v>
      </c>
    </row>
    <row r="191" spans="1:12" ht="15" customHeight="1" x14ac:dyDescent="0.2">
      <c r="A191" s="6">
        <v>45777</v>
      </c>
      <c r="B191" s="7">
        <v>68.350390000000004</v>
      </c>
      <c r="C191" s="8">
        <v>3401276</v>
      </c>
      <c r="D191" s="7">
        <v>2.36804399999999</v>
      </c>
      <c r="E191" s="7">
        <v>3.5889054323712402</v>
      </c>
      <c r="F191" s="7">
        <v>3.58890440489008</v>
      </c>
      <c r="G191" s="7">
        <v>71.873679999999993</v>
      </c>
      <c r="H191" s="7">
        <v>2.9930509401879699</v>
      </c>
      <c r="I191" s="7">
        <v>66.295479999999998</v>
      </c>
      <c r="J191" s="7">
        <v>71.922030000000007</v>
      </c>
      <c r="K191" s="7">
        <v>65.581149999999994</v>
      </c>
      <c r="L191" s="7">
        <v>-2.0557288975364001</v>
      </c>
    </row>
    <row r="192" spans="1:12" ht="15" customHeight="1" x14ac:dyDescent="0.2">
      <c r="A192" s="3">
        <v>45776</v>
      </c>
      <c r="B192" s="4">
        <v>65.982346000000007</v>
      </c>
      <c r="C192" s="5">
        <v>1229759.8</v>
      </c>
      <c r="D192" s="4">
        <v>-3.19000999999998</v>
      </c>
      <c r="E192" s="4">
        <v>-4.61168331464666</v>
      </c>
      <c r="F192" s="4">
        <v>-4.6116793895417496</v>
      </c>
      <c r="G192" s="4">
        <v>69.383570000000006</v>
      </c>
      <c r="H192" s="4">
        <v>-0.57520973710961598</v>
      </c>
      <c r="I192" s="4">
        <v>69.133219999999994</v>
      </c>
      <c r="J192" s="4">
        <v>69.407200000000003</v>
      </c>
      <c r="K192" s="4">
        <v>65.571365</v>
      </c>
      <c r="L192" s="4">
        <v>-5.4490722788771899</v>
      </c>
    </row>
    <row r="193" spans="1:12" ht="15" customHeight="1" x14ac:dyDescent="0.2">
      <c r="A193" s="6">
        <v>45775</v>
      </c>
      <c r="B193" s="7">
        <v>69.172355999999994</v>
      </c>
      <c r="C193" s="8">
        <v>1122524.5</v>
      </c>
      <c r="D193" s="7">
        <v>2.82794999999998</v>
      </c>
      <c r="E193" s="7">
        <v>4.2625296848689498</v>
      </c>
      <c r="F193" s="7">
        <v>4.2625153552748403</v>
      </c>
      <c r="G193" s="7">
        <v>72.738014000000007</v>
      </c>
      <c r="H193" s="7">
        <v>4.2316183224527704</v>
      </c>
      <c r="I193" s="7">
        <v>66.001914999999997</v>
      </c>
      <c r="J193" s="7">
        <v>69.465909999999994</v>
      </c>
      <c r="K193" s="7">
        <v>65.864919999999998</v>
      </c>
      <c r="L193" s="7">
        <v>-0.87787372010425502</v>
      </c>
    </row>
    <row r="194" spans="1:12" ht="15" customHeight="1" x14ac:dyDescent="0.2">
      <c r="A194" s="3">
        <v>45772</v>
      </c>
      <c r="B194" s="4">
        <v>66.344406000000006</v>
      </c>
      <c r="C194" s="5">
        <v>1304007.7</v>
      </c>
      <c r="D194" s="4">
        <v>0.51863100000001305</v>
      </c>
      <c r="E194" s="4">
        <v>0.78788438115617798</v>
      </c>
      <c r="F194" s="4">
        <v>0.78789868522228801</v>
      </c>
      <c r="G194" s="4">
        <v>69.764300000000006</v>
      </c>
      <c r="H194" s="4">
        <v>-2.96338839675796E-2</v>
      </c>
      <c r="I194" s="4">
        <v>65.512649999999994</v>
      </c>
      <c r="J194" s="4">
        <v>66.598815999999999</v>
      </c>
      <c r="K194" s="4">
        <v>64.808109999999999</v>
      </c>
      <c r="L194" s="4">
        <v>-4.9302500337465096</v>
      </c>
    </row>
    <row r="195" spans="1:12" ht="15" customHeight="1" x14ac:dyDescent="0.2">
      <c r="A195" s="6">
        <v>45771</v>
      </c>
      <c r="B195" s="7">
        <v>65.825774999999993</v>
      </c>
      <c r="C195" s="8">
        <v>9514610</v>
      </c>
      <c r="D195" s="7">
        <v>2.0940549999999898</v>
      </c>
      <c r="E195" s="7">
        <v>3.2857343250739</v>
      </c>
      <c r="F195" s="7">
        <v>3.28572944179925</v>
      </c>
      <c r="G195" s="7">
        <v>69.218924999999999</v>
      </c>
      <c r="H195" s="7">
        <v>-0.81114159522579998</v>
      </c>
      <c r="I195" s="7">
        <v>62.723835000000001</v>
      </c>
      <c r="J195" s="7">
        <v>66.266120000000001</v>
      </c>
      <c r="K195" s="7">
        <v>62.723835000000001</v>
      </c>
      <c r="L195" s="7">
        <v>-5.67343431208264</v>
      </c>
    </row>
    <row r="196" spans="1:12" ht="15" customHeight="1" x14ac:dyDescent="0.2">
      <c r="A196" s="3">
        <v>45770</v>
      </c>
      <c r="B196" s="4">
        <v>63.731720000000003</v>
      </c>
      <c r="C196" s="5">
        <v>1493830</v>
      </c>
      <c r="D196" s="4">
        <v>0.80239500000000397</v>
      </c>
      <c r="E196" s="4">
        <v>1.2750732667162701</v>
      </c>
      <c r="F196" s="4">
        <v>1.27507870636998</v>
      </c>
      <c r="G196" s="4">
        <v>67.016930000000002</v>
      </c>
      <c r="H196" s="4">
        <v>-3.9665412242003901</v>
      </c>
      <c r="I196" s="4">
        <v>63.584949999999999</v>
      </c>
      <c r="J196" s="4">
        <v>64.387343999999999</v>
      </c>
      <c r="K196" s="4">
        <v>63.516452999999998</v>
      </c>
      <c r="L196" s="4">
        <v>-8.6741588232883302</v>
      </c>
    </row>
    <row r="197" spans="1:12" ht="15" customHeight="1" x14ac:dyDescent="0.2">
      <c r="A197" s="6">
        <v>45769</v>
      </c>
      <c r="B197" s="7">
        <v>62.929324999999999</v>
      </c>
      <c r="C197" s="8">
        <v>901382.799999999</v>
      </c>
      <c r="D197" s="7">
        <v>-0.53819500000000098</v>
      </c>
      <c r="E197" s="7">
        <v>-0.84798492205147002</v>
      </c>
      <c r="F197" s="7">
        <v>-0.84798853326032397</v>
      </c>
      <c r="G197" s="7">
        <v>66.173169999999999</v>
      </c>
      <c r="H197" s="7">
        <v>-5.1756266176475298</v>
      </c>
      <c r="I197" s="7">
        <v>63.134815000000003</v>
      </c>
      <c r="J197" s="7">
        <v>64.318849999999998</v>
      </c>
      <c r="K197" s="7">
        <v>62.674914999999999</v>
      </c>
      <c r="L197" s="7">
        <v>-9.8239692839347406</v>
      </c>
    </row>
    <row r="198" spans="1:12" ht="15" customHeight="1" x14ac:dyDescent="0.2">
      <c r="A198" s="3">
        <v>45768</v>
      </c>
      <c r="B198" s="4">
        <v>63.46752</v>
      </c>
      <c r="C198" s="5">
        <v>796634.95</v>
      </c>
      <c r="D198" s="4">
        <v>0.43055600000000199</v>
      </c>
      <c r="E198" s="4">
        <v>0.68302147292500504</v>
      </c>
      <c r="F198" s="4">
        <v>0.68302136367119903</v>
      </c>
      <c r="G198" s="4">
        <v>66.739109999999997</v>
      </c>
      <c r="H198" s="4">
        <v>-4.3646498143296801</v>
      </c>
      <c r="I198" s="4">
        <v>63.584949999999999</v>
      </c>
      <c r="J198" s="4">
        <v>66.246544</v>
      </c>
      <c r="K198" s="4">
        <v>63.252243</v>
      </c>
      <c r="L198" s="4">
        <v>-9.0527503196246499</v>
      </c>
    </row>
    <row r="199" spans="1:12" ht="15" customHeight="1" x14ac:dyDescent="0.2">
      <c r="A199" s="6">
        <v>45763</v>
      </c>
      <c r="B199" s="7">
        <v>63.036963999999998</v>
      </c>
      <c r="C199" s="8">
        <v>721613.34</v>
      </c>
      <c r="D199" s="7">
        <v>-0.40120399999999901</v>
      </c>
      <c r="E199" s="7">
        <v>-0.63243314340350998</v>
      </c>
      <c r="F199" s="7">
        <v>-0.63243157772222502</v>
      </c>
      <c r="G199" s="7">
        <v>66.286360000000002</v>
      </c>
      <c r="H199" s="7">
        <v>-5.0134283910377304</v>
      </c>
      <c r="I199" s="7">
        <v>63.604514999999999</v>
      </c>
      <c r="J199" s="7">
        <v>63.653446000000002</v>
      </c>
      <c r="K199" s="7">
        <v>62.635773</v>
      </c>
      <c r="L199" s="7">
        <v>-9.6697254910727306</v>
      </c>
    </row>
    <row r="200" spans="1:12" ht="15" customHeight="1" x14ac:dyDescent="0.2">
      <c r="A200" s="3">
        <v>45762</v>
      </c>
      <c r="B200" s="4">
        <v>63.438167999999997</v>
      </c>
      <c r="C200" s="5">
        <v>896045.17</v>
      </c>
      <c r="D200" s="4">
        <v>0.55776299999999401</v>
      </c>
      <c r="E200" s="4">
        <v>0.88702195858947297</v>
      </c>
      <c r="F200" s="4">
        <v>0.88701392968588699</v>
      </c>
      <c r="G200" s="4">
        <v>66.708243999999993</v>
      </c>
      <c r="H200" s="4">
        <v>-4.4088799624217199</v>
      </c>
      <c r="I200" s="4">
        <v>62.880405000000003</v>
      </c>
      <c r="J200" s="4">
        <v>63.927433000000001</v>
      </c>
      <c r="K200" s="4">
        <v>62.821686</v>
      </c>
      <c r="L200" s="4">
        <v>-9.0948109464242908</v>
      </c>
    </row>
    <row r="201" spans="1:12" ht="15" customHeight="1" x14ac:dyDescent="0.2">
      <c r="A201" s="6">
        <v>45761</v>
      </c>
      <c r="B201" s="7">
        <v>62.880405000000003</v>
      </c>
      <c r="C201" s="8">
        <v>1094727.79999999</v>
      </c>
      <c r="D201" s="7">
        <v>-0.401191999999994</v>
      </c>
      <c r="E201" s="7">
        <v>-0.63397894335693805</v>
      </c>
      <c r="F201" s="7">
        <v>-0.63396780456722501</v>
      </c>
      <c r="G201" s="7">
        <v>66.121735000000001</v>
      </c>
      <c r="H201" s="7">
        <v>-5.2493315896916499</v>
      </c>
      <c r="I201" s="7">
        <v>63.105460000000001</v>
      </c>
      <c r="J201" s="7">
        <v>64.583045999999996</v>
      </c>
      <c r="K201" s="7">
        <v>62.625984000000003</v>
      </c>
      <c r="L201" s="7">
        <v>-9.8940703286007903</v>
      </c>
    </row>
    <row r="202" spans="1:12" ht="15" customHeight="1" x14ac:dyDescent="0.2">
      <c r="A202" s="3">
        <v>45758</v>
      </c>
      <c r="B202" s="4">
        <v>63.281596999999998</v>
      </c>
      <c r="C202" s="5">
        <v>794356</v>
      </c>
      <c r="D202" s="4">
        <v>-0.66540300000000396</v>
      </c>
      <c r="E202" s="4">
        <v>-1.04055389619529</v>
      </c>
      <c r="F202" s="4">
        <v>-1.04056448143317</v>
      </c>
      <c r="G202" s="4">
        <v>66.543599999999998</v>
      </c>
      <c r="H202" s="4">
        <v>-4.6448103875647799</v>
      </c>
      <c r="I202" s="4">
        <v>64.328630000000004</v>
      </c>
      <c r="J202" s="4">
        <v>64.328630000000004</v>
      </c>
      <c r="K202" s="4">
        <v>62.674914999999999</v>
      </c>
      <c r="L202" s="4">
        <v>-9.3191729796297196</v>
      </c>
    </row>
    <row r="203" spans="1:12" ht="15" customHeight="1" x14ac:dyDescent="0.2">
      <c r="A203" s="6">
        <v>45757</v>
      </c>
      <c r="B203" s="7">
        <v>63.947000000000003</v>
      </c>
      <c r="C203" s="8">
        <v>789101.2</v>
      </c>
      <c r="D203" s="7">
        <v>-2.4854699999999901</v>
      </c>
      <c r="E203" s="7">
        <v>-3.74134816905045</v>
      </c>
      <c r="F203" s="7">
        <v>-3.7413483850557401</v>
      </c>
      <c r="G203" s="7">
        <v>67.243309999999994</v>
      </c>
      <c r="H203" s="7">
        <v>-3.6421447709808099</v>
      </c>
      <c r="I203" s="7">
        <v>66.755390000000006</v>
      </c>
      <c r="J203" s="7">
        <v>66.882589999999993</v>
      </c>
      <c r="K203" s="7">
        <v>63.653446000000002</v>
      </c>
      <c r="L203" s="7">
        <v>-8.3656683716180709</v>
      </c>
    </row>
    <row r="204" spans="1:12" ht="15" customHeight="1" x14ac:dyDescent="0.2">
      <c r="A204" s="3">
        <v>45756</v>
      </c>
      <c r="B204" s="4">
        <v>66.432469999999995</v>
      </c>
      <c r="C204" s="5">
        <v>1361921.1</v>
      </c>
      <c r="D204" s="4">
        <v>5.5971999999999902</v>
      </c>
      <c r="E204" s="4">
        <v>9.2005838060716894</v>
      </c>
      <c r="F204" s="4">
        <v>9.2005874645793408</v>
      </c>
      <c r="G204" s="4">
        <v>69.856899999999996</v>
      </c>
      <c r="H204" s="4">
        <v>0.103059426254749</v>
      </c>
      <c r="I204" s="4">
        <v>60.571069999999999</v>
      </c>
      <c r="J204" s="4">
        <v>68.810299999999998</v>
      </c>
      <c r="K204" s="4">
        <v>60.081806</v>
      </c>
      <c r="L204" s="4">
        <v>-4.8040566895627199</v>
      </c>
    </row>
    <row r="205" spans="1:12" ht="15" customHeight="1" x14ac:dyDescent="0.2">
      <c r="A205" s="6">
        <v>45755</v>
      </c>
      <c r="B205" s="7">
        <v>60.835270000000001</v>
      </c>
      <c r="C205" s="8">
        <v>1818958.3</v>
      </c>
      <c r="D205" s="7">
        <v>-2.730102</v>
      </c>
      <c r="E205" s="7">
        <v>-4.2949516601586097</v>
      </c>
      <c r="F205" s="7">
        <v>-4.2949546250928101</v>
      </c>
      <c r="G205" s="7">
        <v>63.971176</v>
      </c>
      <c r="H205" s="7">
        <v>-8.3310248136490106</v>
      </c>
      <c r="I205" s="7">
        <v>64.005713999999998</v>
      </c>
      <c r="J205" s="7">
        <v>64.857029999999995</v>
      </c>
      <c r="K205" s="7">
        <v>59.778458000000001</v>
      </c>
      <c r="L205" s="7">
        <v>-12.8246937951404</v>
      </c>
    </row>
    <row r="206" spans="1:12" ht="15" customHeight="1" x14ac:dyDescent="0.2">
      <c r="A206" s="3">
        <v>45754</v>
      </c>
      <c r="B206" s="4">
        <v>63.565372000000004</v>
      </c>
      <c r="C206" s="5">
        <v>2483612.7999999998</v>
      </c>
      <c r="D206" s="4">
        <v>-2.2995479999999899</v>
      </c>
      <c r="E206" s="4">
        <v>-3.4913091824904501</v>
      </c>
      <c r="F206" s="4">
        <v>-3.4913035775725998</v>
      </c>
      <c r="G206" s="4">
        <v>66.842010000000002</v>
      </c>
      <c r="H206" s="4">
        <v>-4.2171968810480402</v>
      </c>
      <c r="I206" s="4">
        <v>65.708359999999999</v>
      </c>
      <c r="J206" s="4">
        <v>65.874709999999993</v>
      </c>
      <c r="K206" s="4">
        <v>62.449849999999998</v>
      </c>
      <c r="L206" s="4">
        <v>-8.9125310346151796</v>
      </c>
    </row>
    <row r="207" spans="1:12" ht="15" customHeight="1" x14ac:dyDescent="0.2">
      <c r="A207" s="6">
        <v>45751</v>
      </c>
      <c r="B207" s="7">
        <v>65.864919999999998</v>
      </c>
      <c r="C207" s="8">
        <v>1494639.4</v>
      </c>
      <c r="D207" s="7">
        <v>-0.73389600000000099</v>
      </c>
      <c r="E207" s="7">
        <v>-1.1019655364443699</v>
      </c>
      <c r="F207" s="7">
        <v>-1.10196344332927</v>
      </c>
      <c r="G207" s="7">
        <v>69.260090000000005</v>
      </c>
      <c r="H207" s="7">
        <v>-0.75215325704757496</v>
      </c>
      <c r="I207" s="7">
        <v>65.874709999999993</v>
      </c>
      <c r="J207" s="7">
        <v>66.540109999999999</v>
      </c>
      <c r="K207" s="7">
        <v>64.181849999999997</v>
      </c>
      <c r="L207" s="7">
        <v>-5.6173405795917697</v>
      </c>
    </row>
    <row r="208" spans="1:12" ht="15" customHeight="1" x14ac:dyDescent="0.2">
      <c r="A208" s="3">
        <v>45750</v>
      </c>
      <c r="B208" s="4">
        <v>66.598815999999999</v>
      </c>
      <c r="C208" s="5">
        <v>3487315.2</v>
      </c>
      <c r="D208" s="4">
        <v>3.082363</v>
      </c>
      <c r="E208" s="4">
        <v>4.8528575737691204</v>
      </c>
      <c r="F208" s="4">
        <v>4.8528560882813201</v>
      </c>
      <c r="G208" s="4">
        <v>70.031814999999995</v>
      </c>
      <c r="H208" s="4">
        <v>0.35370791823683201</v>
      </c>
      <c r="I208" s="4">
        <v>63.125039999999998</v>
      </c>
      <c r="J208" s="4">
        <v>67.910049999999998</v>
      </c>
      <c r="K208" s="4">
        <v>63.125039999999998</v>
      </c>
      <c r="L208" s="4">
        <v>-4.5656873441820904</v>
      </c>
    </row>
    <row r="209" spans="1:12" ht="15" customHeight="1" x14ac:dyDescent="0.2">
      <c r="A209" s="6">
        <v>45749</v>
      </c>
      <c r="B209" s="7">
        <v>63.516452999999998</v>
      </c>
      <c r="C209" s="8">
        <v>803959.16999999899</v>
      </c>
      <c r="D209" s="7">
        <v>-0.55775699999999495</v>
      </c>
      <c r="E209" s="7">
        <v>-0.87048595683035801</v>
      </c>
      <c r="F209" s="7">
        <v>-0.87048896082235705</v>
      </c>
      <c r="G209" s="7">
        <v>66.790565000000001</v>
      </c>
      <c r="H209" s="7">
        <v>-4.2909161828232998</v>
      </c>
      <c r="I209" s="7">
        <v>63.633870000000002</v>
      </c>
      <c r="J209" s="7">
        <v>64.710250000000002</v>
      </c>
      <c r="K209" s="7">
        <v>63.399025000000002</v>
      </c>
      <c r="L209" s="7">
        <v>-8.9826306463081398</v>
      </c>
    </row>
    <row r="210" spans="1:12" ht="15" customHeight="1" x14ac:dyDescent="0.2">
      <c r="A210" s="3">
        <v>45748</v>
      </c>
      <c r="B210" s="4">
        <v>64.074209999999994</v>
      </c>
      <c r="C210" s="5">
        <v>608019.6</v>
      </c>
      <c r="D210" s="4"/>
      <c r="E210" s="4"/>
      <c r="F210" s="4"/>
      <c r="G210" s="4">
        <v>67.377075000000005</v>
      </c>
      <c r="H210" s="4">
        <v>-3.4504631225802398</v>
      </c>
      <c r="I210" s="4">
        <v>63.751297000000001</v>
      </c>
      <c r="J210" s="4">
        <v>64.524339999999995</v>
      </c>
      <c r="K210" s="4">
        <v>63.506664000000001</v>
      </c>
      <c r="L210" s="4">
        <v>-8.1833798619703106</v>
      </c>
    </row>
    <row r="211" spans="1:12" ht="15" customHeight="1" x14ac:dyDescent="0.2">
      <c r="A211" s="6">
        <v>45747</v>
      </c>
      <c r="B211" s="7">
        <v>64.074209999999994</v>
      </c>
      <c r="C211" s="8">
        <v>1076030.29999999</v>
      </c>
      <c r="D211" s="7">
        <v>0.37184399999999501</v>
      </c>
      <c r="E211" s="7">
        <v>0.58372086211051499</v>
      </c>
      <c r="F211" s="7">
        <v>0.58372592745416996</v>
      </c>
      <c r="G211" s="7">
        <v>67.377075000000005</v>
      </c>
      <c r="H211" s="7">
        <v>-3.4504631225802398</v>
      </c>
      <c r="I211" s="7">
        <v>63.966576000000003</v>
      </c>
      <c r="J211" s="7">
        <v>64.318849999999998</v>
      </c>
      <c r="K211" s="7">
        <v>62.430280000000003</v>
      </c>
      <c r="L211" s="7">
        <v>-8.1833798619703106</v>
      </c>
    </row>
    <row r="212" spans="1:12" ht="15" customHeight="1" x14ac:dyDescent="0.2">
      <c r="A212" s="3">
        <v>45744</v>
      </c>
      <c r="B212" s="4">
        <v>63.702365999999998</v>
      </c>
      <c r="C212" s="5">
        <v>753764.6</v>
      </c>
      <c r="D212" s="4">
        <v>-1.184024</v>
      </c>
      <c r="E212" s="4">
        <v>-1.8247647927400601</v>
      </c>
      <c r="F212" s="4">
        <v>-1.82477571636113</v>
      </c>
      <c r="G212" s="4">
        <v>66.986059999999995</v>
      </c>
      <c r="H212" s="4">
        <v>-4.0107771041848901</v>
      </c>
      <c r="I212" s="4">
        <v>65.219089999999994</v>
      </c>
      <c r="J212" s="4">
        <v>65.219089999999994</v>
      </c>
      <c r="K212" s="4">
        <v>61.745303999999997</v>
      </c>
      <c r="L212" s="4">
        <v>-8.7162223160341998</v>
      </c>
    </row>
    <row r="213" spans="1:12" ht="15" customHeight="1" x14ac:dyDescent="0.2">
      <c r="A213" s="6">
        <v>45743</v>
      </c>
      <c r="B213" s="7">
        <v>64.886390000000006</v>
      </c>
      <c r="C213" s="8">
        <v>517197.7</v>
      </c>
      <c r="D213" s="7">
        <v>-9.7854999999995501E-2</v>
      </c>
      <c r="E213" s="7">
        <v>-0.15058265276451899</v>
      </c>
      <c r="F213" s="7">
        <v>-0.15057653566992099</v>
      </c>
      <c r="G213" s="7">
        <v>68.231125000000006</v>
      </c>
      <c r="H213" s="7">
        <v>-2.2266324358049498</v>
      </c>
      <c r="I213" s="7">
        <v>64.230773999999997</v>
      </c>
      <c r="J213" s="7">
        <v>65.042950000000005</v>
      </c>
      <c r="K213" s="7">
        <v>64.230773999999997</v>
      </c>
      <c r="L213" s="7">
        <v>-7.0195477594175602</v>
      </c>
    </row>
    <row r="214" spans="1:12" ht="15" customHeight="1" x14ac:dyDescent="0.2">
      <c r="A214" s="3">
        <v>45742</v>
      </c>
      <c r="B214" s="4">
        <v>64.984245000000001</v>
      </c>
      <c r="C214" s="5">
        <v>703310.36</v>
      </c>
      <c r="D214" s="4">
        <v>0.70454499999999598</v>
      </c>
      <c r="E214" s="4">
        <v>1.0960614315250301</v>
      </c>
      <c r="F214" s="4">
        <v>1.09605764843661</v>
      </c>
      <c r="G214" s="4">
        <v>68.334019999999995</v>
      </c>
      <c r="H214" s="4">
        <v>-2.0791866673888899</v>
      </c>
      <c r="I214" s="4">
        <v>64.318849999999998</v>
      </c>
      <c r="J214" s="4">
        <v>65.561580000000006</v>
      </c>
      <c r="K214" s="4">
        <v>64.162279999999996</v>
      </c>
      <c r="L214" s="4">
        <v>-6.8793241754887697</v>
      </c>
    </row>
    <row r="215" spans="1:12" ht="15" customHeight="1" x14ac:dyDescent="0.2">
      <c r="A215" s="6">
        <v>45741</v>
      </c>
      <c r="B215" s="7">
        <v>64.279700000000005</v>
      </c>
      <c r="C215" s="8">
        <v>947825.87</v>
      </c>
      <c r="D215" s="7">
        <v>0.73389300000000102</v>
      </c>
      <c r="E215" s="7">
        <v>1.1549038947605099</v>
      </c>
      <c r="F215" s="7">
        <v>1.1549078698310999</v>
      </c>
      <c r="G215" s="7">
        <v>67.593159999999997</v>
      </c>
      <c r="H215" s="7">
        <v>-3.1408191275543902</v>
      </c>
      <c r="I215" s="7">
        <v>64.563479999999998</v>
      </c>
      <c r="J215" s="7">
        <v>65.268010000000004</v>
      </c>
      <c r="K215" s="7">
        <v>62.841262999999998</v>
      </c>
      <c r="L215" s="7">
        <v>-7.8889182170719199</v>
      </c>
    </row>
    <row r="216" spans="1:12" ht="15" customHeight="1" x14ac:dyDescent="0.2">
      <c r="A216" s="3">
        <v>45740</v>
      </c>
      <c r="B216" s="4">
        <v>63.545807000000003</v>
      </c>
      <c r="C216" s="5">
        <v>996781.89999999898</v>
      </c>
      <c r="D216" s="4">
        <v>-0.234842999999997</v>
      </c>
      <c r="E216" s="4">
        <v>-0.368204149691164</v>
      </c>
      <c r="F216" s="4">
        <v>-0.36820033523995399</v>
      </c>
      <c r="G216" s="4">
        <v>66.821433999999996</v>
      </c>
      <c r="H216" s="4">
        <v>-4.2466817358119204</v>
      </c>
      <c r="I216" s="4">
        <v>63.770862999999999</v>
      </c>
      <c r="J216" s="4">
        <v>63.770862999999999</v>
      </c>
      <c r="K216" s="4">
        <v>62.32264</v>
      </c>
      <c r="L216" s="4">
        <v>-8.9405671535622702</v>
      </c>
    </row>
    <row r="217" spans="1:12" ht="15" customHeight="1" x14ac:dyDescent="0.2">
      <c r="A217" s="6">
        <v>45737</v>
      </c>
      <c r="B217" s="7">
        <v>63.780650000000001</v>
      </c>
      <c r="C217" s="8">
        <v>3969928.5</v>
      </c>
      <c r="D217" s="7">
        <v>-0.92959999999999998</v>
      </c>
      <c r="E217" s="7">
        <v>-1.4365575778180399</v>
      </c>
      <c r="F217" s="7">
        <v>-1.4365597339442799</v>
      </c>
      <c r="G217" s="7">
        <v>67.068380000000005</v>
      </c>
      <c r="H217" s="7">
        <v>-3.8928147575595702</v>
      </c>
      <c r="I217" s="7">
        <v>63.947000000000003</v>
      </c>
      <c r="J217" s="7">
        <v>64.798325000000006</v>
      </c>
      <c r="K217" s="7">
        <v>63.213099999999997</v>
      </c>
      <c r="L217" s="7">
        <v>-8.6040434488911508</v>
      </c>
    </row>
    <row r="218" spans="1:12" ht="15" customHeight="1" x14ac:dyDescent="0.2">
      <c r="A218" s="3">
        <v>45736</v>
      </c>
      <c r="B218" s="4">
        <v>64.710250000000002</v>
      </c>
      <c r="C218" s="5">
        <v>569758.1</v>
      </c>
      <c r="D218" s="4">
        <v>1.29166</v>
      </c>
      <c r="E218" s="4">
        <v>2.0367214092902302</v>
      </c>
      <c r="F218" s="4">
        <v>2.0367186373011199</v>
      </c>
      <c r="G218" s="4">
        <v>68.045900000000003</v>
      </c>
      <c r="H218" s="4">
        <v>-2.4920548805774501</v>
      </c>
      <c r="I218" s="4">
        <v>63.516452999999998</v>
      </c>
      <c r="J218" s="4">
        <v>65.072310000000002</v>
      </c>
      <c r="K218" s="4">
        <v>63.066319999999997</v>
      </c>
      <c r="L218" s="4">
        <v>-7.27195164346253</v>
      </c>
    </row>
    <row r="219" spans="1:12" ht="15" customHeight="1" x14ac:dyDescent="0.2">
      <c r="A219" s="6">
        <v>45735</v>
      </c>
      <c r="B219" s="7">
        <v>63.418590000000002</v>
      </c>
      <c r="C219" s="8">
        <v>1042856.1</v>
      </c>
      <c r="D219" s="7">
        <v>-0.84154000000000195</v>
      </c>
      <c r="E219" s="7">
        <v>-1.30958340731648</v>
      </c>
      <c r="F219" s="7">
        <v>-1.30958444978719</v>
      </c>
      <c r="G219" s="7">
        <v>66.687659999999994</v>
      </c>
      <c r="H219" s="7">
        <v>-4.4383762809705001</v>
      </c>
      <c r="I219" s="7">
        <v>64.123140000000006</v>
      </c>
      <c r="J219" s="7">
        <v>65.493080000000006</v>
      </c>
      <c r="K219" s="7">
        <v>63.193534999999997</v>
      </c>
      <c r="L219" s="7">
        <v>-9.12286569402184</v>
      </c>
    </row>
    <row r="220" spans="1:12" ht="15" customHeight="1" x14ac:dyDescent="0.2">
      <c r="A220" s="3">
        <v>45734</v>
      </c>
      <c r="B220" s="4">
        <v>64.260130000000004</v>
      </c>
      <c r="C220" s="5">
        <v>639332.80000000005</v>
      </c>
      <c r="D220" s="4">
        <v>0.19571000000000499</v>
      </c>
      <c r="E220" s="4">
        <v>0.30548938084509197</v>
      </c>
      <c r="F220" s="4">
        <v>0.30549181658972002</v>
      </c>
      <c r="G220" s="4">
        <v>67.572580000000002</v>
      </c>
      <c r="H220" s="4">
        <v>-3.1703097142107102</v>
      </c>
      <c r="I220" s="4">
        <v>64.935320000000004</v>
      </c>
      <c r="J220" s="4">
        <v>65.737719999999996</v>
      </c>
      <c r="K220" s="4">
        <v>64.142709999999994</v>
      </c>
      <c r="L220" s="4">
        <v>-7.91696150088457</v>
      </c>
    </row>
    <row r="221" spans="1:12" ht="15" customHeight="1" x14ac:dyDescent="0.2">
      <c r="A221" s="6">
        <v>45730</v>
      </c>
      <c r="B221" s="7">
        <v>64.064419999999998</v>
      </c>
      <c r="C221" s="8">
        <v>991948.1</v>
      </c>
      <c r="D221" s="7">
        <v>0.55775599999999703</v>
      </c>
      <c r="E221" s="7">
        <v>0.87826373622774601</v>
      </c>
      <c r="F221" s="7">
        <v>0.87826838675555396</v>
      </c>
      <c r="G221" s="7">
        <v>67.366780000000006</v>
      </c>
      <c r="H221" s="7">
        <v>-3.46521558077397</v>
      </c>
      <c r="I221" s="7">
        <v>63.183745999999999</v>
      </c>
      <c r="J221" s="7">
        <v>65.483289999999997</v>
      </c>
      <c r="K221" s="7">
        <v>63.154392000000001</v>
      </c>
      <c r="L221" s="7">
        <v>-8.1974086687421899</v>
      </c>
    </row>
    <row r="222" spans="1:12" ht="15" customHeight="1" x14ac:dyDescent="0.2">
      <c r="A222" s="3">
        <v>45729</v>
      </c>
      <c r="B222" s="4">
        <v>63.506664000000001</v>
      </c>
      <c r="C222" s="5">
        <v>3346961</v>
      </c>
      <c r="D222" s="4">
        <v>1.3797299999999999</v>
      </c>
      <c r="E222" s="4">
        <v>2.2208242241601601</v>
      </c>
      <c r="F222" s="4">
        <v>2.22082179820362</v>
      </c>
      <c r="G222" s="4">
        <v>66.780270000000002</v>
      </c>
      <c r="H222" s="4">
        <v>-4.3056686410170197</v>
      </c>
      <c r="I222" s="4">
        <v>61.813800000000001</v>
      </c>
      <c r="J222" s="4">
        <v>63.653446000000002</v>
      </c>
      <c r="K222" s="4">
        <v>61.481105999999997</v>
      </c>
      <c r="L222" s="4">
        <v>-8.99665802010691</v>
      </c>
    </row>
    <row r="223" spans="1:12" ht="15" customHeight="1" x14ac:dyDescent="0.2">
      <c r="A223" s="6">
        <v>45728</v>
      </c>
      <c r="B223" s="7">
        <v>62.126933999999999</v>
      </c>
      <c r="C223" s="8">
        <v>2497497.7999999998</v>
      </c>
      <c r="D223" s="7">
        <v>-0.205490000000004</v>
      </c>
      <c r="E223" s="7">
        <v>-0.32966791087733999</v>
      </c>
      <c r="F223" s="7">
        <v>-0.32966412644652698</v>
      </c>
      <c r="G223" s="7">
        <v>65.329419999999999</v>
      </c>
      <c r="H223" s="7">
        <v>-6.3846976813635301</v>
      </c>
      <c r="I223" s="7">
        <v>62.332424000000003</v>
      </c>
      <c r="J223" s="7">
        <v>63.066319999999997</v>
      </c>
      <c r="K223" s="7">
        <v>61.158188000000003</v>
      </c>
      <c r="L223" s="7">
        <v>-10.973774012688599</v>
      </c>
    </row>
    <row r="224" spans="1:12" ht="15" customHeight="1" x14ac:dyDescent="0.2">
      <c r="A224" s="3">
        <v>45727</v>
      </c>
      <c r="B224" s="4">
        <v>62.332424000000003</v>
      </c>
      <c r="C224" s="5">
        <v>1612750.0999999901</v>
      </c>
      <c r="D224" s="4">
        <v>2.935594</v>
      </c>
      <c r="E224" s="4">
        <v>4.9423411990168402</v>
      </c>
      <c r="F224" s="4">
        <v>4.9423339509372299</v>
      </c>
      <c r="G224" s="4">
        <v>65.545500000000004</v>
      </c>
      <c r="H224" s="4">
        <v>-6.0750608512032196</v>
      </c>
      <c r="I224" s="4">
        <v>59.612105999999997</v>
      </c>
      <c r="J224" s="4">
        <v>62.606414999999998</v>
      </c>
      <c r="K224" s="4">
        <v>59.533825</v>
      </c>
      <c r="L224" s="4">
        <v>-10.679312367790301</v>
      </c>
    </row>
    <row r="225" spans="1:12" ht="15" customHeight="1" x14ac:dyDescent="0.2">
      <c r="A225" s="6">
        <v>45726</v>
      </c>
      <c r="B225" s="7">
        <v>59.396830000000001</v>
      </c>
      <c r="C225" s="8">
        <v>1934293.3</v>
      </c>
      <c r="D225" s="7">
        <v>-4.1783299999999901</v>
      </c>
      <c r="E225" s="7">
        <v>-6.5722681625968198</v>
      </c>
      <c r="F225" s="7">
        <v>-6.5722675210875297</v>
      </c>
      <c r="G225" s="7">
        <v>62.458587999999999</v>
      </c>
      <c r="H225" s="7">
        <v>-10.4985227480182</v>
      </c>
      <c r="I225" s="7">
        <v>64.328630000000004</v>
      </c>
      <c r="J225" s="7">
        <v>64.328630000000004</v>
      </c>
      <c r="K225" s="7">
        <v>58.320445999999997</v>
      </c>
      <c r="L225" s="7">
        <v>-14.8859396391601</v>
      </c>
    </row>
    <row r="226" spans="1:12" ht="15" customHeight="1" x14ac:dyDescent="0.2">
      <c r="A226" s="3">
        <v>45723</v>
      </c>
      <c r="B226" s="4">
        <v>63.575159999999997</v>
      </c>
      <c r="C226" s="5">
        <v>3757620.4</v>
      </c>
      <c r="D226" s="4">
        <v>0.45990999999999299</v>
      </c>
      <c r="E226" s="4">
        <v>0.728682846063333</v>
      </c>
      <c r="F226" s="4">
        <v>0.728687085534929</v>
      </c>
      <c r="G226" s="4">
        <v>66.8523</v>
      </c>
      <c r="H226" s="4">
        <v>-4.2024515877198798</v>
      </c>
      <c r="I226" s="4">
        <v>63.066319999999997</v>
      </c>
      <c r="J226" s="4">
        <v>63.829582000000002</v>
      </c>
      <c r="K226" s="4">
        <v>62.312854999999999</v>
      </c>
      <c r="L226" s="4">
        <v>-8.8985050937895291</v>
      </c>
    </row>
    <row r="227" spans="1:12" ht="15" customHeight="1" x14ac:dyDescent="0.2">
      <c r="A227" s="6">
        <v>45722</v>
      </c>
      <c r="B227" s="7">
        <v>63.115250000000003</v>
      </c>
      <c r="C227" s="8">
        <v>1211405.6000000001</v>
      </c>
      <c r="D227" s="7">
        <v>-0.234843999999995</v>
      </c>
      <c r="E227" s="7">
        <v>-0.37070821078812799</v>
      </c>
      <c r="F227" s="7">
        <v>-0.37070879611886798</v>
      </c>
      <c r="G227" s="7">
        <v>66.368679999999998</v>
      </c>
      <c r="H227" s="7">
        <v>-4.8954660444124301</v>
      </c>
      <c r="I227" s="7">
        <v>63.565372000000004</v>
      </c>
      <c r="J227" s="7">
        <v>64.534120000000001</v>
      </c>
      <c r="K227" s="7">
        <v>62.371566999999999</v>
      </c>
      <c r="L227" s="7">
        <v>-9.5575437579834492</v>
      </c>
    </row>
    <row r="228" spans="1:12" ht="15" customHeight="1" x14ac:dyDescent="0.2">
      <c r="A228" s="3">
        <v>45721</v>
      </c>
      <c r="B228" s="4">
        <v>63.350093999999999</v>
      </c>
      <c r="C228" s="5">
        <v>795617.1</v>
      </c>
      <c r="D228" s="4">
        <v>-0.23485600000000001</v>
      </c>
      <c r="E228" s="4">
        <v>-0.36935784332613403</v>
      </c>
      <c r="F228" s="4">
        <v>-0.36936197286390099</v>
      </c>
      <c r="G228" s="4">
        <v>66.615629999999996</v>
      </c>
      <c r="H228" s="4">
        <v>-4.54159333426764</v>
      </c>
      <c r="I228" s="4">
        <v>63.731720000000003</v>
      </c>
      <c r="J228" s="4">
        <v>64.534120000000001</v>
      </c>
      <c r="K228" s="4">
        <v>62.978256000000002</v>
      </c>
      <c r="L228" s="4">
        <v>-9.2210186203392208</v>
      </c>
    </row>
    <row r="229" spans="1:12" ht="15" customHeight="1" x14ac:dyDescent="0.2">
      <c r="A229" s="6">
        <v>45720</v>
      </c>
      <c r="B229" s="7">
        <v>63.584949999999999</v>
      </c>
      <c r="C229" s="8">
        <v>2799567</v>
      </c>
      <c r="D229" s="7">
        <v>-9.7769999999997009E-3</v>
      </c>
      <c r="E229" s="7">
        <v>-1.5373916142447E-2</v>
      </c>
      <c r="F229" s="7">
        <v>-1.53799268103882E-2</v>
      </c>
      <c r="G229" s="7">
        <v>66.862594999999999</v>
      </c>
      <c r="H229" s="7">
        <v>-4.1876991295261599</v>
      </c>
      <c r="I229" s="7">
        <v>63.868713</v>
      </c>
      <c r="J229" s="7">
        <v>63.868713</v>
      </c>
      <c r="K229" s="7">
        <v>60.766773000000001</v>
      </c>
      <c r="L229" s="7">
        <v>-8.8844762870176393</v>
      </c>
    </row>
    <row r="230" spans="1:12" ht="15" customHeight="1" x14ac:dyDescent="0.2">
      <c r="A230" s="3">
        <v>45719</v>
      </c>
      <c r="B230" s="4">
        <v>63.594726999999999</v>
      </c>
      <c r="C230" s="5">
        <v>2316651.4</v>
      </c>
      <c r="D230" s="4">
        <v>-1.9576999999998099E-2</v>
      </c>
      <c r="E230" s="4">
        <v>-3.0774525175969399E-2</v>
      </c>
      <c r="F230" s="4">
        <v>-3.0765339391936E-2</v>
      </c>
      <c r="G230" s="4">
        <v>66.872879999999995</v>
      </c>
      <c r="H230" s="4">
        <v>-4.1729610010635598</v>
      </c>
      <c r="I230" s="4">
        <v>63.604514999999999</v>
      </c>
      <c r="J230" s="4">
        <v>65.228880000000004</v>
      </c>
      <c r="K230" s="4">
        <v>63.173957999999999</v>
      </c>
      <c r="L230" s="4">
        <v>-8.8704661088962204</v>
      </c>
    </row>
    <row r="231" spans="1:12" ht="15" customHeight="1" x14ac:dyDescent="0.2">
      <c r="A231" s="6">
        <v>45716</v>
      </c>
      <c r="B231" s="7">
        <v>63.614303999999997</v>
      </c>
      <c r="C231" s="8">
        <v>12257108</v>
      </c>
      <c r="D231" s="7">
        <v>2.9353999999997799E-2</v>
      </c>
      <c r="E231" s="7">
        <v>4.6165012318155597E-2</v>
      </c>
      <c r="F231" s="7">
        <v>4.6161833832503101E-2</v>
      </c>
      <c r="G231" s="7">
        <v>66.893460000000005</v>
      </c>
      <c r="H231" s="7">
        <v>-4.1434704144072203</v>
      </c>
      <c r="I231" s="7">
        <v>63.105460000000001</v>
      </c>
      <c r="J231" s="7">
        <v>63.89808</v>
      </c>
      <c r="K231" s="7">
        <v>62.146503000000003</v>
      </c>
      <c r="L231" s="7">
        <v>-8.8424127942717803</v>
      </c>
    </row>
    <row r="232" spans="1:12" ht="15" customHeight="1" x14ac:dyDescent="0.2">
      <c r="A232" s="3">
        <v>45715</v>
      </c>
      <c r="B232" s="4">
        <v>63.584949999999999</v>
      </c>
      <c r="C232" s="5">
        <v>3317857</v>
      </c>
      <c r="D232" s="4">
        <v>-9.7769999999997009E-3</v>
      </c>
      <c r="E232" s="4">
        <v>-1.5373916142447E-2</v>
      </c>
      <c r="F232" s="4">
        <v>-1.53799268103882E-2</v>
      </c>
      <c r="G232" s="4">
        <v>66.862594999999999</v>
      </c>
      <c r="H232" s="4">
        <v>-4.1876991295261599</v>
      </c>
      <c r="I232" s="4">
        <v>63.751297000000001</v>
      </c>
      <c r="J232" s="4">
        <v>63.849148</v>
      </c>
      <c r="K232" s="4">
        <v>62.528132999999997</v>
      </c>
      <c r="L232" s="4">
        <v>-8.8844762870176393</v>
      </c>
    </row>
    <row r="233" spans="1:12" ht="15" customHeight="1" x14ac:dyDescent="0.2">
      <c r="A233" s="6">
        <v>45714</v>
      </c>
      <c r="B233" s="7">
        <v>63.594726999999999</v>
      </c>
      <c r="C233" s="8">
        <v>2355055.6999999899</v>
      </c>
      <c r="D233" s="7">
        <v>-1.9576999999998099E-2</v>
      </c>
      <c r="E233" s="7">
        <v>-3.0774525175969399E-2</v>
      </c>
      <c r="F233" s="7">
        <v>-3.0765339391936E-2</v>
      </c>
      <c r="G233" s="7">
        <v>66.872879999999995</v>
      </c>
      <c r="H233" s="7">
        <v>-4.1729610010635598</v>
      </c>
      <c r="I233" s="7">
        <v>63.907856000000002</v>
      </c>
      <c r="J233" s="7">
        <v>63.907856000000002</v>
      </c>
      <c r="K233" s="7">
        <v>61.667023</v>
      </c>
      <c r="L233" s="7">
        <v>-8.8704661088962204</v>
      </c>
    </row>
    <row r="234" spans="1:12" ht="15" customHeight="1" x14ac:dyDescent="0.2">
      <c r="A234" s="3">
        <v>45713</v>
      </c>
      <c r="B234" s="4">
        <v>63.614303999999997</v>
      </c>
      <c r="C234" s="5">
        <v>1560822.3</v>
      </c>
      <c r="D234" s="4">
        <v>0.88067999999999802</v>
      </c>
      <c r="E234" s="4">
        <v>1.4038404667965501</v>
      </c>
      <c r="F234" s="4">
        <v>1.4038392063568901</v>
      </c>
      <c r="G234" s="4">
        <v>66.893460000000005</v>
      </c>
      <c r="H234" s="4">
        <v>-4.1434704144072203</v>
      </c>
      <c r="I234" s="4">
        <v>62.743411999999999</v>
      </c>
      <c r="J234" s="4">
        <v>64.406909999999996</v>
      </c>
      <c r="K234" s="4">
        <v>62.733623999999999</v>
      </c>
      <c r="L234" s="4">
        <v>-8.8424127942717803</v>
      </c>
    </row>
    <row r="235" spans="1:12" ht="15" customHeight="1" x14ac:dyDescent="0.2">
      <c r="A235" s="6">
        <v>45712</v>
      </c>
      <c r="B235" s="7">
        <v>62.733623999999999</v>
      </c>
      <c r="C235" s="8">
        <v>3390779.8</v>
      </c>
      <c r="D235" s="7">
        <v>-1.115524</v>
      </c>
      <c r="E235" s="7">
        <v>-1.7471243312440099</v>
      </c>
      <c r="F235" s="7">
        <v>-1.7471236770821099</v>
      </c>
      <c r="G235" s="7">
        <v>65.967383999999996</v>
      </c>
      <c r="H235" s="7">
        <v>-5.4705124225872197</v>
      </c>
      <c r="I235" s="7">
        <v>63.487087000000002</v>
      </c>
      <c r="J235" s="7">
        <v>64.592833999999996</v>
      </c>
      <c r="K235" s="7">
        <v>61.950797999999999</v>
      </c>
      <c r="L235" s="7">
        <v>-10.104403555034301</v>
      </c>
    </row>
    <row r="236" spans="1:12" ht="15" customHeight="1" x14ac:dyDescent="0.2">
      <c r="A236" s="3">
        <v>45709</v>
      </c>
      <c r="B236" s="4">
        <v>63.849148</v>
      </c>
      <c r="C236" s="5">
        <v>2525970</v>
      </c>
      <c r="D236" s="4">
        <v>-0.31313199999999503</v>
      </c>
      <c r="E236" s="4">
        <v>-0.48803128567126403</v>
      </c>
      <c r="F236" s="4">
        <v>-0.48802662173585898</v>
      </c>
      <c r="G236" s="4">
        <v>67.140410000000003</v>
      </c>
      <c r="H236" s="4">
        <v>-3.7895977042624298</v>
      </c>
      <c r="I236" s="4">
        <v>64.172066000000001</v>
      </c>
      <c r="J236" s="4">
        <v>64.172066000000001</v>
      </c>
      <c r="K236" s="4">
        <v>63.213099999999997</v>
      </c>
      <c r="L236" s="4">
        <v>-8.5058876566275501</v>
      </c>
    </row>
    <row r="237" spans="1:12" ht="15" customHeight="1" x14ac:dyDescent="0.2">
      <c r="A237" s="6">
        <v>45708</v>
      </c>
      <c r="B237" s="7">
        <v>64.162279999999996</v>
      </c>
      <c r="C237" s="8">
        <v>1751489.7</v>
      </c>
      <c r="D237" s="7">
        <v>0.35227499999999801</v>
      </c>
      <c r="E237" s="7">
        <v>0.55206859802001595</v>
      </c>
      <c r="F237" s="7">
        <v>0.55206280249033801</v>
      </c>
      <c r="G237" s="7">
        <v>67.469679999999997</v>
      </c>
      <c r="H237" s="7">
        <v>-3.3177626474923501</v>
      </c>
      <c r="I237" s="7">
        <v>63.663223000000002</v>
      </c>
      <c r="J237" s="7">
        <v>64.759186</v>
      </c>
      <c r="K237" s="7">
        <v>63.604514999999999</v>
      </c>
      <c r="L237" s="7">
        <v>-8.0571779199478293</v>
      </c>
    </row>
    <row r="238" spans="1:12" ht="15" customHeight="1" x14ac:dyDescent="0.2">
      <c r="A238" s="3">
        <v>45707</v>
      </c>
      <c r="B238" s="4">
        <v>63.810004999999997</v>
      </c>
      <c r="C238" s="5">
        <v>1189424.8</v>
      </c>
      <c r="D238" s="4">
        <v>-2.2897650000000098</v>
      </c>
      <c r="E238" s="4">
        <v>-3.4641043380332501</v>
      </c>
      <c r="F238" s="4">
        <v>-3.4641090364214899</v>
      </c>
      <c r="G238" s="4">
        <v>67.099249999999998</v>
      </c>
      <c r="H238" s="4">
        <v>-3.8485788775750902</v>
      </c>
      <c r="I238" s="4">
        <v>66.393326000000002</v>
      </c>
      <c r="J238" s="4">
        <v>66.452039999999997</v>
      </c>
      <c r="K238" s="4">
        <v>63.604514999999999</v>
      </c>
      <c r="L238" s="4">
        <v>-8.5619785231721792</v>
      </c>
    </row>
    <row r="239" spans="1:12" ht="15" customHeight="1" x14ac:dyDescent="0.2">
      <c r="A239" s="6">
        <v>45706</v>
      </c>
      <c r="B239" s="7">
        <v>66.099770000000007</v>
      </c>
      <c r="C239" s="8">
        <v>1517140.5</v>
      </c>
      <c r="D239" s="7">
        <v>1.7809200000000001</v>
      </c>
      <c r="E239" s="7">
        <v>2.76889278959435</v>
      </c>
      <c r="F239" s="7">
        <v>2.7689048991695402</v>
      </c>
      <c r="G239" s="7">
        <v>69.507050000000007</v>
      </c>
      <c r="H239" s="7">
        <v>-0.398266217171657</v>
      </c>
      <c r="I239" s="7">
        <v>64.485190000000003</v>
      </c>
      <c r="J239" s="7">
        <v>67.283789999999996</v>
      </c>
      <c r="K239" s="7">
        <v>64.485190000000003</v>
      </c>
      <c r="L239" s="7">
        <v>-5.2808068441088496</v>
      </c>
    </row>
    <row r="240" spans="1:12" ht="15" customHeight="1" x14ac:dyDescent="0.2">
      <c r="A240" s="3">
        <v>45705</v>
      </c>
      <c r="B240" s="4">
        <v>64.318849999999998</v>
      </c>
      <c r="C240" s="5">
        <v>164204.29999999999</v>
      </c>
      <c r="D240" s="4">
        <v>-1.7222</v>
      </c>
      <c r="E240" s="4">
        <v>-2.6077719842431302</v>
      </c>
      <c r="F240" s="4">
        <v>-2.6077860843148399</v>
      </c>
      <c r="G240" s="4">
        <v>67.634320000000002</v>
      </c>
      <c r="H240" s="4">
        <v>-3.0818379542417298</v>
      </c>
      <c r="I240" s="4">
        <v>66.041049999999998</v>
      </c>
      <c r="J240" s="4">
        <v>66.041049999999998</v>
      </c>
      <c r="K240" s="4">
        <v>64.093779999999995</v>
      </c>
      <c r="L240" s="4">
        <v>-7.8328173197155104</v>
      </c>
    </row>
    <row r="241" spans="1:12" ht="15" customHeight="1" x14ac:dyDescent="0.2">
      <c r="A241" s="6">
        <v>45702</v>
      </c>
      <c r="B241" s="7">
        <v>66.041049999999998</v>
      </c>
      <c r="C241" s="8">
        <v>804812.5</v>
      </c>
      <c r="D241" s="7">
        <v>0.46968499999999802</v>
      </c>
      <c r="E241" s="7">
        <v>0.71629590141977195</v>
      </c>
      <c r="F241" s="7">
        <v>0.71629427157473502</v>
      </c>
      <c r="G241" s="7">
        <v>69.445305000000005</v>
      </c>
      <c r="H241" s="7">
        <v>-0.486745142006202</v>
      </c>
      <c r="I241" s="7">
        <v>65.737719999999996</v>
      </c>
      <c r="J241" s="7">
        <v>66.148700000000005</v>
      </c>
      <c r="K241" s="7">
        <v>64.563479999999998</v>
      </c>
      <c r="L241" s="7">
        <v>-5.3649510252779402</v>
      </c>
    </row>
    <row r="242" spans="1:12" ht="15" customHeight="1" x14ac:dyDescent="0.2">
      <c r="A242" s="3">
        <v>45701</v>
      </c>
      <c r="B242" s="4">
        <v>65.571365</v>
      </c>
      <c r="C242" s="5">
        <v>1251194.8</v>
      </c>
      <c r="D242" s="4">
        <v>-9.7849999999937102E-3</v>
      </c>
      <c r="E242" s="4">
        <v>-1.49204458903096E-2</v>
      </c>
      <c r="F242" s="4">
        <v>-1.49068272543906E-2</v>
      </c>
      <c r="G242" s="4">
        <v>68.951409999999996</v>
      </c>
      <c r="H242" s="4">
        <v>-1.19448339743023</v>
      </c>
      <c r="I242" s="4">
        <v>64.935320000000004</v>
      </c>
      <c r="J242" s="4">
        <v>65.806209999999993</v>
      </c>
      <c r="K242" s="4">
        <v>64.573260000000005</v>
      </c>
      <c r="L242" s="4">
        <v>-6.0379970016470601</v>
      </c>
    </row>
    <row r="243" spans="1:12" ht="15" customHeight="1" x14ac:dyDescent="0.2">
      <c r="A243" s="6">
        <v>45700</v>
      </c>
      <c r="B243" s="7">
        <v>65.581149999999994</v>
      </c>
      <c r="C243" s="8">
        <v>3607397.1999999899</v>
      </c>
      <c r="D243" s="7">
        <v>1.00788999999998</v>
      </c>
      <c r="E243" s="7">
        <v>1.56084732287016</v>
      </c>
      <c r="F243" s="7">
        <v>1.5608411258309001</v>
      </c>
      <c r="G243" s="7">
        <v>68.961690000000004</v>
      </c>
      <c r="H243" s="7">
        <v>-1.17975243383318</v>
      </c>
      <c r="I243" s="7">
        <v>64.573260000000005</v>
      </c>
      <c r="J243" s="7">
        <v>65.982346000000007</v>
      </c>
      <c r="K243" s="7">
        <v>63.594726999999999</v>
      </c>
      <c r="L243" s="7">
        <v>-6.0239753597407502</v>
      </c>
    </row>
    <row r="244" spans="1:12" ht="15" customHeight="1" x14ac:dyDescent="0.2">
      <c r="A244" s="3">
        <v>45699</v>
      </c>
      <c r="B244" s="4">
        <v>64.573260000000005</v>
      </c>
      <c r="C244" s="5">
        <v>1038327.9</v>
      </c>
      <c r="D244" s="4">
        <v>-4.8924999999996999E-2</v>
      </c>
      <c r="E244" s="4">
        <v>-7.5709293952219703E-2</v>
      </c>
      <c r="F244" s="4">
        <v>-7.5699057396627606E-2</v>
      </c>
      <c r="G244" s="4">
        <v>67.901849999999996</v>
      </c>
      <c r="H244" s="4">
        <v>-2.6984746574406202</v>
      </c>
      <c r="I244" s="4">
        <v>64.289479999999998</v>
      </c>
      <c r="J244" s="4">
        <v>64.759186</v>
      </c>
      <c r="K244" s="4">
        <v>64.269919999999999</v>
      </c>
      <c r="L244" s="4">
        <v>-7.4682546301510699</v>
      </c>
    </row>
    <row r="245" spans="1:12" ht="15" customHeight="1" x14ac:dyDescent="0.2">
      <c r="A245" s="6">
        <v>45698</v>
      </c>
      <c r="B245" s="7">
        <v>64.622185000000002</v>
      </c>
      <c r="C245" s="8">
        <v>1142017</v>
      </c>
      <c r="D245" s="7">
        <v>-0.34249099999999499</v>
      </c>
      <c r="E245" s="7">
        <v>-0.52719573326278601</v>
      </c>
      <c r="F245" s="7">
        <v>-0.52721099737818</v>
      </c>
      <c r="G245" s="7">
        <v>67.953289999999996</v>
      </c>
      <c r="H245" s="7">
        <v>-2.62476252053093</v>
      </c>
      <c r="I245" s="7">
        <v>65.111450000000005</v>
      </c>
      <c r="J245" s="7">
        <v>65.12124</v>
      </c>
      <c r="K245" s="7">
        <v>63.966576000000003</v>
      </c>
      <c r="L245" s="7">
        <v>-7.39814642061945</v>
      </c>
    </row>
    <row r="246" spans="1:12" ht="15" customHeight="1" x14ac:dyDescent="0.2">
      <c r="A246" s="3">
        <v>45695</v>
      </c>
      <c r="B246" s="4">
        <v>64.964675999999997</v>
      </c>
      <c r="C246" s="5">
        <v>4076686.3</v>
      </c>
      <c r="D246" s="4">
        <v>3.8554159999999902</v>
      </c>
      <c r="E246" s="4">
        <v>6.3090536524251704</v>
      </c>
      <c r="F246" s="4">
        <v>6.3090581922084796</v>
      </c>
      <c r="G246" s="4">
        <v>68.313445999999999</v>
      </c>
      <c r="H246" s="4">
        <v>-2.10866865620654</v>
      </c>
      <c r="I246" s="4">
        <v>61.109259999999999</v>
      </c>
      <c r="J246" s="4">
        <v>65.062520000000006</v>
      </c>
      <c r="K246" s="4">
        <v>60.962482000000001</v>
      </c>
      <c r="L246" s="4">
        <v>-6.9073660263283099</v>
      </c>
    </row>
    <row r="247" spans="1:12" ht="15" customHeight="1" x14ac:dyDescent="0.2">
      <c r="A247" s="6">
        <v>45694</v>
      </c>
      <c r="B247" s="7">
        <v>61.109259999999999</v>
      </c>
      <c r="C247" s="8">
        <v>1151116.29999999</v>
      </c>
      <c r="D247" s="7">
        <v>-2.1136300000000001</v>
      </c>
      <c r="E247" s="7">
        <v>-3.3431404353707901</v>
      </c>
      <c r="F247" s="7">
        <v>-2.2268811795469601</v>
      </c>
      <c r="G247" s="7">
        <v>64.259289999999993</v>
      </c>
      <c r="H247" s="7">
        <v>-7.9181651982991301</v>
      </c>
      <c r="I247" s="7">
        <v>63.017400000000002</v>
      </c>
      <c r="J247" s="7">
        <v>64.15249</v>
      </c>
      <c r="K247" s="7">
        <v>60.874412999999997</v>
      </c>
      <c r="L247" s="7">
        <v>-12.432073492032201</v>
      </c>
    </row>
    <row r="248" spans="1:12" ht="15" customHeight="1" x14ac:dyDescent="0.2">
      <c r="A248" s="3">
        <v>45693</v>
      </c>
      <c r="B248" s="4">
        <v>63.22289</v>
      </c>
      <c r="C248" s="5">
        <v>6129323.7000000002</v>
      </c>
      <c r="D248" s="4">
        <v>-0.35226999999999697</v>
      </c>
      <c r="E248" s="4">
        <v>-0.55410006046385796</v>
      </c>
      <c r="F248" s="4">
        <v>-0.55410981296060102</v>
      </c>
      <c r="G248" s="4">
        <v>65.722859999999997</v>
      </c>
      <c r="H248" s="4">
        <v>-5.8209087399609496</v>
      </c>
      <c r="I248" s="4">
        <v>63.428379999999997</v>
      </c>
      <c r="J248" s="4">
        <v>63.89808</v>
      </c>
      <c r="K248" s="4">
        <v>62.02908</v>
      </c>
      <c r="L248" s="4">
        <v>-9.4032985321483196</v>
      </c>
    </row>
    <row r="249" spans="1:12" ht="15" customHeight="1" x14ac:dyDescent="0.2">
      <c r="A249" s="6">
        <v>45692</v>
      </c>
      <c r="B249" s="7">
        <v>63.575159999999997</v>
      </c>
      <c r="C249" s="8">
        <v>3397182</v>
      </c>
      <c r="D249" s="7">
        <v>0.36205999999999899</v>
      </c>
      <c r="E249" s="7">
        <v>0.57276102580003896</v>
      </c>
      <c r="F249" s="7">
        <v>0.57276764752498499</v>
      </c>
      <c r="G249" s="7">
        <v>66.089066000000003</v>
      </c>
      <c r="H249" s="7">
        <v>-5.2961453883056198</v>
      </c>
      <c r="I249" s="7">
        <v>64.583045999999996</v>
      </c>
      <c r="J249" s="7">
        <v>65.708359999999999</v>
      </c>
      <c r="K249" s="7">
        <v>63.310949999999998</v>
      </c>
      <c r="L249" s="7">
        <v>-8.8985050937895291</v>
      </c>
    </row>
    <row r="250" spans="1:12" ht="15" customHeight="1" x14ac:dyDescent="0.2">
      <c r="A250" s="3">
        <v>45688</v>
      </c>
      <c r="B250" s="4">
        <v>63.213099999999997</v>
      </c>
      <c r="C250" s="5">
        <v>1911615.5</v>
      </c>
      <c r="D250" s="4">
        <v>-0.39141500000000201</v>
      </c>
      <c r="E250" s="4">
        <v>-0.61538870314473604</v>
      </c>
      <c r="F250" s="4">
        <v>-0.61538658384621103</v>
      </c>
      <c r="G250" s="4">
        <v>65.712684999999993</v>
      </c>
      <c r="H250" s="4">
        <v>-5.8354892413811799</v>
      </c>
      <c r="I250" s="4">
        <v>63.565372000000004</v>
      </c>
      <c r="J250" s="4">
        <v>65.395225999999994</v>
      </c>
      <c r="K250" s="4">
        <v>62.528132999999997</v>
      </c>
      <c r="L250" s="4">
        <v>-9.4173273389202201</v>
      </c>
    </row>
    <row r="251" spans="1:12" ht="15" customHeight="1" x14ac:dyDescent="0.2">
      <c r="A251" s="6">
        <v>45687</v>
      </c>
      <c r="B251" s="7">
        <v>63.604514999999999</v>
      </c>
      <c r="C251" s="8">
        <v>1640296.5</v>
      </c>
      <c r="D251" s="7">
        <v>2.93550000000024E-2</v>
      </c>
      <c r="E251" s="7">
        <v>4.6173694254170103E-2</v>
      </c>
      <c r="F251" s="7">
        <v>4.61649737945935E-2</v>
      </c>
      <c r="G251" s="7">
        <v>66.119575999999995</v>
      </c>
      <c r="H251" s="7">
        <v>-5.2524253786416599</v>
      </c>
      <c r="I251" s="7">
        <v>63.575159999999997</v>
      </c>
      <c r="J251" s="7">
        <v>66.530320000000003</v>
      </c>
      <c r="K251" s="7">
        <v>63.506664000000001</v>
      </c>
      <c r="L251" s="7">
        <v>-8.8564401680705505</v>
      </c>
    </row>
    <row r="252" spans="1:12" ht="15" customHeight="1" x14ac:dyDescent="0.2">
      <c r="A252" s="3">
        <v>45686</v>
      </c>
      <c r="B252" s="4">
        <v>63.575159999999997</v>
      </c>
      <c r="C252" s="5">
        <v>674587.77</v>
      </c>
      <c r="D252" s="4">
        <v>-0.18592600000000201</v>
      </c>
      <c r="E252" s="4">
        <v>-0.29159791914460298</v>
      </c>
      <c r="F252" s="4">
        <v>-0.29159199871337999</v>
      </c>
      <c r="G252" s="4">
        <v>66.089066000000003</v>
      </c>
      <c r="H252" s="4">
        <v>-5.2961453883056198</v>
      </c>
      <c r="I252" s="4">
        <v>63.526229999999998</v>
      </c>
      <c r="J252" s="4">
        <v>64.935320000000004</v>
      </c>
      <c r="K252" s="4">
        <v>63.027186999999998</v>
      </c>
      <c r="L252" s="4">
        <v>-8.8985050937895291</v>
      </c>
    </row>
    <row r="253" spans="1:12" ht="15" customHeight="1" x14ac:dyDescent="0.2">
      <c r="A253" s="6">
        <v>45685</v>
      </c>
      <c r="B253" s="7">
        <v>63.761085999999999</v>
      </c>
      <c r="C253" s="8">
        <v>825554.8</v>
      </c>
      <c r="D253" s="7">
        <v>1.6047959999999999</v>
      </c>
      <c r="E253" s="7">
        <v>2.5818722449489901</v>
      </c>
      <c r="F253" s="7">
        <v>2.5818830818298499</v>
      </c>
      <c r="G253" s="7">
        <v>66.282340000000005</v>
      </c>
      <c r="H253" s="7">
        <v>-5.0191889429501799</v>
      </c>
      <c r="I253" s="7">
        <v>62.126933999999999</v>
      </c>
      <c r="J253" s="7">
        <v>64.847244000000003</v>
      </c>
      <c r="K253" s="7">
        <v>61.813800000000001</v>
      </c>
      <c r="L253" s="7">
        <v>-8.6320781348651305</v>
      </c>
    </row>
    <row r="254" spans="1:12" ht="15" customHeight="1" x14ac:dyDescent="0.2">
      <c r="A254" s="3">
        <v>45684</v>
      </c>
      <c r="B254" s="4">
        <v>62.156289999999998</v>
      </c>
      <c r="C254" s="5">
        <v>1610397.6</v>
      </c>
      <c r="D254" s="4">
        <v>2.37783199999999</v>
      </c>
      <c r="E254" s="4">
        <v>3.97774061017097</v>
      </c>
      <c r="F254" s="4">
        <v>3.9777297982386401</v>
      </c>
      <c r="G254" s="4">
        <v>64.614080000000001</v>
      </c>
      <c r="H254" s="4">
        <v>-7.4097606676966903</v>
      </c>
      <c r="I254" s="4">
        <v>59.778458000000001</v>
      </c>
      <c r="J254" s="4">
        <v>62.361781999999998</v>
      </c>
      <c r="K254" s="4">
        <v>59.778458000000001</v>
      </c>
      <c r="L254" s="4">
        <v>-10.9317076539966</v>
      </c>
    </row>
    <row r="255" spans="1:12" ht="15" customHeight="1" x14ac:dyDescent="0.2">
      <c r="A255" s="6">
        <v>45681</v>
      </c>
      <c r="B255" s="7">
        <v>59.778458000000001</v>
      </c>
      <c r="C255" s="8">
        <v>2037780.2</v>
      </c>
      <c r="D255" s="7">
        <v>0.117421</v>
      </c>
      <c r="E255" s="7">
        <v>0.196813541809537</v>
      </c>
      <c r="F255" s="7">
        <v>0.196816635312346</v>
      </c>
      <c r="G255" s="7">
        <v>62.142229999999998</v>
      </c>
      <c r="H255" s="7">
        <v>-10.951855255959099</v>
      </c>
      <c r="I255" s="7">
        <v>59.651249999999997</v>
      </c>
      <c r="J255" s="7">
        <v>60.297080000000001</v>
      </c>
      <c r="K255" s="7">
        <v>58.741214999999997</v>
      </c>
      <c r="L255" s="7">
        <v>-14.339076976163</v>
      </c>
    </row>
    <row r="256" spans="1:12" ht="15" customHeight="1" x14ac:dyDescent="0.2">
      <c r="A256" s="3">
        <v>45680</v>
      </c>
      <c r="B256" s="4">
        <v>59.661037</v>
      </c>
      <c r="C256" s="5">
        <v>3524872.6</v>
      </c>
      <c r="D256" s="4">
        <v>-0.283772999999996</v>
      </c>
      <c r="E256" s="4">
        <v>-0.473390440306664</v>
      </c>
      <c r="F256" s="4">
        <v>-0.47339363326676098</v>
      </c>
      <c r="G256" s="4">
        <v>62.020164000000001</v>
      </c>
      <c r="H256" s="4">
        <v>-11.1267725519159</v>
      </c>
      <c r="I256" s="4">
        <v>59.886096999999999</v>
      </c>
      <c r="J256" s="4">
        <v>60.668922000000002</v>
      </c>
      <c r="K256" s="4">
        <v>58.594436999999999</v>
      </c>
      <c r="L256" s="4">
        <v>-14.507338112012</v>
      </c>
    </row>
    <row r="257" spans="1:12" ht="15" customHeight="1" x14ac:dyDescent="0.2">
      <c r="A257" s="6">
        <v>45679</v>
      </c>
      <c r="B257" s="7">
        <v>59.944809999999997</v>
      </c>
      <c r="C257" s="8">
        <v>1541541.4</v>
      </c>
      <c r="D257" s="7">
        <v>2.06469999999999</v>
      </c>
      <c r="E257" s="7">
        <v>3.56720123717801</v>
      </c>
      <c r="F257" s="7">
        <v>3.5671964316401801</v>
      </c>
      <c r="G257" s="7">
        <v>62.315159999999999</v>
      </c>
      <c r="H257" s="7">
        <v>-10.7040512156054</v>
      </c>
      <c r="I257" s="7">
        <v>58.39873</v>
      </c>
      <c r="J257" s="7">
        <v>60.854843000000002</v>
      </c>
      <c r="K257" s="7">
        <v>57.86054</v>
      </c>
      <c r="L257" s="7">
        <v>-14.1006990329437</v>
      </c>
    </row>
    <row r="258" spans="1:12" ht="15" customHeight="1" x14ac:dyDescent="0.2">
      <c r="A258" s="3">
        <v>45678</v>
      </c>
      <c r="B258" s="4">
        <v>57.880110000000002</v>
      </c>
      <c r="C258" s="5">
        <v>3234743.7</v>
      </c>
      <c r="D258" s="4">
        <v>1.252524</v>
      </c>
      <c r="E258" s="4">
        <v>2.2118619006644602</v>
      </c>
      <c r="F258" s="4">
        <v>2.2118695024581001</v>
      </c>
      <c r="G258" s="4">
        <v>60.168819999999997</v>
      </c>
      <c r="H258" s="4">
        <v>-13.7796987260009</v>
      </c>
      <c r="I258" s="4">
        <v>56.471024</v>
      </c>
      <c r="J258" s="4">
        <v>58.721645000000002</v>
      </c>
      <c r="K258" s="4">
        <v>56.294888</v>
      </c>
      <c r="L258" s="4">
        <v>-17.059358618430501</v>
      </c>
    </row>
    <row r="259" spans="1:12" ht="15" customHeight="1" x14ac:dyDescent="0.2">
      <c r="A259" s="6">
        <v>45677</v>
      </c>
      <c r="B259" s="7">
        <v>56.627586000000001</v>
      </c>
      <c r="C259" s="8">
        <v>255156.97</v>
      </c>
      <c r="D259" s="7">
        <v>1.08616599999999</v>
      </c>
      <c r="E259" s="7">
        <v>1.9555963819434199</v>
      </c>
      <c r="F259" s="7">
        <v>1.9555974985333699</v>
      </c>
      <c r="G259" s="7">
        <v>58.866764000000003</v>
      </c>
      <c r="H259" s="7">
        <v>-15.6455099650383</v>
      </c>
      <c r="I259" s="7">
        <v>55.81541</v>
      </c>
      <c r="J259" s="7">
        <v>58.183453</v>
      </c>
      <c r="K259" s="7">
        <v>55.81541</v>
      </c>
      <c r="L259" s="7">
        <v>-18.854191833256898</v>
      </c>
    </row>
    <row r="260" spans="1:12" ht="15" customHeight="1" x14ac:dyDescent="0.2">
      <c r="A260" s="3">
        <v>45674</v>
      </c>
      <c r="B260" s="4">
        <v>55.541420000000002</v>
      </c>
      <c r="C260" s="5">
        <v>501312.68</v>
      </c>
      <c r="D260" s="4">
        <v>-0.76325599999999805</v>
      </c>
      <c r="E260" s="4">
        <v>-1.3555819058438301</v>
      </c>
      <c r="F260" s="4">
        <v>-1.35558393705526</v>
      </c>
      <c r="G260" s="4">
        <v>57.737648</v>
      </c>
      <c r="H260" s="4">
        <v>-17.263502833990898</v>
      </c>
      <c r="I260" s="4">
        <v>55.991546999999997</v>
      </c>
      <c r="J260" s="4">
        <v>56.451450000000001</v>
      </c>
      <c r="K260" s="4">
        <v>55.404423000000001</v>
      </c>
      <c r="L260" s="4">
        <v>-20.4106385070254</v>
      </c>
    </row>
    <row r="261" spans="1:12" ht="15" customHeight="1" x14ac:dyDescent="0.2">
      <c r="A261" s="6">
        <v>45673</v>
      </c>
      <c r="B261" s="7">
        <v>56.304676000000001</v>
      </c>
      <c r="C261" s="8">
        <v>1079184</v>
      </c>
      <c r="D261" s="7">
        <v>-0.939388000000001</v>
      </c>
      <c r="E261" s="7">
        <v>-1.64102255213746</v>
      </c>
      <c r="F261" s="7">
        <v>-1.6410234521225999</v>
      </c>
      <c r="G261" s="7">
        <v>58.531086000000002</v>
      </c>
      <c r="H261" s="7">
        <v>-16.126527513513601</v>
      </c>
      <c r="I261" s="7">
        <v>57.439770000000003</v>
      </c>
      <c r="J261" s="7">
        <v>57.439770000000003</v>
      </c>
      <c r="K261" s="7">
        <v>55.45335</v>
      </c>
      <c r="L261" s="7">
        <v>-19.3169131810312</v>
      </c>
    </row>
    <row r="262" spans="1:12" ht="15" customHeight="1" x14ac:dyDescent="0.2">
      <c r="A262" s="3">
        <v>45672</v>
      </c>
      <c r="B262" s="4">
        <v>57.244064000000002</v>
      </c>
      <c r="C262" s="5">
        <v>536824.03999999899</v>
      </c>
      <c r="D262" s="4">
        <v>1.2720910000000001</v>
      </c>
      <c r="E262" s="4">
        <v>2.2727285314741299</v>
      </c>
      <c r="F262" s="4">
        <v>2.27273156935061</v>
      </c>
      <c r="G262" s="4">
        <v>59.507620000000003</v>
      </c>
      <c r="H262" s="4">
        <v>-14.727180548020501</v>
      </c>
      <c r="I262" s="4">
        <v>56.441670000000002</v>
      </c>
      <c r="J262" s="4">
        <v>57.596336000000001</v>
      </c>
      <c r="K262" s="4">
        <v>55.678417000000003</v>
      </c>
      <c r="L262" s="4">
        <v>-17.9707954347769</v>
      </c>
    </row>
    <row r="263" spans="1:12" ht="15" customHeight="1" x14ac:dyDescent="0.2">
      <c r="A263" s="6">
        <v>45671</v>
      </c>
      <c r="B263" s="7">
        <v>55.971972999999998</v>
      </c>
      <c r="C263" s="8">
        <v>1099383.7</v>
      </c>
      <c r="D263" s="7">
        <v>0.26420300000000102</v>
      </c>
      <c r="E263" s="7">
        <v>0.47426597761856998</v>
      </c>
      <c r="F263" s="7">
        <v>0.47425876238849002</v>
      </c>
      <c r="G263" s="7">
        <v>58.185226</v>
      </c>
      <c r="H263" s="7">
        <v>-16.6221355942209</v>
      </c>
      <c r="I263" s="7">
        <v>55.932830000000003</v>
      </c>
      <c r="J263" s="7">
        <v>56.519950000000001</v>
      </c>
      <c r="K263" s="7">
        <v>55.326144999999997</v>
      </c>
      <c r="L263" s="7">
        <v>-19.7936676344967</v>
      </c>
    </row>
    <row r="264" spans="1:12" ht="15" customHeight="1" x14ac:dyDescent="0.2">
      <c r="A264" s="3">
        <v>45670</v>
      </c>
      <c r="B264" s="4">
        <v>55.707769999999996</v>
      </c>
      <c r="C264" s="5">
        <v>1293658.3999999999</v>
      </c>
      <c r="D264" s="4">
        <v>1.1448849999999899</v>
      </c>
      <c r="E264" s="4">
        <v>2.0982853087772</v>
      </c>
      <c r="F264" s="4">
        <v>2.0982919378946798</v>
      </c>
      <c r="G264" s="4">
        <v>57.910580000000003</v>
      </c>
      <c r="H264" s="4">
        <v>-17.015695927690999</v>
      </c>
      <c r="I264" s="4">
        <v>54.84666</v>
      </c>
      <c r="J264" s="4">
        <v>58.017105000000001</v>
      </c>
      <c r="K264" s="4">
        <v>54.827089999999998</v>
      </c>
      <c r="L264" s="4">
        <v>-20.172263429752299</v>
      </c>
    </row>
    <row r="265" spans="1:12" ht="15" customHeight="1" x14ac:dyDescent="0.2">
      <c r="A265" s="6">
        <v>45667</v>
      </c>
      <c r="B265" s="7">
        <v>54.562885000000001</v>
      </c>
      <c r="C265" s="8">
        <v>859709.05</v>
      </c>
      <c r="D265" s="7">
        <v>-0.23485199999999601</v>
      </c>
      <c r="E265" s="7">
        <v>-0.42857974226197998</v>
      </c>
      <c r="F265" s="7">
        <v>-0.42858226237506503</v>
      </c>
      <c r="G265" s="7">
        <v>56.720419999999997</v>
      </c>
      <c r="H265" s="7">
        <v>-18.7211632073262</v>
      </c>
      <c r="I265" s="7">
        <v>55.238075000000002</v>
      </c>
      <c r="J265" s="7">
        <v>55.629486</v>
      </c>
      <c r="K265" s="7">
        <v>53.917057</v>
      </c>
      <c r="L265" s="7">
        <v>-21.812852851716801</v>
      </c>
    </row>
    <row r="266" spans="1:12" ht="15" customHeight="1" x14ac:dyDescent="0.2">
      <c r="A266" s="3">
        <v>45666</v>
      </c>
      <c r="B266" s="4">
        <v>54.797736999999998</v>
      </c>
      <c r="C266" s="5">
        <v>487452.1</v>
      </c>
      <c r="D266" s="4">
        <v>-1.3993</v>
      </c>
      <c r="E266" s="4">
        <v>-2.4899889294875099</v>
      </c>
      <c r="F266" s="4">
        <v>-2.4899865951582001</v>
      </c>
      <c r="G266" s="4">
        <v>56.964559999999999</v>
      </c>
      <c r="H266" s="4">
        <v>-18.3713171516277</v>
      </c>
      <c r="I266" s="4">
        <v>56.197037000000002</v>
      </c>
      <c r="J266" s="4">
        <v>56.422096000000003</v>
      </c>
      <c r="K266" s="4">
        <v>54.719450000000002</v>
      </c>
      <c r="L266" s="4">
        <v>-21.476316250287599</v>
      </c>
    </row>
    <row r="267" spans="1:12" ht="15" customHeight="1" x14ac:dyDescent="0.2">
      <c r="A267" s="6">
        <v>45665</v>
      </c>
      <c r="B267" s="7">
        <v>56.197037000000002</v>
      </c>
      <c r="C267" s="8">
        <v>1263321.3</v>
      </c>
      <c r="D267" s="7">
        <v>0.44034200000000101</v>
      </c>
      <c r="E267" s="7">
        <v>0.78975627949253702</v>
      </c>
      <c r="F267" s="7">
        <v>0.78975440170678801</v>
      </c>
      <c r="G267" s="7">
        <v>58.41919</v>
      </c>
      <c r="H267" s="7">
        <v>-16.286871472915799</v>
      </c>
      <c r="I267" s="7">
        <v>56.030684999999998</v>
      </c>
      <c r="J267" s="7">
        <v>57.703975999999997</v>
      </c>
      <c r="K267" s="7">
        <v>54.797736999999998</v>
      </c>
      <c r="L267" s="7">
        <v>-19.471156973893201</v>
      </c>
    </row>
    <row r="268" spans="1:12" ht="15" customHeight="1" x14ac:dyDescent="0.2">
      <c r="A268" s="3">
        <v>45664</v>
      </c>
      <c r="B268" s="4">
        <v>55.756695000000001</v>
      </c>
      <c r="C268" s="5">
        <v>962519.3</v>
      </c>
      <c r="D268" s="4">
        <v>0.489265000000003</v>
      </c>
      <c r="E268" s="4">
        <v>0.88526823121683995</v>
      </c>
      <c r="F268" s="4">
        <v>0.88527067007184701</v>
      </c>
      <c r="G268" s="4">
        <v>57.961436999999997</v>
      </c>
      <c r="H268" s="4">
        <v>-16.942819214105899</v>
      </c>
      <c r="I268" s="4">
        <v>54.993442999999999</v>
      </c>
      <c r="J268" s="4">
        <v>56.676513999999997</v>
      </c>
      <c r="K268" s="4">
        <v>54.993442999999999</v>
      </c>
      <c r="L268" s="4">
        <v>-20.102155220220698</v>
      </c>
    </row>
    <row r="269" spans="1:12" ht="15" customHeight="1" x14ac:dyDescent="0.2">
      <c r="A269" s="6">
        <v>45663</v>
      </c>
      <c r="B269" s="7">
        <v>55.267429999999997</v>
      </c>
      <c r="C269" s="8">
        <v>1530287.7</v>
      </c>
      <c r="D269" s="7">
        <v>0.62625999999999404</v>
      </c>
      <c r="E269" s="7">
        <v>1.1461321197917</v>
      </c>
      <c r="F269" s="7">
        <v>1.14612557023716</v>
      </c>
      <c r="G269" s="7">
        <v>57.452824</v>
      </c>
      <c r="H269" s="7">
        <v>-17.671647967800499</v>
      </c>
      <c r="I269" s="7">
        <v>54.660744000000001</v>
      </c>
      <c r="J269" s="7">
        <v>55.737124999999999</v>
      </c>
      <c r="K269" s="7">
        <v>52.899386999999997</v>
      </c>
      <c r="L269" s="7">
        <v>-20.803258810133599</v>
      </c>
    </row>
    <row r="270" spans="1:12" ht="15" customHeight="1" x14ac:dyDescent="0.2">
      <c r="A270" s="3">
        <v>45660</v>
      </c>
      <c r="B270" s="4">
        <v>54.641170000000002</v>
      </c>
      <c r="C270" s="5">
        <v>824817</v>
      </c>
      <c r="D270" s="4">
        <v>-2.5050439999999901</v>
      </c>
      <c r="E270" s="4">
        <v>-4.3835694872104698</v>
      </c>
      <c r="F270" s="4">
        <v>-4.3835645954358098</v>
      </c>
      <c r="G270" s="4">
        <v>56.801803999999997</v>
      </c>
      <c r="H270" s="4">
        <v>-18.604542123534301</v>
      </c>
      <c r="I270" s="4">
        <v>56.471024</v>
      </c>
      <c r="J270" s="4">
        <v>56.813510000000001</v>
      </c>
      <c r="K270" s="4">
        <v>54.494390000000003</v>
      </c>
      <c r="L270" s="4">
        <v>-21.700672551600601</v>
      </c>
    </row>
    <row r="271" spans="1:12" ht="15" customHeight="1" x14ac:dyDescent="0.2">
      <c r="A271" s="6">
        <v>45659</v>
      </c>
      <c r="B271" s="7">
        <v>57.146214000000001</v>
      </c>
      <c r="C271" s="8">
        <v>487111.82</v>
      </c>
      <c r="D271" s="7">
        <v>0.47948399999999902</v>
      </c>
      <c r="E271" s="7">
        <v>0.84614728960008501</v>
      </c>
      <c r="F271" s="7">
        <v>0.84614926922237299</v>
      </c>
      <c r="G271" s="7">
        <v>59.405900000000003</v>
      </c>
      <c r="H271" s="7">
        <v>-14.872942573029301</v>
      </c>
      <c r="I271" s="7">
        <v>56.940719999999999</v>
      </c>
      <c r="J271" s="7">
        <v>57.909466000000002</v>
      </c>
      <c r="K271" s="7">
        <v>56.422096000000003</v>
      </c>
      <c r="L271" s="7">
        <v>-18.1110118538401</v>
      </c>
    </row>
    <row r="272" spans="1:12" ht="15" customHeight="1" x14ac:dyDescent="0.2">
      <c r="A272" s="3">
        <v>45657</v>
      </c>
      <c r="B272" s="4">
        <v>56.666730000000001</v>
      </c>
      <c r="C272" s="5">
        <v>828550.1</v>
      </c>
      <c r="D272" s="4">
        <v>0.61647500000000099</v>
      </c>
      <c r="E272" s="4">
        <v>1.0998611870722099</v>
      </c>
      <c r="F272" s="4">
        <v>1.0998581434425301</v>
      </c>
      <c r="G272" s="4">
        <v>58.907454999999999</v>
      </c>
      <c r="H272" s="4">
        <v>-15.5872008561154</v>
      </c>
      <c r="I272" s="4">
        <v>56.43188</v>
      </c>
      <c r="J272" s="4">
        <v>59.494686000000002</v>
      </c>
      <c r="K272" s="4">
        <v>55.883907000000001</v>
      </c>
      <c r="L272" s="4">
        <v>-18.798099533739201</v>
      </c>
    </row>
    <row r="273" spans="1:12" ht="15" customHeight="1" x14ac:dyDescent="0.2">
      <c r="A273" s="6">
        <v>45656</v>
      </c>
      <c r="B273" s="7">
        <v>56.050255</v>
      </c>
      <c r="C273" s="8">
        <v>791275.9</v>
      </c>
      <c r="D273" s="7">
        <v>-1.8592109999999999</v>
      </c>
      <c r="E273" s="7">
        <v>-3.2105476503616899</v>
      </c>
      <c r="F273" s="7">
        <v>-3.2105471999166499</v>
      </c>
      <c r="G273" s="7">
        <v>58.266604999999998</v>
      </c>
      <c r="H273" s="7">
        <v>-16.505521675294599</v>
      </c>
      <c r="I273" s="7">
        <v>58.056247999999997</v>
      </c>
      <c r="J273" s="7">
        <v>58.056247999999997</v>
      </c>
      <c r="K273" s="7">
        <v>55.825189999999999</v>
      </c>
      <c r="L273" s="7">
        <v>-19.6814916332998</v>
      </c>
    </row>
    <row r="274" spans="1:12" ht="15" customHeight="1" x14ac:dyDescent="0.2">
      <c r="A274" s="3">
        <v>45653</v>
      </c>
      <c r="B274" s="4">
        <v>57.909466000000002</v>
      </c>
      <c r="C274" s="5">
        <v>391200.68</v>
      </c>
      <c r="D274" s="4">
        <v>0.97853100000000304</v>
      </c>
      <c r="E274" s="4">
        <v>1.71880366974475</v>
      </c>
      <c r="F274" s="4">
        <v>1.7188015094426301</v>
      </c>
      <c r="G274" s="4">
        <v>60.199333000000003</v>
      </c>
      <c r="H274" s="4">
        <v>-13.7359744174176</v>
      </c>
      <c r="I274" s="4">
        <v>57.224490000000003</v>
      </c>
      <c r="J274" s="4">
        <v>58.799926999999997</v>
      </c>
      <c r="K274" s="4">
        <v>57.155994</v>
      </c>
      <c r="L274" s="4">
        <v>-17.017292259738401</v>
      </c>
    </row>
    <row r="275" spans="1:12" ht="15" customHeight="1" x14ac:dyDescent="0.2">
      <c r="A275" s="6">
        <v>45652</v>
      </c>
      <c r="B275" s="7">
        <v>56.930934999999998</v>
      </c>
      <c r="C275" s="8">
        <v>153899.06</v>
      </c>
      <c r="D275" s="7">
        <v>-0.69475500000000001</v>
      </c>
      <c r="E275" s="7">
        <v>-1.20563415379495</v>
      </c>
      <c r="F275" s="7">
        <v>-1.2056388568841501</v>
      </c>
      <c r="G275" s="7">
        <v>59.182110000000002</v>
      </c>
      <c r="H275" s="7">
        <v>-15.1936276258874</v>
      </c>
      <c r="I275" s="7">
        <v>57.488697000000002</v>
      </c>
      <c r="J275" s="7">
        <v>57.703975999999997</v>
      </c>
      <c r="K275" s="7">
        <v>56.774369999999998</v>
      </c>
      <c r="L275" s="7">
        <v>-18.419500872537299</v>
      </c>
    </row>
    <row r="276" spans="1:12" ht="15" customHeight="1" x14ac:dyDescent="0.2">
      <c r="A276" s="3">
        <v>45650</v>
      </c>
      <c r="B276" s="4">
        <v>57.625689999999999</v>
      </c>
      <c r="C276" s="5">
        <v>130944.24</v>
      </c>
      <c r="D276" s="4">
        <v>0.15656599999999701</v>
      </c>
      <c r="E276" s="4">
        <v>0.27243498613271899</v>
      </c>
      <c r="F276" s="4">
        <v>0.27244006603106502</v>
      </c>
      <c r="G276" s="4">
        <v>59.904339999999998</v>
      </c>
      <c r="H276" s="4">
        <v>-14.1586914548087</v>
      </c>
      <c r="I276" s="4">
        <v>57.752899999999997</v>
      </c>
      <c r="J276" s="4">
        <v>58.085599999999999</v>
      </c>
      <c r="K276" s="4">
        <v>57.234279999999998</v>
      </c>
      <c r="L276" s="4">
        <v>-17.423935637726</v>
      </c>
    </row>
    <row r="277" spans="1:12" ht="15" customHeight="1" x14ac:dyDescent="0.2">
      <c r="A277" s="6">
        <v>45649</v>
      </c>
      <c r="B277" s="7">
        <v>57.469124000000001</v>
      </c>
      <c r="C277" s="8">
        <v>327834.3</v>
      </c>
      <c r="D277" s="7">
        <v>-0.52840599999999605</v>
      </c>
      <c r="E277" s="7">
        <v>-0.91108362718205205</v>
      </c>
      <c r="F277" s="7">
        <v>-0.91108635630840995</v>
      </c>
      <c r="G277" s="7">
        <v>59.741579999999999</v>
      </c>
      <c r="H277" s="7">
        <v>-14.3919221586077</v>
      </c>
      <c r="I277" s="7">
        <v>58.036673999999998</v>
      </c>
      <c r="J277" s="7">
        <v>58.281306999999998</v>
      </c>
      <c r="K277" s="7">
        <v>56.950504000000002</v>
      </c>
      <c r="L277" s="7">
        <v>-17.648290506065901</v>
      </c>
    </row>
    <row r="278" spans="1:12" ht="15" customHeight="1" x14ac:dyDescent="0.2">
      <c r="A278" s="3">
        <v>45646</v>
      </c>
      <c r="B278" s="4">
        <v>57.997529999999998</v>
      </c>
      <c r="C278" s="5">
        <v>16803770</v>
      </c>
      <c r="D278" s="4">
        <v>-0.900249999999999</v>
      </c>
      <c r="E278" s="4">
        <v>-1.52849564109207</v>
      </c>
      <c r="F278" s="4">
        <v>-1.5284958056718001</v>
      </c>
      <c r="G278" s="4">
        <v>60.290882000000003</v>
      </c>
      <c r="H278" s="4">
        <v>-13.6047871619365</v>
      </c>
      <c r="I278" s="4">
        <v>58.917349999999999</v>
      </c>
      <c r="J278" s="4">
        <v>59.093487000000003</v>
      </c>
      <c r="K278" s="4">
        <v>57.263634000000003</v>
      </c>
      <c r="L278" s="4">
        <v>-16.891098915554601</v>
      </c>
    </row>
    <row r="279" spans="1:12" ht="15" customHeight="1" x14ac:dyDescent="0.2">
      <c r="A279" s="6">
        <v>45645</v>
      </c>
      <c r="B279" s="7">
        <v>58.897779999999997</v>
      </c>
      <c r="C279" s="8">
        <v>1102836.8</v>
      </c>
      <c r="D279" s="7">
        <v>0.31312799999999802</v>
      </c>
      <c r="E279" s="7">
        <v>0.53448811132308305</v>
      </c>
      <c r="F279" s="7">
        <v>0.53448847165951097</v>
      </c>
      <c r="G279" s="7">
        <v>61.226730000000003</v>
      </c>
      <c r="H279" s="7">
        <v>-12.2637421405007</v>
      </c>
      <c r="I279" s="7">
        <v>58.868423</v>
      </c>
      <c r="J279" s="7">
        <v>59.553400000000003</v>
      </c>
      <c r="K279" s="7">
        <v>57.86054</v>
      </c>
      <c r="L279" s="7">
        <v>-15.6010648709794</v>
      </c>
    </row>
    <row r="280" spans="1:12" ht="15" customHeight="1" x14ac:dyDescent="0.2">
      <c r="A280" s="3">
        <v>45644</v>
      </c>
      <c r="B280" s="4">
        <v>58.584651999999998</v>
      </c>
      <c r="C280" s="5">
        <v>1652463.7</v>
      </c>
      <c r="D280" s="4">
        <v>-0.19570500000000299</v>
      </c>
      <c r="E280" s="4">
        <v>-0.33294285708405003</v>
      </c>
      <c r="F280" s="4">
        <v>-0.33293696421844399</v>
      </c>
      <c r="G280" s="4">
        <v>60.901220000000002</v>
      </c>
      <c r="H280" s="4">
        <v>-12.730189218367601</v>
      </c>
      <c r="I280" s="4">
        <v>59.083702000000002</v>
      </c>
      <c r="J280" s="4">
        <v>59.641463999999999</v>
      </c>
      <c r="K280" s="4">
        <v>58.036673999999998</v>
      </c>
      <c r="L280" s="4">
        <v>-16.049768875766599</v>
      </c>
    </row>
    <row r="281" spans="1:12" ht="15" customHeight="1" x14ac:dyDescent="0.2">
      <c r="A281" s="6">
        <v>45643</v>
      </c>
      <c r="B281" s="7">
        <v>58.780357000000002</v>
      </c>
      <c r="C281" s="8">
        <v>1376117.9</v>
      </c>
      <c r="D281" s="7">
        <v>-1.321013</v>
      </c>
      <c r="E281" s="7">
        <v>-2.19797485481612</v>
      </c>
      <c r="F281" s="7">
        <v>-2.1979815490955898</v>
      </c>
      <c r="G281" s="7">
        <v>61.104660000000003</v>
      </c>
      <c r="H281" s="7">
        <v>-12.4386651683499</v>
      </c>
      <c r="I281" s="7">
        <v>59.210909999999998</v>
      </c>
      <c r="J281" s="7">
        <v>60.668922000000002</v>
      </c>
      <c r="K281" s="7">
        <v>58.447654999999997</v>
      </c>
      <c r="L281" s="7">
        <v>-15.769328872774601</v>
      </c>
    </row>
    <row r="282" spans="1:12" ht="15" customHeight="1" x14ac:dyDescent="0.2">
      <c r="A282" s="3">
        <v>45642</v>
      </c>
      <c r="B282" s="4">
        <v>60.101370000000003</v>
      </c>
      <c r="C282" s="5">
        <v>3912524</v>
      </c>
      <c r="D282" s="4">
        <v>0.70454000000000105</v>
      </c>
      <c r="E282" s="4">
        <v>1.18615757776971</v>
      </c>
      <c r="F282" s="4">
        <v>1.18615742675654</v>
      </c>
      <c r="G282" s="4">
        <v>62.477913000000001</v>
      </c>
      <c r="H282" s="4">
        <v>-10.4708305426182</v>
      </c>
      <c r="I282" s="4">
        <v>59.768676999999997</v>
      </c>
      <c r="J282" s="4">
        <v>60.287295999999998</v>
      </c>
      <c r="K282" s="4">
        <v>59.298977000000001</v>
      </c>
      <c r="L282" s="4">
        <v>-13.876352762442499</v>
      </c>
    </row>
    <row r="283" spans="1:12" ht="15" customHeight="1" x14ac:dyDescent="0.2">
      <c r="A283" s="6">
        <v>45639</v>
      </c>
      <c r="B283" s="7">
        <v>59.396830000000001</v>
      </c>
      <c r="C283" s="8">
        <v>1274728.1000000001</v>
      </c>
      <c r="D283" s="7">
        <v>0.24462999999999999</v>
      </c>
      <c r="E283" s="7">
        <v>0.41356027332879403</v>
      </c>
      <c r="F283" s="7">
        <v>0.41356644698808898</v>
      </c>
      <c r="G283" s="7">
        <v>61.745514</v>
      </c>
      <c r="H283" s="7">
        <v>-11.5203386172783</v>
      </c>
      <c r="I283" s="7">
        <v>59.298977000000001</v>
      </c>
      <c r="J283" s="7">
        <v>60.336219999999997</v>
      </c>
      <c r="K283" s="7">
        <v>58.662933000000002</v>
      </c>
      <c r="L283" s="7">
        <v>-14.8859396391601</v>
      </c>
    </row>
    <row r="284" spans="1:12" ht="15" customHeight="1" x14ac:dyDescent="0.2">
      <c r="A284" s="3">
        <v>45637</v>
      </c>
      <c r="B284" s="4">
        <v>59.152200000000001</v>
      </c>
      <c r="C284" s="5">
        <v>1687856.6</v>
      </c>
      <c r="D284" s="4">
        <v>0.48926699999999801</v>
      </c>
      <c r="E284" s="4">
        <v>0.83403092034282</v>
      </c>
      <c r="F284" s="4">
        <v>0.83402978889353097</v>
      </c>
      <c r="G284" s="4">
        <v>61.491207000000003</v>
      </c>
      <c r="H284" s="4">
        <v>-11.8847537106122</v>
      </c>
      <c r="I284" s="4">
        <v>59.122839999999997</v>
      </c>
      <c r="J284" s="4">
        <v>59.396830000000001</v>
      </c>
      <c r="K284" s="4">
        <v>58.300879999999999</v>
      </c>
      <c r="L284" s="4">
        <v>-15.236487851683799</v>
      </c>
    </row>
    <row r="285" spans="1:12" ht="15" customHeight="1" x14ac:dyDescent="0.2">
      <c r="A285" s="6">
        <v>45636</v>
      </c>
      <c r="B285" s="7">
        <v>58.662933000000002</v>
      </c>
      <c r="C285" s="8">
        <v>3227893.8</v>
      </c>
      <c r="D285" s="7">
        <v>-1.438437</v>
      </c>
      <c r="E285" s="7">
        <v>-2.3933514327543599</v>
      </c>
      <c r="F285" s="7">
        <v>-2.39335619293173</v>
      </c>
      <c r="G285" s="7">
        <v>60.982593999999999</v>
      </c>
      <c r="H285" s="7">
        <v>-12.613582464306701</v>
      </c>
      <c r="I285" s="7">
        <v>60.346004000000001</v>
      </c>
      <c r="J285" s="7">
        <v>60.512355999999997</v>
      </c>
      <c r="K285" s="7">
        <v>58.467227999999999</v>
      </c>
      <c r="L285" s="7">
        <v>-15.9375943075429</v>
      </c>
    </row>
    <row r="286" spans="1:12" ht="15" customHeight="1" x14ac:dyDescent="0.2">
      <c r="A286" s="3">
        <v>45635</v>
      </c>
      <c r="B286" s="4">
        <v>60.101370000000003</v>
      </c>
      <c r="C286" s="5">
        <v>1702216.9</v>
      </c>
      <c r="D286" s="4">
        <v>0.25441600000000603</v>
      </c>
      <c r="E286" s="4">
        <v>0.425111025700664</v>
      </c>
      <c r="F286" s="4">
        <v>0.42511235032896</v>
      </c>
      <c r="G286" s="4">
        <v>62.477913000000001</v>
      </c>
      <c r="H286" s="4">
        <v>-10.4708305426182</v>
      </c>
      <c r="I286" s="4">
        <v>60.091586999999997</v>
      </c>
      <c r="J286" s="4">
        <v>61.921439999999997</v>
      </c>
      <c r="K286" s="4">
        <v>59.91545</v>
      </c>
      <c r="L286" s="4">
        <v>-13.876352762442499</v>
      </c>
    </row>
    <row r="287" spans="1:12" ht="15" customHeight="1" x14ac:dyDescent="0.2">
      <c r="A287" s="6">
        <v>45632</v>
      </c>
      <c r="B287" s="7">
        <v>59.846953999999997</v>
      </c>
      <c r="C287" s="8">
        <v>1500089.4</v>
      </c>
      <c r="D287" s="7">
        <v>1.1253089999999899</v>
      </c>
      <c r="E287" s="7">
        <v>1.91634447570396</v>
      </c>
      <c r="F287" s="7">
        <v>1.9163440968369601</v>
      </c>
      <c r="G287" s="7">
        <v>62.213436000000002</v>
      </c>
      <c r="H287" s="7">
        <v>-10.849818972506601</v>
      </c>
      <c r="I287" s="7">
        <v>58.790146</v>
      </c>
      <c r="J287" s="7">
        <v>60.238370000000003</v>
      </c>
      <c r="K287" s="7">
        <v>58.751002999999997</v>
      </c>
      <c r="L287" s="7">
        <v>-14.240924049845599</v>
      </c>
    </row>
    <row r="288" spans="1:12" ht="15" customHeight="1" x14ac:dyDescent="0.2">
      <c r="A288" s="3">
        <v>45631</v>
      </c>
      <c r="B288" s="4">
        <v>58.721645000000002</v>
      </c>
      <c r="C288" s="5">
        <v>1583566.7</v>
      </c>
      <c r="D288" s="4">
        <v>-0.13699799999999801</v>
      </c>
      <c r="E288" s="4">
        <v>-0.232757659737414</v>
      </c>
      <c r="F288" s="4">
        <v>-0.232754061248896</v>
      </c>
      <c r="G288" s="4">
        <v>61.04363</v>
      </c>
      <c r="H288" s="4">
        <v>-12.526119517409001</v>
      </c>
      <c r="I288" s="4">
        <v>58.702075999999998</v>
      </c>
      <c r="J288" s="4">
        <v>59.543610000000001</v>
      </c>
      <c r="K288" s="4">
        <v>58.545513</v>
      </c>
      <c r="L288" s="4">
        <v>-15.853461590158799</v>
      </c>
    </row>
    <row r="289" spans="1:12" ht="15" customHeight="1" x14ac:dyDescent="0.2">
      <c r="A289" s="6">
        <v>45630</v>
      </c>
      <c r="B289" s="7">
        <v>58.858643000000001</v>
      </c>
      <c r="C289" s="8">
        <v>1440750.5</v>
      </c>
      <c r="D289" s="7">
        <v>1.1057429999999999</v>
      </c>
      <c r="E289" s="7">
        <v>1.91461034857125</v>
      </c>
      <c r="F289" s="7">
        <v>1.91461288389618</v>
      </c>
      <c r="G289" s="7">
        <v>61.186042999999998</v>
      </c>
      <c r="H289" s="7">
        <v>-12.3220455175311</v>
      </c>
      <c r="I289" s="7">
        <v>58.212809999999998</v>
      </c>
      <c r="J289" s="7">
        <v>59.122839999999997</v>
      </c>
      <c r="K289" s="7">
        <v>58.036673999999998</v>
      </c>
      <c r="L289" s="7">
        <v>-15.6571471396853</v>
      </c>
    </row>
    <row r="290" spans="1:12" ht="15" customHeight="1" x14ac:dyDescent="0.2">
      <c r="A290" s="3">
        <v>45629</v>
      </c>
      <c r="B290" s="4">
        <v>57.752899999999997</v>
      </c>
      <c r="C290" s="5">
        <v>6293703.5999999996</v>
      </c>
      <c r="D290" s="4">
        <v>-0.88067500000000298</v>
      </c>
      <c r="E290" s="4">
        <v>-1.5019977888095699</v>
      </c>
      <c r="F290" s="4">
        <v>-1.5020013428254599</v>
      </c>
      <c r="G290" s="4">
        <v>60.036574999999999</v>
      </c>
      <c r="H290" s="4">
        <v>-13.9692022552704</v>
      </c>
      <c r="I290" s="4">
        <v>58.858643000000001</v>
      </c>
      <c r="J290" s="4">
        <v>58.858643000000001</v>
      </c>
      <c r="K290" s="4">
        <v>57.126640000000002</v>
      </c>
      <c r="L290" s="4">
        <v>-17.241647128078199</v>
      </c>
    </row>
    <row r="291" spans="1:12" ht="15" customHeight="1" x14ac:dyDescent="0.2">
      <c r="A291" s="6">
        <v>45628</v>
      </c>
      <c r="B291" s="7">
        <v>58.633575</v>
      </c>
      <c r="C291" s="8">
        <v>2640139.2000000002</v>
      </c>
      <c r="D291" s="7">
        <v>-0.41098499999999599</v>
      </c>
      <c r="E291" s="7">
        <v>-0.69605904422015397</v>
      </c>
      <c r="F291" s="7">
        <v>-0.69605539716884801</v>
      </c>
      <c r="G291" s="7">
        <v>60.952075999999998</v>
      </c>
      <c r="H291" s="7">
        <v>-12.6573139377556</v>
      </c>
      <c r="I291" s="7">
        <v>59.621895000000002</v>
      </c>
      <c r="J291" s="7">
        <v>59.709960000000002</v>
      </c>
      <c r="K291" s="7">
        <v>58.340020000000003</v>
      </c>
      <c r="L291" s="7">
        <v>-15.979663532181201</v>
      </c>
    </row>
    <row r="292" spans="1:12" ht="15" customHeight="1" x14ac:dyDescent="0.2">
      <c r="A292" s="3">
        <v>45625</v>
      </c>
      <c r="B292" s="4">
        <v>59.044559999999997</v>
      </c>
      <c r="C292" s="5">
        <v>6299519.5</v>
      </c>
      <c r="D292" s="4">
        <v>-0.71433000000000302</v>
      </c>
      <c r="E292" s="4">
        <v>-1.19535352815288</v>
      </c>
      <c r="F292" s="4">
        <v>-1.19535486743987</v>
      </c>
      <c r="G292" s="4">
        <v>61.379309999999997</v>
      </c>
      <c r="H292" s="4">
        <v>-12.0450991029875</v>
      </c>
      <c r="I292" s="4">
        <v>60.150303000000001</v>
      </c>
      <c r="J292" s="4">
        <v>60.756990000000002</v>
      </c>
      <c r="K292" s="4">
        <v>57.93882</v>
      </c>
      <c r="L292" s="4">
        <v>-15.390733077518901</v>
      </c>
    </row>
    <row r="293" spans="1:12" ht="15" customHeight="1" x14ac:dyDescent="0.2">
      <c r="A293" s="6">
        <v>45624</v>
      </c>
      <c r="B293" s="7">
        <v>59.758890000000001</v>
      </c>
      <c r="C293" s="8">
        <v>2203319</v>
      </c>
      <c r="D293" s="7">
        <v>0.22506499999999999</v>
      </c>
      <c r="E293" s="7">
        <v>0.378045590049014</v>
      </c>
      <c r="F293" s="7">
        <v>0.37804305731761101</v>
      </c>
      <c r="G293" s="7">
        <v>62.121887000000001</v>
      </c>
      <c r="H293" s="7">
        <v>-10.981006227987701</v>
      </c>
      <c r="I293" s="7">
        <v>59.670819999999999</v>
      </c>
      <c r="J293" s="7">
        <v>60.023090000000003</v>
      </c>
      <c r="K293" s="7">
        <v>59.171771999999997</v>
      </c>
      <c r="L293" s="7">
        <v>-14.3671173940294</v>
      </c>
    </row>
    <row r="294" spans="1:12" ht="15" customHeight="1" x14ac:dyDescent="0.2">
      <c r="A294" s="3">
        <v>45623</v>
      </c>
      <c r="B294" s="4">
        <v>59.533825</v>
      </c>
      <c r="C294" s="5">
        <v>2054536</v>
      </c>
      <c r="D294" s="4">
        <v>-1.2231650000000001</v>
      </c>
      <c r="E294" s="4">
        <v>-2.0132086859470801</v>
      </c>
      <c r="F294" s="4">
        <v>-2.0132061306293001</v>
      </c>
      <c r="G294" s="4">
        <v>61.887923999999998</v>
      </c>
      <c r="H294" s="4">
        <v>-11.3162689163198</v>
      </c>
      <c r="I294" s="4">
        <v>60.815703999999997</v>
      </c>
      <c r="J294" s="4">
        <v>61.696379999999998</v>
      </c>
      <c r="K294" s="4">
        <v>59.171771999999997</v>
      </c>
      <c r="L294" s="4">
        <v>-14.689629487606</v>
      </c>
    </row>
    <row r="295" spans="1:12" ht="15" customHeight="1" x14ac:dyDescent="0.2">
      <c r="A295" s="6">
        <v>45622</v>
      </c>
      <c r="B295" s="7">
        <v>60.756990000000002</v>
      </c>
      <c r="C295" s="8">
        <v>4122384.3</v>
      </c>
      <c r="D295" s="7">
        <v>-1.88855999999999</v>
      </c>
      <c r="E295" s="7">
        <v>-3.0146754238728799</v>
      </c>
      <c r="F295" s="7">
        <v>-3.0146817017526502</v>
      </c>
      <c r="G295" s="7">
        <v>63.159453999999997</v>
      </c>
      <c r="H295" s="7">
        <v>-9.4942006145162008</v>
      </c>
      <c r="I295" s="7">
        <v>62.146503000000003</v>
      </c>
      <c r="J295" s="7">
        <v>62.32264</v>
      </c>
      <c r="K295" s="7">
        <v>60.199226000000003</v>
      </c>
      <c r="L295" s="7">
        <v>-12.936866930391</v>
      </c>
    </row>
    <row r="296" spans="1:12" ht="15" customHeight="1" x14ac:dyDescent="0.2">
      <c r="A296" s="3">
        <v>45621</v>
      </c>
      <c r="B296" s="4">
        <v>62.64555</v>
      </c>
      <c r="C296" s="5">
        <v>8710382</v>
      </c>
      <c r="D296" s="4">
        <v>1.1350899999999899</v>
      </c>
      <c r="E296" s="4">
        <v>1.8453609353596001</v>
      </c>
      <c r="F296" s="4">
        <v>1.8453641008702799</v>
      </c>
      <c r="G296" s="4">
        <v>65.122696000000005</v>
      </c>
      <c r="H296" s="4">
        <v>-6.6809276150827799</v>
      </c>
      <c r="I296" s="4">
        <v>61.764876999999998</v>
      </c>
      <c r="J296" s="4">
        <v>62.782555000000002</v>
      </c>
      <c r="K296" s="4">
        <v>61.050550000000001</v>
      </c>
      <c r="L296" s="4">
        <v>-10.230611228949201</v>
      </c>
    </row>
    <row r="297" spans="1:12" ht="15" customHeight="1" x14ac:dyDescent="0.2">
      <c r="A297" s="6">
        <v>45618</v>
      </c>
      <c r="B297" s="7">
        <v>61.510460000000002</v>
      </c>
      <c r="C297" s="8">
        <v>5484087</v>
      </c>
      <c r="D297" s="7">
        <v>-0.107639999999996</v>
      </c>
      <c r="E297" s="7">
        <v>-0.17468893068757199</v>
      </c>
      <c r="F297" s="7">
        <v>-0.174679074620853</v>
      </c>
      <c r="G297" s="7">
        <v>63.942720000000001</v>
      </c>
      <c r="H297" s="7">
        <v>-8.3718014965398009</v>
      </c>
      <c r="I297" s="7">
        <v>62.117150000000002</v>
      </c>
      <c r="J297" s="7">
        <v>62.117150000000002</v>
      </c>
      <c r="K297" s="7">
        <v>60.678707000000003</v>
      </c>
      <c r="L297" s="7">
        <v>-11.857164679276201</v>
      </c>
    </row>
    <row r="298" spans="1:12" ht="15" customHeight="1" x14ac:dyDescent="0.2">
      <c r="A298" s="3">
        <v>45617</v>
      </c>
      <c r="B298" s="4">
        <v>61.618099999999998</v>
      </c>
      <c r="C298" s="5">
        <v>2294816.4</v>
      </c>
      <c r="D298" s="4">
        <v>-1.428653</v>
      </c>
      <c r="E298" s="4">
        <v>-2.2660215348441501</v>
      </c>
      <c r="F298" s="4">
        <v>-2.2660290486263701</v>
      </c>
      <c r="G298" s="4">
        <v>64.054609999999997</v>
      </c>
      <c r="H298" s="4">
        <v>-8.2114661349763303</v>
      </c>
      <c r="I298" s="4">
        <v>62.743411999999999</v>
      </c>
      <c r="J298" s="4">
        <v>63.761085999999999</v>
      </c>
      <c r="K298" s="4">
        <v>61.441963000000001</v>
      </c>
      <c r="L298" s="4">
        <v>-11.702919453441099</v>
      </c>
    </row>
    <row r="299" spans="1:12" ht="15" customHeight="1" x14ac:dyDescent="0.2">
      <c r="A299" s="6">
        <v>45616</v>
      </c>
      <c r="B299" s="7">
        <v>63.046753000000002</v>
      </c>
      <c r="C299" s="8">
        <v>8260717</v>
      </c>
      <c r="D299" s="7">
        <v>0.34248300000000098</v>
      </c>
      <c r="E299" s="7">
        <v>0.54618768386904804</v>
      </c>
      <c r="F299" s="7">
        <v>0.54619457953695105</v>
      </c>
      <c r="G299" s="7">
        <v>65.539760000000001</v>
      </c>
      <c r="H299" s="7">
        <v>-6.08328611686927</v>
      </c>
      <c r="I299" s="7">
        <v>62.723835000000001</v>
      </c>
      <c r="J299" s="7">
        <v>63.389235999999997</v>
      </c>
      <c r="K299" s="7">
        <v>62.528132999999997</v>
      </c>
      <c r="L299" s="7">
        <v>-9.6556981172739391</v>
      </c>
    </row>
    <row r="300" spans="1:12" ht="15" customHeight="1" x14ac:dyDescent="0.2">
      <c r="A300" s="3">
        <v>45615</v>
      </c>
      <c r="B300" s="4">
        <v>62.704270000000001</v>
      </c>
      <c r="C300" s="5">
        <v>1656670</v>
      </c>
      <c r="D300" s="4">
        <v>7.8285999999998496E-2</v>
      </c>
      <c r="E300" s="4">
        <v>0.12500562067017101</v>
      </c>
      <c r="F300" s="4">
        <v>0.124993940311468</v>
      </c>
      <c r="G300" s="4">
        <v>65.183729999999997</v>
      </c>
      <c r="H300" s="4">
        <v>-6.5934675341312801</v>
      </c>
      <c r="I300" s="4">
        <v>62.890182000000003</v>
      </c>
      <c r="J300" s="4">
        <v>63.506664000000001</v>
      </c>
      <c r="K300" s="4">
        <v>62.342210000000001</v>
      </c>
      <c r="L300" s="4">
        <v>-10.146467047780201</v>
      </c>
    </row>
    <row r="301" spans="1:12" ht="15" customHeight="1" x14ac:dyDescent="0.2">
      <c r="A301" s="6">
        <v>45611</v>
      </c>
      <c r="B301" s="7">
        <v>62.625984000000003</v>
      </c>
      <c r="C301" s="8">
        <v>2798761.5</v>
      </c>
      <c r="D301" s="7">
        <v>-0.215278999999995</v>
      </c>
      <c r="E301" s="7">
        <v>-0.34257586452390798</v>
      </c>
      <c r="F301" s="7">
        <v>-0.34256424763501298</v>
      </c>
      <c r="G301" s="7">
        <v>65.102356</v>
      </c>
      <c r="H301" s="7">
        <v>-6.7100742881921001</v>
      </c>
      <c r="I301" s="7">
        <v>62.772765999999997</v>
      </c>
      <c r="J301" s="7">
        <v>63.800217000000004</v>
      </c>
      <c r="K301" s="7">
        <v>62.449849999999998</v>
      </c>
      <c r="L301" s="7">
        <v>-10.2586487808694</v>
      </c>
    </row>
    <row r="302" spans="1:12" ht="15" customHeight="1" x14ac:dyDescent="0.2">
      <c r="A302" s="3">
        <v>45610</v>
      </c>
      <c r="B302" s="4">
        <v>62.841262999999998</v>
      </c>
      <c r="C302" s="5">
        <v>2052537.8</v>
      </c>
      <c r="D302" s="4">
        <v>-1.0763819999999999</v>
      </c>
      <c r="E302" s="4">
        <v>-1.6840138587709199</v>
      </c>
      <c r="F302" s="4">
        <v>-1.6840221000528399</v>
      </c>
      <c r="G302" s="4">
        <v>65.326139999999995</v>
      </c>
      <c r="H302" s="4">
        <v>-6.3893978331727102</v>
      </c>
      <c r="I302" s="4">
        <v>63.624079999999999</v>
      </c>
      <c r="J302" s="4">
        <v>64.592833999999996</v>
      </c>
      <c r="K302" s="4">
        <v>62.479202000000001</v>
      </c>
      <c r="L302" s="4">
        <v>-9.9501597621723192</v>
      </c>
    </row>
    <row r="303" spans="1:12" ht="15" customHeight="1" x14ac:dyDescent="0.2">
      <c r="A303" s="6">
        <v>45609</v>
      </c>
      <c r="B303" s="7">
        <v>63.917645</v>
      </c>
      <c r="C303" s="8">
        <v>1309536.3999999999</v>
      </c>
      <c r="D303" s="7">
        <v>0.77304099999999898</v>
      </c>
      <c r="E303" s="7">
        <v>1.2242392081514799</v>
      </c>
      <c r="F303" s="7">
        <v>1.22424113533088</v>
      </c>
      <c r="G303" s="7">
        <v>66.445089999999993</v>
      </c>
      <c r="H303" s="7">
        <v>-4.7859725688823103</v>
      </c>
      <c r="I303" s="7">
        <v>62.821686</v>
      </c>
      <c r="J303" s="7">
        <v>64.543909999999997</v>
      </c>
      <c r="K303" s="7">
        <v>62.821686</v>
      </c>
      <c r="L303" s="7">
        <v>-8.4077332973370495</v>
      </c>
    </row>
    <row r="304" spans="1:12" ht="15" customHeight="1" x14ac:dyDescent="0.2">
      <c r="A304" s="3">
        <v>45608</v>
      </c>
      <c r="B304" s="4">
        <v>63.144604000000001</v>
      </c>
      <c r="C304" s="5">
        <v>3431678.6999999899</v>
      </c>
      <c r="D304" s="4">
        <v>-0.47947599999999801</v>
      </c>
      <c r="E304" s="4">
        <v>-0.75360775354236198</v>
      </c>
      <c r="F304" s="4">
        <v>-0.75360695579968995</v>
      </c>
      <c r="G304" s="4">
        <v>65.641480000000001</v>
      </c>
      <c r="H304" s="4">
        <v>-5.9375240918604497</v>
      </c>
      <c r="I304" s="4">
        <v>63.604514999999999</v>
      </c>
      <c r="J304" s="4">
        <v>63.761085999999999</v>
      </c>
      <c r="K304" s="4">
        <v>62.254142999999999</v>
      </c>
      <c r="L304" s="4">
        <v>-9.5154802652375903</v>
      </c>
    </row>
    <row r="305" spans="1:12" ht="15" customHeight="1" x14ac:dyDescent="0.2">
      <c r="A305" s="6">
        <v>45607</v>
      </c>
      <c r="B305" s="7">
        <v>63.624079999999999</v>
      </c>
      <c r="C305" s="8">
        <v>2747149.4</v>
      </c>
      <c r="D305" s="7">
        <v>-1.4482299999999999</v>
      </c>
      <c r="E305" s="7">
        <v>-2.2255702924946101</v>
      </c>
      <c r="F305" s="7">
        <v>-2.2255830476032101</v>
      </c>
      <c r="G305" s="7">
        <v>66.139915000000002</v>
      </c>
      <c r="H305" s="7">
        <v>-5.2232801385054497</v>
      </c>
      <c r="I305" s="7">
        <v>64.51455</v>
      </c>
      <c r="J305" s="7">
        <v>64.778750000000002</v>
      </c>
      <c r="K305" s="7">
        <v>62.841262999999998</v>
      </c>
      <c r="L305" s="7">
        <v>-8.8284040491234705</v>
      </c>
    </row>
    <row r="306" spans="1:12" ht="15" customHeight="1" x14ac:dyDescent="0.2">
      <c r="A306" s="3">
        <v>45604</v>
      </c>
      <c r="B306" s="4">
        <v>65.072310000000002</v>
      </c>
      <c r="C306" s="5">
        <v>1146458.3</v>
      </c>
      <c r="D306" s="4">
        <v>-0.45013000000000097</v>
      </c>
      <c r="E306" s="4">
        <v>-0.68698601578329699</v>
      </c>
      <c r="F306" s="4">
        <v>-0.68697262533300396</v>
      </c>
      <c r="G306" s="4">
        <v>67.645420000000001</v>
      </c>
      <c r="H306" s="4">
        <v>-3.0659319526924</v>
      </c>
      <c r="I306" s="4">
        <v>64.876609999999999</v>
      </c>
      <c r="J306" s="4">
        <v>66.050839999999994</v>
      </c>
      <c r="K306" s="4">
        <v>64.602615</v>
      </c>
      <c r="L306" s="4">
        <v>-6.7531293983318497</v>
      </c>
    </row>
    <row r="307" spans="1:12" ht="15" customHeight="1" x14ac:dyDescent="0.2">
      <c r="A307" s="6">
        <v>45603</v>
      </c>
      <c r="B307" s="7">
        <v>65.522440000000003</v>
      </c>
      <c r="C307" s="8">
        <v>3659137</v>
      </c>
      <c r="D307" s="7">
        <v>1.07639</v>
      </c>
      <c r="E307" s="7">
        <v>1.67021873334363</v>
      </c>
      <c r="F307" s="7">
        <v>1.6702144761673301</v>
      </c>
      <c r="G307" s="7">
        <v>68.113339999999994</v>
      </c>
      <c r="H307" s="7">
        <v>-2.3954151738669398</v>
      </c>
      <c r="I307" s="7">
        <v>64.573260000000005</v>
      </c>
      <c r="J307" s="7">
        <v>66.305260000000004</v>
      </c>
      <c r="K307" s="7">
        <v>64.573260000000005</v>
      </c>
      <c r="L307" s="7">
        <v>-6.10810521117868</v>
      </c>
    </row>
    <row r="308" spans="1:12" ht="15" customHeight="1" x14ac:dyDescent="0.2">
      <c r="A308" s="3">
        <v>45602</v>
      </c>
      <c r="B308" s="4">
        <v>64.44605</v>
      </c>
      <c r="C308" s="5">
        <v>9263172</v>
      </c>
      <c r="D308" s="4">
        <v>-1.91792599999999</v>
      </c>
      <c r="E308" s="4">
        <v>-2.89001068893158</v>
      </c>
      <c r="F308" s="4">
        <v>-2.8900035730774101</v>
      </c>
      <c r="G308" s="4">
        <v>66.994389999999996</v>
      </c>
      <c r="H308" s="4">
        <v>-3.9988404381573299</v>
      </c>
      <c r="I308" s="4">
        <v>65.65943</v>
      </c>
      <c r="J308" s="4">
        <v>66.226979999999998</v>
      </c>
      <c r="K308" s="4">
        <v>63.046753000000002</v>
      </c>
      <c r="L308" s="4">
        <v>-7.6505431397988497</v>
      </c>
    </row>
    <row r="309" spans="1:12" ht="15" customHeight="1" x14ac:dyDescent="0.2">
      <c r="A309" s="6">
        <v>45601</v>
      </c>
      <c r="B309" s="7">
        <v>66.363975999999994</v>
      </c>
      <c r="C309" s="8">
        <v>3338769</v>
      </c>
      <c r="D309" s="7">
        <v>0.92960599999999205</v>
      </c>
      <c r="E309" s="7">
        <v>1.42066929046613</v>
      </c>
      <c r="F309" s="7">
        <v>1.4206624083253401</v>
      </c>
      <c r="G309" s="7">
        <v>68.988150000000005</v>
      </c>
      <c r="H309" s="7">
        <v>-1.1418359652750401</v>
      </c>
      <c r="I309" s="7">
        <v>65.65943</v>
      </c>
      <c r="J309" s="7">
        <v>68.095969999999994</v>
      </c>
      <c r="K309" s="7">
        <v>65.65943</v>
      </c>
      <c r="L309" s="7">
        <v>-4.9022067499338799</v>
      </c>
    </row>
    <row r="310" spans="1:12" ht="15" customHeight="1" x14ac:dyDescent="0.2">
      <c r="A310" s="3">
        <v>45600</v>
      </c>
      <c r="B310" s="4">
        <v>65.434370000000001</v>
      </c>
      <c r="C310" s="5">
        <v>2906386.1999999899</v>
      </c>
      <c r="D310" s="4">
        <v>-2.9349999999993701E-2</v>
      </c>
      <c r="E310" s="4">
        <v>-4.4833993546344798E-2</v>
      </c>
      <c r="F310" s="4">
        <v>-4.4833165080393401E-2</v>
      </c>
      <c r="G310" s="4">
        <v>68.021789999999996</v>
      </c>
      <c r="H310" s="4">
        <v>-2.5266038623211</v>
      </c>
      <c r="I310" s="4">
        <v>65.786643999999995</v>
      </c>
      <c r="J310" s="4">
        <v>66.080200000000005</v>
      </c>
      <c r="K310" s="4">
        <v>64.612403999999998</v>
      </c>
      <c r="L310" s="4">
        <v>-6.2343071532011596</v>
      </c>
    </row>
    <row r="311" spans="1:12" ht="15" customHeight="1" x14ac:dyDescent="0.2">
      <c r="A311" s="6">
        <v>45597</v>
      </c>
      <c r="B311" s="7">
        <v>65.463719999999995</v>
      </c>
      <c r="C311" s="8">
        <v>1121924.7</v>
      </c>
      <c r="D311" s="7">
        <v>-6.85000000000002E-2</v>
      </c>
      <c r="E311" s="7">
        <v>-0.10452873410972099</v>
      </c>
      <c r="F311" s="7">
        <v>-0.10452339467852401</v>
      </c>
      <c r="G311" s="7">
        <v>68.052300000000002</v>
      </c>
      <c r="H311" s="7">
        <v>-2.4828838526571202</v>
      </c>
      <c r="I311" s="7">
        <v>65.463719999999995</v>
      </c>
      <c r="J311" s="7">
        <v>65.630070000000003</v>
      </c>
      <c r="K311" s="7">
        <v>64.739620000000002</v>
      </c>
      <c r="L311" s="7">
        <v>-6.19224939234776</v>
      </c>
    </row>
    <row r="312" spans="1:12" ht="15" customHeight="1" x14ac:dyDescent="0.2">
      <c r="A312" s="3">
        <v>45596</v>
      </c>
      <c r="B312" s="4">
        <v>65.532219999999995</v>
      </c>
      <c r="C312" s="5">
        <v>3754965.3</v>
      </c>
      <c r="D312" s="4">
        <v>0.55776000000000103</v>
      </c>
      <c r="E312" s="4">
        <v>0.85842960449382599</v>
      </c>
      <c r="F312" s="4">
        <v>1.9202495630984799</v>
      </c>
      <c r="G312" s="4">
        <v>68.123504999999994</v>
      </c>
      <c r="H312" s="4">
        <v>-2.3808490021778401</v>
      </c>
      <c r="I312" s="4">
        <v>64.837459999999993</v>
      </c>
      <c r="J312" s="4">
        <v>65.737719999999996</v>
      </c>
      <c r="K312" s="4">
        <v>64.436263999999994</v>
      </c>
      <c r="L312" s="4">
        <v>-6.0940907341379296</v>
      </c>
    </row>
    <row r="313" spans="1:12" ht="15" customHeight="1" x14ac:dyDescent="0.2">
      <c r="A313" s="6">
        <v>45595</v>
      </c>
      <c r="B313" s="7">
        <v>64.974459999999993</v>
      </c>
      <c r="C313" s="8">
        <v>1884975.5</v>
      </c>
      <c r="D313" s="7">
        <v>-0.17614000000000299</v>
      </c>
      <c r="E313" s="7">
        <v>-0.27035821619448802</v>
      </c>
      <c r="F313" s="7">
        <v>-0.27034729309529598</v>
      </c>
      <c r="G313" s="7">
        <v>66.840010000000007</v>
      </c>
      <c r="H313" s="7">
        <v>-4.2200628272731402</v>
      </c>
      <c r="I313" s="7">
        <v>64.778750000000002</v>
      </c>
      <c r="J313" s="7">
        <v>65.12124</v>
      </c>
      <c r="K313" s="7">
        <v>64.142709999999994</v>
      </c>
      <c r="L313" s="7">
        <v>-6.8933458173951001</v>
      </c>
    </row>
    <row r="314" spans="1:12" ht="15" customHeight="1" x14ac:dyDescent="0.2">
      <c r="A314" s="3">
        <v>45594</v>
      </c>
      <c r="B314" s="4">
        <v>65.150599999999997</v>
      </c>
      <c r="C314" s="5">
        <v>1338011.7</v>
      </c>
      <c r="D314" s="4">
        <v>0.21527999999999201</v>
      </c>
      <c r="E314" s="4">
        <v>0.33152989775055902</v>
      </c>
      <c r="F314" s="4">
        <v>0.33152823648714402</v>
      </c>
      <c r="G314" s="4">
        <v>67.021199999999993</v>
      </c>
      <c r="H314" s="4">
        <v>-3.9604224290098098</v>
      </c>
      <c r="I314" s="4">
        <v>64.592833999999996</v>
      </c>
      <c r="J314" s="4">
        <v>65.336510000000004</v>
      </c>
      <c r="K314" s="4">
        <v>64.592833999999996</v>
      </c>
      <c r="L314" s="4">
        <v>-6.6409419333501303</v>
      </c>
    </row>
    <row r="315" spans="1:12" ht="15" customHeight="1" x14ac:dyDescent="0.2">
      <c r="A315" s="6">
        <v>45593</v>
      </c>
      <c r="B315" s="7">
        <v>64.935320000000004</v>
      </c>
      <c r="C315" s="8">
        <v>1546236.1</v>
      </c>
      <c r="D315" s="7">
        <v>0.18592000000000999</v>
      </c>
      <c r="E315" s="7">
        <v>0.28713779587148303</v>
      </c>
      <c r="F315" s="7">
        <v>0.28712556012002699</v>
      </c>
      <c r="G315" s="7">
        <v>66.79974</v>
      </c>
      <c r="H315" s="7">
        <v>-4.2777686545156302</v>
      </c>
      <c r="I315" s="7">
        <v>65.072310000000002</v>
      </c>
      <c r="J315" s="7">
        <v>65.414794999999998</v>
      </c>
      <c r="K315" s="7">
        <v>64.338419999999999</v>
      </c>
      <c r="L315" s="7">
        <v>-6.9494323850203799</v>
      </c>
    </row>
    <row r="316" spans="1:12" ht="15" customHeight="1" x14ac:dyDescent="0.2">
      <c r="A316" s="3">
        <v>45590</v>
      </c>
      <c r="B316" s="4">
        <v>64.749399999999994</v>
      </c>
      <c r="C316" s="5">
        <v>966331.2</v>
      </c>
      <c r="D316" s="4">
        <v>-0.52840000000000398</v>
      </c>
      <c r="E316" s="4">
        <v>-0.80946355422517602</v>
      </c>
      <c r="F316" s="4">
        <v>-0.809461392547006</v>
      </c>
      <c r="G316" s="4">
        <v>66.608490000000003</v>
      </c>
      <c r="H316" s="4">
        <v>-4.5518247622912504</v>
      </c>
      <c r="I316" s="4">
        <v>65.179950000000005</v>
      </c>
      <c r="J316" s="4">
        <v>65.179950000000005</v>
      </c>
      <c r="K316" s="4">
        <v>63.839359999999999</v>
      </c>
      <c r="L316" s="4">
        <v>-7.2158507461061197</v>
      </c>
    </row>
    <row r="317" spans="1:12" ht="15" customHeight="1" x14ac:dyDescent="0.2">
      <c r="A317" s="6">
        <v>45589</v>
      </c>
      <c r="B317" s="7">
        <v>65.277799999999999</v>
      </c>
      <c r="C317" s="8">
        <v>1694802.7</v>
      </c>
      <c r="D317" s="7">
        <v>-0.12721000000000501</v>
      </c>
      <c r="E317" s="7">
        <v>-0.19449580391471799</v>
      </c>
      <c r="F317" s="7">
        <v>-0.19449215343210199</v>
      </c>
      <c r="G317" s="7">
        <v>67.152060000000006</v>
      </c>
      <c r="H317" s="7">
        <v>-3.7729035675011899</v>
      </c>
      <c r="I317" s="7">
        <v>65.561580000000006</v>
      </c>
      <c r="J317" s="7">
        <v>66.001914999999997</v>
      </c>
      <c r="K317" s="7">
        <v>64.162279999999996</v>
      </c>
      <c r="L317" s="7">
        <v>-6.4586677534334802</v>
      </c>
    </row>
    <row r="318" spans="1:12" ht="15" customHeight="1" x14ac:dyDescent="0.2">
      <c r="A318" s="3">
        <v>45588</v>
      </c>
      <c r="B318" s="4">
        <v>65.405010000000004</v>
      </c>
      <c r="C318" s="5">
        <v>1580631.5999999901</v>
      </c>
      <c r="D318" s="4">
        <v>-2.9359999999996899E-2</v>
      </c>
      <c r="E318" s="4">
        <v>-4.4869385920576203E-2</v>
      </c>
      <c r="F318" s="4">
        <v>-4.4873863085770301E-2</v>
      </c>
      <c r="G318" s="4">
        <v>67.282920000000004</v>
      </c>
      <c r="H318" s="4">
        <v>-3.5853847059925998</v>
      </c>
      <c r="I318" s="4">
        <v>65.434370000000001</v>
      </c>
      <c r="J318" s="4">
        <v>65.767070000000004</v>
      </c>
      <c r="K318" s="4">
        <v>64.406909999999996</v>
      </c>
      <c r="L318" s="4">
        <v>-6.2763792437856898</v>
      </c>
    </row>
    <row r="319" spans="1:12" ht="15" customHeight="1" x14ac:dyDescent="0.2">
      <c r="A319" s="6">
        <v>45587</v>
      </c>
      <c r="B319" s="7">
        <v>65.434370000000001</v>
      </c>
      <c r="C319" s="8">
        <v>8801082</v>
      </c>
      <c r="D319" s="7">
        <v>-0.93939000000000294</v>
      </c>
      <c r="E319" s="7">
        <v>-1.41530327647553</v>
      </c>
      <c r="F319" s="7">
        <v>-1.4153064119254499</v>
      </c>
      <c r="G319" s="7">
        <v>67.313125999999997</v>
      </c>
      <c r="H319" s="7">
        <v>-3.54210032015486</v>
      </c>
      <c r="I319" s="7">
        <v>66.373760000000004</v>
      </c>
      <c r="J319" s="7">
        <v>66.549899999999994</v>
      </c>
      <c r="K319" s="7">
        <v>64.680899999999994</v>
      </c>
      <c r="L319" s="7">
        <v>-6.2343071532011596</v>
      </c>
    </row>
    <row r="320" spans="1:12" ht="15" customHeight="1" x14ac:dyDescent="0.2">
      <c r="A320" s="3">
        <v>45586</v>
      </c>
      <c r="B320" s="4">
        <v>66.373760000000004</v>
      </c>
      <c r="C320" s="5">
        <v>1169360</v>
      </c>
      <c r="D320" s="4">
        <v>-0.31313000000000102</v>
      </c>
      <c r="E320" s="4">
        <v>-0.469552561230557</v>
      </c>
      <c r="F320" s="4">
        <v>-0.46955166212571098</v>
      </c>
      <c r="G320" s="4">
        <v>68.279489999999996</v>
      </c>
      <c r="H320" s="4">
        <v>-2.1573266912163702</v>
      </c>
      <c r="I320" s="4">
        <v>66.637960000000007</v>
      </c>
      <c r="J320" s="4">
        <v>66.980446000000001</v>
      </c>
      <c r="K320" s="4">
        <v>65.571365</v>
      </c>
      <c r="L320" s="4">
        <v>-4.8881865410006498</v>
      </c>
    </row>
    <row r="321" spans="1:12" ht="15" customHeight="1" x14ac:dyDescent="0.2">
      <c r="A321" s="6">
        <v>45583</v>
      </c>
      <c r="B321" s="7">
        <v>66.686890000000005</v>
      </c>
      <c r="C321" s="8">
        <v>1154194.3</v>
      </c>
      <c r="D321" s="7">
        <v>9.7900000000095098E-3</v>
      </c>
      <c r="E321" s="7">
        <v>1.46827021571205E-2</v>
      </c>
      <c r="F321" s="7">
        <v>1.46811108192146E-2</v>
      </c>
      <c r="G321" s="7">
        <v>68.601609999999994</v>
      </c>
      <c r="H321" s="7">
        <v>-1.6957373922010299</v>
      </c>
      <c r="I321" s="7">
        <v>66.872799999999998</v>
      </c>
      <c r="J321" s="7">
        <v>67.019585000000006</v>
      </c>
      <c r="K321" s="7">
        <v>65.923640000000006</v>
      </c>
      <c r="L321" s="7">
        <v>-4.4394796702671497</v>
      </c>
    </row>
    <row r="322" spans="1:12" ht="15" customHeight="1" x14ac:dyDescent="0.2">
      <c r="A322" s="3">
        <v>45582</v>
      </c>
      <c r="B322" s="4">
        <v>66.677099999999996</v>
      </c>
      <c r="C322" s="5">
        <v>1249959.3999999999</v>
      </c>
      <c r="D322" s="4">
        <v>-0.28378000000000703</v>
      </c>
      <c r="E322" s="4">
        <v>-0.42379968722037198</v>
      </c>
      <c r="F322" s="4">
        <v>-0.42378823595678999</v>
      </c>
      <c r="G322" s="4">
        <v>68.591539999999995</v>
      </c>
      <c r="H322" s="4">
        <v>-1.71016743144443</v>
      </c>
      <c r="I322" s="4">
        <v>66.931520000000006</v>
      </c>
      <c r="J322" s="4">
        <v>67.665419999999997</v>
      </c>
      <c r="K322" s="4">
        <v>65.091880000000003</v>
      </c>
      <c r="L322" s="4">
        <v>-4.4535084770390503</v>
      </c>
    </row>
    <row r="323" spans="1:12" ht="15" customHeight="1" x14ac:dyDescent="0.2">
      <c r="A323" s="6">
        <v>45581</v>
      </c>
      <c r="B323" s="7">
        <v>66.960880000000003</v>
      </c>
      <c r="C323" s="8">
        <v>2341666.2999999998</v>
      </c>
      <c r="D323" s="7">
        <v>0.401200000000002</v>
      </c>
      <c r="E323" s="7">
        <v>0.60276732099673302</v>
      </c>
      <c r="F323" s="7">
        <v>0.60276842341706605</v>
      </c>
      <c r="G323" s="7">
        <v>68.883459999999999</v>
      </c>
      <c r="H323" s="7">
        <v>-1.2918539204281501</v>
      </c>
      <c r="I323" s="7">
        <v>66.589034999999996</v>
      </c>
      <c r="J323" s="7">
        <v>67.166370000000001</v>
      </c>
      <c r="K323" s="7">
        <v>65.590935000000002</v>
      </c>
      <c r="L323" s="7">
        <v>-4.0468593671589499</v>
      </c>
    </row>
    <row r="324" spans="1:12" ht="15" customHeight="1" x14ac:dyDescent="0.2">
      <c r="A324" s="3">
        <v>45580</v>
      </c>
      <c r="B324" s="4">
        <v>66.55968</v>
      </c>
      <c r="C324" s="5">
        <v>3214243.4</v>
      </c>
      <c r="D324" s="4">
        <v>2.9359999999996899E-2</v>
      </c>
      <c r="E324" s="4">
        <v>4.41302551979161E-2</v>
      </c>
      <c r="F324" s="4">
        <v>4.4120046737217103E-2</v>
      </c>
      <c r="G324" s="4">
        <v>68.470740000000006</v>
      </c>
      <c r="H324" s="4">
        <v>-1.88327058344073</v>
      </c>
      <c r="I324" s="4">
        <v>66.637960000000007</v>
      </c>
      <c r="J324" s="4">
        <v>67.068520000000007</v>
      </c>
      <c r="K324" s="4">
        <v>65.571365</v>
      </c>
      <c r="L324" s="4">
        <v>-4.6217681799149304</v>
      </c>
    </row>
    <row r="325" spans="1:12" ht="15" customHeight="1" x14ac:dyDescent="0.2">
      <c r="A325" s="6">
        <v>45579</v>
      </c>
      <c r="B325" s="7">
        <v>66.530320000000003</v>
      </c>
      <c r="C325" s="8">
        <v>2020130.1</v>
      </c>
      <c r="D325" s="7">
        <v>-0.136989999999997</v>
      </c>
      <c r="E325" s="7">
        <v>-0.205483017088881</v>
      </c>
      <c r="F325" s="7">
        <v>-0.205486992331882</v>
      </c>
      <c r="G325" s="7">
        <v>68.440544000000003</v>
      </c>
      <c r="H325" s="7">
        <v>-1.9265406395473601</v>
      </c>
      <c r="I325" s="7">
        <v>66.990234000000001</v>
      </c>
      <c r="J325" s="7">
        <v>67.303359999999998</v>
      </c>
      <c r="K325" s="7">
        <v>66.148700000000005</v>
      </c>
      <c r="L325" s="7">
        <v>-4.6638402704994704</v>
      </c>
    </row>
    <row r="326" spans="1:12" ht="15" customHeight="1" x14ac:dyDescent="0.2">
      <c r="A326" s="3">
        <v>45576</v>
      </c>
      <c r="B326" s="4">
        <v>66.667310000000001</v>
      </c>
      <c r="C326" s="5">
        <v>1523332.4</v>
      </c>
      <c r="D326" s="4">
        <v>0.99809000000000403</v>
      </c>
      <c r="E326" s="4">
        <v>1.51987491247802</v>
      </c>
      <c r="F326" s="4">
        <v>1.51987899587178</v>
      </c>
      <c r="G326" s="4">
        <v>68.581469999999996</v>
      </c>
      <c r="H326" s="4">
        <v>-1.72459747068783</v>
      </c>
      <c r="I326" s="4">
        <v>65.669219999999996</v>
      </c>
      <c r="J326" s="4">
        <v>67.156580000000005</v>
      </c>
      <c r="K326" s="4">
        <v>65.522440000000003</v>
      </c>
      <c r="L326" s="4">
        <v>-4.4675372838109304</v>
      </c>
    </row>
    <row r="327" spans="1:12" ht="15" customHeight="1" x14ac:dyDescent="0.2">
      <c r="A327" s="6">
        <v>45575</v>
      </c>
      <c r="B327" s="7">
        <v>65.669219999999996</v>
      </c>
      <c r="C327" s="8">
        <v>3412969</v>
      </c>
      <c r="D327" s="7">
        <v>0.71432999999998903</v>
      </c>
      <c r="E327" s="7">
        <v>1.0997324450860899</v>
      </c>
      <c r="F327" s="7">
        <v>1.0997325945512</v>
      </c>
      <c r="G327" s="7">
        <v>67.554720000000003</v>
      </c>
      <c r="H327" s="7">
        <v>-3.1959026140008899</v>
      </c>
      <c r="I327" s="7">
        <v>64.583045999999996</v>
      </c>
      <c r="J327" s="7">
        <v>66.011700000000005</v>
      </c>
      <c r="K327" s="7">
        <v>64.15249</v>
      </c>
      <c r="L327" s="7">
        <v>-5.8977734177182599</v>
      </c>
    </row>
    <row r="328" spans="1:12" ht="15" customHeight="1" x14ac:dyDescent="0.2">
      <c r="A328" s="3">
        <v>45574</v>
      </c>
      <c r="B328" s="4">
        <v>64.954890000000006</v>
      </c>
      <c r="C328" s="5">
        <v>2443739.7000000002</v>
      </c>
      <c r="D328" s="4">
        <v>0.59691000000000805</v>
      </c>
      <c r="E328" s="4">
        <v>0.92748405092890596</v>
      </c>
      <c r="F328" s="4">
        <v>0.92748629539118799</v>
      </c>
      <c r="G328" s="4">
        <v>66.819879999999998</v>
      </c>
      <c r="H328" s="4">
        <v>-4.2489085760288301</v>
      </c>
      <c r="I328" s="4">
        <v>64.622185000000002</v>
      </c>
      <c r="J328" s="4">
        <v>65.522440000000003</v>
      </c>
      <c r="K328" s="4">
        <v>64.397125000000003</v>
      </c>
      <c r="L328" s="4">
        <v>-6.9213891012077298</v>
      </c>
    </row>
    <row r="329" spans="1:12" ht="15" customHeight="1" x14ac:dyDescent="0.2">
      <c r="A329" s="6">
        <v>45573</v>
      </c>
      <c r="B329" s="7">
        <v>64.357979999999998</v>
      </c>
      <c r="C329" s="8">
        <v>1669486.2</v>
      </c>
      <c r="D329" s="7">
        <v>0.53818599999999595</v>
      </c>
      <c r="E329" s="7">
        <v>0.84329009272576805</v>
      </c>
      <c r="F329" s="7">
        <v>0.84329250859720395</v>
      </c>
      <c r="G329" s="7">
        <v>66.205830000000006</v>
      </c>
      <c r="H329" s="7">
        <v>-5.1288257157915602</v>
      </c>
      <c r="I329" s="7">
        <v>64.08399</v>
      </c>
      <c r="J329" s="7">
        <v>64.631969999999995</v>
      </c>
      <c r="K329" s="7">
        <v>62.821686</v>
      </c>
      <c r="L329" s="7">
        <v>-7.7767450818213399</v>
      </c>
    </row>
    <row r="330" spans="1:12" ht="15" customHeight="1" x14ac:dyDescent="0.2">
      <c r="A330" s="3">
        <v>45572</v>
      </c>
      <c r="B330" s="4">
        <v>63.819794000000002</v>
      </c>
      <c r="C330" s="5">
        <v>1497400.79999999</v>
      </c>
      <c r="D330" s="4">
        <v>0.17613599999999899</v>
      </c>
      <c r="E330" s="4">
        <v>0.27675341979871398</v>
      </c>
      <c r="F330" s="4">
        <v>0.27674848406164998</v>
      </c>
      <c r="G330" s="4">
        <v>65.652190000000004</v>
      </c>
      <c r="H330" s="4">
        <v>-5.9221769498250101</v>
      </c>
      <c r="I330" s="4">
        <v>64.357979999999998</v>
      </c>
      <c r="J330" s="4">
        <v>65.033169999999998</v>
      </c>
      <c r="K330" s="4">
        <v>63.418590000000002</v>
      </c>
      <c r="L330" s="4">
        <v>-8.5479511493734002</v>
      </c>
    </row>
    <row r="331" spans="1:12" ht="15" customHeight="1" x14ac:dyDescent="0.2">
      <c r="A331" s="6">
        <v>45569</v>
      </c>
      <c r="B331" s="7">
        <v>63.643658000000002</v>
      </c>
      <c r="C331" s="8">
        <v>4708196.3</v>
      </c>
      <c r="D331" s="7"/>
      <c r="E331" s="7"/>
      <c r="F331" s="7"/>
      <c r="G331" s="7">
        <v>65.471000000000004</v>
      </c>
      <c r="H331" s="7">
        <v>-6.1818173480883702</v>
      </c>
      <c r="I331" s="7">
        <v>63.966576000000003</v>
      </c>
      <c r="J331" s="7">
        <v>64.494979999999998</v>
      </c>
      <c r="K331" s="7">
        <v>63.428379999999997</v>
      </c>
      <c r="L331" s="7">
        <v>-8.8003493015259107</v>
      </c>
    </row>
    <row r="332" spans="1:12" ht="15" customHeight="1" x14ac:dyDescent="0.2">
      <c r="A332" s="3">
        <v>45568</v>
      </c>
      <c r="B332" s="4">
        <v>63.643658000000002</v>
      </c>
      <c r="C332" s="5">
        <v>1771114</v>
      </c>
      <c r="D332" s="4">
        <v>4.8931000000003097E-2</v>
      </c>
      <c r="E332" s="4">
        <v>7.6941913753336699E-2</v>
      </c>
      <c r="F332" s="4">
        <v>7.6948168972923406E-2</v>
      </c>
      <c r="G332" s="4">
        <v>65.471000000000004</v>
      </c>
      <c r="H332" s="4">
        <v>-6.1818173480883702</v>
      </c>
      <c r="I332" s="4">
        <v>63.751297000000001</v>
      </c>
      <c r="J332" s="4">
        <v>64.964675999999997</v>
      </c>
      <c r="K332" s="4">
        <v>63.350093999999999</v>
      </c>
      <c r="L332" s="4">
        <v>-8.8003493015259107</v>
      </c>
    </row>
    <row r="333" spans="1:12" ht="15" customHeight="1" x14ac:dyDescent="0.2">
      <c r="A333" s="6">
        <v>45567</v>
      </c>
      <c r="B333" s="7">
        <v>63.594726999999999</v>
      </c>
      <c r="C333" s="8">
        <v>2339859.5999999898</v>
      </c>
      <c r="D333" s="7">
        <v>0.56754000000000104</v>
      </c>
      <c r="E333" s="7">
        <v>0.90046855494281197</v>
      </c>
      <c r="F333" s="7">
        <v>0.90046043275093801</v>
      </c>
      <c r="G333" s="7">
        <v>65.420659999999998</v>
      </c>
      <c r="H333" s="7">
        <v>-6.2539532145742598</v>
      </c>
      <c r="I333" s="7">
        <v>63.340316999999999</v>
      </c>
      <c r="J333" s="7">
        <v>65.238659999999996</v>
      </c>
      <c r="K333" s="7">
        <v>63.144604000000001</v>
      </c>
      <c r="L333" s="7">
        <v>-8.8704661088962204</v>
      </c>
    </row>
    <row r="334" spans="1:12" ht="15" customHeight="1" x14ac:dyDescent="0.2">
      <c r="A334" s="3">
        <v>45565</v>
      </c>
      <c r="B334" s="4">
        <v>63.027186999999998</v>
      </c>
      <c r="C334" s="5">
        <v>1607410.5</v>
      </c>
      <c r="D334" s="4">
        <v>-0.61647100000000399</v>
      </c>
      <c r="E334" s="4">
        <v>-0.968629113053187</v>
      </c>
      <c r="F334" s="4">
        <v>-0.96862733118479005</v>
      </c>
      <c r="G334" s="4">
        <v>64.836830000000006</v>
      </c>
      <c r="H334" s="4">
        <v>-7.0905659068756597</v>
      </c>
      <c r="I334" s="4">
        <v>64.318849999999998</v>
      </c>
      <c r="J334" s="4">
        <v>64.318849999999998</v>
      </c>
      <c r="K334" s="4">
        <v>62.64555</v>
      </c>
      <c r="L334" s="4">
        <v>-9.6837356691941494</v>
      </c>
    </row>
    <row r="335" spans="1:12" ht="15" customHeight="1" x14ac:dyDescent="0.2">
      <c r="A335" s="6">
        <v>45562</v>
      </c>
      <c r="B335" s="7">
        <v>63.643658000000002</v>
      </c>
      <c r="C335" s="8">
        <v>1709774.2</v>
      </c>
      <c r="D335" s="7">
        <v>-0.440331999999997</v>
      </c>
      <c r="E335" s="7">
        <v>-0.68711701627816002</v>
      </c>
      <c r="F335" s="7">
        <v>-0.68710971138418098</v>
      </c>
      <c r="G335" s="7">
        <v>65.471000000000004</v>
      </c>
      <c r="H335" s="7">
        <v>-6.1818173480883702</v>
      </c>
      <c r="I335" s="7">
        <v>64.641754000000006</v>
      </c>
      <c r="J335" s="7">
        <v>64.700469999999996</v>
      </c>
      <c r="K335" s="7">
        <v>63.457732999999998</v>
      </c>
      <c r="L335" s="7">
        <v>-8.8003493015259107</v>
      </c>
    </row>
    <row r="336" spans="1:12" ht="15" customHeight="1" x14ac:dyDescent="0.2">
      <c r="A336" s="3">
        <v>45561</v>
      </c>
      <c r="B336" s="4">
        <v>64.08399</v>
      </c>
      <c r="C336" s="5">
        <v>2285316.4</v>
      </c>
      <c r="D336" s="4">
        <v>0.74367300000000103</v>
      </c>
      <c r="E336" s="4">
        <v>1.17409106114829</v>
      </c>
      <c r="F336" s="4">
        <v>1.1740827622298999</v>
      </c>
      <c r="G336" s="4">
        <v>65.923969999999997</v>
      </c>
      <c r="H336" s="4">
        <v>-5.53272351729556</v>
      </c>
      <c r="I336" s="4">
        <v>63.46752</v>
      </c>
      <c r="J336" s="4">
        <v>65.630070000000003</v>
      </c>
      <c r="K336" s="4">
        <v>63.46752</v>
      </c>
      <c r="L336" s="4">
        <v>-8.1693653849295398</v>
      </c>
    </row>
    <row r="337" spans="1:12" ht="15" customHeight="1" x14ac:dyDescent="0.2">
      <c r="A337" s="6">
        <v>45560</v>
      </c>
      <c r="B337" s="7">
        <v>63.340316999999999</v>
      </c>
      <c r="C337" s="8">
        <v>2209195.2999999998</v>
      </c>
      <c r="D337" s="7">
        <v>-7.8273000000002896E-2</v>
      </c>
      <c r="E337" s="7">
        <v>-0.12342280079075101</v>
      </c>
      <c r="F337" s="7">
        <v>-0.123422216642765</v>
      </c>
      <c r="G337" s="7">
        <v>65.158950000000004</v>
      </c>
      <c r="H337" s="7">
        <v>-6.6289766078603103</v>
      </c>
      <c r="I337" s="7">
        <v>63.301174000000003</v>
      </c>
      <c r="J337" s="7">
        <v>63.947000000000003</v>
      </c>
      <c r="K337" s="7">
        <v>62.86083</v>
      </c>
      <c r="L337" s="7">
        <v>-9.2350287984606503</v>
      </c>
    </row>
    <row r="338" spans="1:12" ht="15" customHeight="1" x14ac:dyDescent="0.2">
      <c r="A338" s="3">
        <v>45559</v>
      </c>
      <c r="B338" s="4">
        <v>63.418590000000002</v>
      </c>
      <c r="C338" s="5">
        <v>1807571.8</v>
      </c>
      <c r="D338" s="4">
        <v>2.93540000000049E-2</v>
      </c>
      <c r="E338" s="4">
        <v>4.6307546599866301E-2</v>
      </c>
      <c r="F338" s="4">
        <v>4.63062968620198E-2</v>
      </c>
      <c r="G338" s="4">
        <v>65.239469999999997</v>
      </c>
      <c r="H338" s="4">
        <v>-6.5135936128376102</v>
      </c>
      <c r="I338" s="4">
        <v>63.428379999999997</v>
      </c>
      <c r="J338" s="4">
        <v>64.583045999999996</v>
      </c>
      <c r="K338" s="4">
        <v>62.988045</v>
      </c>
      <c r="L338" s="4">
        <v>-9.12286569402184</v>
      </c>
    </row>
    <row r="339" spans="1:12" ht="15" customHeight="1" x14ac:dyDescent="0.2">
      <c r="A339" s="6">
        <v>45558</v>
      </c>
      <c r="B339" s="7">
        <v>63.389235999999997</v>
      </c>
      <c r="C339" s="8">
        <v>1998904.5</v>
      </c>
      <c r="D339" s="7">
        <v>0.12720599999999299</v>
      </c>
      <c r="E339" s="7">
        <v>0.20107796098227601</v>
      </c>
      <c r="F339" s="7">
        <v>0.20107895989782601</v>
      </c>
      <c r="G339" s="7">
        <v>65.209273999999994</v>
      </c>
      <c r="H339" s="7">
        <v>-6.5568636689442403</v>
      </c>
      <c r="I339" s="7">
        <v>63.575159999999997</v>
      </c>
      <c r="J339" s="7">
        <v>64.778750000000002</v>
      </c>
      <c r="K339" s="7">
        <v>62.851050000000001</v>
      </c>
      <c r="L339" s="7">
        <v>-9.1649291867677007</v>
      </c>
    </row>
    <row r="340" spans="1:12" ht="15" customHeight="1" x14ac:dyDescent="0.2">
      <c r="A340" s="3">
        <v>45555</v>
      </c>
      <c r="B340" s="4">
        <v>63.262030000000003</v>
      </c>
      <c r="C340" s="5">
        <v>8693294</v>
      </c>
      <c r="D340" s="4">
        <v>-0.99809999999999999</v>
      </c>
      <c r="E340" s="4">
        <v>-1.55321814630626</v>
      </c>
      <c r="F340" s="4">
        <v>-1.55321437037374</v>
      </c>
      <c r="G340" s="4">
        <v>65.078415000000007</v>
      </c>
      <c r="H340" s="4">
        <v>-6.7443810974797103</v>
      </c>
      <c r="I340" s="4">
        <v>64.592833999999996</v>
      </c>
      <c r="J340" s="4">
        <v>64.592833999999996</v>
      </c>
      <c r="K340" s="4">
        <v>62.723835000000001</v>
      </c>
      <c r="L340" s="4">
        <v>-9.3472119645230194</v>
      </c>
    </row>
    <row r="341" spans="1:12" ht="15" customHeight="1" x14ac:dyDescent="0.2">
      <c r="A341" s="6">
        <v>45554</v>
      </c>
      <c r="B341" s="7">
        <v>64.260130000000004</v>
      </c>
      <c r="C341" s="8">
        <v>2172011</v>
      </c>
      <c r="D341" s="7">
        <v>0.14678000000000599</v>
      </c>
      <c r="E341" s="7">
        <v>0.22893827884520301</v>
      </c>
      <c r="F341" s="7">
        <v>0.22893166134430001</v>
      </c>
      <c r="G341" s="7">
        <v>66.105170000000001</v>
      </c>
      <c r="H341" s="7">
        <v>-5.2730687893010799</v>
      </c>
      <c r="I341" s="7">
        <v>64.181849999999997</v>
      </c>
      <c r="J341" s="7">
        <v>64.759186</v>
      </c>
      <c r="K341" s="7">
        <v>62.753189999999996</v>
      </c>
      <c r="L341" s="7">
        <v>-7.91696150088457</v>
      </c>
    </row>
    <row r="342" spans="1:12" ht="15" customHeight="1" x14ac:dyDescent="0.2">
      <c r="A342" s="3">
        <v>45553</v>
      </c>
      <c r="B342" s="4">
        <v>64.113349999999997</v>
      </c>
      <c r="C342" s="5">
        <v>1565083.7</v>
      </c>
      <c r="D342" s="4">
        <v>0.469691999999994</v>
      </c>
      <c r="E342" s="4">
        <v>0.73800283446936399</v>
      </c>
      <c r="F342" s="4">
        <v>0.73800614012309296</v>
      </c>
      <c r="G342" s="4">
        <v>65.954179999999994</v>
      </c>
      <c r="H342" s="4">
        <v>-5.4894333995653604</v>
      </c>
      <c r="I342" s="4">
        <v>63.301174000000003</v>
      </c>
      <c r="J342" s="4">
        <v>64.494979999999998</v>
      </c>
      <c r="K342" s="4">
        <v>62.440063000000002</v>
      </c>
      <c r="L342" s="4">
        <v>-8.1272932943450105</v>
      </c>
    </row>
    <row r="343" spans="1:12" ht="15" customHeight="1" x14ac:dyDescent="0.2">
      <c r="A343" s="6">
        <v>45552</v>
      </c>
      <c r="B343" s="7">
        <v>63.643658000000002</v>
      </c>
      <c r="C343" s="8">
        <v>4117376</v>
      </c>
      <c r="D343" s="7">
        <v>0.86110299999999995</v>
      </c>
      <c r="E343" s="7">
        <v>1.3715641231867699</v>
      </c>
      <c r="F343" s="7">
        <v>1.3715608883927199</v>
      </c>
      <c r="G343" s="7">
        <v>65.471000000000004</v>
      </c>
      <c r="H343" s="7">
        <v>-6.1818173480883702</v>
      </c>
      <c r="I343" s="7">
        <v>62.195430000000002</v>
      </c>
      <c r="J343" s="7">
        <v>64.328630000000004</v>
      </c>
      <c r="K343" s="7">
        <v>62.195430000000002</v>
      </c>
      <c r="L343" s="7">
        <v>-8.8003493015259107</v>
      </c>
    </row>
    <row r="344" spans="1:12" ht="15" customHeight="1" x14ac:dyDescent="0.2">
      <c r="A344" s="3">
        <v>45548</v>
      </c>
      <c r="B344" s="4">
        <v>62.782555000000002</v>
      </c>
      <c r="C344" s="5">
        <v>2773576</v>
      </c>
      <c r="D344" s="4">
        <v>-2.1821209999999902</v>
      </c>
      <c r="E344" s="4">
        <v>-3.3589346308753898</v>
      </c>
      <c r="F344" s="4">
        <v>-3.35893562691576</v>
      </c>
      <c r="G344" s="4">
        <v>64.585175000000007</v>
      </c>
      <c r="H344" s="4">
        <v>-7.4511807555149998</v>
      </c>
      <c r="I344" s="4">
        <v>64.631969999999995</v>
      </c>
      <c r="J344" s="4">
        <v>64.827680000000001</v>
      </c>
      <c r="K344" s="4">
        <v>62.195430000000002</v>
      </c>
      <c r="L344" s="4">
        <v>-10.034286747664</v>
      </c>
    </row>
    <row r="345" spans="1:12" ht="15" customHeight="1" x14ac:dyDescent="0.2">
      <c r="A345" s="6">
        <v>45547</v>
      </c>
      <c r="B345" s="7">
        <v>64.964675999999997</v>
      </c>
      <c r="C345" s="8">
        <v>3717411</v>
      </c>
      <c r="D345" s="7">
        <v>2.3974039999999901</v>
      </c>
      <c r="E345" s="7">
        <v>3.8317221182345902</v>
      </c>
      <c r="F345" s="7">
        <v>3.8317244298067901</v>
      </c>
      <c r="G345" s="7">
        <v>66.829949999999997</v>
      </c>
      <c r="H345" s="7">
        <v>-4.2344785367854296</v>
      </c>
      <c r="I345" s="7">
        <v>62.224784999999997</v>
      </c>
      <c r="J345" s="7">
        <v>65.150599999999997</v>
      </c>
      <c r="K345" s="7">
        <v>62.224784999999997</v>
      </c>
      <c r="L345" s="7">
        <v>-6.9073660263283099</v>
      </c>
    </row>
    <row r="346" spans="1:12" ht="15" customHeight="1" x14ac:dyDescent="0.2">
      <c r="A346" s="3">
        <v>45546</v>
      </c>
      <c r="B346" s="4">
        <v>62.567272000000003</v>
      </c>
      <c r="C346" s="5">
        <v>2421168</v>
      </c>
      <c r="D346" s="4">
        <v>9.7850000000008208E-3</v>
      </c>
      <c r="E346" s="4">
        <v>1.56416129695191E-2</v>
      </c>
      <c r="F346" s="4">
        <v>1.56401397310101E-2</v>
      </c>
      <c r="G346" s="4">
        <v>64.363709999999998</v>
      </c>
      <c r="H346" s="4">
        <v>-7.7685341458864103</v>
      </c>
      <c r="I346" s="4">
        <v>62.762977999999997</v>
      </c>
      <c r="J346" s="4">
        <v>63.584949999999999</v>
      </c>
      <c r="K346" s="4">
        <v>62.019295</v>
      </c>
      <c r="L346" s="4">
        <v>-10.342781498253601</v>
      </c>
    </row>
    <row r="347" spans="1:12" ht="15" customHeight="1" x14ac:dyDescent="0.2">
      <c r="A347" s="6">
        <v>45545</v>
      </c>
      <c r="B347" s="7">
        <v>62.557487000000002</v>
      </c>
      <c r="C347" s="8">
        <v>1838358.8</v>
      </c>
      <c r="D347" s="7">
        <v>-0.29356299999999802</v>
      </c>
      <c r="E347" s="7">
        <v>-0.46707732010841102</v>
      </c>
      <c r="F347" s="7">
        <v>-0.46706682774571001</v>
      </c>
      <c r="G347" s="7">
        <v>64.353645</v>
      </c>
      <c r="H347" s="7">
        <v>-7.7829570202642504</v>
      </c>
      <c r="I347" s="7">
        <v>63.164180000000002</v>
      </c>
      <c r="J347" s="7">
        <v>63.164180000000002</v>
      </c>
      <c r="K347" s="7">
        <v>62.17586</v>
      </c>
      <c r="L347" s="7">
        <v>-10.356803140159901</v>
      </c>
    </row>
    <row r="348" spans="1:12" ht="15" customHeight="1" x14ac:dyDescent="0.2">
      <c r="A348" s="3">
        <v>45544</v>
      </c>
      <c r="B348" s="4">
        <v>62.851050000000001</v>
      </c>
      <c r="C348" s="5">
        <v>1223484</v>
      </c>
      <c r="D348" s="4">
        <v>0.195709999999998</v>
      </c>
      <c r="E348" s="4">
        <v>0.31235964883440298</v>
      </c>
      <c r="F348" s="4">
        <v>0.31236085102157501</v>
      </c>
      <c r="G348" s="4">
        <v>64.655630000000002</v>
      </c>
      <c r="H348" s="4">
        <v>-7.3502206348701398</v>
      </c>
      <c r="I348" s="4">
        <v>62.968468000000001</v>
      </c>
      <c r="J348" s="4">
        <v>64.054640000000006</v>
      </c>
      <c r="K348" s="4">
        <v>61.451748000000002</v>
      </c>
      <c r="L348" s="4">
        <v>-9.9361352543197707</v>
      </c>
    </row>
    <row r="349" spans="1:12" ht="15" customHeight="1" x14ac:dyDescent="0.2">
      <c r="A349" s="6">
        <v>45541</v>
      </c>
      <c r="B349" s="7">
        <v>62.655340000000002</v>
      </c>
      <c r="C349" s="8">
        <v>2854268.3</v>
      </c>
      <c r="D349" s="7">
        <v>0.57733300000000298</v>
      </c>
      <c r="E349" s="7">
        <v>0.93001213779302305</v>
      </c>
      <c r="F349" s="7">
        <v>0.93000678949772797</v>
      </c>
      <c r="G349" s="7">
        <v>64.454300000000003</v>
      </c>
      <c r="H349" s="7">
        <v>-7.6387211116202902</v>
      </c>
      <c r="I349" s="7">
        <v>61.764876999999998</v>
      </c>
      <c r="J349" s="7">
        <v>62.968468000000001</v>
      </c>
      <c r="K349" s="7">
        <v>61.265827000000002</v>
      </c>
      <c r="L349" s="7">
        <v>-10.2165824221773</v>
      </c>
    </row>
    <row r="350" spans="1:12" ht="15" customHeight="1" x14ac:dyDescent="0.2">
      <c r="A350" s="3">
        <v>45540</v>
      </c>
      <c r="B350" s="4">
        <v>62.078006999999999</v>
      </c>
      <c r="C350" s="5">
        <v>1766364.1</v>
      </c>
      <c r="D350" s="4"/>
      <c r="E350" s="4"/>
      <c r="F350" s="4"/>
      <c r="G350" s="4">
        <v>63.860393999999999</v>
      </c>
      <c r="H350" s="4">
        <v>-8.4897724410037796</v>
      </c>
      <c r="I350" s="4">
        <v>62.224784999999997</v>
      </c>
      <c r="J350" s="4">
        <v>62.567272000000003</v>
      </c>
      <c r="K350" s="4">
        <v>61.089689999999997</v>
      </c>
      <c r="L350" s="4">
        <v>-11.043885088166499</v>
      </c>
    </row>
    <row r="351" spans="1:12" ht="15" customHeight="1" x14ac:dyDescent="0.2">
      <c r="A351" s="6">
        <v>45539</v>
      </c>
      <c r="B351" s="7">
        <v>62.078006999999999</v>
      </c>
      <c r="C351" s="8">
        <v>1798059.4</v>
      </c>
      <c r="D351" s="7">
        <v>0.45990700000000101</v>
      </c>
      <c r="E351" s="7">
        <v>0.74638296214910504</v>
      </c>
      <c r="F351" s="7">
        <v>0.74638157309883102</v>
      </c>
      <c r="G351" s="7">
        <v>63.860393999999999</v>
      </c>
      <c r="H351" s="7">
        <v>-8.4897724410037796</v>
      </c>
      <c r="I351" s="7">
        <v>61.304969999999997</v>
      </c>
      <c r="J351" s="7">
        <v>62.831474</v>
      </c>
      <c r="K351" s="7">
        <v>61.216900000000003</v>
      </c>
      <c r="L351" s="7">
        <v>-11.043885088166499</v>
      </c>
    </row>
    <row r="352" spans="1:12" ht="15" customHeight="1" x14ac:dyDescent="0.2">
      <c r="A352" s="3">
        <v>45538</v>
      </c>
      <c r="B352" s="4">
        <v>61.618099999999998</v>
      </c>
      <c r="C352" s="5">
        <v>1515897.7</v>
      </c>
      <c r="D352" s="4">
        <v>-1.585216</v>
      </c>
      <c r="E352" s="4">
        <v>-2.5081215675455999</v>
      </c>
      <c r="F352" s="4">
        <v>-2.5081158282143701</v>
      </c>
      <c r="G352" s="4">
        <v>63.387282999999996</v>
      </c>
      <c r="H352" s="4">
        <v>-9.1677277832565203</v>
      </c>
      <c r="I352" s="4">
        <v>62.919547999999999</v>
      </c>
      <c r="J352" s="4">
        <v>63.017400000000002</v>
      </c>
      <c r="K352" s="4">
        <v>61.207115000000002</v>
      </c>
      <c r="L352" s="4">
        <v>-11.702919453441099</v>
      </c>
    </row>
    <row r="353" spans="1:12" ht="15" customHeight="1" x14ac:dyDescent="0.2">
      <c r="A353" s="6">
        <v>45537</v>
      </c>
      <c r="B353" s="7">
        <v>63.203316000000001</v>
      </c>
      <c r="C353" s="8">
        <v>794394.9</v>
      </c>
      <c r="D353" s="7">
        <v>1.820066</v>
      </c>
      <c r="E353" s="7">
        <v>2.9650857522206699</v>
      </c>
      <c r="F353" s="7">
        <v>2.9650796435987998</v>
      </c>
      <c r="G353" s="7">
        <v>65.018010000000004</v>
      </c>
      <c r="H353" s="7">
        <v>-6.8309398383434301</v>
      </c>
      <c r="I353" s="7">
        <v>61.745303999999997</v>
      </c>
      <c r="J353" s="7">
        <v>63.800217000000004</v>
      </c>
      <c r="K353" s="7">
        <v>60.081806</v>
      </c>
      <c r="L353" s="7">
        <v>-9.4313475478534201</v>
      </c>
    </row>
    <row r="354" spans="1:12" ht="15" customHeight="1" x14ac:dyDescent="0.2">
      <c r="A354" s="3">
        <v>45534</v>
      </c>
      <c r="B354" s="4">
        <v>61.383249999999997</v>
      </c>
      <c r="C354" s="5">
        <v>4632630</v>
      </c>
      <c r="D354" s="4">
        <v>1.7515699999999901</v>
      </c>
      <c r="E354" s="4">
        <v>2.93731452811658</v>
      </c>
      <c r="F354" s="4">
        <v>2.93731252189504</v>
      </c>
      <c r="G354" s="4">
        <v>63.145690000000002</v>
      </c>
      <c r="H354" s="4">
        <v>-9.5139240564373608</v>
      </c>
      <c r="I354" s="4">
        <v>60.473216999999998</v>
      </c>
      <c r="J354" s="4">
        <v>61.510460000000002</v>
      </c>
      <c r="K354" s="4">
        <v>59.690390000000001</v>
      </c>
      <c r="L354" s="4">
        <v>-12.039453188924</v>
      </c>
    </row>
    <row r="355" spans="1:12" ht="15" customHeight="1" x14ac:dyDescent="0.2">
      <c r="A355" s="6">
        <v>45533</v>
      </c>
      <c r="B355" s="7">
        <v>59.631680000000003</v>
      </c>
      <c r="C355" s="8">
        <v>3826356</v>
      </c>
      <c r="D355" s="7">
        <v>-0.166349999999994</v>
      </c>
      <c r="E355" s="7">
        <v>-0.27818642186037101</v>
      </c>
      <c r="F355" s="7">
        <v>-0.278187628416948</v>
      </c>
      <c r="G355" s="7">
        <v>61.343829999999997</v>
      </c>
      <c r="H355" s="7">
        <v>-12.0959409890208</v>
      </c>
      <c r="I355" s="7">
        <v>59.837173</v>
      </c>
      <c r="J355" s="7">
        <v>61.295180000000002</v>
      </c>
      <c r="K355" s="7">
        <v>59.416404999999997</v>
      </c>
      <c r="L355" s="7">
        <v>-14.549405903677201</v>
      </c>
    </row>
    <row r="356" spans="1:12" ht="15" customHeight="1" x14ac:dyDescent="0.2">
      <c r="A356" s="3">
        <v>45532</v>
      </c>
      <c r="B356" s="4">
        <v>59.798029999999997</v>
      </c>
      <c r="C356" s="5">
        <v>3768608.2</v>
      </c>
      <c r="D356" s="4">
        <v>0.99810299999999996</v>
      </c>
      <c r="E356" s="4">
        <v>1.6974561890187301</v>
      </c>
      <c r="F356" s="4">
        <v>1.6974601688388899</v>
      </c>
      <c r="G356" s="4">
        <v>61.514957000000003</v>
      </c>
      <c r="H356" s="4">
        <v>-11.850720599189099</v>
      </c>
      <c r="I356" s="4">
        <v>59.250050000000002</v>
      </c>
      <c r="J356" s="4">
        <v>59.925240000000002</v>
      </c>
      <c r="K356" s="4">
        <v>58.711860000000001</v>
      </c>
      <c r="L356" s="4">
        <v>-14.311030826404201</v>
      </c>
    </row>
    <row r="357" spans="1:12" ht="15" customHeight="1" x14ac:dyDescent="0.2">
      <c r="A357" s="6">
        <v>45531</v>
      </c>
      <c r="B357" s="7">
        <v>58.799926999999997</v>
      </c>
      <c r="C357" s="8">
        <v>5607977.5</v>
      </c>
      <c r="D357" s="7">
        <v>-2.7692410000000001</v>
      </c>
      <c r="E357" s="7">
        <v>-4.4977723265644904</v>
      </c>
      <c r="F357" s="7">
        <v>-4.4977789426235404</v>
      </c>
      <c r="G357" s="7">
        <v>60.488194</v>
      </c>
      <c r="H357" s="7">
        <v>-13.3220443711526</v>
      </c>
      <c r="I357" s="7">
        <v>61.764876999999998</v>
      </c>
      <c r="J357" s="7">
        <v>61.764876999999998</v>
      </c>
      <c r="K357" s="7">
        <v>58.711860000000001</v>
      </c>
      <c r="L357" s="7">
        <v>-15.741285588961899</v>
      </c>
    </row>
    <row r="358" spans="1:12" ht="15" customHeight="1" x14ac:dyDescent="0.2">
      <c r="A358" s="3">
        <v>45530</v>
      </c>
      <c r="B358" s="4">
        <v>61.569167999999998</v>
      </c>
      <c r="C358" s="5">
        <v>2029654.7</v>
      </c>
      <c r="D358" s="4">
        <v>-2.289768</v>
      </c>
      <c r="E358" s="4">
        <v>-3.5856657555334102</v>
      </c>
      <c r="F358" s="4">
        <v>-3.5856626468243</v>
      </c>
      <c r="G358" s="4">
        <v>63.336950000000002</v>
      </c>
      <c r="H358" s="4">
        <v>-9.23985361893061</v>
      </c>
      <c r="I358" s="4">
        <v>64.563479999999998</v>
      </c>
      <c r="J358" s="4">
        <v>64.563479999999998</v>
      </c>
      <c r="K358" s="4">
        <v>61.060336999999997</v>
      </c>
      <c r="L358" s="4">
        <v>-11.7730376937845</v>
      </c>
    </row>
    <row r="359" spans="1:12" ht="15" customHeight="1" x14ac:dyDescent="0.2">
      <c r="A359" s="6">
        <v>45527</v>
      </c>
      <c r="B359" s="7">
        <v>63.858936</v>
      </c>
      <c r="C359" s="8">
        <v>2306694.5999999898</v>
      </c>
      <c r="D359" s="7">
        <v>0.17613599999999899</v>
      </c>
      <c r="E359" s="7">
        <v>0.27658331606021902</v>
      </c>
      <c r="F359" s="7">
        <v>0.27657836582925999</v>
      </c>
      <c r="G359" s="7">
        <v>65.692459999999997</v>
      </c>
      <c r="H359" s="7">
        <v>-5.8644711225825397</v>
      </c>
      <c r="I359" s="7">
        <v>63.947000000000003</v>
      </c>
      <c r="J359" s="7">
        <v>65.835560000000001</v>
      </c>
      <c r="K359" s="7">
        <v>63.604514999999999</v>
      </c>
      <c r="L359" s="7">
        <v>-8.4918617158018801</v>
      </c>
    </row>
    <row r="360" spans="1:12" ht="15" customHeight="1" x14ac:dyDescent="0.2">
      <c r="A360" s="3">
        <v>45526</v>
      </c>
      <c r="B360" s="4">
        <v>63.6828</v>
      </c>
      <c r="C360" s="5">
        <v>2370968.2999999998</v>
      </c>
      <c r="D360" s="4">
        <v>-1.311226</v>
      </c>
      <c r="E360" s="4">
        <v>-2.0174561889734299</v>
      </c>
      <c r="F360" s="4">
        <v>-2.0174501578967701</v>
      </c>
      <c r="G360" s="4">
        <v>65.511269999999996</v>
      </c>
      <c r="H360" s="4">
        <v>-6.1241115208458998</v>
      </c>
      <c r="I360" s="4">
        <v>64.710250000000002</v>
      </c>
      <c r="J360" s="4">
        <v>64.94511</v>
      </c>
      <c r="K360" s="4">
        <v>63.545807000000003</v>
      </c>
      <c r="L360" s="4">
        <v>-8.7442598679543995</v>
      </c>
    </row>
    <row r="361" spans="1:12" ht="15" customHeight="1" x14ac:dyDescent="0.2">
      <c r="A361" s="6">
        <v>45525</v>
      </c>
      <c r="B361" s="7">
        <v>64.994026000000005</v>
      </c>
      <c r="C361" s="8">
        <v>2546617.2000000002</v>
      </c>
      <c r="D361" s="7">
        <v>-1.44822399999999</v>
      </c>
      <c r="E361" s="7">
        <v>-2.1796733253313798</v>
      </c>
      <c r="F361" s="7">
        <v>-2.1796725659398901</v>
      </c>
      <c r="G361" s="7">
        <v>66.860140000000001</v>
      </c>
      <c r="H361" s="7">
        <v>-4.1912170785174698</v>
      </c>
      <c r="I361" s="7">
        <v>66.774956000000003</v>
      </c>
      <c r="J361" s="7">
        <v>66.872799999999998</v>
      </c>
      <c r="K361" s="7">
        <v>64.827680000000001</v>
      </c>
      <c r="L361" s="7">
        <v>-6.8653082654748898</v>
      </c>
    </row>
    <row r="362" spans="1:12" ht="15" customHeight="1" x14ac:dyDescent="0.2">
      <c r="A362" s="3">
        <v>45524</v>
      </c>
      <c r="B362" s="4">
        <v>66.442250000000001</v>
      </c>
      <c r="C362" s="5">
        <v>6576083</v>
      </c>
      <c r="D362" s="4">
        <v>-0.88069000000000097</v>
      </c>
      <c r="E362" s="4">
        <v>-1.30815736805315</v>
      </c>
      <c r="F362" s="4">
        <v>-1.30815531726384</v>
      </c>
      <c r="G362" s="4">
        <v>68.349945000000005</v>
      </c>
      <c r="H362" s="4">
        <v>-2.05636657057148</v>
      </c>
      <c r="I362" s="4">
        <v>67.508849999999995</v>
      </c>
      <c r="J362" s="4">
        <v>67.557784999999996</v>
      </c>
      <c r="K362" s="4">
        <v>66.060630000000003</v>
      </c>
      <c r="L362" s="4">
        <v>-4.7900422125219499</v>
      </c>
    </row>
    <row r="363" spans="1:12" ht="15" customHeight="1" x14ac:dyDescent="0.2">
      <c r="A363" s="6">
        <v>45523</v>
      </c>
      <c r="B363" s="7">
        <v>67.322940000000003</v>
      </c>
      <c r="C363" s="8">
        <v>2332084.5</v>
      </c>
      <c r="D363" s="7">
        <v>-0.68496399999999302</v>
      </c>
      <c r="E363" s="7">
        <v>-1.0071829297959101</v>
      </c>
      <c r="F363" s="7">
        <v>-2.4742663309518201E-2</v>
      </c>
      <c r="G363" s="7">
        <v>69.255920000000003</v>
      </c>
      <c r="H363" s="7">
        <v>-0.758128754926921</v>
      </c>
      <c r="I363" s="7">
        <v>69.015789999999996</v>
      </c>
      <c r="J363" s="7">
        <v>69.593124000000003</v>
      </c>
      <c r="K363" s="7">
        <v>67.176154999999994</v>
      </c>
      <c r="L363" s="7">
        <v>-3.5280371220282598</v>
      </c>
    </row>
    <row r="364" spans="1:12" ht="15" customHeight="1" x14ac:dyDescent="0.2">
      <c r="A364" s="3">
        <v>45520</v>
      </c>
      <c r="B364" s="4">
        <v>68.007903999999996</v>
      </c>
      <c r="C364" s="5">
        <v>3044546.1</v>
      </c>
      <c r="D364" s="4">
        <v>-0.82196100000000105</v>
      </c>
      <c r="E364" s="4">
        <v>-1.1941923756497199</v>
      </c>
      <c r="F364" s="4">
        <v>-1.19420364933436</v>
      </c>
      <c r="G364" s="4">
        <v>69.273060000000001</v>
      </c>
      <c r="H364" s="4">
        <v>-0.73356759577777797</v>
      </c>
      <c r="I364" s="4">
        <v>69.172355999999994</v>
      </c>
      <c r="J364" s="4">
        <v>69.172355999999994</v>
      </c>
      <c r="K364" s="4">
        <v>67.557784999999996</v>
      </c>
      <c r="L364" s="4">
        <v>-2.5465021269619998</v>
      </c>
    </row>
    <row r="365" spans="1:12" ht="15" customHeight="1" x14ac:dyDescent="0.2">
      <c r="A365" s="6">
        <v>45519</v>
      </c>
      <c r="B365" s="7">
        <v>68.829864999999998</v>
      </c>
      <c r="C365" s="8">
        <v>2796968</v>
      </c>
      <c r="D365" s="7">
        <v>2.93509999999912E-2</v>
      </c>
      <c r="E365" s="7">
        <v>4.26610184917963E-2</v>
      </c>
      <c r="F365" s="7">
        <v>4.2665269414765498E-2</v>
      </c>
      <c r="G365" s="7">
        <v>70.110320000000002</v>
      </c>
      <c r="H365" s="7">
        <v>0.466203472437761</v>
      </c>
      <c r="I365" s="7">
        <v>68.800514000000007</v>
      </c>
      <c r="J365" s="7">
        <v>71.002205000000004</v>
      </c>
      <c r="K365" s="7">
        <v>68.634159999999994</v>
      </c>
      <c r="L365" s="7">
        <v>-1.3686541143953901</v>
      </c>
    </row>
    <row r="366" spans="1:12" ht="15" customHeight="1" x14ac:dyDescent="0.2">
      <c r="A366" s="3">
        <v>45518</v>
      </c>
      <c r="B366" s="4">
        <v>68.800514000000007</v>
      </c>
      <c r="C366" s="5">
        <v>2410801.5</v>
      </c>
      <c r="D366" s="4">
        <v>0.117423999999999</v>
      </c>
      <c r="E366" s="4">
        <v>0.17096493474595401</v>
      </c>
      <c r="F366" s="4">
        <v>0.17095998667255799</v>
      </c>
      <c r="G366" s="4">
        <v>70.080420000000004</v>
      </c>
      <c r="H366" s="4">
        <v>0.42335757637244997</v>
      </c>
      <c r="I366" s="4">
        <v>68.869010000000003</v>
      </c>
      <c r="J366" s="4">
        <v>70.209599999999995</v>
      </c>
      <c r="K366" s="4">
        <v>67.52843</v>
      </c>
      <c r="L366" s="4">
        <v>-1.4107133082219001</v>
      </c>
    </row>
    <row r="367" spans="1:12" ht="15" customHeight="1" x14ac:dyDescent="0.2">
      <c r="A367" s="6">
        <v>45517</v>
      </c>
      <c r="B367" s="7">
        <v>68.683090000000007</v>
      </c>
      <c r="C367" s="8">
        <v>4369926</v>
      </c>
      <c r="D367" s="7">
        <v>1.8396399999999999</v>
      </c>
      <c r="E367" s="7">
        <v>2.7521619545370601</v>
      </c>
      <c r="F367" s="7">
        <v>2.75216469529036</v>
      </c>
      <c r="G367" s="7">
        <v>69.960814999999997</v>
      </c>
      <c r="H367" s="7">
        <v>0.25196682724562203</v>
      </c>
      <c r="I367" s="7">
        <v>67.009799999999998</v>
      </c>
      <c r="J367" s="7">
        <v>68.869010000000003</v>
      </c>
      <c r="K367" s="7">
        <v>67.009799999999998</v>
      </c>
      <c r="L367" s="7">
        <v>-1.57897874299025</v>
      </c>
    </row>
    <row r="368" spans="1:12" ht="15" customHeight="1" x14ac:dyDescent="0.2">
      <c r="A368" s="3">
        <v>45516</v>
      </c>
      <c r="B368" s="4">
        <v>66.843450000000004</v>
      </c>
      <c r="C368" s="5">
        <v>3114207</v>
      </c>
      <c r="D368" s="4">
        <v>4.8925000000011203E-2</v>
      </c>
      <c r="E368" s="4">
        <v>7.3247021368905096E-2</v>
      </c>
      <c r="F368" s="4">
        <v>7.3239431651428405E-2</v>
      </c>
      <c r="G368" s="4">
        <v>68.086950000000002</v>
      </c>
      <c r="H368" s="4">
        <v>-2.4332313343071799</v>
      </c>
      <c r="I368" s="4">
        <v>66.833669999999998</v>
      </c>
      <c r="J368" s="4">
        <v>67.949196000000001</v>
      </c>
      <c r="K368" s="4">
        <v>65.571365</v>
      </c>
      <c r="L368" s="4">
        <v>-4.2151333997659597</v>
      </c>
    </row>
    <row r="369" spans="1:12" ht="15" customHeight="1" x14ac:dyDescent="0.2">
      <c r="A369" s="6">
        <v>45513</v>
      </c>
      <c r="B369" s="7">
        <v>66.794524999999993</v>
      </c>
      <c r="C369" s="8">
        <v>5324787</v>
      </c>
      <c r="D369" s="7">
        <v>-0.82196500000000505</v>
      </c>
      <c r="E369" s="7">
        <v>-1.2156280220993401</v>
      </c>
      <c r="F369" s="7">
        <v>-1.21562484183159</v>
      </c>
      <c r="G369" s="7">
        <v>68.037120000000002</v>
      </c>
      <c r="H369" s="7">
        <v>-2.5046363845056598</v>
      </c>
      <c r="I369" s="7">
        <v>66.540109999999999</v>
      </c>
      <c r="J369" s="7">
        <v>68.007903999999996</v>
      </c>
      <c r="K369" s="7">
        <v>66.344406000000006</v>
      </c>
      <c r="L369" s="7">
        <v>-4.2852416092976</v>
      </c>
    </row>
    <row r="370" spans="1:12" ht="15" customHeight="1" x14ac:dyDescent="0.2">
      <c r="A370" s="3">
        <v>45512</v>
      </c>
      <c r="B370" s="4">
        <v>67.616489999999999</v>
      </c>
      <c r="C370" s="5">
        <v>35635710</v>
      </c>
      <c r="D370" s="4">
        <v>1.52651</v>
      </c>
      <c r="E370" s="4">
        <v>2.3097449870615701</v>
      </c>
      <c r="F370" s="4">
        <v>2.30974500005689</v>
      </c>
      <c r="G370" s="4">
        <v>68.874374000000003</v>
      </c>
      <c r="H370" s="4">
        <v>-1.3048739141287999</v>
      </c>
      <c r="I370" s="4">
        <v>66.412899999999993</v>
      </c>
      <c r="J370" s="4">
        <v>68.497169999999997</v>
      </c>
      <c r="K370" s="4">
        <v>65.287589999999994</v>
      </c>
      <c r="L370" s="4">
        <v>-3.10738786483854</v>
      </c>
    </row>
    <row r="371" spans="1:12" ht="15" customHeight="1" x14ac:dyDescent="0.2">
      <c r="A371" s="6">
        <v>45511</v>
      </c>
      <c r="B371" s="7">
        <v>66.089979999999997</v>
      </c>
      <c r="C371" s="8">
        <v>11484082</v>
      </c>
      <c r="D371" s="7">
        <v>4.3642399999999899</v>
      </c>
      <c r="E371" s="7">
        <v>7.07037291087964</v>
      </c>
      <c r="F371" s="7">
        <v>7.0703850222420996</v>
      </c>
      <c r="G371" s="7">
        <v>67.319466000000006</v>
      </c>
      <c r="H371" s="7">
        <v>-3.5330152706212599</v>
      </c>
      <c r="I371" s="7">
        <v>61.63767</v>
      </c>
      <c r="J371" s="7">
        <v>68.800514000000007</v>
      </c>
      <c r="K371" s="7">
        <v>61.578957000000003</v>
      </c>
      <c r="L371" s="7">
        <v>-5.2948356508807501</v>
      </c>
    </row>
    <row r="372" spans="1:12" ht="15" customHeight="1" x14ac:dyDescent="0.2">
      <c r="A372" s="3">
        <v>45510</v>
      </c>
      <c r="B372" s="4">
        <v>61.725740000000002</v>
      </c>
      <c r="C372" s="5">
        <v>2916070</v>
      </c>
      <c r="D372" s="4">
        <v>1.17424</v>
      </c>
      <c r="E372" s="4">
        <v>1.9392418024326501</v>
      </c>
      <c r="F372" s="4">
        <v>1.93923766724535</v>
      </c>
      <c r="G372" s="4">
        <v>62.874029999999998</v>
      </c>
      <c r="H372" s="4">
        <v>-9.9032055321933203</v>
      </c>
      <c r="I372" s="4">
        <v>61.001620000000003</v>
      </c>
      <c r="J372" s="4">
        <v>61.911655000000003</v>
      </c>
      <c r="K372" s="4">
        <v>60.52214</v>
      </c>
      <c r="L372" s="4">
        <v>-11.548674227606</v>
      </c>
    </row>
    <row r="373" spans="1:12" ht="15" customHeight="1" x14ac:dyDescent="0.2">
      <c r="A373" s="6">
        <v>45509</v>
      </c>
      <c r="B373" s="7">
        <v>60.551499999999997</v>
      </c>
      <c r="C373" s="8">
        <v>2141879</v>
      </c>
      <c r="D373" s="7">
        <v>0.44033999999999901</v>
      </c>
      <c r="E373" s="7">
        <v>0.73254284229418098</v>
      </c>
      <c r="F373" s="7">
        <v>0.73254332525398702</v>
      </c>
      <c r="G373" s="7">
        <v>61.677948000000001</v>
      </c>
      <c r="H373" s="7">
        <v>-11.617158878601099</v>
      </c>
      <c r="I373" s="7">
        <v>59.856740000000002</v>
      </c>
      <c r="J373" s="7">
        <v>60.982050000000001</v>
      </c>
      <c r="K373" s="7">
        <v>58.61401</v>
      </c>
      <c r="L373" s="7">
        <v>-13.2313285752894</v>
      </c>
    </row>
    <row r="374" spans="1:12" ht="15" customHeight="1" x14ac:dyDescent="0.2">
      <c r="A374" s="3">
        <v>45506</v>
      </c>
      <c r="B374" s="4">
        <v>60.111159999999998</v>
      </c>
      <c r="C374" s="5">
        <v>3499417</v>
      </c>
      <c r="D374" s="4">
        <v>-0.78282600000000002</v>
      </c>
      <c r="E374" s="4">
        <v>-1.2855555226750901</v>
      </c>
      <c r="F374" s="4">
        <v>-1.28555708639906</v>
      </c>
      <c r="G374" s="4">
        <v>61.229416000000001</v>
      </c>
      <c r="H374" s="4">
        <v>-12.2598931747204</v>
      </c>
      <c r="I374" s="4">
        <v>60.864628000000003</v>
      </c>
      <c r="J374" s="4">
        <v>62.283499999999997</v>
      </c>
      <c r="K374" s="4">
        <v>59.905670000000001</v>
      </c>
      <c r="L374" s="4">
        <v>-13.8623239556706</v>
      </c>
    </row>
    <row r="375" spans="1:12" ht="15" customHeight="1" x14ac:dyDescent="0.2">
      <c r="A375" s="6">
        <v>45505</v>
      </c>
      <c r="B375" s="7">
        <v>60.893985999999998</v>
      </c>
      <c r="C375" s="8">
        <v>1274325.3999999999</v>
      </c>
      <c r="D375" s="7">
        <v>2.9357999999994801E-2</v>
      </c>
      <c r="E375" s="7">
        <v>4.8234912402644797E-2</v>
      </c>
      <c r="F375" s="7">
        <v>4.8234668241975399E-2</v>
      </c>
      <c r="G375" s="7">
        <v>62.026806000000001</v>
      </c>
      <c r="H375" s="7">
        <v>-11.117254744502301</v>
      </c>
      <c r="I375" s="7">
        <v>61.177757</v>
      </c>
      <c r="J375" s="7">
        <v>61.412604999999999</v>
      </c>
      <c r="K375" s="7">
        <v>60.404716000000001</v>
      </c>
      <c r="L375" s="7">
        <v>-12.7405553458638</v>
      </c>
    </row>
    <row r="376" spans="1:12" ht="15" customHeight="1" x14ac:dyDescent="0.2">
      <c r="A376" s="3">
        <v>45504</v>
      </c>
      <c r="B376" s="4">
        <v>60.864628000000003</v>
      </c>
      <c r="C376" s="5">
        <v>1758870.1</v>
      </c>
      <c r="D376" s="4">
        <v>2.9453779999999998</v>
      </c>
      <c r="E376" s="4">
        <v>5.0853179210711597</v>
      </c>
      <c r="F376" s="4">
        <v>5.0853191354842897</v>
      </c>
      <c r="G376" s="4">
        <v>61.996901999999999</v>
      </c>
      <c r="H376" s="4">
        <v>-11.16010637246</v>
      </c>
      <c r="I376" s="4">
        <v>58.516150000000003</v>
      </c>
      <c r="J376" s="4">
        <v>61.03098</v>
      </c>
      <c r="K376" s="4">
        <v>58.506369999999997</v>
      </c>
      <c r="L376" s="4">
        <v>-12.782624570502101</v>
      </c>
    </row>
    <row r="377" spans="1:12" ht="15" customHeight="1" x14ac:dyDescent="0.2">
      <c r="A377" s="6">
        <v>45503</v>
      </c>
      <c r="B377" s="7">
        <v>57.919249999999998</v>
      </c>
      <c r="C377" s="8">
        <v>1671246</v>
      </c>
      <c r="D377" s="7">
        <v>-0.43055399999999999</v>
      </c>
      <c r="E377" s="7">
        <v>-0.73788422665481601</v>
      </c>
      <c r="F377" s="7">
        <v>-0.73788646964737503</v>
      </c>
      <c r="G377" s="7">
        <v>58.996729999999999</v>
      </c>
      <c r="H377" s="7">
        <v>-15.459272181492301</v>
      </c>
      <c r="I377" s="7">
        <v>58.574866999999998</v>
      </c>
      <c r="J377" s="7">
        <v>58.574866999999998</v>
      </c>
      <c r="K377" s="7">
        <v>56.862439999999999</v>
      </c>
      <c r="L377" s="7">
        <v>-17.003272050805201</v>
      </c>
    </row>
    <row r="378" spans="1:12" ht="15" customHeight="1" x14ac:dyDescent="0.2">
      <c r="A378" s="3">
        <v>45502</v>
      </c>
      <c r="B378" s="4">
        <v>58.349803999999999</v>
      </c>
      <c r="C378" s="5">
        <v>1106641.5</v>
      </c>
      <c r="D378" s="4">
        <v>6.8497000000000696E-2</v>
      </c>
      <c r="E378" s="4">
        <v>0.11752824966673101</v>
      </c>
      <c r="F378" s="4">
        <v>0.117527809575146</v>
      </c>
      <c r="G378" s="4">
        <v>59.435295000000004</v>
      </c>
      <c r="H378" s="4">
        <v>-14.8308203283858</v>
      </c>
      <c r="I378" s="4">
        <v>58.095387000000002</v>
      </c>
      <c r="J378" s="4">
        <v>58.653149999999997</v>
      </c>
      <c r="K378" s="4">
        <v>57.635480000000001</v>
      </c>
      <c r="L378" s="4">
        <v>-16.386299745303301</v>
      </c>
    </row>
    <row r="379" spans="1:12" ht="15" customHeight="1" x14ac:dyDescent="0.2">
      <c r="A379" s="6">
        <v>45499</v>
      </c>
      <c r="B379" s="7">
        <v>58.281306999999998</v>
      </c>
      <c r="C379" s="8">
        <v>1714571.2</v>
      </c>
      <c r="D379" s="7">
        <v>7.8285000000001007E-2</v>
      </c>
      <c r="E379" s="7">
        <v>0.134503325274071</v>
      </c>
      <c r="F379" s="7">
        <v>0.13450780271424501</v>
      </c>
      <c r="G379" s="7">
        <v>59.365524000000001</v>
      </c>
      <c r="H379" s="7">
        <v>-14.930800295421699</v>
      </c>
      <c r="I379" s="7">
        <v>58.222594999999998</v>
      </c>
      <c r="J379" s="7">
        <v>58.535724999999999</v>
      </c>
      <c r="K379" s="7">
        <v>56.608016999999997</v>
      </c>
      <c r="L379" s="7">
        <v>-16.484454104593802</v>
      </c>
    </row>
    <row r="380" spans="1:12" ht="15" customHeight="1" x14ac:dyDescent="0.2">
      <c r="A380" s="3">
        <v>45498</v>
      </c>
      <c r="B380" s="4">
        <v>58.203021999999997</v>
      </c>
      <c r="C380" s="5">
        <v>2383205</v>
      </c>
      <c r="D380" s="4">
        <v>-0.67518800000000501</v>
      </c>
      <c r="E380" s="4">
        <v>-1.14675361224467</v>
      </c>
      <c r="F380" s="4">
        <v>-1.14675591048249</v>
      </c>
      <c r="G380" s="4">
        <v>59.285780000000003</v>
      </c>
      <c r="H380" s="4">
        <v>-15.045071303309101</v>
      </c>
      <c r="I380" s="4">
        <v>58.927140000000001</v>
      </c>
      <c r="J380" s="4">
        <v>59.171771999999997</v>
      </c>
      <c r="K380" s="4">
        <v>57.831180000000003</v>
      </c>
      <c r="L380" s="4">
        <v>-16.596634404709999</v>
      </c>
    </row>
    <row r="381" spans="1:12" ht="15" customHeight="1" x14ac:dyDescent="0.2">
      <c r="A381" s="6">
        <v>45497</v>
      </c>
      <c r="B381" s="7">
        <v>58.878210000000003</v>
      </c>
      <c r="C381" s="8">
        <v>2380843.2999999998</v>
      </c>
      <c r="D381" s="7">
        <v>-1.51672599999999</v>
      </c>
      <c r="E381" s="7">
        <v>-2.51134631552552</v>
      </c>
      <c r="F381" s="7">
        <v>-2.5113433412761998</v>
      </c>
      <c r="G381" s="7">
        <v>59.973529999999997</v>
      </c>
      <c r="H381" s="7">
        <v>-14.059544045151201</v>
      </c>
      <c r="I381" s="7">
        <v>61.128833999999998</v>
      </c>
      <c r="J381" s="7">
        <v>61.128833999999998</v>
      </c>
      <c r="K381" s="7">
        <v>57.743113999999998</v>
      </c>
      <c r="L381" s="7">
        <v>-15.629108154792</v>
      </c>
    </row>
    <row r="382" spans="1:12" ht="15" customHeight="1" x14ac:dyDescent="0.2">
      <c r="A382" s="3">
        <v>45496</v>
      </c>
      <c r="B382" s="4">
        <v>60.394936000000001</v>
      </c>
      <c r="C382" s="5">
        <v>2358887</v>
      </c>
      <c r="D382" s="4">
        <v>-0.35227199999999897</v>
      </c>
      <c r="E382" s="4">
        <v>-0.57989825639393999</v>
      </c>
      <c r="F382" s="4">
        <v>-0.57989928971686699</v>
      </c>
      <c r="G382" s="4">
        <v>61.518470000000001</v>
      </c>
      <c r="H382" s="4">
        <v>-11.8456865646447</v>
      </c>
      <c r="I382" s="4">
        <v>60.766773000000001</v>
      </c>
      <c r="J382" s="4">
        <v>60.845059999999997</v>
      </c>
      <c r="K382" s="4">
        <v>59.749104000000003</v>
      </c>
      <c r="L382" s="4">
        <v>-13.455680577682999</v>
      </c>
    </row>
    <row r="383" spans="1:12" ht="15" customHeight="1" x14ac:dyDescent="0.2">
      <c r="A383" s="6">
        <v>45495</v>
      </c>
      <c r="B383" s="7">
        <v>60.747208000000001</v>
      </c>
      <c r="C383" s="8">
        <v>1608597</v>
      </c>
      <c r="D383" s="7">
        <v>1.2427379999999999</v>
      </c>
      <c r="E383" s="7">
        <v>2.0884783949844499</v>
      </c>
      <c r="F383" s="7">
        <v>2.08847197384824</v>
      </c>
      <c r="G383" s="7">
        <v>61.877296000000001</v>
      </c>
      <c r="H383" s="7">
        <v>-11.33149855456</v>
      </c>
      <c r="I383" s="7">
        <v>59.680607000000002</v>
      </c>
      <c r="J383" s="7">
        <v>61.334324000000002</v>
      </c>
      <c r="K383" s="7">
        <v>59.504469999999998</v>
      </c>
      <c r="L383" s="7">
        <v>-12.950884273378</v>
      </c>
    </row>
    <row r="384" spans="1:12" ht="15" customHeight="1" x14ac:dyDescent="0.2">
      <c r="A384" s="3">
        <v>45492</v>
      </c>
      <c r="B384" s="4">
        <v>59.504469999999998</v>
      </c>
      <c r="C384" s="5">
        <v>2965324.5</v>
      </c>
      <c r="D384" s="4">
        <v>-0.33270300000000202</v>
      </c>
      <c r="E384" s="4">
        <v>-0.55601390125834504</v>
      </c>
      <c r="F384" s="4">
        <v>-0.55601008775456595</v>
      </c>
      <c r="G384" s="4">
        <v>60.611443000000001</v>
      </c>
      <c r="H384" s="4">
        <v>-13.1454318680036</v>
      </c>
      <c r="I384" s="4">
        <v>60.081806</v>
      </c>
      <c r="J384" s="4">
        <v>60.209009999999999</v>
      </c>
      <c r="K384" s="4">
        <v>58.682507000000001</v>
      </c>
      <c r="L384" s="4">
        <v>-14.731694413325</v>
      </c>
    </row>
    <row r="385" spans="1:12" ht="15" customHeight="1" x14ac:dyDescent="0.2">
      <c r="A385" s="6">
        <v>45491</v>
      </c>
      <c r="B385" s="7">
        <v>59.837173</v>
      </c>
      <c r="C385" s="8">
        <v>1636139.3</v>
      </c>
      <c r="D385" s="7">
        <v>-2.2114799999999999</v>
      </c>
      <c r="E385" s="7">
        <v>-3.5641063795534702</v>
      </c>
      <c r="F385" s="7">
        <v>-3.5641056201915098</v>
      </c>
      <c r="G385" s="7">
        <v>60.950333000000001</v>
      </c>
      <c r="H385" s="7">
        <v>-12.6598116098908</v>
      </c>
      <c r="I385" s="7">
        <v>62.126933999999999</v>
      </c>
      <c r="J385" s="7">
        <v>63.614303999999997</v>
      </c>
      <c r="K385" s="7">
        <v>59.524044000000004</v>
      </c>
      <c r="L385" s="7">
        <v>-14.254939959859501</v>
      </c>
    </row>
    <row r="386" spans="1:12" ht="15" customHeight="1" x14ac:dyDescent="0.2">
      <c r="A386" s="3">
        <v>45490</v>
      </c>
      <c r="B386" s="4">
        <v>62.048653000000002</v>
      </c>
      <c r="C386" s="5">
        <v>1880296.1</v>
      </c>
      <c r="D386" s="4">
        <v>-1.7515639999999999</v>
      </c>
      <c r="E386" s="4">
        <v>-2.7453887813578999</v>
      </c>
      <c r="F386" s="4">
        <v>-2.7453863920685699</v>
      </c>
      <c r="G386" s="4">
        <v>63.202953000000001</v>
      </c>
      <c r="H386" s="4">
        <v>-9.4318677170932794</v>
      </c>
      <c r="I386" s="4">
        <v>63.819794000000002</v>
      </c>
      <c r="J386" s="4">
        <v>63.819794000000002</v>
      </c>
      <c r="K386" s="4">
        <v>61.353892999999999</v>
      </c>
      <c r="L386" s="4">
        <v>-11.085948580912399</v>
      </c>
    </row>
    <row r="387" spans="1:12" ht="15" customHeight="1" x14ac:dyDescent="0.2">
      <c r="A387" s="6">
        <v>45489</v>
      </c>
      <c r="B387" s="7">
        <v>63.800217000000004</v>
      </c>
      <c r="C387" s="8">
        <v>955158.3</v>
      </c>
      <c r="D387" s="7">
        <v>0.11741700000000301</v>
      </c>
      <c r="E387" s="7">
        <v>0.18437788539449301</v>
      </c>
      <c r="F387" s="7">
        <v>0.18437584306469901</v>
      </c>
      <c r="G387" s="7">
        <v>64.987099999999998</v>
      </c>
      <c r="H387" s="7">
        <v>-6.8752330372524302</v>
      </c>
      <c r="I387" s="7">
        <v>63.604514999999999</v>
      </c>
      <c r="J387" s="7">
        <v>64.132919999999999</v>
      </c>
      <c r="K387" s="7">
        <v>63.418590000000002</v>
      </c>
      <c r="L387" s="7">
        <v>-8.5760044639978403</v>
      </c>
    </row>
    <row r="388" spans="1:12" ht="15" customHeight="1" x14ac:dyDescent="0.2">
      <c r="A388" s="3">
        <v>45488</v>
      </c>
      <c r="B388" s="4">
        <v>63.6828</v>
      </c>
      <c r="C388" s="5">
        <v>1295238.5</v>
      </c>
      <c r="D388" s="4">
        <v>-2.2995459999999999</v>
      </c>
      <c r="E388" s="4">
        <v>-3.4850928155843399</v>
      </c>
      <c r="F388" s="4">
        <v>-3.48508595916487</v>
      </c>
      <c r="G388" s="4">
        <v>64.867500000000007</v>
      </c>
      <c r="H388" s="4">
        <v>-7.0466166215136798</v>
      </c>
      <c r="I388" s="4">
        <v>65.943209999999993</v>
      </c>
      <c r="J388" s="4">
        <v>65.943209999999993</v>
      </c>
      <c r="K388" s="4">
        <v>63.350093999999999</v>
      </c>
      <c r="L388" s="4">
        <v>-8.7442598679543995</v>
      </c>
    </row>
    <row r="389" spans="1:12" ht="15" customHeight="1" x14ac:dyDescent="0.2">
      <c r="A389" s="6">
        <v>45485</v>
      </c>
      <c r="B389" s="7">
        <v>65.982346000000007</v>
      </c>
      <c r="C389" s="8">
        <v>3035397</v>
      </c>
      <c r="D389" s="7">
        <v>1.05681600000001</v>
      </c>
      <c r="E389" s="7">
        <v>1.62773565344789</v>
      </c>
      <c r="F389" s="7">
        <v>1.6277264043028199</v>
      </c>
      <c r="G389" s="7">
        <v>67.209819999999993</v>
      </c>
      <c r="H389" s="7">
        <v>-3.69013504052019</v>
      </c>
      <c r="I389" s="7">
        <v>64.91574</v>
      </c>
      <c r="J389" s="7">
        <v>67.09787</v>
      </c>
      <c r="K389" s="7">
        <v>64.397125000000003</v>
      </c>
      <c r="L389" s="7">
        <v>-5.4490722788771899</v>
      </c>
    </row>
    <row r="390" spans="1:12" ht="15" customHeight="1" x14ac:dyDescent="0.2">
      <c r="A390" s="3">
        <v>45484</v>
      </c>
      <c r="B390" s="4">
        <v>64.925529999999995</v>
      </c>
      <c r="C390" s="5">
        <v>3129014.6</v>
      </c>
      <c r="D390" s="4">
        <v>-0.21528000000000699</v>
      </c>
      <c r="E390" s="4">
        <v>-0.33048406981738199</v>
      </c>
      <c r="F390" s="4">
        <v>-0.33047672714707699</v>
      </c>
      <c r="G390" s="4">
        <v>66.133349999999993</v>
      </c>
      <c r="H390" s="4">
        <v>-5.2326876069893702</v>
      </c>
      <c r="I390" s="4">
        <v>65.170165999999995</v>
      </c>
      <c r="J390" s="4">
        <v>65.561580000000006</v>
      </c>
      <c r="K390" s="4">
        <v>64.710250000000002</v>
      </c>
      <c r="L390" s="4">
        <v>-6.9634611917922804</v>
      </c>
    </row>
    <row r="391" spans="1:12" ht="15" customHeight="1" x14ac:dyDescent="0.2">
      <c r="A391" s="6">
        <v>45483</v>
      </c>
      <c r="B391" s="7">
        <v>65.140810000000002</v>
      </c>
      <c r="C391" s="8">
        <v>2016683.0999999901</v>
      </c>
      <c r="D391" s="7">
        <v>1.1253150000000001</v>
      </c>
      <c r="E391" s="7">
        <v>1.7578790884925599</v>
      </c>
      <c r="F391" s="7">
        <v>1.75788013381514</v>
      </c>
      <c r="G391" s="7">
        <v>66.352630000000005</v>
      </c>
      <c r="H391" s="7">
        <v>-4.9184652628688799</v>
      </c>
      <c r="I391" s="7">
        <v>64.08399</v>
      </c>
      <c r="J391" s="7">
        <v>65.444149999999993</v>
      </c>
      <c r="K391" s="7">
        <v>63.956786999999998</v>
      </c>
      <c r="L391" s="7">
        <v>-6.6549707401220104</v>
      </c>
    </row>
    <row r="392" spans="1:12" ht="15" customHeight="1" x14ac:dyDescent="0.2">
      <c r="A392" s="3">
        <v>45482</v>
      </c>
      <c r="B392" s="4">
        <v>64.015495000000001</v>
      </c>
      <c r="C392" s="5">
        <v>4138428</v>
      </c>
      <c r="D392" s="4">
        <v>1.9374880000000001</v>
      </c>
      <c r="E392" s="4">
        <v>3.1210538057383199</v>
      </c>
      <c r="F392" s="4">
        <v>3.1210469026282799</v>
      </c>
      <c r="G392" s="4">
        <v>65.206379999999996</v>
      </c>
      <c r="H392" s="4">
        <v>-6.5610106931319701</v>
      </c>
      <c r="I392" s="4">
        <v>62.635773</v>
      </c>
      <c r="J392" s="4">
        <v>64.51455</v>
      </c>
      <c r="K392" s="4">
        <v>61.892085999999999</v>
      </c>
      <c r="L392" s="4">
        <v>-8.2675168782738098</v>
      </c>
    </row>
    <row r="393" spans="1:12" ht="15" customHeight="1" x14ac:dyDescent="0.2">
      <c r="A393" s="6">
        <v>45481</v>
      </c>
      <c r="B393" s="7">
        <v>62.078006999999999</v>
      </c>
      <c r="C393" s="8">
        <v>741559.6</v>
      </c>
      <c r="D393" s="7">
        <v>1.95730000000011E-2</v>
      </c>
      <c r="E393" s="7">
        <v>3.1539629246846099E-2</v>
      </c>
      <c r="F393" s="7">
        <v>3.1537857998231701E-2</v>
      </c>
      <c r="G393" s="7">
        <v>63.232852999999999</v>
      </c>
      <c r="H393" s="7">
        <v>-9.3890218210279706</v>
      </c>
      <c r="I393" s="7">
        <v>61.745303999999997</v>
      </c>
      <c r="J393" s="7">
        <v>62.674914999999999</v>
      </c>
      <c r="K393" s="7">
        <v>61.510460000000002</v>
      </c>
      <c r="L393" s="7">
        <v>-11.043885088166499</v>
      </c>
    </row>
    <row r="394" spans="1:12" ht="15" customHeight="1" x14ac:dyDescent="0.2">
      <c r="A394" s="3">
        <v>45478</v>
      </c>
      <c r="B394" s="4">
        <v>62.058433999999998</v>
      </c>
      <c r="C394" s="5">
        <v>796658.45</v>
      </c>
      <c r="D394" s="4">
        <v>1.5167199999999901</v>
      </c>
      <c r="E394" s="4">
        <v>2.5052478692624902</v>
      </c>
      <c r="F394" s="4">
        <v>2.5052498881915599</v>
      </c>
      <c r="G394" s="4">
        <v>63.212916999999997</v>
      </c>
      <c r="H394" s="4">
        <v>-9.4175895729998107</v>
      </c>
      <c r="I394" s="4">
        <v>60.766773000000001</v>
      </c>
      <c r="J394" s="4">
        <v>62.577057000000003</v>
      </c>
      <c r="K394" s="4">
        <v>59.827385</v>
      </c>
      <c r="L394" s="4">
        <v>-11.0719326708985</v>
      </c>
    </row>
    <row r="395" spans="1:12" ht="15" customHeight="1" x14ac:dyDescent="0.2">
      <c r="A395" s="6">
        <v>45477</v>
      </c>
      <c r="B395" s="7">
        <v>60.541713999999999</v>
      </c>
      <c r="C395" s="8">
        <v>107173.91</v>
      </c>
      <c r="D395" s="7">
        <v>-0.401195999999998</v>
      </c>
      <c r="E395" s="7">
        <v>-0.658314478255139</v>
      </c>
      <c r="F395" s="7">
        <v>-0.65831526964087395</v>
      </c>
      <c r="G395" s="7">
        <v>61.66798</v>
      </c>
      <c r="H395" s="7">
        <v>-11.631442754587001</v>
      </c>
      <c r="I395" s="7">
        <v>60.942909999999998</v>
      </c>
      <c r="J395" s="7">
        <v>61.011406000000001</v>
      </c>
      <c r="K395" s="7">
        <v>60.346004000000001</v>
      </c>
      <c r="L395" s="7">
        <v>-13.2453516501688</v>
      </c>
    </row>
    <row r="396" spans="1:12" ht="15" customHeight="1" x14ac:dyDescent="0.2">
      <c r="A396" s="3">
        <v>45476</v>
      </c>
      <c r="B396" s="4">
        <v>60.942909999999998</v>
      </c>
      <c r="C396" s="5">
        <v>971604.4</v>
      </c>
      <c r="D396" s="4">
        <v>1.7515700000000001</v>
      </c>
      <c r="E396" s="4">
        <v>2.9591659861053898</v>
      </c>
      <c r="F396" s="4">
        <v>2.9591579316097198</v>
      </c>
      <c r="G396" s="4">
        <v>62.076639999999998</v>
      </c>
      <c r="H396" s="4">
        <v>-11.0458439624114</v>
      </c>
      <c r="I396" s="4">
        <v>59.015205000000002</v>
      </c>
      <c r="J396" s="4">
        <v>61.216900000000003</v>
      </c>
      <c r="K396" s="4">
        <v>59.005417000000001</v>
      </c>
      <c r="L396" s="4">
        <v>-12.6704485693053</v>
      </c>
    </row>
    <row r="397" spans="1:12" ht="15" customHeight="1" x14ac:dyDescent="0.2">
      <c r="A397" s="6">
        <v>45475</v>
      </c>
      <c r="B397" s="7">
        <v>59.191339999999997</v>
      </c>
      <c r="C397" s="8">
        <v>1207470.1000000001</v>
      </c>
      <c r="D397" s="7">
        <v>-0.29356000000000598</v>
      </c>
      <c r="E397" s="7">
        <v>-0.49350339329814402</v>
      </c>
      <c r="F397" s="7">
        <v>-0.49349655554862198</v>
      </c>
      <c r="G397" s="7">
        <v>60.292490000000001</v>
      </c>
      <c r="H397" s="7">
        <v>-13.6024829411715</v>
      </c>
      <c r="I397" s="7">
        <v>59.475113</v>
      </c>
      <c r="J397" s="7">
        <v>60.101370000000003</v>
      </c>
      <c r="K397" s="7">
        <v>58.477012999999999</v>
      </c>
      <c r="L397" s="7">
        <v>-15.180401284058499</v>
      </c>
    </row>
    <row r="398" spans="1:12" ht="15" customHeight="1" x14ac:dyDescent="0.2">
      <c r="A398" s="3">
        <v>45474</v>
      </c>
      <c r="B398" s="4">
        <v>59.484900000000003</v>
      </c>
      <c r="C398" s="5">
        <v>1202000.7</v>
      </c>
      <c r="D398" s="4">
        <v>0.98831800000000603</v>
      </c>
      <c r="E398" s="4">
        <v>1.6895311934635699</v>
      </c>
      <c r="F398" s="4">
        <v>1.6895280600481799</v>
      </c>
      <c r="G398" s="4">
        <v>60.591507</v>
      </c>
      <c r="H398" s="4">
        <v>-13.173999619975501</v>
      </c>
      <c r="I398" s="4">
        <v>59.318550000000002</v>
      </c>
      <c r="J398" s="4">
        <v>60.05245</v>
      </c>
      <c r="K398" s="4">
        <v>58.477012999999999</v>
      </c>
      <c r="L398" s="4">
        <v>-14.7597376971376</v>
      </c>
    </row>
    <row r="399" spans="1:12" ht="15" customHeight="1" x14ac:dyDescent="0.2">
      <c r="A399" s="6">
        <v>45471</v>
      </c>
      <c r="B399" s="7">
        <v>58.496581999999997</v>
      </c>
      <c r="C399" s="8">
        <v>3021316.6999999899</v>
      </c>
      <c r="D399" s="7">
        <v>-1.2525219999999999</v>
      </c>
      <c r="E399" s="7">
        <v>-2.0963025654744598</v>
      </c>
      <c r="F399" s="7">
        <v>-2.0962995024073501</v>
      </c>
      <c r="G399" s="7">
        <v>59.584805000000003</v>
      </c>
      <c r="H399" s="7">
        <v>-14.616576518328101</v>
      </c>
      <c r="I399" s="7">
        <v>59.250050000000002</v>
      </c>
      <c r="J399" s="7">
        <v>60.179656999999999</v>
      </c>
      <c r="K399" s="7">
        <v>58.036673999999998</v>
      </c>
      <c r="L399" s="7">
        <v>-16.1759708177891</v>
      </c>
    </row>
    <row r="400" spans="1:12" ht="15" customHeight="1" x14ac:dyDescent="0.2">
      <c r="A400" s="3">
        <v>45470</v>
      </c>
      <c r="B400" s="4">
        <v>59.749104000000003</v>
      </c>
      <c r="C400" s="5">
        <v>1504129.2</v>
      </c>
      <c r="D400" s="4">
        <v>-0.30334599999999701</v>
      </c>
      <c r="E400" s="4">
        <v>-0.50513509440497295</v>
      </c>
      <c r="F400" s="4">
        <v>-0.50513152666176098</v>
      </c>
      <c r="G400" s="4">
        <v>60.860626000000003</v>
      </c>
      <c r="H400" s="4">
        <v>-12.788359328898499</v>
      </c>
      <c r="I400" s="4">
        <v>59.553400000000003</v>
      </c>
      <c r="J400" s="4">
        <v>60.365577999999999</v>
      </c>
      <c r="K400" s="4">
        <v>58.936920000000001</v>
      </c>
      <c r="L400" s="4">
        <v>-14.3811404689089</v>
      </c>
    </row>
    <row r="401" spans="1:12" ht="15" customHeight="1" x14ac:dyDescent="0.2">
      <c r="A401" s="6">
        <v>45469</v>
      </c>
      <c r="B401" s="7">
        <v>60.05245</v>
      </c>
      <c r="C401" s="8">
        <v>2119893</v>
      </c>
      <c r="D401" s="7">
        <v>-0.29355399999999998</v>
      </c>
      <c r="E401" s="7">
        <v>-0.48645143098455801</v>
      </c>
      <c r="F401" s="7">
        <v>-0.48645463547829498</v>
      </c>
      <c r="G401" s="7">
        <v>61.169612999999998</v>
      </c>
      <c r="H401" s="7">
        <v>-12.3455892657703</v>
      </c>
      <c r="I401" s="7">
        <v>61.784447</v>
      </c>
      <c r="J401" s="7">
        <v>61.784447</v>
      </c>
      <c r="K401" s="7">
        <v>59.866528000000002</v>
      </c>
      <c r="L401" s="7">
        <v>-13.9464538071086</v>
      </c>
    </row>
    <row r="402" spans="1:12" ht="15" customHeight="1" x14ac:dyDescent="0.2">
      <c r="A402" s="3">
        <v>45468</v>
      </c>
      <c r="B402" s="4">
        <v>60.346004000000001</v>
      </c>
      <c r="C402" s="5">
        <v>1249263.3999999999</v>
      </c>
      <c r="D402" s="4">
        <v>-0.47948099999999899</v>
      </c>
      <c r="E402" s="4">
        <v>-0.78828964536822299</v>
      </c>
      <c r="F402" s="4">
        <v>-0.78828827011238001</v>
      </c>
      <c r="G402" s="4">
        <v>61.468629999999997</v>
      </c>
      <c r="H402" s="4">
        <v>-11.917105944574301</v>
      </c>
      <c r="I402" s="4">
        <v>60.776560000000003</v>
      </c>
      <c r="J402" s="4">
        <v>61.667023</v>
      </c>
      <c r="K402" s="4">
        <v>59.357689999999998</v>
      </c>
      <c r="L402" s="4">
        <v>-13.5257988180264</v>
      </c>
    </row>
    <row r="403" spans="1:12" ht="15" customHeight="1" x14ac:dyDescent="0.2">
      <c r="A403" s="6">
        <v>45467</v>
      </c>
      <c r="B403" s="7">
        <v>60.825485</v>
      </c>
      <c r="C403" s="8">
        <v>1299859.6000000001</v>
      </c>
      <c r="D403" s="7">
        <v>0.38162499999999899</v>
      </c>
      <c r="E403" s="7">
        <v>0.63137099450629697</v>
      </c>
      <c r="F403" s="7">
        <v>0.63137030276585404</v>
      </c>
      <c r="G403" s="7">
        <v>61.957030000000003</v>
      </c>
      <c r="H403" s="7">
        <v>-11.217241876403699</v>
      </c>
      <c r="I403" s="7">
        <v>60.864628000000003</v>
      </c>
      <c r="J403" s="7">
        <v>61.823590000000003</v>
      </c>
      <c r="K403" s="7">
        <v>60.238370000000003</v>
      </c>
      <c r="L403" s="7">
        <v>-12.8387154370467</v>
      </c>
    </row>
    <row r="404" spans="1:12" ht="15" customHeight="1" x14ac:dyDescent="0.2">
      <c r="A404" s="3">
        <v>45464</v>
      </c>
      <c r="B404" s="4">
        <v>60.443860000000001</v>
      </c>
      <c r="C404" s="5">
        <v>4140755</v>
      </c>
      <c r="D404" s="4">
        <v>-0.79261299999999502</v>
      </c>
      <c r="E404" s="4">
        <v>-1.29434789622844</v>
      </c>
      <c r="F404" s="4">
        <v>-1.2943477443382401</v>
      </c>
      <c r="G404" s="4">
        <v>61.568306</v>
      </c>
      <c r="H404" s="4">
        <v>-11.774272916607501</v>
      </c>
      <c r="I404" s="4">
        <v>61.236472999999997</v>
      </c>
      <c r="J404" s="4">
        <v>61.471316999999999</v>
      </c>
      <c r="K404" s="4">
        <v>59.298977000000001</v>
      </c>
      <c r="L404" s="4">
        <v>-13.385573801124499</v>
      </c>
    </row>
    <row r="405" spans="1:12" ht="15" customHeight="1" x14ac:dyDescent="0.2">
      <c r="A405" s="6">
        <v>45463</v>
      </c>
      <c r="B405" s="7">
        <v>61.236472999999997</v>
      </c>
      <c r="C405" s="8">
        <v>1077117.7</v>
      </c>
      <c r="D405" s="7">
        <v>-1.242729</v>
      </c>
      <c r="E405" s="7">
        <v>-1.9890282849643299</v>
      </c>
      <c r="F405" s="7">
        <v>-1.9890318762686801</v>
      </c>
      <c r="G405" s="7">
        <v>62.375664</v>
      </c>
      <c r="H405" s="7">
        <v>-10.6173506104035</v>
      </c>
      <c r="I405" s="7">
        <v>62.479202000000001</v>
      </c>
      <c r="J405" s="7">
        <v>63.350093999999999</v>
      </c>
      <c r="K405" s="7">
        <v>60.952697999999998</v>
      </c>
      <c r="L405" s="7">
        <v>-12.249780683465101</v>
      </c>
    </row>
    <row r="406" spans="1:12" ht="15" customHeight="1" x14ac:dyDescent="0.2">
      <c r="A406" s="3">
        <v>45462</v>
      </c>
      <c r="B406" s="4">
        <v>62.479202000000001</v>
      </c>
      <c r="C406" s="5">
        <v>1181782.7</v>
      </c>
      <c r="D406" s="4">
        <v>1.350368</v>
      </c>
      <c r="E406" s="4">
        <v>2.2090524416022701</v>
      </c>
      <c r="F406" s="4">
        <v>2.20906041529553</v>
      </c>
      <c r="G406" s="4">
        <v>63.641514000000001</v>
      </c>
      <c r="H406" s="4">
        <v>-8.8034215958792306</v>
      </c>
      <c r="I406" s="4">
        <v>61.128833999999998</v>
      </c>
      <c r="J406" s="4">
        <v>63.125039999999998</v>
      </c>
      <c r="K406" s="4">
        <v>61.128833999999998</v>
      </c>
      <c r="L406" s="4">
        <v>-10.4689834402761</v>
      </c>
    </row>
    <row r="407" spans="1:12" ht="15" customHeight="1" x14ac:dyDescent="0.2">
      <c r="A407" s="6">
        <v>45461</v>
      </c>
      <c r="B407" s="7">
        <v>61.128833999999998</v>
      </c>
      <c r="C407" s="8">
        <v>1716944.0999999901</v>
      </c>
      <c r="D407" s="7">
        <v>0.34248799999999502</v>
      </c>
      <c r="E407" s="7">
        <v>0.56342916220033501</v>
      </c>
      <c r="F407" s="7">
        <v>0.56342373820610303</v>
      </c>
      <c r="G407" s="7">
        <v>62.266019999999997</v>
      </c>
      <c r="H407" s="7">
        <v>-10.7744675143562</v>
      </c>
      <c r="I407" s="7">
        <v>60.473216999999998</v>
      </c>
      <c r="J407" s="7">
        <v>62.567272000000003</v>
      </c>
      <c r="K407" s="7">
        <v>60.473216999999998</v>
      </c>
      <c r="L407" s="7">
        <v>-12.4040244763271</v>
      </c>
    </row>
    <row r="408" spans="1:12" ht="15" customHeight="1" x14ac:dyDescent="0.2">
      <c r="A408" s="3">
        <v>45460</v>
      </c>
      <c r="B408" s="4">
        <v>60.786346000000002</v>
      </c>
      <c r="C408" s="5">
        <v>1519084.2</v>
      </c>
      <c r="D408" s="4">
        <v>-0.48926399999999798</v>
      </c>
      <c r="E408" s="4">
        <v>-0.79846451141000196</v>
      </c>
      <c r="F408" s="4">
        <v>-0.79846474106683996</v>
      </c>
      <c r="G408" s="4">
        <v>61.917164</v>
      </c>
      <c r="H408" s="4">
        <v>-11.2743687825087</v>
      </c>
      <c r="I408" s="4">
        <v>61.569167999999998</v>
      </c>
      <c r="J408" s="4">
        <v>61.569167999999998</v>
      </c>
      <c r="K408" s="4">
        <v>60.346004000000001</v>
      </c>
      <c r="L408" s="4">
        <v>-12.8948005716989</v>
      </c>
    </row>
    <row r="409" spans="1:12" ht="15" customHeight="1" x14ac:dyDescent="0.2">
      <c r="A409" s="6">
        <v>45457</v>
      </c>
      <c r="B409" s="7">
        <v>61.27561</v>
      </c>
      <c r="C409" s="8">
        <v>1104994.0999999901</v>
      </c>
      <c r="D409" s="7">
        <v>-0.43055499999999802</v>
      </c>
      <c r="E409" s="7">
        <v>-0.69775037875065005</v>
      </c>
      <c r="F409" s="7">
        <v>-0.69775087844316996</v>
      </c>
      <c r="G409" s="7">
        <v>62.415529999999997</v>
      </c>
      <c r="H409" s="7">
        <v>-10.560223704298499</v>
      </c>
      <c r="I409" s="7">
        <v>61.872517000000002</v>
      </c>
      <c r="J409" s="7">
        <v>62.528132999999997</v>
      </c>
      <c r="K409" s="7">
        <v>61.128833999999998</v>
      </c>
      <c r="L409" s="7">
        <v>-12.193698414759099</v>
      </c>
    </row>
    <row r="410" spans="1:12" ht="15" customHeight="1" x14ac:dyDescent="0.2">
      <c r="A410" s="3">
        <v>45456</v>
      </c>
      <c r="B410" s="4">
        <v>61.706164999999999</v>
      </c>
      <c r="C410" s="5">
        <v>1120868.8999999999</v>
      </c>
      <c r="D410" s="4">
        <v>-0.92960800000000099</v>
      </c>
      <c r="E410" s="4">
        <v>-1.48414868289403</v>
      </c>
      <c r="F410" s="4">
        <v>-1.48414613283068</v>
      </c>
      <c r="G410" s="4">
        <v>62.854095000000001</v>
      </c>
      <c r="H410" s="4">
        <v>-9.9317718511920496</v>
      </c>
      <c r="I410" s="4">
        <v>62.625984000000003</v>
      </c>
      <c r="J410" s="4">
        <v>63.594726999999999</v>
      </c>
      <c r="K410" s="4">
        <v>61.618099999999998</v>
      </c>
      <c r="L410" s="4">
        <v>-11.576724676284201</v>
      </c>
    </row>
    <row r="411" spans="1:12" ht="15" customHeight="1" x14ac:dyDescent="0.2">
      <c r="A411" s="6">
        <v>45455</v>
      </c>
      <c r="B411" s="7">
        <v>62.635773</v>
      </c>
      <c r="C411" s="8">
        <v>3233323.1999999899</v>
      </c>
      <c r="D411" s="7">
        <v>0.92960800000000099</v>
      </c>
      <c r="E411" s="7">
        <v>1.5065074940243</v>
      </c>
      <c r="F411" s="7">
        <v>1.5065048665484599</v>
      </c>
      <c r="G411" s="7">
        <v>63.800995</v>
      </c>
      <c r="H411" s="7">
        <v>-8.57488961091628</v>
      </c>
      <c r="I411" s="7">
        <v>62.273712000000003</v>
      </c>
      <c r="J411" s="7">
        <v>62.919547999999999</v>
      </c>
      <c r="K411" s="7">
        <v>61.647452999999999</v>
      </c>
      <c r="L411" s="7">
        <v>-10.2446214070706</v>
      </c>
    </row>
    <row r="412" spans="1:12" ht="15" customHeight="1" x14ac:dyDescent="0.2">
      <c r="A412" s="3">
        <v>45454</v>
      </c>
      <c r="B412" s="4">
        <v>61.706164999999999</v>
      </c>
      <c r="C412" s="5">
        <v>2538485.7999999998</v>
      </c>
      <c r="D412" s="4">
        <v>-0.63604500000000197</v>
      </c>
      <c r="E412" s="4">
        <v>-1.0202477583005101</v>
      </c>
      <c r="F412" s="4">
        <v>-1.02024705626464</v>
      </c>
      <c r="G412" s="4">
        <v>62.854095000000001</v>
      </c>
      <c r="H412" s="4">
        <v>-9.9317718511920496</v>
      </c>
      <c r="I412" s="4">
        <v>62.263927000000002</v>
      </c>
      <c r="J412" s="4">
        <v>62.459637000000001</v>
      </c>
      <c r="K412" s="4">
        <v>61.177757</v>
      </c>
      <c r="L412" s="4">
        <v>-11.576724676284201</v>
      </c>
    </row>
    <row r="413" spans="1:12" ht="15" customHeight="1" x14ac:dyDescent="0.2">
      <c r="A413" s="6">
        <v>45453</v>
      </c>
      <c r="B413" s="7">
        <v>62.342210000000001</v>
      </c>
      <c r="C413" s="8">
        <v>2777431.6</v>
      </c>
      <c r="D413" s="7">
        <v>-1.92770999999999</v>
      </c>
      <c r="E413" s="7">
        <v>-2.9993969184962301</v>
      </c>
      <c r="F413" s="7">
        <v>-2.9994006312877901</v>
      </c>
      <c r="G413" s="7">
        <v>63.501972000000002</v>
      </c>
      <c r="H413" s="7">
        <v>-9.0033815299509996</v>
      </c>
      <c r="I413" s="7">
        <v>64.269919999999999</v>
      </c>
      <c r="J413" s="7">
        <v>64.573260000000005</v>
      </c>
      <c r="K413" s="7">
        <v>60.013309999999997</v>
      </c>
      <c r="L413" s="7">
        <v>-10.665289292910799</v>
      </c>
    </row>
    <row r="414" spans="1:12" ht="15" customHeight="1" x14ac:dyDescent="0.2">
      <c r="A414" s="3">
        <v>45450</v>
      </c>
      <c r="B414" s="4">
        <v>64.269919999999999</v>
      </c>
      <c r="C414" s="5">
        <v>2774540.5</v>
      </c>
      <c r="D414" s="4">
        <v>-3.2487200000000001</v>
      </c>
      <c r="E414" s="4">
        <v>-4.8115898069037</v>
      </c>
      <c r="F414" s="4">
        <v>-4.8115862373808804</v>
      </c>
      <c r="G414" s="4">
        <v>65.465546000000003</v>
      </c>
      <c r="H414" s="4">
        <v>-6.18963278344423</v>
      </c>
      <c r="I414" s="4">
        <v>67.215294</v>
      </c>
      <c r="J414" s="4">
        <v>67.215294</v>
      </c>
      <c r="K414" s="4">
        <v>64.15249</v>
      </c>
      <c r="L414" s="4">
        <v>-7.9029326941126898</v>
      </c>
    </row>
    <row r="415" spans="1:12" ht="15" customHeight="1" x14ac:dyDescent="0.2">
      <c r="A415" s="6">
        <v>45449</v>
      </c>
      <c r="B415" s="7">
        <v>67.518640000000005</v>
      </c>
      <c r="C415" s="8">
        <v>6609796.4000000004</v>
      </c>
      <c r="D415" s="7">
        <v>0.91982400000000497</v>
      </c>
      <c r="E415" s="7">
        <v>1.38114167074683</v>
      </c>
      <c r="F415" s="7">
        <v>1.3811481982895599</v>
      </c>
      <c r="G415" s="7">
        <v>68.774699999999996</v>
      </c>
      <c r="H415" s="7">
        <v>-1.44770407614935</v>
      </c>
      <c r="I415" s="7">
        <v>66.85324</v>
      </c>
      <c r="J415" s="7">
        <v>68.741805999999997</v>
      </c>
      <c r="K415" s="7">
        <v>66.637960000000007</v>
      </c>
      <c r="L415" s="7">
        <v>-3.24760428390177</v>
      </c>
    </row>
    <row r="416" spans="1:12" ht="15" customHeight="1" x14ac:dyDescent="0.2">
      <c r="A416" s="3">
        <v>45448</v>
      </c>
      <c r="B416" s="4">
        <v>66.598815999999999</v>
      </c>
      <c r="C416" s="5">
        <v>1831833.5999999901</v>
      </c>
      <c r="D416" s="4">
        <v>0.19570199999999699</v>
      </c>
      <c r="E416" s="4">
        <v>0.29471810614183303</v>
      </c>
      <c r="F416" s="4">
        <v>0.29471415801849399</v>
      </c>
      <c r="G416" s="4">
        <v>67.837760000000003</v>
      </c>
      <c r="H416" s="4">
        <v>-2.7903139042240901</v>
      </c>
      <c r="I416" s="4">
        <v>66.510750000000002</v>
      </c>
      <c r="J416" s="4">
        <v>67.254440000000002</v>
      </c>
      <c r="K416" s="4">
        <v>64.641754000000006</v>
      </c>
      <c r="L416" s="4">
        <v>-4.5656873441820904</v>
      </c>
    </row>
    <row r="417" spans="1:12" ht="15" customHeight="1" x14ac:dyDescent="0.2">
      <c r="A417" s="6">
        <v>45447</v>
      </c>
      <c r="B417" s="7">
        <v>66.403114000000002</v>
      </c>
      <c r="C417" s="8">
        <v>2076263.2</v>
      </c>
      <c r="D417" s="7">
        <v>3.9043389999999998</v>
      </c>
      <c r="E417" s="7">
        <v>6.2470648424709001</v>
      </c>
      <c r="F417" s="7">
        <v>6.24706160478594</v>
      </c>
      <c r="G417" s="7">
        <v>67.638419999999996</v>
      </c>
      <c r="H417" s="7">
        <v>-3.0759627644802698</v>
      </c>
      <c r="I417" s="7">
        <v>62.890182000000003</v>
      </c>
      <c r="J417" s="7">
        <v>67.058729999999997</v>
      </c>
      <c r="K417" s="7">
        <v>62.890182000000003</v>
      </c>
      <c r="L417" s="7">
        <v>-4.8461230482547997</v>
      </c>
    </row>
    <row r="418" spans="1:12" ht="15" customHeight="1" x14ac:dyDescent="0.2">
      <c r="A418" s="3">
        <v>45446</v>
      </c>
      <c r="B418" s="4">
        <v>62.498775000000002</v>
      </c>
      <c r="C418" s="5">
        <v>1891936</v>
      </c>
      <c r="D418" s="4">
        <v>-5.0687909999999903</v>
      </c>
      <c r="E418" s="4">
        <v>-7.5018108540420103</v>
      </c>
      <c r="F418" s="4">
        <v>-7.5018154861623403</v>
      </c>
      <c r="G418" s="4">
        <v>63.661450000000002</v>
      </c>
      <c r="H418" s="4">
        <v>-8.7748538439073798</v>
      </c>
      <c r="I418" s="4">
        <v>66.540109999999999</v>
      </c>
      <c r="J418" s="4">
        <v>67.156580000000005</v>
      </c>
      <c r="K418" s="4">
        <v>61.999724999999998</v>
      </c>
      <c r="L418" s="4">
        <v>-10.440935857544099</v>
      </c>
    </row>
    <row r="419" spans="1:12" ht="15" customHeight="1" x14ac:dyDescent="0.2">
      <c r="A419" s="6">
        <v>45443</v>
      </c>
      <c r="B419" s="7">
        <v>67.567565999999999</v>
      </c>
      <c r="C419" s="8">
        <v>12224222</v>
      </c>
      <c r="D419" s="7">
        <v>3.4052859999999998</v>
      </c>
      <c r="E419" s="7">
        <v>5.3073020472464503</v>
      </c>
      <c r="F419" s="7">
        <v>5.3073161142186596</v>
      </c>
      <c r="G419" s="7">
        <v>68.824539999999999</v>
      </c>
      <c r="H419" s="7">
        <v>-1.3762846962197299</v>
      </c>
      <c r="I419" s="7">
        <v>64.093779999999995</v>
      </c>
      <c r="J419" s="7">
        <v>67.763274999999993</v>
      </c>
      <c r="K419" s="7">
        <v>64.093779999999995</v>
      </c>
      <c r="L419" s="7">
        <v>-3.17749464139705</v>
      </c>
    </row>
    <row r="420" spans="1:12" ht="15" customHeight="1" x14ac:dyDescent="0.2">
      <c r="A420" s="3">
        <v>45442</v>
      </c>
      <c r="B420" s="4">
        <v>64.162279999999996</v>
      </c>
      <c r="C420" s="5">
        <v>1714175.7</v>
      </c>
      <c r="D420" s="4">
        <v>-3.9135999999999102E-2</v>
      </c>
      <c r="E420" s="4">
        <v>-6.0958157059964803E-2</v>
      </c>
      <c r="F420" s="4">
        <v>-6.0973362650207301E-2</v>
      </c>
      <c r="G420" s="4">
        <v>65.355896000000001</v>
      </c>
      <c r="H420" s="4">
        <v>-6.3467582852355902</v>
      </c>
      <c r="I420" s="4">
        <v>63.6828</v>
      </c>
      <c r="J420" s="4">
        <v>64.299270000000007</v>
      </c>
      <c r="K420" s="4">
        <v>63.447949999999999</v>
      </c>
      <c r="L420" s="4">
        <v>-8.0571779199478293</v>
      </c>
    </row>
    <row r="421" spans="1:12" ht="15" customHeight="1" x14ac:dyDescent="0.2">
      <c r="A421" s="6">
        <v>45441</v>
      </c>
      <c r="B421" s="7">
        <v>64.201415999999995</v>
      </c>
      <c r="C421" s="8">
        <v>1657792.0999999901</v>
      </c>
      <c r="D421" s="7">
        <v>0.66539599999999399</v>
      </c>
      <c r="E421" s="7">
        <v>1.0472736567383301</v>
      </c>
      <c r="F421" s="7">
        <v>1.0472822162740101</v>
      </c>
      <c r="G421" s="7">
        <v>65.395769999999999</v>
      </c>
      <c r="H421" s="7">
        <v>-6.2896199153456802</v>
      </c>
      <c r="I421" s="7">
        <v>63.457732999999998</v>
      </c>
      <c r="J421" s="7">
        <v>64.348200000000006</v>
      </c>
      <c r="K421" s="7">
        <v>63.262030000000003</v>
      </c>
      <c r="L421" s="7">
        <v>-8.0010970842149796</v>
      </c>
    </row>
    <row r="422" spans="1:12" ht="15" customHeight="1" x14ac:dyDescent="0.2">
      <c r="A422" s="3">
        <v>45440</v>
      </c>
      <c r="B422" s="4">
        <v>63.536020000000001</v>
      </c>
      <c r="C422" s="5">
        <v>636262.93999999994</v>
      </c>
      <c r="D422" s="4">
        <v>-0.22506599999999799</v>
      </c>
      <c r="E422" s="4">
        <v>-0.352983322774647</v>
      </c>
      <c r="F422" s="4">
        <v>-0.35297881788355301</v>
      </c>
      <c r="G422" s="4">
        <v>64.71799</v>
      </c>
      <c r="H422" s="4">
        <v>-7.2608604315713796</v>
      </c>
      <c r="I422" s="4">
        <v>63.849148</v>
      </c>
      <c r="J422" s="4">
        <v>64.299270000000007</v>
      </c>
      <c r="K422" s="4">
        <v>63.017400000000002</v>
      </c>
      <c r="L422" s="4">
        <v>-8.9545916614148204</v>
      </c>
    </row>
    <row r="423" spans="1:12" ht="15" customHeight="1" x14ac:dyDescent="0.2">
      <c r="A423" s="6">
        <v>45439</v>
      </c>
      <c r="B423" s="7">
        <v>63.761085999999999</v>
      </c>
      <c r="C423" s="8">
        <v>471417.88</v>
      </c>
      <c r="D423" s="7">
        <v>-5.87080000000028E-2</v>
      </c>
      <c r="E423" s="7">
        <v>-9.1990268724473301E-2</v>
      </c>
      <c r="F423" s="7">
        <v>-9.1990036771416595E-2</v>
      </c>
      <c r="G423" s="7">
        <v>64.947239999999994</v>
      </c>
      <c r="H423" s="7">
        <v>-6.9323513455187697</v>
      </c>
      <c r="I423" s="7">
        <v>64.357979999999998</v>
      </c>
      <c r="J423" s="7">
        <v>64.436263999999994</v>
      </c>
      <c r="K423" s="7">
        <v>63.408813000000002</v>
      </c>
      <c r="L423" s="7">
        <v>-8.6320781348651305</v>
      </c>
    </row>
    <row r="424" spans="1:12" ht="15" customHeight="1" x14ac:dyDescent="0.2">
      <c r="A424" s="3">
        <v>45436</v>
      </c>
      <c r="B424" s="4">
        <v>63.819794000000002</v>
      </c>
      <c r="C424" s="5">
        <v>1171382.3</v>
      </c>
      <c r="D424" s="4">
        <v>-1.68307599999999</v>
      </c>
      <c r="E424" s="4">
        <v>-2.56946909349162</v>
      </c>
      <c r="F424" s="4">
        <v>-2.56947430533187</v>
      </c>
      <c r="G424" s="4">
        <v>65.007040000000003</v>
      </c>
      <c r="H424" s="4">
        <v>-6.8466595533881298</v>
      </c>
      <c r="I424" s="4">
        <v>65.512649999999994</v>
      </c>
      <c r="J424" s="4">
        <v>65.512649999999994</v>
      </c>
      <c r="K424" s="4">
        <v>63.340316999999999</v>
      </c>
      <c r="L424" s="4">
        <v>-8.5479511493734002</v>
      </c>
    </row>
    <row r="425" spans="1:12" ht="15" customHeight="1" x14ac:dyDescent="0.2">
      <c r="A425" s="6">
        <v>45435</v>
      </c>
      <c r="B425" s="7">
        <v>65.502870000000001</v>
      </c>
      <c r="C425" s="8">
        <v>2204167.1999999899</v>
      </c>
      <c r="D425" s="7">
        <v>-0.59690000000000498</v>
      </c>
      <c r="E425" s="7">
        <v>-0.90302886076608602</v>
      </c>
      <c r="F425" s="7">
        <v>-0.90303736374460697</v>
      </c>
      <c r="G425" s="7">
        <v>66.721429999999998</v>
      </c>
      <c r="H425" s="7">
        <v>-4.3899847789596</v>
      </c>
      <c r="I425" s="7">
        <v>66.197624000000005</v>
      </c>
      <c r="J425" s="7">
        <v>66.530320000000003</v>
      </c>
      <c r="K425" s="7">
        <v>65.042950000000005</v>
      </c>
      <c r="L425" s="7">
        <v>-6.1361484949913301</v>
      </c>
    </row>
    <row r="426" spans="1:12" ht="15" customHeight="1" x14ac:dyDescent="0.2">
      <c r="A426" s="3">
        <v>45434</v>
      </c>
      <c r="B426" s="4">
        <v>66.099770000000007</v>
      </c>
      <c r="C426" s="5">
        <v>2946579</v>
      </c>
      <c r="D426" s="4">
        <v>0.14678000000000599</v>
      </c>
      <c r="E426" s="4">
        <v>0.22255245743976099</v>
      </c>
      <c r="F426" s="4">
        <v>0.222560537579652</v>
      </c>
      <c r="G426" s="4">
        <v>67.329440000000005</v>
      </c>
      <c r="H426" s="4">
        <v>-3.5187227967966699</v>
      </c>
      <c r="I426" s="4">
        <v>65.815994000000003</v>
      </c>
      <c r="J426" s="4">
        <v>67.890479999999997</v>
      </c>
      <c r="K426" s="4">
        <v>65.551789999999997</v>
      </c>
      <c r="L426" s="4">
        <v>-5.2808068441088496</v>
      </c>
    </row>
    <row r="427" spans="1:12" ht="15" customHeight="1" x14ac:dyDescent="0.2">
      <c r="A427" s="6">
        <v>45433</v>
      </c>
      <c r="B427" s="7">
        <v>65.95299</v>
      </c>
      <c r="C427" s="8">
        <v>1324484.3999999999</v>
      </c>
      <c r="D427" s="7">
        <v>-1.19380999999999</v>
      </c>
      <c r="E427" s="7">
        <v>-1.77791048866066</v>
      </c>
      <c r="F427" s="7">
        <v>-1.77790670030998</v>
      </c>
      <c r="G427" s="7">
        <v>67.179924</v>
      </c>
      <c r="H427" s="7">
        <v>-3.7329752046930502</v>
      </c>
      <c r="I427" s="7">
        <v>67.156580000000005</v>
      </c>
      <c r="J427" s="7">
        <v>67.303359999999998</v>
      </c>
      <c r="K427" s="7">
        <v>65.757279999999994</v>
      </c>
      <c r="L427" s="7">
        <v>-5.4911386375692901</v>
      </c>
    </row>
    <row r="428" spans="1:12" ht="15" customHeight="1" x14ac:dyDescent="0.2">
      <c r="A428" s="3">
        <v>45432</v>
      </c>
      <c r="B428" s="4">
        <v>67.146799999999999</v>
      </c>
      <c r="C428" s="5">
        <v>979903.55999999901</v>
      </c>
      <c r="D428" s="4">
        <v>-0.17614000000000299</v>
      </c>
      <c r="E428" s="4">
        <v>-0.26163444436622102</v>
      </c>
      <c r="F428" s="4">
        <v>-0.26163334828331802</v>
      </c>
      <c r="G428" s="4">
        <v>68.395939999999996</v>
      </c>
      <c r="H428" s="4">
        <v>-1.9904569722596499</v>
      </c>
      <c r="I428" s="4">
        <v>67.508849999999995</v>
      </c>
      <c r="J428" s="4">
        <v>68.497169999999997</v>
      </c>
      <c r="K428" s="4">
        <v>66.765174999999999</v>
      </c>
      <c r="L428" s="4">
        <v>-3.7804410060732301</v>
      </c>
    </row>
    <row r="429" spans="1:12" ht="15" customHeight="1" x14ac:dyDescent="0.2">
      <c r="A429" s="6">
        <v>45429</v>
      </c>
      <c r="B429" s="7">
        <v>67.322940000000003</v>
      </c>
      <c r="C429" s="8">
        <v>3061259.3</v>
      </c>
      <c r="D429" s="7">
        <v>0.32292499999999702</v>
      </c>
      <c r="E429" s="7">
        <v>0.48197750403489098</v>
      </c>
      <c r="F429" s="7">
        <v>0.48196806778024698</v>
      </c>
      <c r="G429" s="7">
        <v>68.575355999999999</v>
      </c>
      <c r="H429" s="7">
        <v>-1.73335866829797</v>
      </c>
      <c r="I429" s="7">
        <v>66.784744000000003</v>
      </c>
      <c r="J429" s="7">
        <v>69.006004000000004</v>
      </c>
      <c r="K429" s="7">
        <v>66.735810000000001</v>
      </c>
      <c r="L429" s="7">
        <v>-3.5280371220282598</v>
      </c>
    </row>
    <row r="430" spans="1:12" ht="15" customHeight="1" x14ac:dyDescent="0.2">
      <c r="A430" s="3">
        <v>45428</v>
      </c>
      <c r="B430" s="4">
        <v>67.000015000000005</v>
      </c>
      <c r="C430" s="5">
        <v>2762611.6</v>
      </c>
      <c r="D430" s="4">
        <v>2.123405</v>
      </c>
      <c r="E430" s="4">
        <v>3.2729900652947301</v>
      </c>
      <c r="F430" s="4">
        <v>3.27299453782123</v>
      </c>
      <c r="G430" s="4">
        <v>68.246430000000004</v>
      </c>
      <c r="H430" s="4">
        <v>-2.2047007823173401</v>
      </c>
      <c r="I430" s="4">
        <v>64.974459999999993</v>
      </c>
      <c r="J430" s="4">
        <v>67.782839999999993</v>
      </c>
      <c r="K430" s="4">
        <v>64.896180000000001</v>
      </c>
      <c r="L430" s="4">
        <v>-3.9907799643992101</v>
      </c>
    </row>
    <row r="431" spans="1:12" ht="15" customHeight="1" x14ac:dyDescent="0.2">
      <c r="A431" s="6">
        <v>45427</v>
      </c>
      <c r="B431" s="7">
        <v>64.876609999999999</v>
      </c>
      <c r="C431" s="8">
        <v>2038555.8</v>
      </c>
      <c r="D431" s="7">
        <v>8.8074000000005898E-2</v>
      </c>
      <c r="E431" s="7">
        <v>0.13594071642553099</v>
      </c>
      <c r="F431" s="7">
        <v>0.135944578434288</v>
      </c>
      <c r="G431" s="7">
        <v>66.083519999999993</v>
      </c>
      <c r="H431" s="7">
        <v>-5.3040926571878497</v>
      </c>
      <c r="I431" s="7">
        <v>65.023383999999993</v>
      </c>
      <c r="J431" s="7">
        <v>65.737719999999996</v>
      </c>
      <c r="K431" s="7">
        <v>64.602615</v>
      </c>
      <c r="L431" s="7">
        <v>-7.0335622364583301</v>
      </c>
    </row>
    <row r="432" spans="1:12" ht="15" customHeight="1" x14ac:dyDescent="0.2">
      <c r="A432" s="3">
        <v>45426</v>
      </c>
      <c r="B432" s="4">
        <v>64.788535999999993</v>
      </c>
      <c r="C432" s="5">
        <v>702409</v>
      </c>
      <c r="D432" s="4">
        <v>-0.31313400000000502</v>
      </c>
      <c r="E432" s="4">
        <v>-0.48099226947635398</v>
      </c>
      <c r="F432" s="4">
        <v>-0.48100086906338602</v>
      </c>
      <c r="G432" s="4">
        <v>65.993804999999995</v>
      </c>
      <c r="H432" s="4">
        <v>-5.4326518399804797</v>
      </c>
      <c r="I432" s="4">
        <v>65.444149999999993</v>
      </c>
      <c r="J432" s="4">
        <v>65.444149999999993</v>
      </c>
      <c r="K432" s="4">
        <v>64.612403999999998</v>
      </c>
      <c r="L432" s="4">
        <v>-7.1597699103732699</v>
      </c>
    </row>
    <row r="433" spans="1:12" ht="15" customHeight="1" x14ac:dyDescent="0.2">
      <c r="A433" s="6">
        <v>45425</v>
      </c>
      <c r="B433" s="7">
        <v>65.101669999999999</v>
      </c>
      <c r="C433" s="8">
        <v>957039.7</v>
      </c>
      <c r="D433" s="7"/>
      <c r="E433" s="7"/>
      <c r="F433" s="7"/>
      <c r="G433" s="7">
        <v>66.31277</v>
      </c>
      <c r="H433" s="7">
        <v>-4.9755835711352203</v>
      </c>
      <c r="I433" s="7">
        <v>65.170165999999995</v>
      </c>
      <c r="J433" s="7">
        <v>65.933419999999998</v>
      </c>
      <c r="K433" s="7">
        <v>64.935320000000004</v>
      </c>
      <c r="L433" s="7">
        <v>-6.7110573077473097</v>
      </c>
    </row>
    <row r="434" spans="1:12" ht="15" customHeight="1" x14ac:dyDescent="0.2">
      <c r="A434" s="3">
        <v>45422</v>
      </c>
      <c r="B434" s="4">
        <v>65.101669999999999</v>
      </c>
      <c r="C434" s="5">
        <v>1622938.79999999</v>
      </c>
      <c r="D434" s="4">
        <v>-6.8495999999996102E-2</v>
      </c>
      <c r="E434" s="4">
        <v>-0.10510330754719401</v>
      </c>
      <c r="F434" s="4">
        <v>-0.105102938212375</v>
      </c>
      <c r="G434" s="4">
        <v>66.31277</v>
      </c>
      <c r="H434" s="4">
        <v>-4.9755835711352203</v>
      </c>
      <c r="I434" s="4">
        <v>65.140810000000002</v>
      </c>
      <c r="J434" s="4">
        <v>65.434370000000001</v>
      </c>
      <c r="K434" s="4">
        <v>64.896180000000001</v>
      </c>
      <c r="L434" s="4">
        <v>-6.7110573077473097</v>
      </c>
    </row>
    <row r="435" spans="1:12" ht="15" customHeight="1" x14ac:dyDescent="0.2">
      <c r="A435" s="6">
        <v>45421</v>
      </c>
      <c r="B435" s="7">
        <v>65.170165999999995</v>
      </c>
      <c r="C435" s="8">
        <v>6301561</v>
      </c>
      <c r="D435" s="7">
        <v>1.97663099999999</v>
      </c>
      <c r="E435" s="7">
        <v>3.1279006626231598</v>
      </c>
      <c r="F435" s="7">
        <v>3.1279124014880999</v>
      </c>
      <c r="G435" s="7">
        <v>66.382540000000006</v>
      </c>
      <c r="H435" s="7">
        <v>-4.8756050370724404</v>
      </c>
      <c r="I435" s="7">
        <v>63.506664000000001</v>
      </c>
      <c r="J435" s="7">
        <v>65.512649999999994</v>
      </c>
      <c r="K435" s="7">
        <v>63.193534999999997</v>
      </c>
      <c r="L435" s="7">
        <v>-6.6129043814299404</v>
      </c>
    </row>
    <row r="436" spans="1:12" ht="15" customHeight="1" x14ac:dyDescent="0.2">
      <c r="A436" s="3">
        <v>45420</v>
      </c>
      <c r="B436" s="4">
        <v>63.193534999999997</v>
      </c>
      <c r="C436" s="5">
        <v>2046344</v>
      </c>
      <c r="D436" s="4">
        <v>1.1840249999999899</v>
      </c>
      <c r="E436" s="4">
        <v>1.9094248607995601</v>
      </c>
      <c r="F436" s="4">
        <v>1.90941917622069</v>
      </c>
      <c r="G436" s="4">
        <v>64.369129999999998</v>
      </c>
      <c r="H436" s="4">
        <v>-7.7607674316163804</v>
      </c>
      <c r="I436" s="4">
        <v>62.234569999999998</v>
      </c>
      <c r="J436" s="4">
        <v>63.868713</v>
      </c>
      <c r="K436" s="4">
        <v>62.234569999999998</v>
      </c>
      <c r="L436" s="4">
        <v>-9.4453634578673</v>
      </c>
    </row>
    <row r="437" spans="1:12" ht="15" customHeight="1" x14ac:dyDescent="0.2">
      <c r="A437" s="6">
        <v>45419</v>
      </c>
      <c r="B437" s="7">
        <v>62.009509999999999</v>
      </c>
      <c r="C437" s="8">
        <v>1829362.7</v>
      </c>
      <c r="D437" s="7">
        <v>-2.0842699999999899</v>
      </c>
      <c r="E437" s="7">
        <v>-3.2519068152947002</v>
      </c>
      <c r="F437" s="7">
        <v>-3.2519053627397798</v>
      </c>
      <c r="G437" s="7">
        <v>63.163082000000003</v>
      </c>
      <c r="H437" s="7">
        <v>-9.4890017880638506</v>
      </c>
      <c r="I437" s="7">
        <v>64.093779999999995</v>
      </c>
      <c r="J437" s="7">
        <v>64.318849999999998</v>
      </c>
      <c r="K437" s="7">
        <v>61.578957000000003</v>
      </c>
      <c r="L437" s="7">
        <v>-11.142039447457</v>
      </c>
    </row>
    <row r="438" spans="1:12" ht="15" customHeight="1" x14ac:dyDescent="0.2">
      <c r="A438" s="3">
        <v>45418</v>
      </c>
      <c r="B438" s="4">
        <v>64.093779999999995</v>
      </c>
      <c r="C438" s="5">
        <v>3089264.4</v>
      </c>
      <c r="D438" s="4">
        <v>-0.92960399999999699</v>
      </c>
      <c r="E438" s="4">
        <v>-1.42964567946817</v>
      </c>
      <c r="F438" s="4">
        <v>-1.4296493327913</v>
      </c>
      <c r="G438" s="4">
        <v>65.286124999999998</v>
      </c>
      <c r="H438" s="4">
        <v>-6.44673825227148</v>
      </c>
      <c r="I438" s="4">
        <v>65.170165999999995</v>
      </c>
      <c r="J438" s="4">
        <v>65.297380000000004</v>
      </c>
      <c r="K438" s="4">
        <v>63.966576000000003</v>
      </c>
      <c r="L438" s="4">
        <v>-8.1553365781576606</v>
      </c>
    </row>
    <row r="439" spans="1:12" ht="15" customHeight="1" x14ac:dyDescent="0.2">
      <c r="A439" s="6">
        <v>45415</v>
      </c>
      <c r="B439" s="7">
        <v>65.023383999999993</v>
      </c>
      <c r="C439" s="8">
        <v>2955818.6</v>
      </c>
      <c r="D439" s="7">
        <v>-0.27399600000001101</v>
      </c>
      <c r="E439" s="7">
        <v>-0.41961254800729703</v>
      </c>
      <c r="F439" s="7">
        <v>-0.41960776619416301</v>
      </c>
      <c r="G439" s="7">
        <v>66.233024999999998</v>
      </c>
      <c r="H439" s="7">
        <v>-5.0898560119957104</v>
      </c>
      <c r="I439" s="7">
        <v>64.788535999999993</v>
      </c>
      <c r="J439" s="7">
        <v>66.373760000000004</v>
      </c>
      <c r="K439" s="7">
        <v>64.729830000000007</v>
      </c>
      <c r="L439" s="7">
        <v>-6.8232390408365902</v>
      </c>
    </row>
    <row r="440" spans="1:12" ht="15" customHeight="1" x14ac:dyDescent="0.2">
      <c r="A440" s="3">
        <v>45414</v>
      </c>
      <c r="B440" s="4">
        <v>65.297380000000004</v>
      </c>
      <c r="C440" s="5">
        <v>3667796</v>
      </c>
      <c r="D440" s="4">
        <v>-0.81216999999999395</v>
      </c>
      <c r="E440" s="4">
        <v>-1.2285214465988601</v>
      </c>
      <c r="F440" s="4">
        <v>-1.22851573202549</v>
      </c>
      <c r="G440" s="4">
        <v>66.512114999999994</v>
      </c>
      <c r="H440" s="4">
        <v>-4.6899275460134904</v>
      </c>
      <c r="I440" s="4">
        <v>66.432469999999995</v>
      </c>
      <c r="J440" s="4">
        <v>67.420783999999998</v>
      </c>
      <c r="K440" s="4">
        <v>64.91574</v>
      </c>
      <c r="L440" s="4">
        <v>-6.4306101398897004</v>
      </c>
    </row>
    <row r="441" spans="1:12" ht="15" customHeight="1" x14ac:dyDescent="0.2">
      <c r="A441" s="6">
        <v>45412</v>
      </c>
      <c r="B441" s="7">
        <v>66.109549999999999</v>
      </c>
      <c r="C441" s="8">
        <v>2043028.8</v>
      </c>
      <c r="D441" s="7">
        <v>-2.9845299999999999</v>
      </c>
      <c r="E441" s="7">
        <v>-4.3195162306235302</v>
      </c>
      <c r="F441" s="7">
        <v>-4.3195279303831002</v>
      </c>
      <c r="G441" s="7">
        <v>67.339389999999995</v>
      </c>
      <c r="H441" s="7">
        <v>-3.5044647143267902</v>
      </c>
      <c r="I441" s="7">
        <v>69.475700000000003</v>
      </c>
      <c r="J441" s="7">
        <v>69.485489999999999</v>
      </c>
      <c r="K441" s="7">
        <v>65.718149999999994</v>
      </c>
      <c r="L441" s="7">
        <v>-5.2667923670681001</v>
      </c>
    </row>
    <row r="442" spans="1:12" ht="15" customHeight="1" x14ac:dyDescent="0.2">
      <c r="A442" s="3">
        <v>45411</v>
      </c>
      <c r="B442" s="4">
        <v>69.094080000000005</v>
      </c>
      <c r="C442" s="5">
        <v>1791757.2</v>
      </c>
      <c r="D442" s="4">
        <v>-0.63603999999999405</v>
      </c>
      <c r="E442" s="4">
        <v>-0.91214528241166903</v>
      </c>
      <c r="F442" s="4">
        <v>-8.53142932708994E-2</v>
      </c>
      <c r="G442" s="4">
        <v>70.379450000000006</v>
      </c>
      <c r="H442" s="4">
        <v>0.85185952621896699</v>
      </c>
      <c r="I442" s="4">
        <v>69.710549999999998</v>
      </c>
      <c r="J442" s="4">
        <v>69.974754000000004</v>
      </c>
      <c r="K442" s="4">
        <v>68.947295999999994</v>
      </c>
      <c r="L442" s="4">
        <v>-0.99004112346238204</v>
      </c>
    </row>
    <row r="443" spans="1:12" ht="15" customHeight="1" x14ac:dyDescent="0.2">
      <c r="A443" s="6">
        <v>45408</v>
      </c>
      <c r="B443" s="7">
        <v>69.730119999999999</v>
      </c>
      <c r="C443" s="8">
        <v>834139.1</v>
      </c>
      <c r="D443" s="7">
        <v>-0.45012400000000202</v>
      </c>
      <c r="E443" s="7">
        <v>-0.64138278003137394</v>
      </c>
      <c r="F443" s="7">
        <v>-0.64138487959178803</v>
      </c>
      <c r="G443" s="7">
        <v>70.439544999999995</v>
      </c>
      <c r="H443" s="7">
        <v>0.93797404541778295</v>
      </c>
      <c r="I443" s="7">
        <v>70.307450000000003</v>
      </c>
      <c r="J443" s="7">
        <v>71.109849999999994</v>
      </c>
      <c r="K443" s="7">
        <v>69.661619999999999</v>
      </c>
      <c r="L443" s="7">
        <v>-7.8612904954626306E-2</v>
      </c>
    </row>
    <row r="444" spans="1:12" ht="15" customHeight="1" x14ac:dyDescent="0.2">
      <c r="A444" s="3">
        <v>45407</v>
      </c>
      <c r="B444" s="4">
        <v>70.180244000000002</v>
      </c>
      <c r="C444" s="5">
        <v>1368571.9</v>
      </c>
      <c r="D444" s="4">
        <v>-2.9355999999992801E-2</v>
      </c>
      <c r="E444" s="4">
        <v>-4.1811945944703E-2</v>
      </c>
      <c r="F444" s="4">
        <v>-4.1811009162717697E-2</v>
      </c>
      <c r="G444" s="4">
        <v>70.89425</v>
      </c>
      <c r="H444" s="4">
        <v>1.58955408456088</v>
      </c>
      <c r="I444" s="4">
        <v>69.886679999999998</v>
      </c>
      <c r="J444" s="4">
        <v>70.9435</v>
      </c>
      <c r="K444" s="4">
        <v>69.739900000000006</v>
      </c>
      <c r="L444" s="4">
        <v>0.56640268435986796</v>
      </c>
    </row>
    <row r="445" spans="1:12" ht="15" customHeight="1" x14ac:dyDescent="0.2">
      <c r="A445" s="6">
        <v>45406</v>
      </c>
      <c r="B445" s="7">
        <v>70.209599999999995</v>
      </c>
      <c r="C445" s="8">
        <v>843477.6</v>
      </c>
      <c r="D445" s="7">
        <v>-0.14678400000000999</v>
      </c>
      <c r="E445" s="7">
        <v>-0.208629255306824</v>
      </c>
      <c r="F445" s="7">
        <v>-0.208627341950129</v>
      </c>
      <c r="G445" s="7">
        <v>70.923903999999993</v>
      </c>
      <c r="H445" s="7">
        <v>1.63204746924049</v>
      </c>
      <c r="I445" s="7">
        <v>70.062820000000002</v>
      </c>
      <c r="J445" s="7">
        <v>70.434659999999994</v>
      </c>
      <c r="K445" s="7">
        <v>69.612690000000001</v>
      </c>
      <c r="L445" s="7">
        <v>0.60846904305194305</v>
      </c>
    </row>
    <row r="446" spans="1:12" ht="15" customHeight="1" x14ac:dyDescent="0.2">
      <c r="A446" s="3">
        <v>45405</v>
      </c>
      <c r="B446" s="4">
        <v>70.356384000000006</v>
      </c>
      <c r="C446" s="5">
        <v>1751557.1</v>
      </c>
      <c r="D446" s="4">
        <v>2.1332040000000001</v>
      </c>
      <c r="E446" s="4">
        <v>3.12680235661839</v>
      </c>
      <c r="F446" s="4">
        <v>3.1268009817103199</v>
      </c>
      <c r="G446" s="4">
        <v>71.072180000000003</v>
      </c>
      <c r="H446" s="4">
        <v>1.8445229904773099</v>
      </c>
      <c r="I446" s="4">
        <v>68.369964999999993</v>
      </c>
      <c r="J446" s="4">
        <v>70.992424</v>
      </c>
      <c r="K446" s="4">
        <v>68.037260000000003</v>
      </c>
      <c r="L446" s="4">
        <v>0.81880656840483601</v>
      </c>
    </row>
    <row r="447" spans="1:12" ht="15" customHeight="1" x14ac:dyDescent="0.2">
      <c r="A447" s="6">
        <v>45404</v>
      </c>
      <c r="B447" s="7">
        <v>68.223179999999999</v>
      </c>
      <c r="C447" s="8">
        <v>1452202.4</v>
      </c>
      <c r="D447" s="7">
        <v>2.1723400000000002</v>
      </c>
      <c r="E447" s="7">
        <v>3.2888907998747698</v>
      </c>
      <c r="F447" s="7">
        <v>3.2888952701796299</v>
      </c>
      <c r="G447" s="7">
        <v>68.917274000000006</v>
      </c>
      <c r="H447" s="7">
        <v>-1.2433993676002999</v>
      </c>
      <c r="I447" s="7">
        <v>66.530320000000003</v>
      </c>
      <c r="J447" s="7">
        <v>68.477599999999995</v>
      </c>
      <c r="K447" s="7">
        <v>66.344406000000006</v>
      </c>
      <c r="L447" s="7">
        <v>-2.2380174071841799</v>
      </c>
    </row>
    <row r="448" spans="1:12" ht="15" customHeight="1" x14ac:dyDescent="0.2">
      <c r="A448" s="3">
        <v>45401</v>
      </c>
      <c r="B448" s="4">
        <v>66.050839999999994</v>
      </c>
      <c r="C448" s="5">
        <v>2217399.1999999899</v>
      </c>
      <c r="D448" s="4">
        <v>2.9355999999992801E-2</v>
      </c>
      <c r="E448" s="4">
        <v>4.4464314070835599E-2</v>
      </c>
      <c r="F448" s="4">
        <v>4.4457319324120399E-2</v>
      </c>
      <c r="G448" s="4">
        <v>66.722830000000002</v>
      </c>
      <c r="H448" s="4">
        <v>-4.3879786166020196</v>
      </c>
      <c r="I448" s="4">
        <v>65.88449</v>
      </c>
      <c r="J448" s="4">
        <v>66.804305999999997</v>
      </c>
      <c r="K448" s="4">
        <v>65.238659999999996</v>
      </c>
      <c r="L448" s="4">
        <v>-5.3509222185060601</v>
      </c>
    </row>
    <row r="449" spans="1:12" ht="15" customHeight="1" x14ac:dyDescent="0.2">
      <c r="A449" s="6">
        <v>45400</v>
      </c>
      <c r="B449" s="7">
        <v>66.021484000000001</v>
      </c>
      <c r="C449" s="8">
        <v>2405058.2999999998</v>
      </c>
      <c r="D449" s="7">
        <v>0.91003399999999601</v>
      </c>
      <c r="E449" s="7">
        <v>1.39765586544302</v>
      </c>
      <c r="F449" s="7">
        <v>1.39765186459248</v>
      </c>
      <c r="G449" s="7">
        <v>66.693179999999998</v>
      </c>
      <c r="H449" s="7">
        <v>-4.4304662693892096</v>
      </c>
      <c r="I449" s="7">
        <v>65.747500000000002</v>
      </c>
      <c r="J449" s="7">
        <v>66.334620000000001</v>
      </c>
      <c r="K449" s="7">
        <v>64.954890000000006</v>
      </c>
      <c r="L449" s="7">
        <v>-5.3929885771981301</v>
      </c>
    </row>
    <row r="450" spans="1:12" ht="15" customHeight="1" x14ac:dyDescent="0.2">
      <c r="A450" s="3">
        <v>45399</v>
      </c>
      <c r="B450" s="4">
        <v>65.111450000000005</v>
      </c>
      <c r="C450" s="5">
        <v>2179559</v>
      </c>
      <c r="D450" s="4">
        <v>0.342480000000009</v>
      </c>
      <c r="E450" s="4">
        <v>0.52877172510232795</v>
      </c>
      <c r="F450" s="4">
        <v>0.52878037388319699</v>
      </c>
      <c r="G450" s="4">
        <v>65.773889999999994</v>
      </c>
      <c r="H450" s="4">
        <v>-5.7477841220274097</v>
      </c>
      <c r="I450" s="4">
        <v>64.964675999999997</v>
      </c>
      <c r="J450" s="4">
        <v>65.444149999999993</v>
      </c>
      <c r="K450" s="4">
        <v>64.279700000000005</v>
      </c>
      <c r="L450" s="4">
        <v>-6.6970428307065397</v>
      </c>
    </row>
    <row r="451" spans="1:12" ht="15" customHeight="1" x14ac:dyDescent="0.2">
      <c r="A451" s="6">
        <v>45398</v>
      </c>
      <c r="B451" s="7">
        <v>64.768969999999996</v>
      </c>
      <c r="C451" s="8">
        <v>2321084.1999999899</v>
      </c>
      <c r="D451" s="7">
        <v>-1.01767399999999</v>
      </c>
      <c r="E451" s="7">
        <v>-1.5469310153592799</v>
      </c>
      <c r="F451" s="7">
        <v>-1.54693447313596</v>
      </c>
      <c r="G451" s="7">
        <v>65.42792</v>
      </c>
      <c r="H451" s="7">
        <v>-6.2435498297771197</v>
      </c>
      <c r="I451" s="7">
        <v>66.49118</v>
      </c>
      <c r="J451" s="7">
        <v>66.49118</v>
      </c>
      <c r="K451" s="7">
        <v>63.770862999999999</v>
      </c>
      <c r="L451" s="7">
        <v>-7.1878074622934696</v>
      </c>
    </row>
    <row r="452" spans="1:12" ht="15" customHeight="1" x14ac:dyDescent="0.2">
      <c r="A452" s="3">
        <v>45397</v>
      </c>
      <c r="B452" s="4">
        <v>65.786643999999995</v>
      </c>
      <c r="C452" s="5">
        <v>1492871.5</v>
      </c>
      <c r="D452" s="4">
        <v>-1.7613559999999999</v>
      </c>
      <c r="E452" s="4">
        <v>-2.60756202996388</v>
      </c>
      <c r="F452" s="4">
        <v>-2.6075536944117599</v>
      </c>
      <c r="G452" s="4">
        <v>66.455950000000001</v>
      </c>
      <c r="H452" s="4">
        <v>-4.7704104808799803</v>
      </c>
      <c r="I452" s="4">
        <v>67.548000000000002</v>
      </c>
      <c r="J452" s="4">
        <v>67.743706000000003</v>
      </c>
      <c r="K452" s="4">
        <v>65.179950000000005</v>
      </c>
      <c r="L452" s="4">
        <v>-5.7295079829499196</v>
      </c>
    </row>
    <row r="453" spans="1:12" ht="15" customHeight="1" x14ac:dyDescent="0.2">
      <c r="A453" s="6">
        <v>45394</v>
      </c>
      <c r="B453" s="7">
        <v>67.548000000000002</v>
      </c>
      <c r="C453" s="8">
        <v>1684720.2</v>
      </c>
      <c r="D453" s="7">
        <v>-0.38161999999999802</v>
      </c>
      <c r="E453" s="7">
        <v>-0.56178733224180299</v>
      </c>
      <c r="F453" s="7">
        <v>-0.56179816215886602</v>
      </c>
      <c r="G453" s="7">
        <v>68.235219999999998</v>
      </c>
      <c r="H453" s="7">
        <v>-2.2207644109090601</v>
      </c>
      <c r="I453" s="7">
        <v>68.027469999999994</v>
      </c>
      <c r="J453" s="7">
        <v>68.027469999999994</v>
      </c>
      <c r="K453" s="7">
        <v>66.55968</v>
      </c>
      <c r="L453" s="7">
        <v>-3.2055321933172398</v>
      </c>
    </row>
    <row r="454" spans="1:12" ht="15" customHeight="1" x14ac:dyDescent="0.2">
      <c r="A454" s="3">
        <v>45393</v>
      </c>
      <c r="B454" s="4">
        <v>67.92962</v>
      </c>
      <c r="C454" s="5">
        <v>1534921.3</v>
      </c>
      <c r="D454" s="4">
        <v>-1.39929999999999</v>
      </c>
      <c r="E454" s="4">
        <v>-2.0183496295629499</v>
      </c>
      <c r="F454" s="4">
        <v>-2.0183407378046199</v>
      </c>
      <c r="G454" s="4">
        <v>68.620729999999995</v>
      </c>
      <c r="H454" s="4">
        <v>-1.6683389462890199</v>
      </c>
      <c r="I454" s="4">
        <v>69.338710000000006</v>
      </c>
      <c r="J454" s="4">
        <v>69.632270000000005</v>
      </c>
      <c r="K454" s="4">
        <v>67.313149999999993</v>
      </c>
      <c r="L454" s="4">
        <v>-2.65868099410504</v>
      </c>
    </row>
    <row r="455" spans="1:12" ht="15" customHeight="1" x14ac:dyDescent="0.2">
      <c r="A455" s="6">
        <v>45392</v>
      </c>
      <c r="B455" s="7">
        <v>69.328919999999997</v>
      </c>
      <c r="C455" s="8">
        <v>4039635</v>
      </c>
      <c r="D455" s="7">
        <v>-1.1546700000000101</v>
      </c>
      <c r="E455" s="7">
        <v>-1.63821110701087</v>
      </c>
      <c r="F455" s="7">
        <v>-1.63820916531747</v>
      </c>
      <c r="G455" s="7">
        <v>70.034260000000003</v>
      </c>
      <c r="H455" s="7">
        <v>0.35721153749703499</v>
      </c>
      <c r="I455" s="7">
        <v>70.483590000000007</v>
      </c>
      <c r="J455" s="7">
        <v>70.757576</v>
      </c>
      <c r="K455" s="7">
        <v>68.497169999999997</v>
      </c>
      <c r="L455" s="7">
        <v>-0.65352171771061296</v>
      </c>
    </row>
    <row r="456" spans="1:12" ht="15" customHeight="1" x14ac:dyDescent="0.2">
      <c r="A456" s="3">
        <v>45391</v>
      </c>
      <c r="B456" s="4">
        <v>70.483590000000007</v>
      </c>
      <c r="C456" s="5">
        <v>1882057.9</v>
      </c>
      <c r="D456" s="4">
        <v>-0.117419999999995</v>
      </c>
      <c r="E456" s="4">
        <v>-0.16631490116075701</v>
      </c>
      <c r="F456" s="4">
        <v>-0.166328048648822</v>
      </c>
      <c r="G456" s="4">
        <v>71.200676000000001</v>
      </c>
      <c r="H456" s="4">
        <v>2.0286543035478299</v>
      </c>
      <c r="I456" s="4">
        <v>70.473799999999997</v>
      </c>
      <c r="J456" s="4">
        <v>71.119640000000004</v>
      </c>
      <c r="K456" s="4">
        <v>69.945400000000006</v>
      </c>
      <c r="L456" s="4">
        <v>1.00108934616016</v>
      </c>
    </row>
    <row r="457" spans="1:12" ht="15" customHeight="1" x14ac:dyDescent="0.2">
      <c r="A457" s="6">
        <v>45390</v>
      </c>
      <c r="B457" s="7">
        <v>70.601010000000002</v>
      </c>
      <c r="C457" s="8">
        <v>1733499.5</v>
      </c>
      <c r="D457" s="7">
        <v>2.7105299999999999</v>
      </c>
      <c r="E457" s="7">
        <v>3.9925038090760299</v>
      </c>
      <c r="F457" s="7">
        <v>3.9925178311298999</v>
      </c>
      <c r="G457" s="7">
        <v>71.319299999999998</v>
      </c>
      <c r="H457" s="7">
        <v>2.1986393060512301</v>
      </c>
      <c r="I457" s="7">
        <v>67.998115999999996</v>
      </c>
      <c r="J457" s="7">
        <v>70.982640000000004</v>
      </c>
      <c r="K457" s="7">
        <v>67.998115999999996</v>
      </c>
      <c r="L457" s="7">
        <v>1.1693490490360501</v>
      </c>
    </row>
    <row r="458" spans="1:12" ht="15" customHeight="1" x14ac:dyDescent="0.2">
      <c r="A458" s="3">
        <v>45387</v>
      </c>
      <c r="B458" s="4">
        <v>67.890479999999997</v>
      </c>
      <c r="C458" s="5">
        <v>1637882.7</v>
      </c>
      <c r="D458" s="4">
        <v>-0.61648000000000902</v>
      </c>
      <c r="E458" s="4">
        <v>-0.89987936992096396</v>
      </c>
      <c r="F458" s="4">
        <v>-0.899885179947856</v>
      </c>
      <c r="G458" s="4">
        <v>68.581183999999993</v>
      </c>
      <c r="H458" s="4">
        <v>-1.72500730099802</v>
      </c>
      <c r="I458" s="4">
        <v>68.624374000000003</v>
      </c>
      <c r="J458" s="4">
        <v>69.475700000000003</v>
      </c>
      <c r="K458" s="4">
        <v>67.479500000000002</v>
      </c>
      <c r="L458" s="4">
        <v>-2.7147675617303402</v>
      </c>
    </row>
    <row r="459" spans="1:12" ht="15" customHeight="1" x14ac:dyDescent="0.2">
      <c r="A459" s="6">
        <v>45386</v>
      </c>
      <c r="B459" s="7">
        <v>68.506960000000007</v>
      </c>
      <c r="C459" s="8">
        <v>1314163.7</v>
      </c>
      <c r="D459" s="7">
        <v>-4.8919999999995398E-2</v>
      </c>
      <c r="E459" s="7">
        <v>-7.1357847058484095E-2</v>
      </c>
      <c r="F459" s="7">
        <v>-7.1361158505522895E-2</v>
      </c>
      <c r="G459" s="7">
        <v>69.203940000000003</v>
      </c>
      <c r="H459" s="7">
        <v>-0.83261469731739002</v>
      </c>
      <c r="I459" s="7">
        <v>68.604810000000001</v>
      </c>
      <c r="J459" s="7">
        <v>69.837760000000003</v>
      </c>
      <c r="K459" s="7">
        <v>67.714340000000007</v>
      </c>
      <c r="L459" s="7">
        <v>-1.8313682973040799</v>
      </c>
    </row>
    <row r="460" spans="1:12" ht="15" customHeight="1" x14ac:dyDescent="0.2">
      <c r="A460" s="3">
        <v>45385</v>
      </c>
      <c r="B460" s="4">
        <v>68.555880000000002</v>
      </c>
      <c r="C460" s="5">
        <v>633987.06000000006</v>
      </c>
      <c r="D460" s="4">
        <v>-2.3484799999999901</v>
      </c>
      <c r="E460" s="4">
        <v>-3.3121799562114198</v>
      </c>
      <c r="F460" s="4">
        <v>-3.3121689169638402</v>
      </c>
      <c r="G460" s="4">
        <v>69.253360000000001</v>
      </c>
      <c r="H460" s="4">
        <v>-0.76179716609505899</v>
      </c>
      <c r="I460" s="4">
        <v>70.9435</v>
      </c>
      <c r="J460" s="4">
        <v>70.982640000000004</v>
      </c>
      <c r="K460" s="4">
        <v>68.418884000000006</v>
      </c>
      <c r="L460" s="4">
        <v>-1.76126725263803</v>
      </c>
    </row>
    <row r="461" spans="1:12" ht="15" customHeight="1" x14ac:dyDescent="0.2">
      <c r="A461" s="6">
        <v>45384</v>
      </c>
      <c r="B461" s="7">
        <v>70.904359999999997</v>
      </c>
      <c r="C461" s="8">
        <v>759579.47</v>
      </c>
      <c r="D461" s="7">
        <v>0.34248599999999302</v>
      </c>
      <c r="E461" s="7">
        <v>0.48536976214661398</v>
      </c>
      <c r="F461" s="7">
        <v>0.48536218415999799</v>
      </c>
      <c r="G461" s="7">
        <v>71.625725000000003</v>
      </c>
      <c r="H461" s="7">
        <v>2.6377380920650801</v>
      </c>
      <c r="I461" s="7">
        <v>70.229163999999997</v>
      </c>
      <c r="J461" s="7">
        <v>71.471909999999994</v>
      </c>
      <c r="K461" s="7">
        <v>70.013890000000004</v>
      </c>
      <c r="L461" s="7">
        <v>1.6040414427287799</v>
      </c>
    </row>
    <row r="462" spans="1:12" ht="15" customHeight="1" x14ac:dyDescent="0.2">
      <c r="A462" s="3">
        <v>45383</v>
      </c>
      <c r="B462" s="4">
        <v>70.561874000000003</v>
      </c>
      <c r="C462" s="5">
        <v>2307775.6</v>
      </c>
      <c r="D462" s="4">
        <v>-0.63603999999999405</v>
      </c>
      <c r="E462" s="4">
        <v>-0.89334077961890002</v>
      </c>
      <c r="F462" s="4">
        <v>-0.89333943436434804</v>
      </c>
      <c r="G462" s="4">
        <v>71.279759999999996</v>
      </c>
      <c r="H462" s="4">
        <v>2.1419795491809102</v>
      </c>
      <c r="I462" s="4">
        <v>71.550185999999997</v>
      </c>
      <c r="J462" s="4">
        <v>71.599109999999996</v>
      </c>
      <c r="K462" s="4">
        <v>69.553985999999995</v>
      </c>
      <c r="L462" s="4">
        <v>1.1132682133031999</v>
      </c>
    </row>
    <row r="463" spans="1:12" ht="15" customHeight="1" x14ac:dyDescent="0.2">
      <c r="A463" s="6">
        <v>45378</v>
      </c>
      <c r="B463" s="7">
        <v>71.197913999999997</v>
      </c>
      <c r="C463" s="8">
        <v>1890081.2</v>
      </c>
      <c r="D463" s="7">
        <v>2.5539639999999899</v>
      </c>
      <c r="E463" s="7">
        <v>3.7205959155905002</v>
      </c>
      <c r="F463" s="7">
        <v>3.7205994838361098</v>
      </c>
      <c r="G463" s="7">
        <v>71.922269999999997</v>
      </c>
      <c r="H463" s="7">
        <v>3.0626791037268899</v>
      </c>
      <c r="I463" s="7">
        <v>68.692869999999999</v>
      </c>
      <c r="J463" s="7">
        <v>71.285979999999995</v>
      </c>
      <c r="K463" s="7">
        <v>68.086190000000002</v>
      </c>
      <c r="L463" s="7">
        <v>2.0246964318109599</v>
      </c>
    </row>
    <row r="464" spans="1:12" ht="15" customHeight="1" x14ac:dyDescent="0.2">
      <c r="A464" s="3">
        <v>45377</v>
      </c>
      <c r="B464" s="4">
        <v>68.643950000000004</v>
      </c>
      <c r="C464" s="5">
        <v>2504625.7000000002</v>
      </c>
      <c r="D464" s="4">
        <v>-0.43054999999999599</v>
      </c>
      <c r="E464" s="4">
        <v>-0.62331251040542701</v>
      </c>
      <c r="F464" s="4">
        <v>-0.62331203938244995</v>
      </c>
      <c r="G464" s="4">
        <v>69.342320000000001</v>
      </c>
      <c r="H464" s="4">
        <v>-0.63431987800240597</v>
      </c>
      <c r="I464" s="4">
        <v>69.064719999999994</v>
      </c>
      <c r="J464" s="4">
        <v>69.397414999999995</v>
      </c>
      <c r="K464" s="4">
        <v>67.988335000000006</v>
      </c>
      <c r="L464" s="4">
        <v>-1.6350653106155499</v>
      </c>
    </row>
    <row r="465" spans="1:12" ht="15" customHeight="1" x14ac:dyDescent="0.2">
      <c r="A465" s="6">
        <v>45376</v>
      </c>
      <c r="B465" s="7">
        <v>69.0745</v>
      </c>
      <c r="C465" s="8">
        <v>645977.5</v>
      </c>
      <c r="D465" s="7">
        <v>-0.166349999999994</v>
      </c>
      <c r="E465" s="7">
        <v>-0.24024835050406801</v>
      </c>
      <c r="F465" s="7">
        <v>-0.24025917395451499</v>
      </c>
      <c r="G465" s="7">
        <v>69.777249999999995</v>
      </c>
      <c r="H465" s="7">
        <v>-1.10768821600426E-2</v>
      </c>
      <c r="I465" s="7">
        <v>69.191924999999998</v>
      </c>
      <c r="J465" s="7">
        <v>69.416989999999998</v>
      </c>
      <c r="K465" s="7">
        <v>67.636060000000001</v>
      </c>
      <c r="L465" s="7">
        <v>-1.01809873700616</v>
      </c>
    </row>
    <row r="466" spans="1:12" ht="15" customHeight="1" x14ac:dyDescent="0.2">
      <c r="A466" s="3">
        <v>45373</v>
      </c>
      <c r="B466" s="4">
        <v>69.240849999999995</v>
      </c>
      <c r="C466" s="5">
        <v>1286073.7</v>
      </c>
      <c r="D466" s="4">
        <v>0.98830999999999802</v>
      </c>
      <c r="E466" s="4">
        <v>1.44801937041463</v>
      </c>
      <c r="F466" s="4">
        <v>1.4480267649335601</v>
      </c>
      <c r="G466" s="4">
        <v>69.945300000000003</v>
      </c>
      <c r="H466" s="4">
        <v>0.229734249404382</v>
      </c>
      <c r="I466" s="4">
        <v>68.213393999999994</v>
      </c>
      <c r="J466" s="4">
        <v>69.426770000000005</v>
      </c>
      <c r="K466" s="4">
        <v>68.017690000000002</v>
      </c>
      <c r="L466" s="4">
        <v>-0.77972365973309599</v>
      </c>
    </row>
    <row r="467" spans="1:12" ht="15" customHeight="1" x14ac:dyDescent="0.2">
      <c r="A467" s="6">
        <v>45372</v>
      </c>
      <c r="B467" s="7">
        <v>68.252539999999996</v>
      </c>
      <c r="C467" s="8">
        <v>1927699.7</v>
      </c>
      <c r="D467" s="7">
        <v>0.23484999999999401</v>
      </c>
      <c r="E467" s="7">
        <v>0.34527782404840601</v>
      </c>
      <c r="F467" s="7">
        <v>0.34527296832378401</v>
      </c>
      <c r="G467" s="7">
        <v>68.946929999999995</v>
      </c>
      <c r="H467" s="7">
        <v>-1.2009031169744599</v>
      </c>
      <c r="I467" s="7">
        <v>68.497169999999997</v>
      </c>
      <c r="J467" s="7">
        <v>68.546099999999996</v>
      </c>
      <c r="K467" s="7">
        <v>67.303359999999998</v>
      </c>
      <c r="L467" s="7">
        <v>-2.1959453165996501</v>
      </c>
    </row>
    <row r="468" spans="1:12" ht="15" customHeight="1" x14ac:dyDescent="0.2">
      <c r="A468" s="3">
        <v>45371</v>
      </c>
      <c r="B468" s="4">
        <v>68.017690000000002</v>
      </c>
      <c r="C468" s="5">
        <v>2327292.7000000002</v>
      </c>
      <c r="D468" s="4">
        <v>-0.50883999999999197</v>
      </c>
      <c r="E468" s="4">
        <v>-0.74254452983390995</v>
      </c>
      <c r="F468" s="4">
        <v>-0.74254327021767697</v>
      </c>
      <c r="G468" s="4">
        <v>68.709693999999999</v>
      </c>
      <c r="H468" s="4">
        <v>-1.5408559263039201</v>
      </c>
      <c r="I468" s="4">
        <v>69.064719999999994</v>
      </c>
      <c r="J468" s="4">
        <v>69.563770000000005</v>
      </c>
      <c r="K468" s="4">
        <v>67.518640000000005</v>
      </c>
      <c r="L468" s="4">
        <v>-2.5324790520825502</v>
      </c>
    </row>
    <row r="469" spans="1:12" ht="15" customHeight="1" x14ac:dyDescent="0.2">
      <c r="A469" s="6">
        <v>45370</v>
      </c>
      <c r="B469" s="7">
        <v>68.526529999999994</v>
      </c>
      <c r="C469" s="8">
        <v>1536428.5999999901</v>
      </c>
      <c r="D469" s="7">
        <v>-1.05681000000001</v>
      </c>
      <c r="E469" s="7">
        <v>-1.5187687167646899</v>
      </c>
      <c r="F469" s="7">
        <v>-1.5187731336499399</v>
      </c>
      <c r="G469" s="7">
        <v>69.223709999999997</v>
      </c>
      <c r="H469" s="7">
        <v>-0.80428481888224002</v>
      </c>
      <c r="I469" s="7">
        <v>69.964966000000004</v>
      </c>
      <c r="J469" s="7">
        <v>70.473799999999997</v>
      </c>
      <c r="K469" s="7">
        <v>68.321039999999996</v>
      </c>
      <c r="L469" s="7">
        <v>-1.80332501349145</v>
      </c>
    </row>
    <row r="470" spans="1:12" ht="15" customHeight="1" x14ac:dyDescent="0.2">
      <c r="A470" s="3">
        <v>45366</v>
      </c>
      <c r="B470" s="4">
        <v>69.583340000000007</v>
      </c>
      <c r="C470" s="5">
        <v>10089790</v>
      </c>
      <c r="D470" s="4">
        <v>0.21527500000000499</v>
      </c>
      <c r="E470" s="4">
        <v>0.31033732885588</v>
      </c>
      <c r="F470" s="4">
        <v>0.31033705745413498</v>
      </c>
      <c r="G470" s="4">
        <v>70.291274999999999</v>
      </c>
      <c r="H470" s="4">
        <v>0.72550712201965795</v>
      </c>
      <c r="I470" s="4">
        <v>69.769264000000007</v>
      </c>
      <c r="J470" s="4">
        <v>70.845650000000006</v>
      </c>
      <c r="K470" s="4">
        <v>68.643950000000004</v>
      </c>
      <c r="L470" s="4">
        <v>-0.288944698415042</v>
      </c>
    </row>
    <row r="471" spans="1:12" ht="15" customHeight="1" x14ac:dyDescent="0.2">
      <c r="A471" s="6">
        <v>45365</v>
      </c>
      <c r="B471" s="7">
        <v>69.368065000000001</v>
      </c>
      <c r="C471" s="8">
        <v>2827184.8</v>
      </c>
      <c r="D471" s="7">
        <v>-1.66349499999999</v>
      </c>
      <c r="E471" s="7">
        <v>-2.3419097088674401</v>
      </c>
      <c r="F471" s="7">
        <v>-2.3419107138352802</v>
      </c>
      <c r="G471" s="7">
        <v>70.073809999999995</v>
      </c>
      <c r="H471" s="7">
        <v>0.41388562409846602</v>
      </c>
      <c r="I471" s="7">
        <v>71.148989999999998</v>
      </c>
      <c r="J471" s="7">
        <v>71.853530000000006</v>
      </c>
      <c r="K471" s="7">
        <v>69.113640000000004</v>
      </c>
      <c r="L471" s="7">
        <v>-0.59742798521974605</v>
      </c>
    </row>
    <row r="472" spans="1:12" ht="15" customHeight="1" x14ac:dyDescent="0.2">
      <c r="A472" s="3">
        <v>45364</v>
      </c>
      <c r="B472" s="4">
        <v>71.031559999999999</v>
      </c>
      <c r="C472" s="5">
        <v>3913285.1999999899</v>
      </c>
      <c r="D472" s="4">
        <v>0.86110399999999698</v>
      </c>
      <c r="E472" s="4">
        <v>1.2271603308378001</v>
      </c>
      <c r="F472" s="4">
        <v>1.22716774193913</v>
      </c>
      <c r="G472" s="4">
        <v>71.754230000000007</v>
      </c>
      <c r="H472" s="4">
        <v>2.8218823018936199</v>
      </c>
      <c r="I472" s="4">
        <v>70.092169999999996</v>
      </c>
      <c r="J472" s="4">
        <v>71.246840000000006</v>
      </c>
      <c r="K472" s="4">
        <v>69.250630000000001</v>
      </c>
      <c r="L472" s="4">
        <v>1.78631562264543</v>
      </c>
    </row>
    <row r="473" spans="1:12" ht="15" customHeight="1" x14ac:dyDescent="0.2">
      <c r="A473" s="6">
        <v>45363</v>
      </c>
      <c r="B473" s="7">
        <v>70.170456000000001</v>
      </c>
      <c r="C473" s="8">
        <v>2415289.7999999998</v>
      </c>
      <c r="D473" s="7">
        <v>-1.10573399999999</v>
      </c>
      <c r="E473" s="7">
        <v>-1.55133712955195</v>
      </c>
      <c r="F473" s="7">
        <v>-1.55133223909443</v>
      </c>
      <c r="G473" s="7">
        <v>70.884360000000001</v>
      </c>
      <c r="H473" s="7">
        <v>1.57538198047774</v>
      </c>
      <c r="I473" s="7">
        <v>71.178344999999993</v>
      </c>
      <c r="J473" s="7">
        <v>71.256630000000001</v>
      </c>
      <c r="K473" s="7">
        <v>69.446349999999995</v>
      </c>
      <c r="L473" s="7">
        <v>0.55237674353420596</v>
      </c>
    </row>
    <row r="474" spans="1:12" ht="15" customHeight="1" x14ac:dyDescent="0.2">
      <c r="A474" s="3">
        <v>45362</v>
      </c>
      <c r="B474" s="4">
        <v>71.27619</v>
      </c>
      <c r="C474" s="5">
        <v>3344381.6</v>
      </c>
      <c r="D474" s="4">
        <v>0.31312400000000101</v>
      </c>
      <c r="E474" s="4">
        <v>0.44124925492932099</v>
      </c>
      <c r="F474" s="4">
        <v>0.44124132127101301</v>
      </c>
      <c r="G474" s="4">
        <v>72.001339999999999</v>
      </c>
      <c r="H474" s="4">
        <v>3.1759842877364002</v>
      </c>
      <c r="I474" s="4">
        <v>70.884789999999995</v>
      </c>
      <c r="J474" s="4">
        <v>71.579543999999999</v>
      </c>
      <c r="K474" s="4">
        <v>70.415090000000006</v>
      </c>
      <c r="L474" s="4">
        <v>2.1368638351691001</v>
      </c>
    </row>
    <row r="475" spans="1:12" ht="15" customHeight="1" x14ac:dyDescent="0.2">
      <c r="A475" s="6">
        <v>45359</v>
      </c>
      <c r="B475" s="7">
        <v>70.963065999999998</v>
      </c>
      <c r="C475" s="8">
        <v>10515763</v>
      </c>
      <c r="D475" s="7">
        <v>-0.45012400000000202</v>
      </c>
      <c r="E475" s="7">
        <v>-0.63030933081129603</v>
      </c>
      <c r="F475" s="7">
        <v>-0.63031000666208203</v>
      </c>
      <c r="G475" s="7">
        <v>71.685035999999997</v>
      </c>
      <c r="H475" s="7">
        <v>2.7227291603436599</v>
      </c>
      <c r="I475" s="7">
        <v>71.785033999999996</v>
      </c>
      <c r="J475" s="7">
        <v>72.421080000000003</v>
      </c>
      <c r="K475" s="7">
        <v>70.356384000000006</v>
      </c>
      <c r="L475" s="7">
        <v>1.6881655622742699</v>
      </c>
    </row>
    <row r="476" spans="1:12" ht="15" customHeight="1" x14ac:dyDescent="0.2">
      <c r="A476" s="3">
        <v>45358</v>
      </c>
      <c r="B476" s="4">
        <v>71.41319</v>
      </c>
      <c r="C476" s="5">
        <v>3825403.6</v>
      </c>
      <c r="D476" s="4">
        <v>0.71431999999999995</v>
      </c>
      <c r="E476" s="4">
        <v>1.0103697555562099</v>
      </c>
      <c r="F476" s="4">
        <v>1.0103818995912299</v>
      </c>
      <c r="G476" s="4">
        <v>72.139740000000003</v>
      </c>
      <c r="H476" s="4">
        <v>3.3743077665136498</v>
      </c>
      <c r="I476" s="4">
        <v>70.698869999999999</v>
      </c>
      <c r="J476" s="4">
        <v>72.763565</v>
      </c>
      <c r="K476" s="4">
        <v>70.689080000000004</v>
      </c>
      <c r="L476" s="4">
        <v>2.3331811515887702</v>
      </c>
    </row>
    <row r="477" spans="1:12" ht="15" customHeight="1" x14ac:dyDescent="0.2">
      <c r="A477" s="6">
        <v>45357</v>
      </c>
      <c r="B477" s="7">
        <v>70.698869999999999</v>
      </c>
      <c r="C477" s="8">
        <v>3213108.2</v>
      </c>
      <c r="D477" s="7">
        <v>0.97853000000000601</v>
      </c>
      <c r="E477" s="7">
        <v>1.40350721181223</v>
      </c>
      <c r="F477" s="7">
        <v>1.4034980856432999</v>
      </c>
      <c r="G477" s="7">
        <v>71.418143999999998</v>
      </c>
      <c r="H477" s="7">
        <v>2.34028010038835</v>
      </c>
      <c r="I477" s="7">
        <v>69.808395000000004</v>
      </c>
      <c r="J477" s="7">
        <v>70.835859999999997</v>
      </c>
      <c r="K477" s="7">
        <v>69.593124000000003</v>
      </c>
      <c r="L477" s="7">
        <v>1.30957979783041</v>
      </c>
    </row>
    <row r="478" spans="1:12" ht="15" customHeight="1" x14ac:dyDescent="0.2">
      <c r="A478" s="3">
        <v>45356</v>
      </c>
      <c r="B478" s="4">
        <v>69.720339999999993</v>
      </c>
      <c r="C478" s="5">
        <v>2872643.8</v>
      </c>
      <c r="D478" s="4">
        <v>-3.3759199999999998</v>
      </c>
      <c r="E478" s="4">
        <v>-4.61845790742235</v>
      </c>
      <c r="F478" s="4">
        <v>-4.6184564367815497</v>
      </c>
      <c r="G478" s="4">
        <v>70.429665</v>
      </c>
      <c r="H478" s="4">
        <v>0.92381627106577302</v>
      </c>
      <c r="I478" s="4">
        <v>73.096260000000001</v>
      </c>
      <c r="J478" s="4">
        <v>73.096260000000001</v>
      </c>
      <c r="K478" s="4">
        <v>68.174255000000002</v>
      </c>
      <c r="L478" s="4">
        <v>-9.2627381995396899E-2</v>
      </c>
    </row>
    <row r="479" spans="1:12" ht="15" customHeight="1" x14ac:dyDescent="0.2">
      <c r="A479" s="6">
        <v>45355</v>
      </c>
      <c r="B479" s="7">
        <v>73.096260000000001</v>
      </c>
      <c r="C479" s="8">
        <v>1117835.8</v>
      </c>
      <c r="D479" s="7">
        <v>-0.82063999999999704</v>
      </c>
      <c r="E479" s="7">
        <v>-1.1102197197122601</v>
      </c>
      <c r="F479" s="7">
        <v>-0.96440428771961095</v>
      </c>
      <c r="G479" s="7">
        <v>73.839929999999995</v>
      </c>
      <c r="H479" s="7">
        <v>5.8106343227439297</v>
      </c>
      <c r="I479" s="7">
        <v>74.309650000000005</v>
      </c>
      <c r="J479" s="7">
        <v>74.456419999999994</v>
      </c>
      <c r="K479" s="7">
        <v>72.606994999999998</v>
      </c>
      <c r="L479" s="7">
        <v>4.7449752081321703</v>
      </c>
    </row>
    <row r="480" spans="1:12" ht="15" customHeight="1" x14ac:dyDescent="0.2">
      <c r="A480" s="3">
        <v>45352</v>
      </c>
      <c r="B480" s="4">
        <v>73.916899999999998</v>
      </c>
      <c r="C480" s="5">
        <v>708814</v>
      </c>
      <c r="D480" s="4">
        <v>-0.78987999999999603</v>
      </c>
      <c r="E480" s="4">
        <v>-1.0573069807050901</v>
      </c>
      <c r="F480" s="4">
        <v>-1.05730527158389</v>
      </c>
      <c r="G480" s="4">
        <v>74.558980000000005</v>
      </c>
      <c r="H480" s="4">
        <v>6.8410136393246797</v>
      </c>
      <c r="I480" s="4">
        <v>75.067589999999996</v>
      </c>
      <c r="J480" s="4">
        <v>75.067589999999996</v>
      </c>
      <c r="K480" s="4">
        <v>72.122609999999995</v>
      </c>
      <c r="L480" s="4">
        <v>5.9209302632170902</v>
      </c>
    </row>
    <row r="481" spans="1:12" ht="15" customHeight="1" x14ac:dyDescent="0.2">
      <c r="A481" s="6">
        <v>45351</v>
      </c>
      <c r="B481" s="7">
        <v>74.706779999999995</v>
      </c>
      <c r="C481" s="8">
        <v>5950259</v>
      </c>
      <c r="D481" s="7">
        <v>3.6568399999999799</v>
      </c>
      <c r="E481" s="7">
        <v>5.14685867433524</v>
      </c>
      <c r="F481" s="7">
        <v>5.1468511641042696</v>
      </c>
      <c r="G481" s="7">
        <v>75.355720000000005</v>
      </c>
      <c r="H481" s="7">
        <v>7.9827206370196002</v>
      </c>
      <c r="I481" s="7">
        <v>71.732544000000004</v>
      </c>
      <c r="J481" s="7">
        <v>75.945229999999995</v>
      </c>
      <c r="K481" s="7">
        <v>71.615539999999996</v>
      </c>
      <c r="L481" s="7">
        <v>7.0528070653598904</v>
      </c>
    </row>
    <row r="482" spans="1:12" ht="15" customHeight="1" x14ac:dyDescent="0.2">
      <c r="A482" s="3">
        <v>45350</v>
      </c>
      <c r="B482" s="4">
        <v>71.049940000000007</v>
      </c>
      <c r="C482" s="5">
        <v>1120650.3</v>
      </c>
      <c r="D482" s="4">
        <v>-1.1896899999999899</v>
      </c>
      <c r="E482" s="4">
        <v>-1.6468661315125801</v>
      </c>
      <c r="F482" s="4">
        <v>-1.6468602994436301</v>
      </c>
      <c r="G482" s="4">
        <v>71.667119999999997</v>
      </c>
      <c r="H482" s="4">
        <v>2.6970560140591702</v>
      </c>
      <c r="I482" s="4">
        <v>71.722800000000007</v>
      </c>
      <c r="J482" s="4">
        <v>72.259129999999999</v>
      </c>
      <c r="K482" s="4">
        <v>70.542854000000005</v>
      </c>
      <c r="L482" s="4">
        <v>1.8126536684541601</v>
      </c>
    </row>
    <row r="483" spans="1:12" ht="15" customHeight="1" x14ac:dyDescent="0.2">
      <c r="A483" s="6">
        <v>45349</v>
      </c>
      <c r="B483" s="7">
        <v>72.239630000000005</v>
      </c>
      <c r="C483" s="8">
        <v>944674.5</v>
      </c>
      <c r="D483" s="7">
        <v>-0.75086999999999104</v>
      </c>
      <c r="E483" s="7">
        <v>-1.0287229159958999</v>
      </c>
      <c r="F483" s="7">
        <v>-1.0287263613956801</v>
      </c>
      <c r="G483" s="7">
        <v>72.867140000000006</v>
      </c>
      <c r="H483" s="7">
        <v>4.4166524085841896</v>
      </c>
      <c r="I483" s="7">
        <v>73.341560000000001</v>
      </c>
      <c r="J483" s="7">
        <v>73.341560000000001</v>
      </c>
      <c r="K483" s="7">
        <v>71.313230000000004</v>
      </c>
      <c r="L483" s="7">
        <v>3.5174474507264999</v>
      </c>
    </row>
    <row r="484" spans="1:12" ht="15" customHeight="1" x14ac:dyDescent="0.2">
      <c r="A484" s="3">
        <v>45348</v>
      </c>
      <c r="B484" s="4">
        <v>72.990499999999997</v>
      </c>
      <c r="C484" s="5">
        <v>706666.75</v>
      </c>
      <c r="D484" s="4">
        <v>0.47781999999999403</v>
      </c>
      <c r="E484" s="4">
        <v>0.658946821438677</v>
      </c>
      <c r="F484" s="4">
        <v>0.65895287230852695</v>
      </c>
      <c r="G484" s="4">
        <v>73.624534999999995</v>
      </c>
      <c r="H484" s="4">
        <v>5.5019790791657304</v>
      </c>
      <c r="I484" s="4">
        <v>71.800809999999998</v>
      </c>
      <c r="J484" s="4">
        <v>73.302549999999997</v>
      </c>
      <c r="K484" s="4">
        <v>71.079189999999997</v>
      </c>
      <c r="L484" s="4">
        <v>4.5934239717486296</v>
      </c>
    </row>
    <row r="485" spans="1:12" ht="15" customHeight="1" x14ac:dyDescent="0.2">
      <c r="A485" s="6">
        <v>45345</v>
      </c>
      <c r="B485" s="7">
        <v>72.512680000000003</v>
      </c>
      <c r="C485" s="8">
        <v>1341283.3999999999</v>
      </c>
      <c r="D485" s="7">
        <v>-9.7499999999968098E-3</v>
      </c>
      <c r="E485" s="7">
        <v>-1.34441165305587E-2</v>
      </c>
      <c r="F485" s="7">
        <v>-1.34513700165594E-2</v>
      </c>
      <c r="G485" s="7">
        <v>73.142560000000003</v>
      </c>
      <c r="H485" s="7">
        <v>4.8113218632433403</v>
      </c>
      <c r="I485" s="7">
        <v>72.444419999999994</v>
      </c>
      <c r="J485" s="7">
        <v>72.824719999999999</v>
      </c>
      <c r="K485" s="7">
        <v>71.937330000000003</v>
      </c>
      <c r="L485" s="7">
        <v>3.9087207591088999</v>
      </c>
    </row>
    <row r="486" spans="1:12" ht="15" customHeight="1" x14ac:dyDescent="0.2">
      <c r="A486" s="3">
        <v>45344</v>
      </c>
      <c r="B486" s="4">
        <v>72.52243</v>
      </c>
      <c r="C486" s="5">
        <v>950969.9</v>
      </c>
      <c r="D486" s="4">
        <v>2.0770899999999899</v>
      </c>
      <c r="E486" s="4">
        <v>2.9485129889358102</v>
      </c>
      <c r="F486" s="4">
        <v>2.9485089984458899</v>
      </c>
      <c r="G486" s="4">
        <v>73.1524</v>
      </c>
      <c r="H486" s="4">
        <v>4.8254223186708503</v>
      </c>
      <c r="I486" s="4">
        <v>70.689130000000006</v>
      </c>
      <c r="J486" s="4">
        <v>72.766210000000001</v>
      </c>
      <c r="K486" s="4">
        <v>70.318569999999994</v>
      </c>
      <c r="L486" s="4">
        <v>3.9226922469562799</v>
      </c>
    </row>
    <row r="487" spans="1:12" ht="15" customHeight="1" x14ac:dyDescent="0.2">
      <c r="A487" s="6">
        <v>45343</v>
      </c>
      <c r="B487" s="7">
        <v>70.445340000000002</v>
      </c>
      <c r="C487" s="8">
        <v>691345.1</v>
      </c>
      <c r="D487" s="7">
        <v>0.30230000000000201</v>
      </c>
      <c r="E487" s="7">
        <v>0.43097647321816901</v>
      </c>
      <c r="F487" s="7">
        <v>0.43098221203707798</v>
      </c>
      <c r="G487" s="7">
        <v>71.057270000000003</v>
      </c>
      <c r="H487" s="7">
        <v>1.8231573613691601</v>
      </c>
      <c r="I487" s="7">
        <v>70.435599999999994</v>
      </c>
      <c r="J487" s="7">
        <v>70.581860000000006</v>
      </c>
      <c r="K487" s="7">
        <v>70.016279999999995</v>
      </c>
      <c r="L487" s="7">
        <v>0.94627812460503202</v>
      </c>
    </row>
    <row r="488" spans="1:12" ht="15" customHeight="1" x14ac:dyDescent="0.2">
      <c r="A488" s="3">
        <v>45342</v>
      </c>
      <c r="B488" s="4">
        <v>70.143039999999999</v>
      </c>
      <c r="C488" s="5">
        <v>1096177.3999999999</v>
      </c>
      <c r="D488" s="4">
        <v>-1.38472</v>
      </c>
      <c r="E488" s="4">
        <v>-1.9359197044615899</v>
      </c>
      <c r="F488" s="4">
        <v>-1.9359218529298099</v>
      </c>
      <c r="G488" s="4">
        <v>70.752340000000004</v>
      </c>
      <c r="H488" s="4">
        <v>1.3862008701585899</v>
      </c>
      <c r="I488" s="4">
        <v>70.484350000000006</v>
      </c>
      <c r="J488" s="4">
        <v>71.118200000000002</v>
      </c>
      <c r="K488" s="4">
        <v>69.431174999999996</v>
      </c>
      <c r="L488" s="4">
        <v>0.51309035268046799</v>
      </c>
    </row>
    <row r="489" spans="1:12" ht="15" customHeight="1" x14ac:dyDescent="0.2">
      <c r="A489" s="6">
        <v>45341</v>
      </c>
      <c r="B489" s="7">
        <v>71.527760000000001</v>
      </c>
      <c r="C489" s="8">
        <v>349409.36</v>
      </c>
      <c r="D489" s="7">
        <v>1.04340999999999</v>
      </c>
      <c r="E489" s="7">
        <v>1.48034279950086</v>
      </c>
      <c r="F489" s="7">
        <v>1.48033760254706</v>
      </c>
      <c r="G489" s="7">
        <v>72.149090000000001</v>
      </c>
      <c r="H489" s="7">
        <v>3.38770606511601</v>
      </c>
      <c r="I489" s="7">
        <v>69.821235999999999</v>
      </c>
      <c r="J489" s="7">
        <v>72.064109999999999</v>
      </c>
      <c r="K489" s="7">
        <v>69.138630000000006</v>
      </c>
      <c r="L489" s="7">
        <v>2.4973568810938902</v>
      </c>
    </row>
    <row r="490" spans="1:12" ht="15" customHeight="1" x14ac:dyDescent="0.2">
      <c r="A490" s="3">
        <v>45338</v>
      </c>
      <c r="B490" s="4">
        <v>70.484350000000006</v>
      </c>
      <c r="C490" s="5">
        <v>494883.36</v>
      </c>
      <c r="D490" s="4">
        <v>0.555840000000003</v>
      </c>
      <c r="E490" s="4">
        <v>0.79486893114124602</v>
      </c>
      <c r="F490" s="4">
        <v>0.79487126777197903</v>
      </c>
      <c r="G490" s="4">
        <v>71.096620000000001</v>
      </c>
      <c r="H490" s="4">
        <v>1.8795448533480901</v>
      </c>
      <c r="I490" s="4">
        <v>69.879750000000001</v>
      </c>
      <c r="J490" s="4">
        <v>70.679389999999998</v>
      </c>
      <c r="K490" s="4">
        <v>69.499435000000005</v>
      </c>
      <c r="L490" s="4">
        <v>1.0021784057256999</v>
      </c>
    </row>
    <row r="491" spans="1:12" ht="15" customHeight="1" x14ac:dyDescent="0.2">
      <c r="A491" s="6">
        <v>45337</v>
      </c>
      <c r="B491" s="7">
        <v>69.928510000000003</v>
      </c>
      <c r="C491" s="8">
        <v>750934.45</v>
      </c>
      <c r="D491" s="7">
        <v>-0.26330000000000098</v>
      </c>
      <c r="E491" s="7">
        <v>-0.37511498848654601</v>
      </c>
      <c r="F491" s="7">
        <v>-0.375118959276876</v>
      </c>
      <c r="G491" s="7">
        <v>70.53595</v>
      </c>
      <c r="H491" s="7">
        <v>1.07611981833339</v>
      </c>
      <c r="I491" s="7">
        <v>70.250309999999999</v>
      </c>
      <c r="J491" s="7">
        <v>71.079189999999997</v>
      </c>
      <c r="K491" s="7">
        <v>69.655463999999995</v>
      </c>
      <c r="L491" s="7">
        <v>0.205674630844629</v>
      </c>
    </row>
    <row r="492" spans="1:12" ht="15" customHeight="1" x14ac:dyDescent="0.2">
      <c r="A492" s="3">
        <v>45336</v>
      </c>
      <c r="B492" s="4">
        <v>70.191810000000004</v>
      </c>
      <c r="C492" s="5">
        <v>3056559</v>
      </c>
      <c r="D492" s="4">
        <v>0.71187500000000603</v>
      </c>
      <c r="E492" s="4">
        <v>1.0245763758990301</v>
      </c>
      <c r="F492" s="4">
        <v>1.0245925323046901</v>
      </c>
      <c r="G492" s="4">
        <v>70.801540000000003</v>
      </c>
      <c r="H492" s="4">
        <v>1.45670314729616</v>
      </c>
      <c r="I492" s="4">
        <v>70.113789999999995</v>
      </c>
      <c r="J492" s="4">
        <v>70.952420000000004</v>
      </c>
      <c r="K492" s="4">
        <v>69.87</v>
      </c>
      <c r="L492" s="4">
        <v>0.58297645137965104</v>
      </c>
    </row>
    <row r="493" spans="1:12" ht="15" customHeight="1" x14ac:dyDescent="0.2">
      <c r="A493" s="6">
        <v>45335</v>
      </c>
      <c r="B493" s="7">
        <v>69.479934999999998</v>
      </c>
      <c r="C493" s="8">
        <v>2034988.2</v>
      </c>
      <c r="D493" s="7">
        <v>-1.8332949999999999</v>
      </c>
      <c r="E493" s="7">
        <v>-2.5707642186449902</v>
      </c>
      <c r="F493" s="7">
        <v>-2.57077796329067</v>
      </c>
      <c r="G493" s="7">
        <v>70.083470000000005</v>
      </c>
      <c r="H493" s="7">
        <v>0.42772814436573697</v>
      </c>
      <c r="I493" s="7">
        <v>71.722800000000007</v>
      </c>
      <c r="J493" s="7">
        <v>71.722800000000007</v>
      </c>
      <c r="K493" s="7">
        <v>69.343419999999995</v>
      </c>
      <c r="L493" s="7">
        <v>-0.43712128311852599</v>
      </c>
    </row>
    <row r="494" spans="1:12" ht="15" customHeight="1" x14ac:dyDescent="0.2">
      <c r="A494" s="3">
        <v>45334</v>
      </c>
      <c r="B494" s="4">
        <v>71.313230000000004</v>
      </c>
      <c r="C494" s="5">
        <v>495521.2</v>
      </c>
      <c r="D494" s="4">
        <v>0.60459000000000096</v>
      </c>
      <c r="E494" s="4">
        <v>0.855044022908657</v>
      </c>
      <c r="F494" s="4">
        <v>0.85505556774581004</v>
      </c>
      <c r="G494" s="4">
        <v>71.932699999999997</v>
      </c>
      <c r="H494" s="4">
        <v>3.0776250132908101</v>
      </c>
      <c r="I494" s="4">
        <v>71.225464000000002</v>
      </c>
      <c r="J494" s="4">
        <v>73.312299999999993</v>
      </c>
      <c r="K494" s="4">
        <v>71.001175000000003</v>
      </c>
      <c r="L494" s="4">
        <v>2.18994115925805</v>
      </c>
    </row>
    <row r="495" spans="1:12" ht="15" customHeight="1" x14ac:dyDescent="0.2">
      <c r="A495" s="6">
        <v>45331</v>
      </c>
      <c r="B495" s="7">
        <v>70.708640000000003</v>
      </c>
      <c r="C495" s="8">
        <v>1068015.5999999901</v>
      </c>
      <c r="D495" s="7">
        <v>0.234046000000006</v>
      </c>
      <c r="E495" s="7">
        <v>0.33209982025579299</v>
      </c>
      <c r="F495" s="7">
        <v>0.33208706316420999</v>
      </c>
      <c r="G495" s="7">
        <v>71.322850000000003</v>
      </c>
      <c r="H495" s="7">
        <v>2.2037263606008</v>
      </c>
      <c r="I495" s="7">
        <v>70.581860000000006</v>
      </c>
      <c r="J495" s="7">
        <v>70.845160000000007</v>
      </c>
      <c r="K495" s="7">
        <v>69.772490000000005</v>
      </c>
      <c r="L495" s="7">
        <v>1.3235799451400501</v>
      </c>
    </row>
    <row r="496" spans="1:12" ht="15" customHeight="1" x14ac:dyDescent="0.2">
      <c r="A496" s="3">
        <v>45330</v>
      </c>
      <c r="B496" s="4">
        <v>70.474593999999996</v>
      </c>
      <c r="C496" s="5">
        <v>2244773.7000000002</v>
      </c>
      <c r="D496" s="4">
        <v>-0.82888599999999701</v>
      </c>
      <c r="E496" s="4">
        <v>-1.16247622135693</v>
      </c>
      <c r="F496" s="4">
        <v>-1.16246767717523</v>
      </c>
      <c r="G496" s="4">
        <v>71.086780000000005</v>
      </c>
      <c r="H496" s="4">
        <v>1.8654443979205799</v>
      </c>
      <c r="I496" s="4">
        <v>70.991429999999994</v>
      </c>
      <c r="J496" s="4">
        <v>71.820319999999995</v>
      </c>
      <c r="K496" s="4">
        <v>70.328320000000005</v>
      </c>
      <c r="L496" s="4">
        <v>0.98819832003962904</v>
      </c>
    </row>
    <row r="497" spans="1:12" ht="15" customHeight="1" x14ac:dyDescent="0.2">
      <c r="A497" s="6">
        <v>45329</v>
      </c>
      <c r="B497" s="7">
        <v>71.303479999999993</v>
      </c>
      <c r="C497" s="8">
        <v>1866243</v>
      </c>
      <c r="D497" s="7">
        <v>0.41930999999999502</v>
      </c>
      <c r="E497" s="7">
        <v>0.59154251224216003</v>
      </c>
      <c r="F497" s="7">
        <v>0.59153920613326205</v>
      </c>
      <c r="G497" s="7">
        <v>71.92286</v>
      </c>
      <c r="H497" s="7">
        <v>3.0635245578633001</v>
      </c>
      <c r="I497" s="7">
        <v>71.010930000000002</v>
      </c>
      <c r="J497" s="7">
        <v>71.596029999999999</v>
      </c>
      <c r="K497" s="7">
        <v>70.308814999999996</v>
      </c>
      <c r="L497" s="7">
        <v>2.17596967141065</v>
      </c>
    </row>
    <row r="498" spans="1:12" ht="15" customHeight="1" x14ac:dyDescent="0.2">
      <c r="A498" s="3">
        <v>45328</v>
      </c>
      <c r="B498" s="4">
        <v>70.884169999999997</v>
      </c>
      <c r="C498" s="5">
        <v>2548536.0999999898</v>
      </c>
      <c r="D498" s="4">
        <v>1.6285239999999901</v>
      </c>
      <c r="E498" s="4">
        <v>2.35146748901886</v>
      </c>
      <c r="F498" s="4">
        <v>2.3514670777144899</v>
      </c>
      <c r="G498" s="4">
        <v>71.49991</v>
      </c>
      <c r="H498" s="4">
        <v>2.4574485799093</v>
      </c>
      <c r="I498" s="4">
        <v>68.95335</v>
      </c>
      <c r="J498" s="4">
        <v>71.830070000000006</v>
      </c>
      <c r="K498" s="4">
        <v>68.904594000000003</v>
      </c>
      <c r="L498" s="4">
        <v>1.57510971558635</v>
      </c>
    </row>
    <row r="499" spans="1:12" ht="15" customHeight="1" x14ac:dyDescent="0.2">
      <c r="A499" s="6">
        <v>45324</v>
      </c>
      <c r="B499" s="7">
        <v>69.255645999999999</v>
      </c>
      <c r="C499" s="8">
        <v>1135112.7</v>
      </c>
      <c r="D499" s="7">
        <v>0.85813199999999701</v>
      </c>
      <c r="E499" s="7">
        <v>1.25462454673426</v>
      </c>
      <c r="F499" s="7">
        <v>1.2546300892933999</v>
      </c>
      <c r="G499" s="7">
        <v>69.857240000000004</v>
      </c>
      <c r="H499" s="7">
        <v>0.103546637113029</v>
      </c>
      <c r="I499" s="7">
        <v>68.397514000000001</v>
      </c>
      <c r="J499" s="7">
        <v>69.674965</v>
      </c>
      <c r="K499" s="7">
        <v>67.822174000000004</v>
      </c>
      <c r="L499" s="7">
        <v>-0.758521389559767</v>
      </c>
    </row>
    <row r="500" spans="1:12" ht="15" customHeight="1" x14ac:dyDescent="0.2">
      <c r="A500" s="3">
        <v>45323</v>
      </c>
      <c r="B500" s="4">
        <v>68.397514000000001</v>
      </c>
      <c r="C500" s="5">
        <v>2843137</v>
      </c>
      <c r="D500" s="4">
        <v>-0.77037099999999703</v>
      </c>
      <c r="E500" s="4">
        <v>-1.11376977913955</v>
      </c>
      <c r="F500" s="4">
        <v>-1.11377284216857</v>
      </c>
      <c r="G500" s="4">
        <v>68.991650000000007</v>
      </c>
      <c r="H500" s="4">
        <v>-1.13682055938111</v>
      </c>
      <c r="I500" s="4">
        <v>69.177639999999997</v>
      </c>
      <c r="J500" s="4">
        <v>69.206894000000005</v>
      </c>
      <c r="K500" s="4">
        <v>67.334594999999993</v>
      </c>
      <c r="L500" s="4">
        <v>-1.98820147258049</v>
      </c>
    </row>
    <row r="501" spans="1:12" ht="15" customHeight="1" x14ac:dyDescent="0.2">
      <c r="A501" s="6">
        <v>45322</v>
      </c>
      <c r="B501" s="7">
        <v>69.167884999999998</v>
      </c>
      <c r="C501" s="8">
        <v>4511582</v>
      </c>
      <c r="D501" s="7">
        <v>1.68702</v>
      </c>
      <c r="E501" s="7">
        <v>2.49999759190995</v>
      </c>
      <c r="F501" s="7">
        <v>2.4999985308601498</v>
      </c>
      <c r="G501" s="7">
        <v>69.768715</v>
      </c>
      <c r="H501" s="7">
        <v>-2.33073076756691E-2</v>
      </c>
      <c r="I501" s="7">
        <v>67.900184999999993</v>
      </c>
      <c r="J501" s="7">
        <v>69.518940000000001</v>
      </c>
      <c r="K501" s="7">
        <v>67.734406000000007</v>
      </c>
      <c r="L501" s="7">
        <v>-0.88428054289046998</v>
      </c>
    </row>
    <row r="502" spans="1:12" ht="15" customHeight="1" x14ac:dyDescent="0.2">
      <c r="A502" s="3">
        <v>45321</v>
      </c>
      <c r="B502" s="4">
        <v>67.480864999999994</v>
      </c>
      <c r="C502" s="5">
        <v>1576910.2</v>
      </c>
      <c r="D502" s="4">
        <v>-0.91722500000000196</v>
      </c>
      <c r="E502" s="4">
        <v>-1.34100966854484</v>
      </c>
      <c r="F502" s="4">
        <v>-0.48400474340729499</v>
      </c>
      <c r="G502" s="4">
        <v>68.067040000000006</v>
      </c>
      <c r="H502" s="4">
        <v>-2.4617618289780898</v>
      </c>
      <c r="I502" s="4">
        <v>69.528700000000001</v>
      </c>
      <c r="J502" s="4">
        <v>69.528700000000001</v>
      </c>
      <c r="K502" s="4">
        <v>66.817760000000007</v>
      </c>
      <c r="L502" s="4">
        <v>-3.3017348432284499</v>
      </c>
    </row>
    <row r="503" spans="1:12" ht="15" customHeight="1" x14ac:dyDescent="0.2">
      <c r="A503" s="6">
        <v>45320</v>
      </c>
      <c r="B503" s="7">
        <v>68.398089999999996</v>
      </c>
      <c r="C503" s="8">
        <v>1627334.1</v>
      </c>
      <c r="D503" s="7">
        <v>-1.38689</v>
      </c>
      <c r="E503" s="7">
        <v>-1.9873760800676701</v>
      </c>
      <c r="F503" s="7">
        <v>-1.9873760800676701</v>
      </c>
      <c r="G503" s="7">
        <v>68.398089999999996</v>
      </c>
      <c r="H503" s="7">
        <v>-1.9873760800676701</v>
      </c>
      <c r="I503" s="7">
        <v>69.976280000000003</v>
      </c>
      <c r="J503" s="7">
        <v>70.272790000000001</v>
      </c>
      <c r="K503" s="7">
        <v>68.092010000000002</v>
      </c>
      <c r="L503" s="7">
        <v>-1.9873760800676701</v>
      </c>
    </row>
    <row r="504" spans="1:12" ht="15" customHeight="1" x14ac:dyDescent="0.2">
      <c r="A504" s="3">
        <v>45317</v>
      </c>
      <c r="B504" s="4">
        <v>69.784980000000004</v>
      </c>
      <c r="C504" s="5">
        <v>1562161</v>
      </c>
      <c r="D504" s="4"/>
      <c r="E504" s="4"/>
      <c r="F504" s="4"/>
      <c r="G504" s="4">
        <v>69.784980000000004</v>
      </c>
      <c r="H504" s="4"/>
      <c r="I504" s="4">
        <v>70.904060000000001</v>
      </c>
      <c r="J504" s="4">
        <v>71.057106000000005</v>
      </c>
      <c r="K504" s="4">
        <v>69.325873999999999</v>
      </c>
      <c r="L504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506F-6898-4C8A-9F3B-DCB8DB0A5FCC}">
  <sheetPr>
    <outlinePr summaryBelow="0" summaryRight="0"/>
  </sheetPr>
  <dimension ref="A1:K504"/>
  <sheetViews>
    <sheetView workbookViewId="0">
      <pane ySplit="3" topLeftCell="A4" activePane="bottomLeft" state="frozen"/>
      <selection pane="bottomLeft" activeCell="E2" sqref="E2"/>
    </sheetView>
  </sheetViews>
  <sheetFormatPr baseColWidth="10" defaultColWidth="9.140625" defaultRowHeight="15" customHeight="1" x14ac:dyDescent="0.2"/>
  <cols>
    <col min="1" max="1" width="8.42578125" customWidth="1"/>
    <col min="2" max="2" width="6" customWidth="1"/>
    <col min="3" max="3" width="9.28515625" customWidth="1"/>
    <col min="4" max="4" width="10.28515625" customWidth="1"/>
    <col min="5" max="5" width="6.140625" customWidth="1"/>
    <col min="6" max="8" width="5.85546875" customWidth="1"/>
    <col min="9" max="9" width="19.140625" customWidth="1"/>
    <col min="10" max="10" width="9.28515625" customWidth="1"/>
    <col min="11" max="11" width="20.140625" customWidth="1"/>
  </cols>
  <sheetData>
    <row r="1" spans="1:11" ht="15" customHeight="1" x14ac:dyDescent="0.2">
      <c r="A1" s="1" t="s">
        <v>20</v>
      </c>
    </row>
    <row r="3" spans="1:11" ht="15" customHeight="1" x14ac:dyDescent="0.2">
      <c r="A3" s="2" t="s">
        <v>1</v>
      </c>
      <c r="B3" s="2" t="s">
        <v>2</v>
      </c>
      <c r="C3" s="2" t="s">
        <v>3</v>
      </c>
      <c r="D3" s="2" t="s">
        <v>5</v>
      </c>
      <c r="E3" s="2" t="s">
        <v>9</v>
      </c>
      <c r="F3" s="2" t="s">
        <v>11</v>
      </c>
      <c r="G3" s="2" t="s">
        <v>10</v>
      </c>
      <c r="H3" s="2" t="s">
        <v>19</v>
      </c>
      <c r="I3" s="2" t="s">
        <v>7</v>
      </c>
      <c r="J3" s="2" t="s">
        <v>6</v>
      </c>
      <c r="K3" s="2" t="s">
        <v>8</v>
      </c>
    </row>
    <row r="4" spans="1:11" ht="15" customHeight="1" x14ac:dyDescent="0.2">
      <c r="A4" s="3">
        <v>46048</v>
      </c>
      <c r="B4" s="4">
        <v>68.290000000000006</v>
      </c>
      <c r="C4" s="5">
        <v>509452</v>
      </c>
      <c r="D4" s="4">
        <v>0.55956412899427099</v>
      </c>
      <c r="E4" s="4">
        <v>68.48</v>
      </c>
      <c r="F4" s="4">
        <v>68.290000000000006</v>
      </c>
      <c r="G4" s="4">
        <v>68.290000000000006</v>
      </c>
      <c r="H4" s="4"/>
      <c r="I4" s="4">
        <v>73.607979999999998</v>
      </c>
      <c r="J4" s="4">
        <v>0.55955461864975997</v>
      </c>
      <c r="K4" s="4">
        <v>30.2104723155846</v>
      </c>
    </row>
    <row r="5" spans="1:11" ht="15" customHeight="1" x14ac:dyDescent="0.2">
      <c r="A5" s="6">
        <v>46045</v>
      </c>
      <c r="B5" s="7">
        <v>67.91</v>
      </c>
      <c r="C5" s="8">
        <v>13142982</v>
      </c>
      <c r="D5" s="7">
        <v>-0.19106407995298499</v>
      </c>
      <c r="E5" s="7">
        <v>68.38</v>
      </c>
      <c r="F5" s="7">
        <v>67.209999999999994</v>
      </c>
      <c r="G5" s="7">
        <v>68.38</v>
      </c>
      <c r="H5" s="7">
        <v>67.894900000000007</v>
      </c>
      <c r="I5" s="7">
        <v>73.198395000000005</v>
      </c>
      <c r="J5" s="7">
        <v>-0.191066031875197</v>
      </c>
      <c r="K5" s="7">
        <v>29.4859278259331</v>
      </c>
    </row>
    <row r="6" spans="1:11" ht="15" customHeight="1" x14ac:dyDescent="0.2">
      <c r="A6" s="3">
        <v>46044</v>
      </c>
      <c r="B6" s="4">
        <v>68.040000000000006</v>
      </c>
      <c r="C6" s="5">
        <v>4305603</v>
      </c>
      <c r="D6" s="4">
        <v>0.50221565731167706</v>
      </c>
      <c r="E6" s="4">
        <v>68.03</v>
      </c>
      <c r="F6" s="4">
        <v>67.91</v>
      </c>
      <c r="G6" s="4">
        <v>68.47</v>
      </c>
      <c r="H6" s="4">
        <v>68.047300000000007</v>
      </c>
      <c r="I6" s="4">
        <v>73.338520000000003</v>
      </c>
      <c r="J6" s="4">
        <v>0.50223352701028701</v>
      </c>
      <c r="K6" s="4">
        <v>29.733805059260501</v>
      </c>
    </row>
    <row r="7" spans="1:11" ht="15" customHeight="1" x14ac:dyDescent="0.2">
      <c r="A7" s="6">
        <v>46043</v>
      </c>
      <c r="B7" s="7">
        <v>67.7</v>
      </c>
      <c r="C7" s="8">
        <v>7653505</v>
      </c>
      <c r="D7" s="7">
        <v>0.43020323394156101</v>
      </c>
      <c r="E7" s="7">
        <v>67.739999999999995</v>
      </c>
      <c r="F7" s="7">
        <v>67.510000000000005</v>
      </c>
      <c r="G7" s="7">
        <v>68.41</v>
      </c>
      <c r="H7" s="7">
        <v>67.7376</v>
      </c>
      <c r="I7" s="7">
        <v>72.972030000000004</v>
      </c>
      <c r="J7" s="7">
        <v>0.43019315834662503</v>
      </c>
      <c r="K7" s="7">
        <v>29.085494427737402</v>
      </c>
    </row>
    <row r="8" spans="1:11" ht="15" customHeight="1" x14ac:dyDescent="0.2">
      <c r="A8" s="3">
        <v>46042</v>
      </c>
      <c r="B8" s="4">
        <v>67.41</v>
      </c>
      <c r="C8" s="5">
        <v>11649552</v>
      </c>
      <c r="D8" s="4">
        <v>0.43206197854588302</v>
      </c>
      <c r="E8" s="4">
        <v>67.45</v>
      </c>
      <c r="F8" s="4">
        <v>66.7</v>
      </c>
      <c r="G8" s="4">
        <v>67.66</v>
      </c>
      <c r="H8" s="4">
        <v>67.387299999999996</v>
      </c>
      <c r="I8" s="4">
        <v>72.659453999999997</v>
      </c>
      <c r="J8" s="4">
        <v>0.43206292131228102</v>
      </c>
      <c r="K8" s="4">
        <v>28.5325561648682</v>
      </c>
    </row>
    <row r="9" spans="1:11" ht="15" customHeight="1" x14ac:dyDescent="0.2">
      <c r="A9" s="6">
        <v>46041</v>
      </c>
      <c r="B9" s="7">
        <v>67.12</v>
      </c>
      <c r="C9" s="8">
        <v>202891</v>
      </c>
      <c r="D9" s="7">
        <v>0.40388930441288501</v>
      </c>
      <c r="E9" s="7">
        <v>67.17</v>
      </c>
      <c r="F9" s="7">
        <v>66.650000000000006</v>
      </c>
      <c r="G9" s="7">
        <v>67.39</v>
      </c>
      <c r="H9" s="7">
        <v>67.173100000000005</v>
      </c>
      <c r="I9" s="7">
        <v>72.346869999999996</v>
      </c>
      <c r="J9" s="7">
        <v>0.40389509025222597</v>
      </c>
      <c r="K9" s="7">
        <v>27.979603750221099</v>
      </c>
    </row>
    <row r="10" spans="1:11" ht="15" customHeight="1" x14ac:dyDescent="0.2">
      <c r="A10" s="3">
        <v>46038</v>
      </c>
      <c r="B10" s="4">
        <v>66.849999999999994</v>
      </c>
      <c r="C10" s="5">
        <v>3361190</v>
      </c>
      <c r="D10" s="4">
        <v>0.84477296726503903</v>
      </c>
      <c r="E10" s="4">
        <v>66.62</v>
      </c>
      <c r="F10" s="4">
        <v>66.16</v>
      </c>
      <c r="G10" s="4">
        <v>66.91</v>
      </c>
      <c r="H10" s="4">
        <v>66.850099999999998</v>
      </c>
      <c r="I10" s="4">
        <v>72.055840000000003</v>
      </c>
      <c r="J10" s="4">
        <v>0.84477419389150599</v>
      </c>
      <c r="K10" s="4">
        <v>27.464779762957701</v>
      </c>
    </row>
    <row r="11" spans="1:11" ht="15" customHeight="1" x14ac:dyDescent="0.2">
      <c r="A11" s="6">
        <v>46037</v>
      </c>
      <c r="B11" s="7">
        <v>66.290000000000006</v>
      </c>
      <c r="C11" s="8">
        <v>13973707</v>
      </c>
      <c r="D11" s="7">
        <v>-1.1482254697285901</v>
      </c>
      <c r="E11" s="7">
        <v>67.39</v>
      </c>
      <c r="F11" s="7">
        <v>66.2</v>
      </c>
      <c r="G11" s="7">
        <v>67.39</v>
      </c>
      <c r="H11" s="7">
        <v>66.355500000000006</v>
      </c>
      <c r="I11" s="7">
        <v>71.45223</v>
      </c>
      <c r="J11" s="7">
        <v>-1.14823019488782</v>
      </c>
      <c r="K11" s="7">
        <v>26.3970104369361</v>
      </c>
    </row>
    <row r="12" spans="1:11" ht="15" customHeight="1" x14ac:dyDescent="0.2">
      <c r="A12" s="3">
        <v>46036</v>
      </c>
      <c r="B12" s="4">
        <v>67.06</v>
      </c>
      <c r="C12" s="5">
        <v>2872443</v>
      </c>
      <c r="D12" s="4">
        <v>1.55989701650764</v>
      </c>
      <c r="E12" s="4">
        <v>66.36</v>
      </c>
      <c r="F12" s="4">
        <v>66.010000000000005</v>
      </c>
      <c r="G12" s="4">
        <v>67.2</v>
      </c>
      <c r="H12" s="4">
        <v>67.073800000000006</v>
      </c>
      <c r="I12" s="4">
        <v>72.282195999999999</v>
      </c>
      <c r="J12" s="4">
        <v>1.5599060191946199</v>
      </c>
      <c r="K12" s="4">
        <v>27.865197240403301</v>
      </c>
    </row>
    <row r="13" spans="1:11" ht="15" customHeight="1" x14ac:dyDescent="0.2">
      <c r="A13" s="6">
        <v>46035</v>
      </c>
      <c r="B13" s="7">
        <v>66.03</v>
      </c>
      <c r="C13" s="8">
        <v>3974422</v>
      </c>
      <c r="D13" s="7">
        <v>-0.60213758843896603</v>
      </c>
      <c r="E13" s="7">
        <v>66.45</v>
      </c>
      <c r="F13" s="7">
        <v>65.92</v>
      </c>
      <c r="G13" s="7">
        <v>66.45</v>
      </c>
      <c r="H13" s="7">
        <v>66.015199999999993</v>
      </c>
      <c r="I13" s="7">
        <v>71.171980000000005</v>
      </c>
      <c r="J13" s="7">
        <v>-0.60214403464517996</v>
      </c>
      <c r="K13" s="7">
        <v>25.901255970281198</v>
      </c>
    </row>
    <row r="14" spans="1:11" ht="15" customHeight="1" x14ac:dyDescent="0.2">
      <c r="A14" s="3">
        <v>46034</v>
      </c>
      <c r="B14" s="4">
        <v>66.430000000000007</v>
      </c>
      <c r="C14" s="5">
        <v>3941952</v>
      </c>
      <c r="D14" s="4">
        <v>1.04958929114695</v>
      </c>
      <c r="E14" s="4">
        <v>65.760000000000005</v>
      </c>
      <c r="F14" s="4">
        <v>65.760000000000005</v>
      </c>
      <c r="G14" s="4">
        <v>66.67</v>
      </c>
      <c r="H14" s="4">
        <v>66.421499999999995</v>
      </c>
      <c r="I14" s="4">
        <v>71.603133999999997</v>
      </c>
      <c r="J14" s="4">
        <v>1.04959116221701</v>
      </c>
      <c r="K14" s="4">
        <v>26.6639554218998</v>
      </c>
    </row>
    <row r="15" spans="1:11" ht="15" customHeight="1" x14ac:dyDescent="0.2">
      <c r="A15" s="6">
        <v>46031</v>
      </c>
      <c r="B15" s="7">
        <v>65.739999999999995</v>
      </c>
      <c r="C15" s="8">
        <v>2470095</v>
      </c>
      <c r="D15" s="7">
        <v>0.81275877932831497</v>
      </c>
      <c r="E15" s="7">
        <v>65.53</v>
      </c>
      <c r="F15" s="7">
        <v>65.099999999999994</v>
      </c>
      <c r="G15" s="7">
        <v>65.83</v>
      </c>
      <c r="H15" s="7">
        <v>65.744100000000003</v>
      </c>
      <c r="I15" s="7">
        <v>70.859399999999994</v>
      </c>
      <c r="J15" s="7">
        <v>0.81275458601615103</v>
      </c>
      <c r="K15" s="7">
        <v>25.348310631522999</v>
      </c>
    </row>
    <row r="16" spans="1:11" ht="15" customHeight="1" x14ac:dyDescent="0.2">
      <c r="A16" s="3">
        <v>46030</v>
      </c>
      <c r="B16" s="4">
        <v>65.209999999999994</v>
      </c>
      <c r="C16" s="5">
        <v>4264455</v>
      </c>
      <c r="D16" s="4">
        <v>0.99117237107015899</v>
      </c>
      <c r="E16" s="4">
        <v>64.89</v>
      </c>
      <c r="F16" s="4">
        <v>64.5</v>
      </c>
      <c r="G16" s="4">
        <v>65.3</v>
      </c>
      <c r="H16" s="4">
        <v>65.206400000000002</v>
      </c>
      <c r="I16" s="4">
        <v>70.288129999999995</v>
      </c>
      <c r="J16" s="4">
        <v>0.99117377740169899</v>
      </c>
      <c r="K16" s="4">
        <v>24.337749867326998</v>
      </c>
    </row>
    <row r="17" spans="1:11" ht="15" customHeight="1" x14ac:dyDescent="0.2">
      <c r="A17" s="6">
        <v>46029</v>
      </c>
      <c r="B17" s="7">
        <v>64.569999999999993</v>
      </c>
      <c r="C17" s="8">
        <v>4305539</v>
      </c>
      <c r="D17" s="7">
        <v>-0.26258881680568602</v>
      </c>
      <c r="E17" s="7">
        <v>65.06</v>
      </c>
      <c r="F17" s="7">
        <v>63.85</v>
      </c>
      <c r="G17" s="7">
        <v>65.06</v>
      </c>
      <c r="H17" s="7">
        <v>64.556600000000003</v>
      </c>
      <c r="I17" s="7">
        <v>69.598290000000006</v>
      </c>
      <c r="J17" s="7">
        <v>-0.262583828599327</v>
      </c>
      <c r="K17" s="7">
        <v>23.117442066159501</v>
      </c>
    </row>
    <row r="18" spans="1:11" ht="15" customHeight="1" x14ac:dyDescent="0.2">
      <c r="A18" s="3">
        <v>46028</v>
      </c>
      <c r="B18" s="4">
        <v>64.739999999999995</v>
      </c>
      <c r="C18" s="5">
        <v>2400621</v>
      </c>
      <c r="D18" s="4">
        <v>7.7291698871539902E-2</v>
      </c>
      <c r="E18" s="4">
        <v>65.010000000000005</v>
      </c>
      <c r="F18" s="4">
        <v>64.59</v>
      </c>
      <c r="G18" s="4">
        <v>65.12</v>
      </c>
      <c r="H18" s="4">
        <v>64.706599999999995</v>
      </c>
      <c r="I18" s="4">
        <v>69.781525000000002</v>
      </c>
      <c r="J18" s="4">
        <v>7.7279253965878397E-2</v>
      </c>
      <c r="K18" s="4">
        <v>23.4415796921988</v>
      </c>
    </row>
    <row r="19" spans="1:11" ht="15" customHeight="1" x14ac:dyDescent="0.2">
      <c r="A19" s="6">
        <v>46027</v>
      </c>
      <c r="B19" s="7">
        <v>64.69</v>
      </c>
      <c r="C19" s="8">
        <v>9485690</v>
      </c>
      <c r="D19" s="7">
        <v>1.3155833985904299</v>
      </c>
      <c r="E19" s="7">
        <v>64.16</v>
      </c>
      <c r="F19" s="7">
        <v>64.16</v>
      </c>
      <c r="G19" s="7">
        <v>65.13</v>
      </c>
      <c r="H19" s="7">
        <v>64.698700000000002</v>
      </c>
      <c r="I19" s="7">
        <v>69.727639999999994</v>
      </c>
      <c r="J19" s="7">
        <v>1.31559255135913</v>
      </c>
      <c r="K19" s="7">
        <v>23.346258623739502</v>
      </c>
    </row>
    <row r="20" spans="1:11" ht="15" customHeight="1" x14ac:dyDescent="0.2">
      <c r="A20" s="3">
        <v>46024</v>
      </c>
      <c r="B20" s="4">
        <v>63.85</v>
      </c>
      <c r="C20" s="5">
        <v>750465</v>
      </c>
      <c r="D20" s="4">
        <v>-0.234374999999997</v>
      </c>
      <c r="E20" s="4">
        <v>64.319999999999993</v>
      </c>
      <c r="F20" s="4">
        <v>63.55</v>
      </c>
      <c r="G20" s="4">
        <v>64.64</v>
      </c>
      <c r="H20" s="4">
        <v>63.8324</v>
      </c>
      <c r="I20" s="4">
        <v>68.822220000000002</v>
      </c>
      <c r="J20" s="4">
        <v>-0.234373527736186</v>
      </c>
      <c r="K20" s="4">
        <v>21.744595789845999</v>
      </c>
    </row>
    <row r="21" spans="1:11" ht="15" customHeight="1" x14ac:dyDescent="0.2">
      <c r="A21" s="6">
        <v>46022</v>
      </c>
      <c r="B21" s="7">
        <v>64</v>
      </c>
      <c r="C21" s="8">
        <v>7463209</v>
      </c>
      <c r="D21" s="7">
        <v>-9.3662191695287306E-2</v>
      </c>
      <c r="E21" s="7">
        <v>64.02</v>
      </c>
      <c r="F21" s="7">
        <v>63.73</v>
      </c>
      <c r="G21" s="7">
        <v>64.09</v>
      </c>
      <c r="H21" s="7">
        <v>64</v>
      </c>
      <c r="I21" s="7">
        <v>68.983900000000006</v>
      </c>
      <c r="J21" s="7">
        <v>-9.3673179086373098E-2</v>
      </c>
      <c r="K21" s="7">
        <v>22.0306032195294</v>
      </c>
    </row>
    <row r="22" spans="1:11" ht="15" customHeight="1" x14ac:dyDescent="0.2">
      <c r="A22" s="3">
        <v>46021</v>
      </c>
      <c r="B22" s="4">
        <v>64.06</v>
      </c>
      <c r="C22" s="5">
        <v>787647</v>
      </c>
      <c r="D22" s="4">
        <v>-2.3475609756097402</v>
      </c>
      <c r="E22" s="4">
        <v>65.87</v>
      </c>
      <c r="F22" s="4">
        <v>64.02</v>
      </c>
      <c r="G22" s="4">
        <v>65.87</v>
      </c>
      <c r="H22" s="4">
        <v>64.059100000000001</v>
      </c>
      <c r="I22" s="4">
        <v>69.048580000000001</v>
      </c>
      <c r="J22" s="4">
        <v>-1.4924240338319501</v>
      </c>
      <c r="K22" s="4">
        <v>22.145020343180601</v>
      </c>
    </row>
    <row r="23" spans="1:11" ht="15" customHeight="1" x14ac:dyDescent="0.2">
      <c r="A23" s="6">
        <v>46020</v>
      </c>
      <c r="B23" s="7">
        <v>65.599999999999994</v>
      </c>
      <c r="C23" s="8">
        <v>402050</v>
      </c>
      <c r="D23" s="7">
        <v>-0.44012748520262301</v>
      </c>
      <c r="E23" s="7">
        <v>66.19</v>
      </c>
      <c r="F23" s="7">
        <v>65.510000000000005</v>
      </c>
      <c r="G23" s="7">
        <v>66.19</v>
      </c>
      <c r="H23" s="7">
        <v>65.6036</v>
      </c>
      <c r="I23" s="7">
        <v>70.09469</v>
      </c>
      <c r="J23" s="7">
        <v>-0.44012774172582603</v>
      </c>
      <c r="K23" s="7">
        <v>23.995559879709798</v>
      </c>
    </row>
    <row r="24" spans="1:11" ht="15" customHeight="1" x14ac:dyDescent="0.2">
      <c r="A24" s="3">
        <v>46017</v>
      </c>
      <c r="B24" s="4">
        <v>65.89</v>
      </c>
      <c r="C24" s="5">
        <v>2161504</v>
      </c>
      <c r="D24" s="4">
        <v>4.5551169146684702E-2</v>
      </c>
      <c r="E24" s="4">
        <v>66.22</v>
      </c>
      <c r="F24" s="4">
        <v>65.77</v>
      </c>
      <c r="G24" s="4">
        <v>66.459999999999994</v>
      </c>
      <c r="H24" s="4">
        <v>65.894999999999996</v>
      </c>
      <c r="I24" s="4">
        <v>70.404560000000004</v>
      </c>
      <c r="J24" s="4">
        <v>4.5550460368004503E-2</v>
      </c>
      <c r="K24" s="4">
        <v>24.543711303732501</v>
      </c>
    </row>
    <row r="25" spans="1:11" ht="15" customHeight="1" x14ac:dyDescent="0.2">
      <c r="A25" s="6">
        <v>46015</v>
      </c>
      <c r="B25" s="7">
        <v>65.86</v>
      </c>
      <c r="C25" s="8">
        <v>320228</v>
      </c>
      <c r="D25" s="7">
        <v>6.0771801883929798E-2</v>
      </c>
      <c r="E25" s="7">
        <v>65.8</v>
      </c>
      <c r="F25" s="7">
        <v>65.7</v>
      </c>
      <c r="G25" s="7">
        <v>65.989999999999995</v>
      </c>
      <c r="H25" s="7">
        <v>65.875900000000001</v>
      </c>
      <c r="I25" s="7">
        <v>70.372505000000004</v>
      </c>
      <c r="J25" s="7">
        <v>6.0770855696734502E-2</v>
      </c>
      <c r="K25" s="7">
        <v>24.487006898991599</v>
      </c>
    </row>
    <row r="26" spans="1:11" ht="15" customHeight="1" x14ac:dyDescent="0.2">
      <c r="A26" s="3">
        <v>46014</v>
      </c>
      <c r="B26" s="4">
        <v>65.819999999999993</v>
      </c>
      <c r="C26" s="5">
        <v>3639522</v>
      </c>
      <c r="D26" s="4">
        <v>1.2927054478300799</v>
      </c>
      <c r="E26" s="4">
        <v>65.3</v>
      </c>
      <c r="F26" s="4">
        <v>65.05</v>
      </c>
      <c r="G26" s="4">
        <v>65.95</v>
      </c>
      <c r="H26" s="4">
        <v>65.855400000000003</v>
      </c>
      <c r="I26" s="4">
        <v>70.329764999999995</v>
      </c>
      <c r="J26" s="4">
        <v>1.2927069439385399</v>
      </c>
      <c r="K26" s="4">
        <v>24.411401026003801</v>
      </c>
    </row>
    <row r="27" spans="1:11" ht="15" customHeight="1" x14ac:dyDescent="0.2">
      <c r="A27" s="6">
        <v>46013</v>
      </c>
      <c r="B27" s="7">
        <v>64.98</v>
      </c>
      <c r="C27" s="8">
        <v>1010974</v>
      </c>
      <c r="D27" s="7">
        <v>1.16767865483418</v>
      </c>
      <c r="E27" s="7">
        <v>64.61</v>
      </c>
      <c r="F27" s="7">
        <v>64.12</v>
      </c>
      <c r="G27" s="7">
        <v>65.03</v>
      </c>
      <c r="H27" s="7">
        <v>65.035399999999996</v>
      </c>
      <c r="I27" s="7">
        <v>69.432209999999998</v>
      </c>
      <c r="J27" s="7">
        <v>1.1676676502382299</v>
      </c>
      <c r="K27" s="7">
        <v>22.8236511586768</v>
      </c>
    </row>
    <row r="28" spans="1:11" ht="15" customHeight="1" x14ac:dyDescent="0.2">
      <c r="A28" s="3">
        <v>46010</v>
      </c>
      <c r="B28" s="4">
        <v>64.23</v>
      </c>
      <c r="C28" s="5">
        <v>12803259</v>
      </c>
      <c r="D28" s="4">
        <v>0.249726861245536</v>
      </c>
      <c r="E28" s="4">
        <v>65</v>
      </c>
      <c r="F28" s="4">
        <v>64.12</v>
      </c>
      <c r="G28" s="4">
        <v>65</v>
      </c>
      <c r="H28" s="4">
        <v>64.225499999999997</v>
      </c>
      <c r="I28" s="4">
        <v>68.630830000000003</v>
      </c>
      <c r="J28" s="4">
        <v>0.24973758345401201</v>
      </c>
      <c r="K28" s="4">
        <v>21.4060321952945</v>
      </c>
    </row>
    <row r="29" spans="1:11" ht="15" customHeight="1" x14ac:dyDescent="0.2">
      <c r="A29" s="6">
        <v>46009</v>
      </c>
      <c r="B29" s="7">
        <v>64.069999999999993</v>
      </c>
      <c r="C29" s="8">
        <v>3181502</v>
      </c>
      <c r="D29" s="7">
        <v>1.9573520050922799</v>
      </c>
      <c r="E29" s="7">
        <v>62.84</v>
      </c>
      <c r="F29" s="7">
        <v>62.69</v>
      </c>
      <c r="G29" s="7">
        <v>64.150000000000006</v>
      </c>
      <c r="H29" s="7">
        <v>64.066100000000006</v>
      </c>
      <c r="I29" s="7">
        <v>68.459860000000006</v>
      </c>
      <c r="J29" s="7">
        <v>1.9573528469124699</v>
      </c>
      <c r="K29" s="7">
        <v>21.103591013620999</v>
      </c>
    </row>
    <row r="30" spans="1:11" ht="15" customHeight="1" x14ac:dyDescent="0.2">
      <c r="A30" s="3">
        <v>46008</v>
      </c>
      <c r="B30" s="4">
        <v>62.84</v>
      </c>
      <c r="C30" s="5">
        <v>2570607</v>
      </c>
      <c r="D30" s="4">
        <v>-1.0237832729563601</v>
      </c>
      <c r="E30" s="4">
        <v>63.84</v>
      </c>
      <c r="F30" s="4">
        <v>62.74</v>
      </c>
      <c r="G30" s="4">
        <v>63.86</v>
      </c>
      <c r="H30" s="4">
        <v>62.781100000000002</v>
      </c>
      <c r="I30" s="4">
        <v>67.145583999999999</v>
      </c>
      <c r="J30" s="4">
        <v>-1.0237835664205699</v>
      </c>
      <c r="K30" s="4">
        <v>18.7786732708296</v>
      </c>
    </row>
    <row r="31" spans="1:11" ht="15" customHeight="1" x14ac:dyDescent="0.2">
      <c r="A31" s="6">
        <v>46007</v>
      </c>
      <c r="B31" s="7">
        <v>63.49</v>
      </c>
      <c r="C31" s="8">
        <v>3576134</v>
      </c>
      <c r="D31" s="7">
        <v>-1.5964042157470399</v>
      </c>
      <c r="E31" s="7">
        <v>64.84</v>
      </c>
      <c r="F31" s="7">
        <v>63.43</v>
      </c>
      <c r="G31" s="7">
        <v>64.84</v>
      </c>
      <c r="H31" s="7">
        <v>63.485700000000001</v>
      </c>
      <c r="I31" s="7">
        <v>67.840119999999999</v>
      </c>
      <c r="J31" s="7">
        <v>-1.5964011964487199</v>
      </c>
      <c r="K31" s="7">
        <v>20.007288165575702</v>
      </c>
    </row>
    <row r="32" spans="1:11" ht="15" customHeight="1" x14ac:dyDescent="0.2">
      <c r="A32" s="3">
        <v>46006</v>
      </c>
      <c r="B32" s="4">
        <v>64.52</v>
      </c>
      <c r="C32" s="5">
        <v>4082226</v>
      </c>
      <c r="D32" s="4">
        <v>-0.55487053020961596</v>
      </c>
      <c r="E32" s="4">
        <v>64.88</v>
      </c>
      <c r="F32" s="4">
        <v>64.42</v>
      </c>
      <c r="G32" s="4">
        <v>65.39</v>
      </c>
      <c r="H32" s="4">
        <v>64.514899999999997</v>
      </c>
      <c r="I32" s="4">
        <v>68.940690000000004</v>
      </c>
      <c r="J32" s="4">
        <v>-0.55487057289687003</v>
      </c>
      <c r="K32" s="4">
        <v>21.9541659295949</v>
      </c>
    </row>
    <row r="33" spans="1:11" ht="15" customHeight="1" x14ac:dyDescent="0.2">
      <c r="A33" s="6">
        <v>46002</v>
      </c>
      <c r="B33" s="7">
        <v>64.88</v>
      </c>
      <c r="C33" s="8">
        <v>2862201</v>
      </c>
      <c r="D33" s="7">
        <v>1.8684251844873501</v>
      </c>
      <c r="E33" s="7">
        <v>64</v>
      </c>
      <c r="F33" s="7">
        <v>64</v>
      </c>
      <c r="G33" s="7">
        <v>65.209999999999994</v>
      </c>
      <c r="H33" s="7">
        <v>64.892700000000005</v>
      </c>
      <c r="I33" s="7">
        <v>69.325355999999999</v>
      </c>
      <c r="J33" s="7">
        <v>1.86841959287371</v>
      </c>
      <c r="K33" s="7">
        <v>22.634629400318399</v>
      </c>
    </row>
    <row r="34" spans="1:11" ht="15" customHeight="1" x14ac:dyDescent="0.2">
      <c r="A34" s="3">
        <v>46001</v>
      </c>
      <c r="B34" s="4">
        <v>63.69</v>
      </c>
      <c r="C34" s="5">
        <v>1934249</v>
      </c>
      <c r="D34" s="4">
        <v>-0.281822451855329</v>
      </c>
      <c r="E34" s="4">
        <v>64.180000000000007</v>
      </c>
      <c r="F34" s="4">
        <v>63.4</v>
      </c>
      <c r="G34" s="4">
        <v>64.180000000000007</v>
      </c>
      <c r="H34" s="4">
        <v>63.589700000000001</v>
      </c>
      <c r="I34" s="4">
        <v>68.053825000000003</v>
      </c>
      <c r="J34" s="4">
        <v>-0.28181807458602598</v>
      </c>
      <c r="K34" s="4">
        <v>20.3853263753759</v>
      </c>
    </row>
    <row r="35" spans="1:11" ht="15" customHeight="1" x14ac:dyDescent="0.2">
      <c r="A35" s="6">
        <v>46000</v>
      </c>
      <c r="B35" s="7">
        <v>63.87</v>
      </c>
      <c r="C35" s="8">
        <v>4396186</v>
      </c>
      <c r="D35" s="7">
        <v>0.34564021995286898</v>
      </c>
      <c r="E35" s="7">
        <v>63.96</v>
      </c>
      <c r="F35" s="7">
        <v>63.68</v>
      </c>
      <c r="G35" s="7">
        <v>64.290000000000006</v>
      </c>
      <c r="H35" s="7">
        <v>63.874699999999997</v>
      </c>
      <c r="I35" s="7">
        <v>68.246155000000002</v>
      </c>
      <c r="J35" s="7">
        <v>0.345633357479391</v>
      </c>
      <c r="K35" s="7">
        <v>20.7255528038209</v>
      </c>
    </row>
    <row r="36" spans="1:11" ht="15" customHeight="1" x14ac:dyDescent="0.2">
      <c r="A36" s="3">
        <v>45999</v>
      </c>
      <c r="B36" s="4">
        <v>63.65</v>
      </c>
      <c r="C36" s="5">
        <v>1480503</v>
      </c>
      <c r="D36" s="4">
        <v>0.52116234996841804</v>
      </c>
      <c r="E36" s="4">
        <v>63.63</v>
      </c>
      <c r="F36" s="4">
        <v>63.46</v>
      </c>
      <c r="G36" s="4">
        <v>63.87</v>
      </c>
      <c r="H36" s="4">
        <v>63.709000000000003</v>
      </c>
      <c r="I36" s="4">
        <v>68.011086000000006</v>
      </c>
      <c r="J36" s="4">
        <v>0.52117052011375598</v>
      </c>
      <c r="K36" s="4">
        <v>20.3097222713603</v>
      </c>
    </row>
    <row r="37" spans="1:11" ht="15" customHeight="1" x14ac:dyDescent="0.2">
      <c r="A37" s="6">
        <v>45996</v>
      </c>
      <c r="B37" s="7">
        <v>63.32</v>
      </c>
      <c r="C37" s="8">
        <v>2820128</v>
      </c>
      <c r="D37" s="7">
        <v>-0.47154982709839399</v>
      </c>
      <c r="E37" s="7">
        <v>63.89</v>
      </c>
      <c r="F37" s="7">
        <v>63.23</v>
      </c>
      <c r="G37" s="7">
        <v>63.9</v>
      </c>
      <c r="H37" s="7">
        <v>63.2791</v>
      </c>
      <c r="I37" s="7">
        <v>67.658469999999994</v>
      </c>
      <c r="J37" s="7">
        <v>-0.471557184620019</v>
      </c>
      <c r="K37" s="7">
        <v>19.685954360516501</v>
      </c>
    </row>
    <row r="38" spans="1:11" ht="15" customHeight="1" x14ac:dyDescent="0.2">
      <c r="A38" s="3">
        <v>45995</v>
      </c>
      <c r="B38" s="4">
        <v>63.62</v>
      </c>
      <c r="C38" s="5">
        <v>5769024</v>
      </c>
      <c r="D38" s="4">
        <v>0.220541902961568</v>
      </c>
      <c r="E38" s="4">
        <v>63.5</v>
      </c>
      <c r="F38" s="4">
        <v>63.4</v>
      </c>
      <c r="G38" s="4">
        <v>63.65</v>
      </c>
      <c r="H38" s="4">
        <v>63.615200000000002</v>
      </c>
      <c r="I38" s="4">
        <v>67.979029999999995</v>
      </c>
      <c r="J38" s="4">
        <v>0.220538456457819</v>
      </c>
      <c r="K38" s="4">
        <v>20.253016097647201</v>
      </c>
    </row>
    <row r="39" spans="1:11" ht="15" customHeight="1" x14ac:dyDescent="0.2">
      <c r="A39" s="6">
        <v>45994</v>
      </c>
      <c r="B39" s="7">
        <v>63.48</v>
      </c>
      <c r="C39" s="8">
        <v>1667356</v>
      </c>
      <c r="D39" s="7">
        <v>-0.34536891679749399</v>
      </c>
      <c r="E39" s="7">
        <v>63.8</v>
      </c>
      <c r="F39" s="7">
        <v>63.35</v>
      </c>
      <c r="G39" s="7">
        <v>63.8</v>
      </c>
      <c r="H39" s="7">
        <v>63.498600000000003</v>
      </c>
      <c r="I39" s="7">
        <v>67.829440000000005</v>
      </c>
      <c r="J39" s="7">
        <v>-0.34536353820807603</v>
      </c>
      <c r="K39" s="7">
        <v>19.988395542189899</v>
      </c>
    </row>
    <row r="40" spans="1:11" ht="15" customHeight="1" x14ac:dyDescent="0.2">
      <c r="A40" s="3">
        <v>45993</v>
      </c>
      <c r="B40" s="4">
        <v>63.7</v>
      </c>
      <c r="C40" s="5">
        <v>3066158</v>
      </c>
      <c r="D40" s="4">
        <v>0.489036125571851</v>
      </c>
      <c r="E40" s="4">
        <v>63.7</v>
      </c>
      <c r="F40" s="4">
        <v>63.55</v>
      </c>
      <c r="G40" s="4">
        <v>63.9</v>
      </c>
      <c r="H40" s="4">
        <v>63.698799999999999</v>
      </c>
      <c r="I40" s="4">
        <v>68.064509999999999</v>
      </c>
      <c r="J40" s="4">
        <v>0.48903589033866202</v>
      </c>
      <c r="K40" s="4">
        <v>20.404227843622799</v>
      </c>
    </row>
    <row r="41" spans="1:11" ht="15" customHeight="1" x14ac:dyDescent="0.2">
      <c r="A41" s="6">
        <v>45992</v>
      </c>
      <c r="B41" s="7">
        <v>63.39</v>
      </c>
      <c r="C41" s="8">
        <v>1850281</v>
      </c>
      <c r="D41" s="7">
        <v>-0.110305704380708</v>
      </c>
      <c r="E41" s="7">
        <v>63.32</v>
      </c>
      <c r="F41" s="7">
        <v>63.01</v>
      </c>
      <c r="G41" s="7">
        <v>63.5</v>
      </c>
      <c r="H41" s="7">
        <v>63.4178</v>
      </c>
      <c r="I41" s="7">
        <v>67.733270000000005</v>
      </c>
      <c r="J41" s="7">
        <v>-0.110311353796088</v>
      </c>
      <c r="K41" s="7">
        <v>19.818273483106299</v>
      </c>
    </row>
    <row r="42" spans="1:11" ht="15" customHeight="1" x14ac:dyDescent="0.2">
      <c r="A42" s="3">
        <v>45989</v>
      </c>
      <c r="B42" s="4">
        <v>63.46</v>
      </c>
      <c r="C42" s="5">
        <v>1812604</v>
      </c>
      <c r="D42" s="4">
        <v>1.1637175195281499</v>
      </c>
      <c r="E42" s="4">
        <v>63.04</v>
      </c>
      <c r="F42" s="4">
        <v>62.58</v>
      </c>
      <c r="G42" s="4">
        <v>63.79</v>
      </c>
      <c r="H42" s="4">
        <v>63.464500000000001</v>
      </c>
      <c r="I42" s="4">
        <v>67.808070000000001</v>
      </c>
      <c r="J42" s="4">
        <v>1.16372779239304</v>
      </c>
      <c r="K42" s="4">
        <v>19.950592605695999</v>
      </c>
    </row>
    <row r="43" spans="1:11" ht="15" customHeight="1" x14ac:dyDescent="0.2">
      <c r="A43" s="6">
        <v>45988</v>
      </c>
      <c r="B43" s="7">
        <v>62.73</v>
      </c>
      <c r="C43" s="8">
        <v>364703</v>
      </c>
      <c r="D43" s="7">
        <v>-0.77507118000632502</v>
      </c>
      <c r="E43" s="7">
        <v>63.51</v>
      </c>
      <c r="F43" s="7">
        <v>62.5</v>
      </c>
      <c r="G43" s="7">
        <v>63.51</v>
      </c>
      <c r="H43" s="7">
        <v>62.495600000000003</v>
      </c>
      <c r="I43" s="7">
        <v>67.028046000000003</v>
      </c>
      <c r="J43" s="7">
        <v>-0.50208205054517097</v>
      </c>
      <c r="K43" s="7">
        <v>18.570751813196502</v>
      </c>
    </row>
    <row r="44" spans="1:11" ht="15" customHeight="1" x14ac:dyDescent="0.2">
      <c r="A44" s="3">
        <v>45987</v>
      </c>
      <c r="B44" s="4">
        <v>63.22</v>
      </c>
      <c r="C44" s="5">
        <v>3237006</v>
      </c>
      <c r="D44" s="4">
        <v>9.4996833438898406E-2</v>
      </c>
      <c r="E44" s="4">
        <v>63.47</v>
      </c>
      <c r="F44" s="4">
        <v>62.94</v>
      </c>
      <c r="G44" s="4">
        <v>63.47</v>
      </c>
      <c r="H44" s="4">
        <v>63.2151</v>
      </c>
      <c r="I44" s="4">
        <v>67.366280000000003</v>
      </c>
      <c r="J44" s="4">
        <v>9.4996689937021303E-2</v>
      </c>
      <c r="K44" s="4">
        <v>19.169078365469598</v>
      </c>
    </row>
    <row r="45" spans="1:11" ht="15" customHeight="1" x14ac:dyDescent="0.2">
      <c r="A45" s="6">
        <v>45986</v>
      </c>
      <c r="B45" s="7">
        <v>63.16</v>
      </c>
      <c r="C45" s="8">
        <v>1949882</v>
      </c>
      <c r="D45" s="7">
        <v>1.1207172590457799</v>
      </c>
      <c r="E45" s="7">
        <v>62.47</v>
      </c>
      <c r="F45" s="7">
        <v>62.47</v>
      </c>
      <c r="G45" s="7">
        <v>63.24</v>
      </c>
      <c r="H45" s="7">
        <v>63.147599999999997</v>
      </c>
      <c r="I45" s="7">
        <v>67.302345000000003</v>
      </c>
      <c r="J45" s="7">
        <v>1.1207180793262299</v>
      </c>
      <c r="K45" s="7">
        <v>19.055979126127699</v>
      </c>
    </row>
    <row r="46" spans="1:11" ht="15" customHeight="1" x14ac:dyDescent="0.2">
      <c r="A46" s="3">
        <v>45985</v>
      </c>
      <c r="B46" s="4">
        <v>62.46</v>
      </c>
      <c r="C46" s="5">
        <v>603730</v>
      </c>
      <c r="D46" s="4">
        <v>1.05160977188156</v>
      </c>
      <c r="E46" s="4">
        <v>62.12</v>
      </c>
      <c r="F46" s="4">
        <v>62.12</v>
      </c>
      <c r="G46" s="4">
        <v>62.58</v>
      </c>
      <c r="H46" s="4">
        <v>62.457500000000003</v>
      </c>
      <c r="I46" s="4">
        <v>66.556434999999993</v>
      </c>
      <c r="J46" s="4">
        <v>1.0516017825266999</v>
      </c>
      <c r="K46" s="4">
        <v>17.736485052184602</v>
      </c>
    </row>
    <row r="47" spans="1:11" ht="15" customHeight="1" x14ac:dyDescent="0.2">
      <c r="A47" s="6">
        <v>45982</v>
      </c>
      <c r="B47" s="7">
        <v>61.81</v>
      </c>
      <c r="C47" s="8">
        <v>1687565</v>
      </c>
      <c r="D47" s="7">
        <v>0.194520992057056</v>
      </c>
      <c r="E47" s="7">
        <v>61.78</v>
      </c>
      <c r="F47" s="7">
        <v>61.62</v>
      </c>
      <c r="G47" s="7">
        <v>62.31</v>
      </c>
      <c r="H47" s="7">
        <v>61.814999999999998</v>
      </c>
      <c r="I47" s="7">
        <v>65.863810000000001</v>
      </c>
      <c r="J47" s="7">
        <v>0.194535925786709</v>
      </c>
      <c r="K47" s="7">
        <v>16.5112506633645</v>
      </c>
    </row>
    <row r="48" spans="1:11" ht="15" customHeight="1" x14ac:dyDescent="0.2">
      <c r="A48" s="3">
        <v>45981</v>
      </c>
      <c r="B48" s="4">
        <v>61.69</v>
      </c>
      <c r="C48" s="5">
        <v>1782734</v>
      </c>
      <c r="D48" s="4">
        <v>-0.53208642373429005</v>
      </c>
      <c r="E48" s="4">
        <v>61.7</v>
      </c>
      <c r="F48" s="4">
        <v>61.56</v>
      </c>
      <c r="G48" s="4">
        <v>62.4</v>
      </c>
      <c r="H48" s="4">
        <v>61.610900000000001</v>
      </c>
      <c r="I48" s="4">
        <v>65.735929999999996</v>
      </c>
      <c r="J48" s="4">
        <v>-0.53209695376953403</v>
      </c>
      <c r="K48" s="4">
        <v>16.285034494958399</v>
      </c>
    </row>
    <row r="49" spans="1:11" ht="15" customHeight="1" x14ac:dyDescent="0.2">
      <c r="A49" s="6">
        <v>45980</v>
      </c>
      <c r="B49" s="7">
        <v>62.02</v>
      </c>
      <c r="C49" s="8">
        <v>2154799</v>
      </c>
      <c r="D49" s="7">
        <v>8.0684202033243196E-2</v>
      </c>
      <c r="E49" s="7">
        <v>61.96</v>
      </c>
      <c r="F49" s="7">
        <v>61.7</v>
      </c>
      <c r="G49" s="7">
        <v>62.23</v>
      </c>
      <c r="H49" s="7">
        <v>62.018500000000003</v>
      </c>
      <c r="I49" s="7">
        <v>66.087580000000003</v>
      </c>
      <c r="J49" s="7">
        <v>8.0685340800168398E-2</v>
      </c>
      <c r="K49" s="7">
        <v>16.9070935786308</v>
      </c>
    </row>
    <row r="50" spans="1:11" ht="15" customHeight="1" x14ac:dyDescent="0.2">
      <c r="A50" s="3">
        <v>45979</v>
      </c>
      <c r="B50" s="4">
        <v>61.97</v>
      </c>
      <c r="C50" s="5">
        <v>1606995</v>
      </c>
      <c r="D50" s="4">
        <v>-0.41780491724248098</v>
      </c>
      <c r="E50" s="4">
        <v>62.25</v>
      </c>
      <c r="F50" s="4">
        <v>61.9</v>
      </c>
      <c r="G50" s="4">
        <v>62.4</v>
      </c>
      <c r="H50" s="4">
        <v>61.907400000000003</v>
      </c>
      <c r="I50" s="4">
        <v>66.034300000000002</v>
      </c>
      <c r="J50" s="4">
        <v>-0.41780177903180099</v>
      </c>
      <c r="K50" s="4">
        <v>16.812842738369</v>
      </c>
    </row>
    <row r="51" spans="1:11" ht="15" customHeight="1" x14ac:dyDescent="0.2">
      <c r="A51" s="6">
        <v>45975</v>
      </c>
      <c r="B51" s="7">
        <v>62.23</v>
      </c>
      <c r="C51" s="8">
        <v>2964864</v>
      </c>
      <c r="D51" s="7">
        <v>-0.30438961871196402</v>
      </c>
      <c r="E51" s="7">
        <v>62.06</v>
      </c>
      <c r="F51" s="7">
        <v>62.01</v>
      </c>
      <c r="G51" s="7">
        <v>62.69</v>
      </c>
      <c r="H51" s="7">
        <v>62.184600000000003</v>
      </c>
      <c r="I51" s="7">
        <v>66.311350000000004</v>
      </c>
      <c r="J51" s="7">
        <v>-0.30438791583281499</v>
      </c>
      <c r="K51" s="7">
        <v>17.302936493897001</v>
      </c>
    </row>
    <row r="52" spans="1:11" ht="15" customHeight="1" x14ac:dyDescent="0.2">
      <c r="A52" s="3">
        <v>45974</v>
      </c>
      <c r="B52" s="4">
        <v>62.42</v>
      </c>
      <c r="C52" s="5">
        <v>3982626</v>
      </c>
      <c r="D52" s="4">
        <v>-1.06197495641148</v>
      </c>
      <c r="E52" s="4">
        <v>63.4</v>
      </c>
      <c r="F52" s="4">
        <v>62.26</v>
      </c>
      <c r="G52" s="4">
        <v>63.65</v>
      </c>
      <c r="H52" s="4">
        <v>62.385199999999998</v>
      </c>
      <c r="I52" s="4">
        <v>66.513810000000007</v>
      </c>
      <c r="J52" s="4">
        <v>-1.0619721766681001</v>
      </c>
      <c r="K52" s="4">
        <v>17.661082611003</v>
      </c>
    </row>
    <row r="53" spans="1:11" ht="15" customHeight="1" x14ac:dyDescent="0.2">
      <c r="A53" s="6">
        <v>45973</v>
      </c>
      <c r="B53" s="7">
        <v>63.09</v>
      </c>
      <c r="C53" s="8">
        <v>2534398</v>
      </c>
      <c r="D53" s="7">
        <v>-1.7289719626168201</v>
      </c>
      <c r="E53" s="7">
        <v>64.08</v>
      </c>
      <c r="F53" s="7">
        <v>62.94</v>
      </c>
      <c r="G53" s="7">
        <v>64.290000000000006</v>
      </c>
      <c r="H53" s="7">
        <v>63.046199999999999</v>
      </c>
      <c r="I53" s="7">
        <v>67.22775</v>
      </c>
      <c r="J53" s="7">
        <v>-1.72897308967695</v>
      </c>
      <c r="K53" s="7">
        <v>18.924022642844498</v>
      </c>
    </row>
    <row r="54" spans="1:11" ht="15" customHeight="1" x14ac:dyDescent="0.2">
      <c r="A54" s="3">
        <v>45972</v>
      </c>
      <c r="B54" s="4">
        <v>64.2</v>
      </c>
      <c r="C54" s="5">
        <v>4429786</v>
      </c>
      <c r="D54" s="4">
        <v>1.96950444726811</v>
      </c>
      <c r="E54" s="4">
        <v>63.5</v>
      </c>
      <c r="F54" s="4">
        <v>63.31</v>
      </c>
      <c r="G54" s="4">
        <v>64.25</v>
      </c>
      <c r="H54" s="4">
        <v>64.171899999999994</v>
      </c>
      <c r="I54" s="4">
        <v>68.410550000000001</v>
      </c>
      <c r="J54" s="4">
        <v>1.9695025248912501</v>
      </c>
      <c r="K54" s="4">
        <v>21.016362993101001</v>
      </c>
    </row>
    <row r="55" spans="1:11" ht="15" customHeight="1" x14ac:dyDescent="0.2">
      <c r="A55" s="6">
        <v>45971</v>
      </c>
      <c r="B55" s="7">
        <v>62.96</v>
      </c>
      <c r="C55" s="8">
        <v>1313702</v>
      </c>
      <c r="D55" s="7">
        <v>-0.427012494069267</v>
      </c>
      <c r="E55" s="7">
        <v>61.38</v>
      </c>
      <c r="F55" s="7">
        <v>61.38</v>
      </c>
      <c r="G55" s="7">
        <v>63.4</v>
      </c>
      <c r="H55" s="7">
        <v>62.951000000000001</v>
      </c>
      <c r="I55" s="7">
        <v>67.089225999999996</v>
      </c>
      <c r="J55" s="7">
        <v>-0.42702147055061401</v>
      </c>
      <c r="K55" s="7">
        <v>18.678977534052699</v>
      </c>
    </row>
    <row r="56" spans="1:11" ht="15" customHeight="1" x14ac:dyDescent="0.2">
      <c r="A56" s="3">
        <v>45968</v>
      </c>
      <c r="B56" s="4">
        <v>63.23</v>
      </c>
      <c r="C56" s="5">
        <v>2369106</v>
      </c>
      <c r="D56" s="4">
        <v>0.54062649069803703</v>
      </c>
      <c r="E56" s="4">
        <v>62.76</v>
      </c>
      <c r="F56" s="4">
        <v>62.76</v>
      </c>
      <c r="G56" s="4">
        <v>63.36</v>
      </c>
      <c r="H56" s="4">
        <v>63.232999999999997</v>
      </c>
      <c r="I56" s="4">
        <v>67.376940000000005</v>
      </c>
      <c r="J56" s="4">
        <v>0.54064314016208903</v>
      </c>
      <c r="K56" s="4">
        <v>19.1879356094109</v>
      </c>
    </row>
    <row r="57" spans="1:11" ht="15" customHeight="1" x14ac:dyDescent="0.2">
      <c r="A57" s="6">
        <v>45967</v>
      </c>
      <c r="B57" s="7">
        <v>62.89</v>
      </c>
      <c r="C57" s="8">
        <v>2343467</v>
      </c>
      <c r="D57" s="7">
        <v>-0.39594551789673399</v>
      </c>
      <c r="E57" s="7">
        <v>63.07</v>
      </c>
      <c r="F57" s="7">
        <v>62.78</v>
      </c>
      <c r="G57" s="7">
        <v>63.44</v>
      </c>
      <c r="H57" s="7">
        <v>62.878799999999998</v>
      </c>
      <c r="I57" s="7">
        <v>67.014629999999997</v>
      </c>
      <c r="J57" s="7">
        <v>-0.39596593631728799</v>
      </c>
      <c r="K57" s="7">
        <v>18.547019281797201</v>
      </c>
    </row>
    <row r="58" spans="1:11" ht="15" customHeight="1" x14ac:dyDescent="0.2">
      <c r="A58" s="3">
        <v>45966</v>
      </c>
      <c r="B58" s="4">
        <v>63.14</v>
      </c>
      <c r="C58" s="5">
        <v>2508533</v>
      </c>
      <c r="D58" s="4">
        <v>1.57657657657659</v>
      </c>
      <c r="E58" s="4">
        <v>62.88</v>
      </c>
      <c r="F58" s="4">
        <v>62.18</v>
      </c>
      <c r="G58" s="4">
        <v>63.39</v>
      </c>
      <c r="H58" s="4">
        <v>63.143599999999999</v>
      </c>
      <c r="I58" s="4">
        <v>67.281040000000004</v>
      </c>
      <c r="J58" s="4">
        <v>1.57658677749334</v>
      </c>
      <c r="K58" s="4">
        <v>19.018291172828501</v>
      </c>
    </row>
    <row r="59" spans="1:11" ht="15" customHeight="1" x14ac:dyDescent="0.2">
      <c r="A59" s="6">
        <v>45965</v>
      </c>
      <c r="B59" s="7">
        <v>62.16</v>
      </c>
      <c r="C59" s="8">
        <v>3095990</v>
      </c>
      <c r="D59" s="7">
        <v>0.37138704989503302</v>
      </c>
      <c r="E59" s="7">
        <v>61.93</v>
      </c>
      <c r="F59" s="7">
        <v>61.25</v>
      </c>
      <c r="G59" s="7">
        <v>62.3</v>
      </c>
      <c r="H59" s="7">
        <v>62.160400000000003</v>
      </c>
      <c r="I59" s="7">
        <v>66.236760000000004</v>
      </c>
      <c r="J59" s="7">
        <v>0.37138014974009698</v>
      </c>
      <c r="K59" s="7">
        <v>17.170988855474899</v>
      </c>
    </row>
    <row r="60" spans="1:11" ht="15" customHeight="1" x14ac:dyDescent="0.2">
      <c r="A60" s="3">
        <v>45964</v>
      </c>
      <c r="B60" s="4">
        <v>61.93</v>
      </c>
      <c r="C60" s="5">
        <v>545352</v>
      </c>
      <c r="D60" s="4">
        <v>-0.95953942107788104</v>
      </c>
      <c r="E60" s="4">
        <v>64.47</v>
      </c>
      <c r="F60" s="4">
        <v>61.88</v>
      </c>
      <c r="G60" s="4">
        <v>64.47</v>
      </c>
      <c r="H60" s="4">
        <v>61.9148</v>
      </c>
      <c r="I60" s="4">
        <v>65.991680000000002</v>
      </c>
      <c r="J60" s="4">
        <v>-0.95953792099565605</v>
      </c>
      <c r="K60" s="4">
        <v>16.737449142048401</v>
      </c>
    </row>
    <row r="61" spans="1:11" ht="15" customHeight="1" x14ac:dyDescent="0.2">
      <c r="A61" s="6">
        <v>45961</v>
      </c>
      <c r="B61" s="7">
        <v>62.53</v>
      </c>
      <c r="C61" s="8">
        <v>1136020</v>
      </c>
      <c r="D61" s="7">
        <v>-0.191540303272141</v>
      </c>
      <c r="E61" s="7">
        <v>62.71</v>
      </c>
      <c r="F61" s="7">
        <v>62.25</v>
      </c>
      <c r="G61" s="7">
        <v>63</v>
      </c>
      <c r="H61" s="7">
        <v>62.5291</v>
      </c>
      <c r="I61" s="7">
        <v>66.631029999999996</v>
      </c>
      <c r="J61" s="7">
        <v>-0.191534024169603</v>
      </c>
      <c r="K61" s="7">
        <v>17.868441535467799</v>
      </c>
    </row>
    <row r="62" spans="1:11" ht="15" customHeight="1" x14ac:dyDescent="0.2">
      <c r="A62" s="3">
        <v>45960</v>
      </c>
      <c r="B62" s="4">
        <v>62.65</v>
      </c>
      <c r="C62" s="5">
        <v>1857088</v>
      </c>
      <c r="D62" s="4">
        <v>-1.05811749842071</v>
      </c>
      <c r="E62" s="4">
        <v>63.3</v>
      </c>
      <c r="F62" s="4">
        <v>62.6</v>
      </c>
      <c r="G62" s="4">
        <v>63.3</v>
      </c>
      <c r="H62" s="4">
        <v>62.649700000000003</v>
      </c>
      <c r="I62" s="4">
        <v>66.758895999999993</v>
      </c>
      <c r="J62" s="4">
        <v>-0.73013331913753798</v>
      </c>
      <c r="K62" s="4">
        <v>18.094632938262802</v>
      </c>
    </row>
    <row r="63" spans="1:11" ht="15" customHeight="1" x14ac:dyDescent="0.2">
      <c r="A63" s="6">
        <v>45959</v>
      </c>
      <c r="B63" s="7">
        <v>63.32</v>
      </c>
      <c r="C63" s="8">
        <v>1590926</v>
      </c>
      <c r="D63" s="7">
        <v>0.89228808158063799</v>
      </c>
      <c r="E63" s="7">
        <v>63</v>
      </c>
      <c r="F63" s="7">
        <v>62.89</v>
      </c>
      <c r="G63" s="7">
        <v>63.47</v>
      </c>
      <c r="H63" s="7">
        <v>63.3202</v>
      </c>
      <c r="I63" s="7">
        <v>67.24991</v>
      </c>
      <c r="J63" s="7">
        <v>0.89229414381333205</v>
      </c>
      <c r="K63" s="7">
        <v>18.963223067397799</v>
      </c>
    </row>
    <row r="64" spans="1:11" ht="15" customHeight="1" x14ac:dyDescent="0.2">
      <c r="A64" s="3">
        <v>45958</v>
      </c>
      <c r="B64" s="4">
        <v>62.76</v>
      </c>
      <c r="C64" s="5">
        <v>3113611</v>
      </c>
      <c r="D64" s="4">
        <v>1.50412421154779</v>
      </c>
      <c r="E64" s="4">
        <v>62.25</v>
      </c>
      <c r="F64" s="4">
        <v>62.25</v>
      </c>
      <c r="G64" s="4">
        <v>62.89</v>
      </c>
      <c r="H64" s="4">
        <v>62.763800000000003</v>
      </c>
      <c r="I64" s="4">
        <v>66.655150000000006</v>
      </c>
      <c r="J64" s="4">
        <v>1.5041169188350501</v>
      </c>
      <c r="K64" s="4">
        <v>17.911109145586401</v>
      </c>
    </row>
    <row r="65" spans="1:11" ht="15" customHeight="1" x14ac:dyDescent="0.2">
      <c r="A65" s="6">
        <v>45957</v>
      </c>
      <c r="B65" s="7">
        <v>61.83</v>
      </c>
      <c r="C65" s="8">
        <v>2917759</v>
      </c>
      <c r="D65" s="7">
        <v>1.16164921465968</v>
      </c>
      <c r="E65" s="7">
        <v>61.13</v>
      </c>
      <c r="F65" s="7">
        <v>61.12</v>
      </c>
      <c r="G65" s="7">
        <v>61.96</v>
      </c>
      <c r="H65" s="7">
        <v>61.830599999999997</v>
      </c>
      <c r="I65" s="7">
        <v>65.667434999999998</v>
      </c>
      <c r="J65" s="7">
        <v>1.1616482089899101</v>
      </c>
      <c r="K65" s="7">
        <v>16.1638687422607</v>
      </c>
    </row>
    <row r="66" spans="1:11" ht="15" customHeight="1" x14ac:dyDescent="0.2">
      <c r="A66" s="3">
        <v>45954</v>
      </c>
      <c r="B66" s="4">
        <v>61.12</v>
      </c>
      <c r="C66" s="5">
        <v>3383336</v>
      </c>
      <c r="D66" s="4">
        <v>-0.61788617886179198</v>
      </c>
      <c r="E66" s="4">
        <v>61.69</v>
      </c>
      <c r="F66" s="4">
        <v>61</v>
      </c>
      <c r="G66" s="4">
        <v>61.83</v>
      </c>
      <c r="H66" s="4">
        <v>61.118000000000002</v>
      </c>
      <c r="I66" s="4">
        <v>64.91337</v>
      </c>
      <c r="J66" s="4">
        <v>-0.61787943252097299</v>
      </c>
      <c r="K66" s="4">
        <v>14.829948699805399</v>
      </c>
    </row>
    <row r="67" spans="1:11" ht="15" customHeight="1" x14ac:dyDescent="0.2">
      <c r="A67" s="6">
        <v>45953</v>
      </c>
      <c r="B67" s="7">
        <v>61.5</v>
      </c>
      <c r="C67" s="8">
        <v>1515651</v>
      </c>
      <c r="D67" s="7">
        <v>0.35900783289817201</v>
      </c>
      <c r="E67" s="7">
        <v>61.55</v>
      </c>
      <c r="F67" s="7">
        <v>61.3</v>
      </c>
      <c r="G67" s="7">
        <v>61.62</v>
      </c>
      <c r="H67" s="7">
        <v>61.484400000000001</v>
      </c>
      <c r="I67" s="7">
        <v>65.316950000000006</v>
      </c>
      <c r="J67" s="7">
        <v>0.35900146427734198</v>
      </c>
      <c r="K67" s="7">
        <v>15.5438705112329</v>
      </c>
    </row>
    <row r="68" spans="1:11" ht="15" customHeight="1" x14ac:dyDescent="0.2">
      <c r="A68" s="3">
        <v>45952</v>
      </c>
      <c r="B68" s="4">
        <v>61.28</v>
      </c>
      <c r="C68" s="5">
        <v>1388845</v>
      </c>
      <c r="D68" s="4">
        <v>0.889035232136969</v>
      </c>
      <c r="E68" s="4">
        <v>60.89</v>
      </c>
      <c r="F68" s="4">
        <v>60.82</v>
      </c>
      <c r="G68" s="4">
        <v>61.38</v>
      </c>
      <c r="H68" s="4">
        <v>61.280900000000003</v>
      </c>
      <c r="I68" s="4">
        <v>65.083299999999994</v>
      </c>
      <c r="J68" s="4">
        <v>0.88904349076990297</v>
      </c>
      <c r="K68" s="4">
        <v>15.1305501503626</v>
      </c>
    </row>
    <row r="69" spans="1:11" ht="15" customHeight="1" x14ac:dyDescent="0.2">
      <c r="A69" s="6">
        <v>45951</v>
      </c>
      <c r="B69" s="7">
        <v>60.74</v>
      </c>
      <c r="C69" s="8">
        <v>4633796</v>
      </c>
      <c r="D69" s="7">
        <v>-1.5080265931571299</v>
      </c>
      <c r="E69" s="7">
        <v>61.35</v>
      </c>
      <c r="F69" s="7">
        <v>60.61</v>
      </c>
      <c r="G69" s="7">
        <v>61.35</v>
      </c>
      <c r="H69" s="7">
        <v>60.747599999999998</v>
      </c>
      <c r="I69" s="7">
        <v>64.509780000000006</v>
      </c>
      <c r="J69" s="7">
        <v>-1.5080270239322</v>
      </c>
      <c r="K69" s="7">
        <v>14.116009198655499</v>
      </c>
    </row>
    <row r="70" spans="1:11" ht="15" customHeight="1" x14ac:dyDescent="0.2">
      <c r="A70" s="3">
        <v>45950</v>
      </c>
      <c r="B70" s="4">
        <v>61.67</v>
      </c>
      <c r="C70" s="5">
        <v>1198017</v>
      </c>
      <c r="D70" s="4">
        <v>-8.1011017498377996E-2</v>
      </c>
      <c r="E70" s="4">
        <v>61.53</v>
      </c>
      <c r="F70" s="4">
        <v>61.2</v>
      </c>
      <c r="G70" s="4">
        <v>61.99</v>
      </c>
      <c r="H70" s="4">
        <v>61.645600000000002</v>
      </c>
      <c r="I70" s="4">
        <v>65.497500000000002</v>
      </c>
      <c r="J70" s="4">
        <v>-8.1015269332518305E-2</v>
      </c>
      <c r="K70" s="4">
        <v>15.8632584468423</v>
      </c>
    </row>
    <row r="71" spans="1:11" ht="15" customHeight="1" x14ac:dyDescent="0.2">
      <c r="A71" s="6">
        <v>45947</v>
      </c>
      <c r="B71" s="7">
        <v>61.72</v>
      </c>
      <c r="C71" s="8">
        <v>2488508</v>
      </c>
      <c r="D71" s="7">
        <v>-1.26379779235322</v>
      </c>
      <c r="E71" s="7">
        <v>62.43</v>
      </c>
      <c r="F71" s="7">
        <v>61.55</v>
      </c>
      <c r="G71" s="7">
        <v>62.43</v>
      </c>
      <c r="H71" s="7">
        <v>61.718200000000003</v>
      </c>
      <c r="I71" s="7">
        <v>65.550606000000002</v>
      </c>
      <c r="J71" s="7">
        <v>-1.2637877331143399</v>
      </c>
      <c r="K71" s="7">
        <v>15.957201485936601</v>
      </c>
    </row>
    <row r="72" spans="1:11" ht="15" customHeight="1" x14ac:dyDescent="0.2">
      <c r="A72" s="3">
        <v>45946</v>
      </c>
      <c r="B72" s="4">
        <v>62.51</v>
      </c>
      <c r="C72" s="5">
        <v>3158719</v>
      </c>
      <c r="D72" s="4">
        <v>1.5102305943487999</v>
      </c>
      <c r="E72" s="4">
        <v>61.95</v>
      </c>
      <c r="F72" s="4">
        <v>61.95</v>
      </c>
      <c r="G72" s="4">
        <v>62.91</v>
      </c>
      <c r="H72" s="4">
        <v>62.516399999999997</v>
      </c>
      <c r="I72" s="4">
        <v>66.389629999999997</v>
      </c>
      <c r="J72" s="4">
        <v>1.5102156022330699</v>
      </c>
      <c r="K72" s="4">
        <v>17.441411639837199</v>
      </c>
    </row>
    <row r="73" spans="1:11" ht="15" customHeight="1" x14ac:dyDescent="0.2">
      <c r="A73" s="6">
        <v>45945</v>
      </c>
      <c r="B73" s="7">
        <v>61.58</v>
      </c>
      <c r="C73" s="8">
        <v>2502919</v>
      </c>
      <c r="D73" s="7">
        <v>1.31622244159261</v>
      </c>
      <c r="E73" s="7">
        <v>61.27</v>
      </c>
      <c r="F73" s="7">
        <v>61.2</v>
      </c>
      <c r="G73" s="7">
        <v>61.67</v>
      </c>
      <c r="H73" s="7">
        <v>61.5807</v>
      </c>
      <c r="I73" s="7">
        <v>65.401920000000004</v>
      </c>
      <c r="J73" s="7">
        <v>1.31623586842659</v>
      </c>
      <c r="K73" s="7">
        <v>15.6941800813727</v>
      </c>
    </row>
    <row r="74" spans="1:11" ht="15" customHeight="1" x14ac:dyDescent="0.2">
      <c r="A74" s="3">
        <v>45944</v>
      </c>
      <c r="B74" s="4">
        <v>60.78</v>
      </c>
      <c r="C74" s="5">
        <v>3328993</v>
      </c>
      <c r="D74" s="4">
        <v>-0.24618414574101299</v>
      </c>
      <c r="E74" s="4">
        <v>60.92</v>
      </c>
      <c r="F74" s="4">
        <v>60.68</v>
      </c>
      <c r="G74" s="4">
        <v>61.02</v>
      </c>
      <c r="H74" s="4">
        <v>60.731499999999997</v>
      </c>
      <c r="I74" s="4">
        <v>64.552260000000004</v>
      </c>
      <c r="J74" s="4">
        <v>-0.24618472399910901</v>
      </c>
      <c r="K74" s="4">
        <v>14.1911551388643</v>
      </c>
    </row>
    <row r="75" spans="1:11" ht="15" customHeight="1" x14ac:dyDescent="0.2">
      <c r="A75" s="6">
        <v>45943</v>
      </c>
      <c r="B75" s="7">
        <v>60.93</v>
      </c>
      <c r="C75" s="8">
        <v>2906387</v>
      </c>
      <c r="D75" s="7">
        <v>0.74404761904762695</v>
      </c>
      <c r="E75" s="7">
        <v>60.87</v>
      </c>
      <c r="F75" s="7">
        <v>60.87</v>
      </c>
      <c r="G75" s="7">
        <v>61.34</v>
      </c>
      <c r="H75" s="7">
        <v>60.965000000000003</v>
      </c>
      <c r="I75" s="7">
        <v>64.711569999999995</v>
      </c>
      <c r="J75" s="7">
        <v>0.74404937973311303</v>
      </c>
      <c r="K75" s="7">
        <v>14.472970104369301</v>
      </c>
    </row>
    <row r="76" spans="1:11" ht="15" customHeight="1" x14ac:dyDescent="0.2">
      <c r="A76" s="3">
        <v>45940</v>
      </c>
      <c r="B76" s="4">
        <v>60.48</v>
      </c>
      <c r="C76" s="5">
        <v>1801834</v>
      </c>
      <c r="D76" s="4">
        <v>-0.42805400065854998</v>
      </c>
      <c r="E76" s="4">
        <v>61</v>
      </c>
      <c r="F76" s="4">
        <v>60.4</v>
      </c>
      <c r="G76" s="4">
        <v>61</v>
      </c>
      <c r="H76" s="4">
        <v>60.477899999999998</v>
      </c>
      <c r="I76" s="4">
        <v>64.233639999999994</v>
      </c>
      <c r="J76" s="4">
        <v>-0.42805912529854101</v>
      </c>
      <c r="K76" s="4">
        <v>13.6275252078542</v>
      </c>
    </row>
    <row r="77" spans="1:11" ht="15" customHeight="1" x14ac:dyDescent="0.2">
      <c r="A77" s="6">
        <v>45939</v>
      </c>
      <c r="B77" s="7">
        <v>60.74</v>
      </c>
      <c r="C77" s="8">
        <v>2485105</v>
      </c>
      <c r="D77" s="7"/>
      <c r="E77" s="7">
        <v>60.55</v>
      </c>
      <c r="F77" s="7">
        <v>60.44</v>
      </c>
      <c r="G77" s="7">
        <v>61.29</v>
      </c>
      <c r="H77" s="7">
        <v>60.728200000000001</v>
      </c>
      <c r="I77" s="7">
        <v>64.509780000000006</v>
      </c>
      <c r="J77" s="7"/>
      <c r="K77" s="7">
        <v>14.116009198655499</v>
      </c>
    </row>
    <row r="78" spans="1:11" ht="15" customHeight="1" x14ac:dyDescent="0.2">
      <c r="A78" s="3">
        <v>45938</v>
      </c>
      <c r="B78" s="4">
        <v>60.74</v>
      </c>
      <c r="C78" s="5">
        <v>1940477</v>
      </c>
      <c r="D78" s="4">
        <v>0.99767209843697402</v>
      </c>
      <c r="E78" s="4">
        <v>60.57</v>
      </c>
      <c r="F78" s="4">
        <v>60.46</v>
      </c>
      <c r="G78" s="4">
        <v>60.8</v>
      </c>
      <c r="H78" s="4">
        <v>60.788499999999999</v>
      </c>
      <c r="I78" s="4">
        <v>64.509780000000006</v>
      </c>
      <c r="J78" s="4">
        <v>0.99766968727079597</v>
      </c>
      <c r="K78" s="4">
        <v>14.116009198655499</v>
      </c>
    </row>
    <row r="79" spans="1:11" ht="15" customHeight="1" x14ac:dyDescent="0.2">
      <c r="A79" s="6">
        <v>45937</v>
      </c>
      <c r="B79" s="7">
        <v>60.14</v>
      </c>
      <c r="C79" s="8">
        <v>2214650</v>
      </c>
      <c r="D79" s="7">
        <v>-0.33145508783560801</v>
      </c>
      <c r="E79" s="7">
        <v>60.68</v>
      </c>
      <c r="F79" s="7">
        <v>60.07</v>
      </c>
      <c r="G79" s="7">
        <v>60.84</v>
      </c>
      <c r="H79" s="7">
        <v>60.118299999999998</v>
      </c>
      <c r="I79" s="7">
        <v>63.872543</v>
      </c>
      <c r="J79" s="7">
        <v>-0.33144599473043901</v>
      </c>
      <c r="K79" s="7">
        <v>12.988754643551999</v>
      </c>
    </row>
    <row r="80" spans="1:11" ht="15" customHeight="1" x14ac:dyDescent="0.2">
      <c r="A80" s="3">
        <v>45936</v>
      </c>
      <c r="B80" s="4">
        <v>60.34</v>
      </c>
      <c r="C80" s="5">
        <v>7580425</v>
      </c>
      <c r="D80" s="4">
        <v>-2.4886877828054299</v>
      </c>
      <c r="E80" s="4">
        <v>61.5</v>
      </c>
      <c r="F80" s="4">
        <v>60.06</v>
      </c>
      <c r="G80" s="4">
        <v>61.5</v>
      </c>
      <c r="H80" s="4">
        <v>60.3065</v>
      </c>
      <c r="I80" s="4">
        <v>64.084950000000006</v>
      </c>
      <c r="J80" s="4">
        <v>-2.4886970259751999</v>
      </c>
      <c r="K80" s="4">
        <v>13.364496727401299</v>
      </c>
    </row>
    <row r="81" spans="1:11" ht="15" customHeight="1" x14ac:dyDescent="0.2">
      <c r="A81" s="6">
        <v>45933</v>
      </c>
      <c r="B81" s="7">
        <v>61.88</v>
      </c>
      <c r="C81" s="8">
        <v>607236</v>
      </c>
      <c r="D81" s="7">
        <v>-0.37031073901142503</v>
      </c>
      <c r="E81" s="7">
        <v>62.41</v>
      </c>
      <c r="F81" s="7">
        <v>61.7</v>
      </c>
      <c r="G81" s="7">
        <v>62.41</v>
      </c>
      <c r="H81" s="7">
        <v>61.882300000000001</v>
      </c>
      <c r="I81" s="7">
        <v>65.720534999999998</v>
      </c>
      <c r="J81" s="7">
        <v>-0.370311079498297</v>
      </c>
      <c r="K81" s="7">
        <v>16.257801167521599</v>
      </c>
    </row>
    <row r="82" spans="1:11" ht="15" customHeight="1" x14ac:dyDescent="0.2">
      <c r="A82" s="3">
        <v>45932</v>
      </c>
      <c r="B82" s="4">
        <v>62.11</v>
      </c>
      <c r="C82" s="5">
        <v>2664361</v>
      </c>
      <c r="D82" s="4">
        <v>0.50161812297735398</v>
      </c>
      <c r="E82" s="4">
        <v>61.49</v>
      </c>
      <c r="F82" s="4">
        <v>61.12</v>
      </c>
      <c r="G82" s="4">
        <v>62.18</v>
      </c>
      <c r="H82" s="4">
        <v>62.117400000000004</v>
      </c>
      <c r="I82" s="4">
        <v>65.96481</v>
      </c>
      <c r="J82" s="4">
        <v>0.50161825363899104</v>
      </c>
      <c r="K82" s="4">
        <v>16.689916858305299</v>
      </c>
    </row>
    <row r="83" spans="1:11" ht="15" customHeight="1" x14ac:dyDescent="0.2">
      <c r="A83" s="6">
        <v>45931</v>
      </c>
      <c r="B83" s="7">
        <v>61.8</v>
      </c>
      <c r="C83" s="8">
        <v>6796591</v>
      </c>
      <c r="D83" s="7">
        <v>-1.5923566878980799</v>
      </c>
      <c r="E83" s="7">
        <v>63.05</v>
      </c>
      <c r="F83" s="7">
        <v>61.69</v>
      </c>
      <c r="G83" s="7">
        <v>63.05</v>
      </c>
      <c r="H83" s="7">
        <v>61.828299999999999</v>
      </c>
      <c r="I83" s="7">
        <v>65.635570000000001</v>
      </c>
      <c r="J83" s="7">
        <v>-1.5923504328414699</v>
      </c>
      <c r="K83" s="7">
        <v>16.107500442243001</v>
      </c>
    </row>
    <row r="84" spans="1:11" ht="15" customHeight="1" x14ac:dyDescent="0.2">
      <c r="A84" s="3">
        <v>45930</v>
      </c>
      <c r="B84" s="4">
        <v>62.8</v>
      </c>
      <c r="C84" s="5">
        <v>6524086</v>
      </c>
      <c r="D84" s="4">
        <v>0.49607937269961999</v>
      </c>
      <c r="E84" s="4">
        <v>62.8</v>
      </c>
      <c r="F84" s="4">
        <v>62.59</v>
      </c>
      <c r="G84" s="4">
        <v>63</v>
      </c>
      <c r="H84" s="4">
        <v>62.7971</v>
      </c>
      <c r="I84" s="4">
        <v>66.697630000000004</v>
      </c>
      <c r="J84" s="4">
        <v>0.49607953424814999</v>
      </c>
      <c r="K84" s="4">
        <v>17.986255085795101</v>
      </c>
    </row>
    <row r="85" spans="1:11" ht="15" customHeight="1" x14ac:dyDescent="0.2">
      <c r="A85" s="6">
        <v>45929</v>
      </c>
      <c r="B85" s="7">
        <v>62.49</v>
      </c>
      <c r="C85" s="8">
        <v>4181808</v>
      </c>
      <c r="D85" s="7">
        <v>0.30497592295346498</v>
      </c>
      <c r="E85" s="7">
        <v>62.6</v>
      </c>
      <c r="F85" s="7">
        <v>62.45</v>
      </c>
      <c r="G85" s="7">
        <v>62.87</v>
      </c>
      <c r="H85" s="7">
        <v>62.493200000000002</v>
      </c>
      <c r="I85" s="7">
        <v>66.368390000000005</v>
      </c>
      <c r="J85" s="7">
        <v>0.47462049738036199</v>
      </c>
      <c r="K85" s="7">
        <v>17.403838669732799</v>
      </c>
    </row>
    <row r="86" spans="1:11" ht="15" customHeight="1" x14ac:dyDescent="0.2">
      <c r="A86" s="3">
        <v>45926</v>
      </c>
      <c r="B86" s="4">
        <v>62.3</v>
      </c>
      <c r="C86" s="5">
        <v>1648468</v>
      </c>
      <c r="D86" s="4">
        <v>0.54874112330536295</v>
      </c>
      <c r="E86" s="4">
        <v>62.19</v>
      </c>
      <c r="F86" s="4">
        <v>62.19</v>
      </c>
      <c r="G86" s="4">
        <v>62.53</v>
      </c>
      <c r="H86" s="4">
        <v>62.297899999999998</v>
      </c>
      <c r="I86" s="4">
        <v>66.054879999999997</v>
      </c>
      <c r="J86" s="4">
        <v>0.548737875486771</v>
      </c>
      <c r="K86" s="4">
        <v>16.849248186803401</v>
      </c>
    </row>
    <row r="87" spans="1:11" ht="15" customHeight="1" x14ac:dyDescent="0.2">
      <c r="A87" s="6">
        <v>45925</v>
      </c>
      <c r="B87" s="7">
        <v>61.96</v>
      </c>
      <c r="C87" s="8">
        <v>1601081</v>
      </c>
      <c r="D87" s="7">
        <v>9.6930533117944806E-2</v>
      </c>
      <c r="E87" s="7">
        <v>61.9</v>
      </c>
      <c r="F87" s="7">
        <v>61.87</v>
      </c>
      <c r="G87" s="7">
        <v>62.25</v>
      </c>
      <c r="H87" s="7">
        <v>61.936799999999998</v>
      </c>
      <c r="I87" s="7">
        <v>65.694389999999999</v>
      </c>
      <c r="J87" s="7">
        <v>9.69286131391911E-2</v>
      </c>
      <c r="K87" s="7">
        <v>16.211551388643102</v>
      </c>
    </row>
    <row r="88" spans="1:11" ht="15" customHeight="1" x14ac:dyDescent="0.2">
      <c r="A88" s="3">
        <v>45924</v>
      </c>
      <c r="B88" s="4">
        <v>61.9</v>
      </c>
      <c r="C88" s="5">
        <v>2663460</v>
      </c>
      <c r="D88" s="4">
        <v>-0.78538227280012796</v>
      </c>
      <c r="E88" s="4">
        <v>62.49</v>
      </c>
      <c r="F88" s="4">
        <v>61.72</v>
      </c>
      <c r="G88" s="4">
        <v>62.55</v>
      </c>
      <c r="H88" s="4">
        <v>61.898200000000003</v>
      </c>
      <c r="I88" s="4">
        <v>65.630775</v>
      </c>
      <c r="J88" s="4">
        <v>-0.78538558625047505</v>
      </c>
      <c r="K88" s="4">
        <v>16.0990182204139</v>
      </c>
    </row>
    <row r="89" spans="1:11" ht="15" customHeight="1" x14ac:dyDescent="0.2">
      <c r="A89" s="6">
        <v>45923</v>
      </c>
      <c r="B89" s="7">
        <v>62.39</v>
      </c>
      <c r="C89" s="8">
        <v>8914391</v>
      </c>
      <c r="D89" s="7">
        <v>0.62903225806452101</v>
      </c>
      <c r="E89" s="7">
        <v>62.03</v>
      </c>
      <c r="F89" s="7">
        <v>62.03</v>
      </c>
      <c r="G89" s="7">
        <v>62.47</v>
      </c>
      <c r="H89" s="7">
        <v>62.360399999999998</v>
      </c>
      <c r="I89" s="7">
        <v>66.150310000000005</v>
      </c>
      <c r="J89" s="7">
        <v>0.62903883365177304</v>
      </c>
      <c r="K89" s="7">
        <v>17.018061206439</v>
      </c>
    </row>
    <row r="90" spans="1:11" ht="15" customHeight="1" x14ac:dyDescent="0.2">
      <c r="A90" s="3">
        <v>45922</v>
      </c>
      <c r="B90" s="4">
        <v>62</v>
      </c>
      <c r="C90" s="5">
        <v>5404130</v>
      </c>
      <c r="D90" s="4">
        <v>1.3071895424836499</v>
      </c>
      <c r="E90" s="4">
        <v>61.53</v>
      </c>
      <c r="F90" s="4">
        <v>61.3</v>
      </c>
      <c r="G90" s="4">
        <v>62.07</v>
      </c>
      <c r="H90" s="4">
        <v>61.997199999999999</v>
      </c>
      <c r="I90" s="4">
        <v>65.736800000000002</v>
      </c>
      <c r="J90" s="4">
        <v>1.30719457876871</v>
      </c>
      <c r="K90" s="4">
        <v>16.286573500795999</v>
      </c>
    </row>
    <row r="91" spans="1:11" ht="15" customHeight="1" x14ac:dyDescent="0.2">
      <c r="A91" s="6">
        <v>45919</v>
      </c>
      <c r="B91" s="7">
        <v>61.2</v>
      </c>
      <c r="C91" s="8">
        <v>1189590</v>
      </c>
      <c r="D91" s="7">
        <v>-0.211968041741394</v>
      </c>
      <c r="E91" s="7">
        <v>61.63</v>
      </c>
      <c r="F91" s="7">
        <v>61.1</v>
      </c>
      <c r="G91" s="7">
        <v>61.7</v>
      </c>
      <c r="H91" s="7">
        <v>61.197299999999998</v>
      </c>
      <c r="I91" s="7">
        <v>64.888580000000005</v>
      </c>
      <c r="J91" s="7">
        <v>-0.21197537862301899</v>
      </c>
      <c r="K91" s="7">
        <v>14.786095878294701</v>
      </c>
    </row>
    <row r="92" spans="1:11" ht="15" customHeight="1" x14ac:dyDescent="0.2">
      <c r="A92" s="3">
        <v>45918</v>
      </c>
      <c r="B92" s="4">
        <v>61.33</v>
      </c>
      <c r="C92" s="5">
        <v>12069531</v>
      </c>
      <c r="D92" s="4">
        <v>-0.38980022738347397</v>
      </c>
      <c r="E92" s="4">
        <v>61.57</v>
      </c>
      <c r="F92" s="4">
        <v>60.9</v>
      </c>
      <c r="G92" s="4">
        <v>61.57</v>
      </c>
      <c r="H92" s="4">
        <v>61.321199999999997</v>
      </c>
      <c r="I92" s="4">
        <v>65.026420000000002</v>
      </c>
      <c r="J92" s="4">
        <v>-0.38979253956135101</v>
      </c>
      <c r="K92" s="4">
        <v>15.0299310100831</v>
      </c>
    </row>
    <row r="93" spans="1:11" ht="15" customHeight="1" x14ac:dyDescent="0.2">
      <c r="A93" s="6">
        <v>45917</v>
      </c>
      <c r="B93" s="7">
        <v>61.57</v>
      </c>
      <c r="C93" s="8">
        <v>3250980</v>
      </c>
      <c r="D93" s="7">
        <v>-0.80554212985338702</v>
      </c>
      <c r="E93" s="7">
        <v>62.38</v>
      </c>
      <c r="F93" s="7">
        <v>61.45</v>
      </c>
      <c r="G93" s="7">
        <v>62.38</v>
      </c>
      <c r="H93" s="7">
        <v>61.590600000000002</v>
      </c>
      <c r="I93" s="7">
        <v>65.280879999999996</v>
      </c>
      <c r="J93" s="7">
        <v>-0.80554897948702497</v>
      </c>
      <c r="K93" s="7">
        <v>15.4800636830001</v>
      </c>
    </row>
    <row r="94" spans="1:11" ht="15" customHeight="1" x14ac:dyDescent="0.2">
      <c r="A94" s="3">
        <v>45915</v>
      </c>
      <c r="B94" s="4">
        <v>62.07</v>
      </c>
      <c r="C94" s="5">
        <v>5147290</v>
      </c>
      <c r="D94" s="4">
        <v>0.46940757526707699</v>
      </c>
      <c r="E94" s="4">
        <v>62.04</v>
      </c>
      <c r="F94" s="4">
        <v>61.78</v>
      </c>
      <c r="G94" s="4">
        <v>62.23</v>
      </c>
      <c r="H94" s="4">
        <v>62.084499999999998</v>
      </c>
      <c r="I94" s="4">
        <v>65.811019999999999</v>
      </c>
      <c r="J94" s="4">
        <v>0.46940974487790199</v>
      </c>
      <c r="K94" s="4">
        <v>16.417866619493999</v>
      </c>
    </row>
    <row r="95" spans="1:11" ht="15" customHeight="1" x14ac:dyDescent="0.2">
      <c r="A95" s="6">
        <v>45912</v>
      </c>
      <c r="B95" s="7">
        <v>61.78</v>
      </c>
      <c r="C95" s="8">
        <v>14083863</v>
      </c>
      <c r="D95" s="7">
        <v>0.389990250243754</v>
      </c>
      <c r="E95" s="7">
        <v>61.23</v>
      </c>
      <c r="F95" s="7">
        <v>61.23</v>
      </c>
      <c r="G95" s="7">
        <v>61.93</v>
      </c>
      <c r="H95" s="7">
        <v>61.782899999999998</v>
      </c>
      <c r="I95" s="7">
        <v>65.503540000000001</v>
      </c>
      <c r="J95" s="7">
        <v>0.389982510098207</v>
      </c>
      <c r="K95" s="7">
        <v>15.8739430390942</v>
      </c>
    </row>
    <row r="96" spans="1:11" ht="15" customHeight="1" x14ac:dyDescent="0.2">
      <c r="A96" s="3">
        <v>45911</v>
      </c>
      <c r="B96" s="4">
        <v>61.54</v>
      </c>
      <c r="C96" s="5">
        <v>7648778</v>
      </c>
      <c r="D96" s="4">
        <v>1.7190082644628</v>
      </c>
      <c r="E96" s="4">
        <v>61.2</v>
      </c>
      <c r="F96" s="4">
        <v>61.2</v>
      </c>
      <c r="G96" s="4">
        <v>61.89</v>
      </c>
      <c r="H96" s="4">
        <v>61.538400000000003</v>
      </c>
      <c r="I96" s="4">
        <v>65.249080000000006</v>
      </c>
      <c r="J96" s="4">
        <v>1.71902113275588</v>
      </c>
      <c r="K96" s="4">
        <v>15.4238103661772</v>
      </c>
    </row>
    <row r="97" spans="1:11" ht="15" customHeight="1" x14ac:dyDescent="0.2">
      <c r="A97" s="6">
        <v>45910</v>
      </c>
      <c r="B97" s="7">
        <v>60.5</v>
      </c>
      <c r="C97" s="8">
        <v>8045734</v>
      </c>
      <c r="D97" s="7">
        <v>-0.296638101516144</v>
      </c>
      <c r="E97" s="7">
        <v>60.98</v>
      </c>
      <c r="F97" s="7">
        <v>60.42</v>
      </c>
      <c r="G97" s="7">
        <v>60.98</v>
      </c>
      <c r="H97" s="7">
        <v>60.477400000000003</v>
      </c>
      <c r="I97" s="7">
        <v>64.146389999999997</v>
      </c>
      <c r="J97" s="7">
        <v>-0.29664001750774299</v>
      </c>
      <c r="K97" s="7">
        <v>13.473182381036599</v>
      </c>
    </row>
    <row r="98" spans="1:11" ht="15" customHeight="1" x14ac:dyDescent="0.2">
      <c r="A98" s="3">
        <v>45909</v>
      </c>
      <c r="B98" s="4">
        <v>60.68</v>
      </c>
      <c r="C98" s="5">
        <v>3319749</v>
      </c>
      <c r="D98" s="4">
        <v>9.8977235235908595E-2</v>
      </c>
      <c r="E98" s="4">
        <v>60.75</v>
      </c>
      <c r="F98" s="4">
        <v>60.5</v>
      </c>
      <c r="G98" s="4">
        <v>60.82</v>
      </c>
      <c r="H98" s="4">
        <v>60.667700000000004</v>
      </c>
      <c r="I98" s="4">
        <v>64.337239999999994</v>
      </c>
      <c r="J98" s="4">
        <v>9.8983066458679894E-2</v>
      </c>
      <c r="K98" s="4">
        <v>13.8107907305855</v>
      </c>
    </row>
    <row r="99" spans="1:11" ht="15" customHeight="1" x14ac:dyDescent="0.2">
      <c r="A99" s="6">
        <v>45908</v>
      </c>
      <c r="B99" s="7">
        <v>60.62</v>
      </c>
      <c r="C99" s="8">
        <v>4010283</v>
      </c>
      <c r="D99" s="7">
        <v>0.31441337084230297</v>
      </c>
      <c r="E99" s="7">
        <v>60.5</v>
      </c>
      <c r="F99" s="7">
        <v>60.18</v>
      </c>
      <c r="G99" s="7">
        <v>60.66</v>
      </c>
      <c r="H99" s="7">
        <v>60.602499999999999</v>
      </c>
      <c r="I99" s="7">
        <v>64.273619999999994</v>
      </c>
      <c r="J99" s="7">
        <v>0.31440481479525401</v>
      </c>
      <c r="K99" s="7">
        <v>13.698248717495099</v>
      </c>
    </row>
    <row r="100" spans="1:11" ht="15" customHeight="1" x14ac:dyDescent="0.2">
      <c r="A100" s="3">
        <v>45905</v>
      </c>
      <c r="B100" s="4">
        <v>60.43</v>
      </c>
      <c r="C100" s="5">
        <v>6974866</v>
      </c>
      <c r="D100" s="4">
        <v>0.98596256684491101</v>
      </c>
      <c r="E100" s="4">
        <v>60.13</v>
      </c>
      <c r="F100" s="4">
        <v>60.04</v>
      </c>
      <c r="G100" s="4">
        <v>60.54</v>
      </c>
      <c r="H100" s="4">
        <v>60.434199999999997</v>
      </c>
      <c r="I100" s="4">
        <v>64.072174000000004</v>
      </c>
      <c r="J100" s="4">
        <v>0.98596437291302796</v>
      </c>
      <c r="K100" s="4">
        <v>13.3418963382274</v>
      </c>
    </row>
    <row r="101" spans="1:11" ht="15" customHeight="1" x14ac:dyDescent="0.2">
      <c r="A101" s="6">
        <v>45904</v>
      </c>
      <c r="B101" s="7">
        <v>59.84</v>
      </c>
      <c r="C101" s="8">
        <v>7330256</v>
      </c>
      <c r="D101" s="7">
        <v>0.45324827933523798</v>
      </c>
      <c r="E101" s="7">
        <v>59.6</v>
      </c>
      <c r="F101" s="7">
        <v>59.49</v>
      </c>
      <c r="G101" s="7">
        <v>59.94</v>
      </c>
      <c r="H101" s="7">
        <v>59.824100000000001</v>
      </c>
      <c r="I101" s="7">
        <v>63.446612999999999</v>
      </c>
      <c r="J101" s="7">
        <v>0.45324803508024403</v>
      </c>
      <c r="K101" s="7">
        <v>12.235296302848001</v>
      </c>
    </row>
    <row r="102" spans="1:11" ht="15" customHeight="1" x14ac:dyDescent="0.2">
      <c r="A102" s="3">
        <v>45903</v>
      </c>
      <c r="B102" s="4">
        <v>59.57</v>
      </c>
      <c r="C102" s="5">
        <v>7132280</v>
      </c>
      <c r="D102" s="4">
        <v>-0.100620493040415</v>
      </c>
      <c r="E102" s="4">
        <v>59.33</v>
      </c>
      <c r="F102" s="4">
        <v>59.33</v>
      </c>
      <c r="G102" s="4">
        <v>60</v>
      </c>
      <c r="H102" s="4">
        <v>59.547400000000003</v>
      </c>
      <c r="I102" s="4">
        <v>63.160339999999998</v>
      </c>
      <c r="J102" s="4">
        <v>-0.10062166782759301</v>
      </c>
      <c r="K102" s="4">
        <v>11.7288873164691</v>
      </c>
    </row>
    <row r="103" spans="1:11" ht="15" customHeight="1" x14ac:dyDescent="0.2">
      <c r="A103" s="6">
        <v>45902</v>
      </c>
      <c r="B103" s="7">
        <v>59.63</v>
      </c>
      <c r="C103" s="8">
        <v>3854993</v>
      </c>
      <c r="D103" s="7">
        <v>1.35985041645418</v>
      </c>
      <c r="E103" s="7">
        <v>58.55</v>
      </c>
      <c r="F103" s="7">
        <v>58.51</v>
      </c>
      <c r="G103" s="7">
        <v>59.74</v>
      </c>
      <c r="H103" s="7">
        <v>59.643900000000002</v>
      </c>
      <c r="I103" s="7">
        <v>63.223956999999999</v>
      </c>
      <c r="J103" s="7">
        <v>1.3598443010154699</v>
      </c>
      <c r="K103" s="7">
        <v>11.8414240226428</v>
      </c>
    </row>
    <row r="104" spans="1:11" ht="15" customHeight="1" x14ac:dyDescent="0.2">
      <c r="A104" s="3">
        <v>45901</v>
      </c>
      <c r="B104" s="4">
        <v>58.83</v>
      </c>
      <c r="C104" s="5">
        <v>39946</v>
      </c>
      <c r="D104" s="4">
        <v>0.37536256611498903</v>
      </c>
      <c r="E104" s="4">
        <v>59.45</v>
      </c>
      <c r="F104" s="4">
        <v>58.6</v>
      </c>
      <c r="G104" s="4">
        <v>59.45</v>
      </c>
      <c r="H104" s="4">
        <v>58.763800000000003</v>
      </c>
      <c r="I104" s="4">
        <v>62.375743999999997</v>
      </c>
      <c r="J104" s="4">
        <v>0.37536478869053502</v>
      </c>
      <c r="K104" s="4">
        <v>10.3409587829471</v>
      </c>
    </row>
    <row r="105" spans="1:11" ht="15" customHeight="1" x14ac:dyDescent="0.2">
      <c r="A105" s="6">
        <v>45898</v>
      </c>
      <c r="B105" s="7">
        <v>58.61</v>
      </c>
      <c r="C105" s="8">
        <v>1644210</v>
      </c>
      <c r="D105" s="7">
        <v>-0.76193701320691398</v>
      </c>
      <c r="E105" s="7">
        <v>59.09</v>
      </c>
      <c r="F105" s="7">
        <v>58.53</v>
      </c>
      <c r="G105" s="7">
        <v>59.09</v>
      </c>
      <c r="H105" s="7">
        <v>58.609200000000001</v>
      </c>
      <c r="I105" s="7">
        <v>62.142482999999999</v>
      </c>
      <c r="J105" s="7">
        <v>-0.76193868099393403</v>
      </c>
      <c r="K105" s="7">
        <v>9.9283265522731199</v>
      </c>
    </row>
    <row r="106" spans="1:11" ht="15" customHeight="1" x14ac:dyDescent="0.2">
      <c r="A106" s="3">
        <v>45897</v>
      </c>
      <c r="B106" s="4">
        <v>59.06</v>
      </c>
      <c r="C106" s="5">
        <v>2468051</v>
      </c>
      <c r="D106" s="4">
        <v>0.75059706584783503</v>
      </c>
      <c r="E106" s="4">
        <v>58.48</v>
      </c>
      <c r="F106" s="4">
        <v>58.48</v>
      </c>
      <c r="G106" s="4">
        <v>59.34</v>
      </c>
      <c r="H106" s="4">
        <v>59.051299999999998</v>
      </c>
      <c r="I106" s="4">
        <v>62.619605999999997</v>
      </c>
      <c r="J106" s="4">
        <v>0.84894343720485199</v>
      </c>
      <c r="K106" s="4">
        <v>10.772343888200901</v>
      </c>
    </row>
    <row r="107" spans="1:11" ht="15" customHeight="1" x14ac:dyDescent="0.2">
      <c r="A107" s="6">
        <v>45896</v>
      </c>
      <c r="B107" s="7">
        <v>58.62</v>
      </c>
      <c r="C107" s="8">
        <v>2098522</v>
      </c>
      <c r="D107" s="7">
        <v>0.91237734549836003</v>
      </c>
      <c r="E107" s="7">
        <v>58.21</v>
      </c>
      <c r="F107" s="7">
        <v>57.6</v>
      </c>
      <c r="G107" s="7">
        <v>58.68</v>
      </c>
      <c r="H107" s="7">
        <v>58.606499999999997</v>
      </c>
      <c r="I107" s="7">
        <v>62.092475999999998</v>
      </c>
      <c r="J107" s="7">
        <v>0.91237465968825304</v>
      </c>
      <c r="K107" s="7">
        <v>9.8398655581107306</v>
      </c>
    </row>
    <row r="108" spans="1:11" ht="15" customHeight="1" x14ac:dyDescent="0.2">
      <c r="A108" s="3">
        <v>45895</v>
      </c>
      <c r="B108" s="4">
        <v>58.09</v>
      </c>
      <c r="C108" s="5">
        <v>1647954</v>
      </c>
      <c r="D108" s="4">
        <v>-0.64990593466733804</v>
      </c>
      <c r="E108" s="4">
        <v>58.59</v>
      </c>
      <c r="F108" s="4">
        <v>58</v>
      </c>
      <c r="G108" s="4">
        <v>58.6</v>
      </c>
      <c r="H108" s="4">
        <v>58.0931</v>
      </c>
      <c r="I108" s="4">
        <v>61.531081999999998</v>
      </c>
      <c r="J108" s="4">
        <v>-0.64990258113570798</v>
      </c>
      <c r="K108" s="4">
        <v>8.8467751636299194</v>
      </c>
    </row>
    <row r="109" spans="1:11" ht="15" customHeight="1" x14ac:dyDescent="0.2">
      <c r="A109" s="6">
        <v>45894</v>
      </c>
      <c r="B109" s="7">
        <v>58.47</v>
      </c>
      <c r="C109" s="8">
        <v>1745047</v>
      </c>
      <c r="D109" s="7">
        <v>-1.1997296383913401</v>
      </c>
      <c r="E109" s="7">
        <v>58.83</v>
      </c>
      <c r="F109" s="7">
        <v>58.38</v>
      </c>
      <c r="G109" s="7">
        <v>58.85</v>
      </c>
      <c r="H109" s="7">
        <v>58.452300000000001</v>
      </c>
      <c r="I109" s="7">
        <v>61.933590000000002</v>
      </c>
      <c r="J109" s="7">
        <v>-1.1997323151311301</v>
      </c>
      <c r="K109" s="7">
        <v>9.55880063683</v>
      </c>
    </row>
    <row r="110" spans="1:11" ht="15" customHeight="1" x14ac:dyDescent="0.2">
      <c r="A110" s="3">
        <v>45891</v>
      </c>
      <c r="B110" s="4">
        <v>59.18</v>
      </c>
      <c r="C110" s="5">
        <v>2438564</v>
      </c>
      <c r="D110" s="4">
        <v>0.92087312414734701</v>
      </c>
      <c r="E110" s="4">
        <v>58.85</v>
      </c>
      <c r="F110" s="4">
        <v>58.66</v>
      </c>
      <c r="G110" s="4">
        <v>59.36</v>
      </c>
      <c r="H110" s="4">
        <v>59.184899999999999</v>
      </c>
      <c r="I110" s="4">
        <v>62.685650000000003</v>
      </c>
      <c r="J110" s="4">
        <v>0.92087634185460399</v>
      </c>
      <c r="K110" s="4">
        <v>10.8891738899699</v>
      </c>
    </row>
    <row r="111" spans="1:11" ht="15" customHeight="1" x14ac:dyDescent="0.2">
      <c r="A111" s="6">
        <v>45890</v>
      </c>
      <c r="B111" s="7">
        <v>58.64</v>
      </c>
      <c r="C111" s="8">
        <v>1514954</v>
      </c>
      <c r="D111" s="7">
        <v>0.80797662025098305</v>
      </c>
      <c r="E111" s="7">
        <v>58.6</v>
      </c>
      <c r="F111" s="7">
        <v>58.44</v>
      </c>
      <c r="G111" s="7">
        <v>58.71</v>
      </c>
      <c r="H111" s="7">
        <v>58.6252</v>
      </c>
      <c r="I111" s="7">
        <v>62.113660000000003</v>
      </c>
      <c r="J111" s="7">
        <v>0.80797758783306395</v>
      </c>
      <c r="K111" s="7">
        <v>9.8773394657703903</v>
      </c>
    </row>
    <row r="112" spans="1:11" ht="15" customHeight="1" x14ac:dyDescent="0.2">
      <c r="A112" s="3">
        <v>45889</v>
      </c>
      <c r="B112" s="4">
        <v>58.17</v>
      </c>
      <c r="C112" s="5">
        <v>1826596</v>
      </c>
      <c r="D112" s="4">
        <v>-0.37677684535022399</v>
      </c>
      <c r="E112" s="4">
        <v>58.45</v>
      </c>
      <c r="F112" s="4">
        <v>58.12</v>
      </c>
      <c r="G112" s="4">
        <v>58.54</v>
      </c>
      <c r="H112" s="4">
        <v>58.1843</v>
      </c>
      <c r="I112" s="4">
        <v>61.615817999999997</v>
      </c>
      <c r="J112" s="4">
        <v>-0.376776609427664</v>
      </c>
      <c r="K112" s="4">
        <v>8.9966707942685193</v>
      </c>
    </row>
    <row r="113" spans="1:11" ht="15" customHeight="1" x14ac:dyDescent="0.2">
      <c r="A113" s="6">
        <v>45888</v>
      </c>
      <c r="B113" s="7">
        <v>58.39</v>
      </c>
      <c r="C113" s="8">
        <v>8451777</v>
      </c>
      <c r="D113" s="7">
        <v>0.20593787540759101</v>
      </c>
      <c r="E113" s="7">
        <v>58.37</v>
      </c>
      <c r="F113" s="7">
        <v>58.35</v>
      </c>
      <c r="G113" s="7">
        <v>58.5</v>
      </c>
      <c r="H113" s="7">
        <v>58.425400000000003</v>
      </c>
      <c r="I113" s="7">
        <v>61.848849999999999</v>
      </c>
      <c r="J113" s="7">
        <v>0.20593228529102101</v>
      </c>
      <c r="K113" s="7">
        <v>9.4088979303024907</v>
      </c>
    </row>
    <row r="114" spans="1:11" ht="15" customHeight="1" x14ac:dyDescent="0.2">
      <c r="A114" s="3">
        <v>45887</v>
      </c>
      <c r="B114" s="4">
        <v>58.27</v>
      </c>
      <c r="C114" s="5">
        <v>4158877.9999999902</v>
      </c>
      <c r="D114" s="4">
        <v>-1.7158544955386799E-2</v>
      </c>
      <c r="E114" s="4">
        <v>58.57</v>
      </c>
      <c r="F114" s="4">
        <v>58.03</v>
      </c>
      <c r="G114" s="4">
        <v>58.57</v>
      </c>
      <c r="H114" s="4">
        <v>58.278100000000002</v>
      </c>
      <c r="I114" s="4">
        <v>61.721744999999999</v>
      </c>
      <c r="J114" s="4">
        <v>-1.7153085447896201E-2</v>
      </c>
      <c r="K114" s="4">
        <v>9.1840527153723599</v>
      </c>
    </row>
    <row r="115" spans="1:11" ht="15" customHeight="1" x14ac:dyDescent="0.2">
      <c r="A115" s="6">
        <v>45884</v>
      </c>
      <c r="B115" s="7">
        <v>58.28</v>
      </c>
      <c r="C115" s="8">
        <v>1480712</v>
      </c>
      <c r="D115" s="7">
        <v>0.30981067125646</v>
      </c>
      <c r="E115" s="7">
        <v>58.34</v>
      </c>
      <c r="F115" s="7">
        <v>58.24</v>
      </c>
      <c r="G115" s="7">
        <v>58.43</v>
      </c>
      <c r="H115" s="7">
        <v>58.28</v>
      </c>
      <c r="I115" s="7">
        <v>61.732334000000002</v>
      </c>
      <c r="J115" s="7">
        <v>0.30981284713267299</v>
      </c>
      <c r="K115" s="7">
        <v>9.2027843622855094</v>
      </c>
    </row>
    <row r="116" spans="1:11" ht="15" customHeight="1" x14ac:dyDescent="0.2">
      <c r="A116" s="3">
        <v>45883</v>
      </c>
      <c r="B116" s="4">
        <v>58.1</v>
      </c>
      <c r="C116" s="5">
        <v>2190407</v>
      </c>
      <c r="D116" s="4">
        <v>-0.61580567909681405</v>
      </c>
      <c r="E116" s="4">
        <v>58.51</v>
      </c>
      <c r="F116" s="4">
        <v>57.87</v>
      </c>
      <c r="G116" s="4">
        <v>58.51</v>
      </c>
      <c r="H116" s="4">
        <v>58.127600000000001</v>
      </c>
      <c r="I116" s="4">
        <v>61.541670000000003</v>
      </c>
      <c r="J116" s="4">
        <v>-0.61580837245328501</v>
      </c>
      <c r="K116" s="4">
        <v>8.8655050415708505</v>
      </c>
    </row>
    <row r="117" spans="1:11" ht="15" customHeight="1" x14ac:dyDescent="0.2">
      <c r="A117" s="6">
        <v>45882</v>
      </c>
      <c r="B117" s="7">
        <v>58.46</v>
      </c>
      <c r="C117" s="8">
        <v>6677705</v>
      </c>
      <c r="D117" s="7">
        <v>-0.119596787971976</v>
      </c>
      <c r="E117" s="7">
        <v>58.37</v>
      </c>
      <c r="F117" s="7">
        <v>58.34</v>
      </c>
      <c r="G117" s="7">
        <v>58.55</v>
      </c>
      <c r="H117" s="7">
        <v>58.4375</v>
      </c>
      <c r="I117" s="7">
        <v>61.922997000000002</v>
      </c>
      <c r="J117" s="7">
        <v>-0.119595833633812</v>
      </c>
      <c r="K117" s="7">
        <v>9.5400619140279499</v>
      </c>
    </row>
    <row r="118" spans="1:11" ht="15" customHeight="1" x14ac:dyDescent="0.2">
      <c r="A118" s="3">
        <v>45881</v>
      </c>
      <c r="B118" s="4">
        <v>58.53</v>
      </c>
      <c r="C118" s="5">
        <v>6819691</v>
      </c>
      <c r="D118" s="4">
        <v>0.53246307110959001</v>
      </c>
      <c r="E118" s="4">
        <v>58.22</v>
      </c>
      <c r="F118" s="4">
        <v>58.22</v>
      </c>
      <c r="G118" s="4">
        <v>58.7</v>
      </c>
      <c r="H118" s="4">
        <v>58.567</v>
      </c>
      <c r="I118" s="4">
        <v>61.997143000000001</v>
      </c>
      <c r="J118" s="4">
        <v>0.53246229291386005</v>
      </c>
      <c r="K118" s="4">
        <v>9.6712241287811693</v>
      </c>
    </row>
    <row r="119" spans="1:11" ht="15" customHeight="1" x14ac:dyDescent="0.2">
      <c r="A119" s="6">
        <v>45880</v>
      </c>
      <c r="B119" s="7">
        <v>58.22</v>
      </c>
      <c r="C119" s="8">
        <v>11380407</v>
      </c>
      <c r="D119" s="7">
        <v>0.43125754700708002</v>
      </c>
      <c r="E119" s="7">
        <v>58.4</v>
      </c>
      <c r="F119" s="7">
        <v>57.95</v>
      </c>
      <c r="G119" s="7">
        <v>58.4</v>
      </c>
      <c r="H119" s="7">
        <v>58.2363</v>
      </c>
      <c r="I119" s="7">
        <v>61.668779999999998</v>
      </c>
      <c r="J119" s="7">
        <v>0.43125385388336201</v>
      </c>
      <c r="K119" s="7">
        <v>9.0903591013621003</v>
      </c>
    </row>
    <row r="120" spans="1:11" ht="15" customHeight="1" x14ac:dyDescent="0.2">
      <c r="A120" s="3">
        <v>45877</v>
      </c>
      <c r="B120" s="4">
        <v>57.97</v>
      </c>
      <c r="C120" s="5">
        <v>11776068</v>
      </c>
      <c r="D120" s="4">
        <v>-0.343819838404679</v>
      </c>
      <c r="E120" s="4">
        <v>58.16</v>
      </c>
      <c r="F120" s="4">
        <v>57.87</v>
      </c>
      <c r="G120" s="4">
        <v>58.29</v>
      </c>
      <c r="H120" s="4">
        <v>57.965499999999999</v>
      </c>
      <c r="I120" s="4">
        <v>61.403973000000001</v>
      </c>
      <c r="J120" s="4">
        <v>-0.34381593375908398</v>
      </c>
      <c r="K120" s="4">
        <v>8.6219228728108899</v>
      </c>
    </row>
    <row r="121" spans="1:11" ht="15" customHeight="1" x14ac:dyDescent="0.2">
      <c r="A121" s="6">
        <v>45876</v>
      </c>
      <c r="B121" s="7">
        <v>58.17</v>
      </c>
      <c r="C121" s="8">
        <v>12977697</v>
      </c>
      <c r="D121" s="7">
        <v>1.96319018404909</v>
      </c>
      <c r="E121" s="7">
        <v>57.27</v>
      </c>
      <c r="F121" s="7">
        <v>57.27</v>
      </c>
      <c r="G121" s="7">
        <v>58.2</v>
      </c>
      <c r="H121" s="7">
        <v>58.156100000000002</v>
      </c>
      <c r="I121" s="7">
        <v>61.615817999999997</v>
      </c>
      <c r="J121" s="7">
        <v>1.96318769877097</v>
      </c>
      <c r="K121" s="7">
        <v>8.9966707942685193</v>
      </c>
    </row>
    <row r="122" spans="1:11" ht="15" customHeight="1" x14ac:dyDescent="0.2">
      <c r="A122" s="3">
        <v>45875</v>
      </c>
      <c r="B122" s="4">
        <v>57.05</v>
      </c>
      <c r="C122" s="5">
        <v>1566768</v>
      </c>
      <c r="D122" s="4">
        <v>0.14042478497453501</v>
      </c>
      <c r="E122" s="4">
        <v>56.68</v>
      </c>
      <c r="F122" s="4">
        <v>56.68</v>
      </c>
      <c r="G122" s="4">
        <v>57.4</v>
      </c>
      <c r="H122" s="4">
        <v>57.052700000000002</v>
      </c>
      <c r="I122" s="4">
        <v>60.429473999999999</v>
      </c>
      <c r="J122" s="4">
        <v>0.140419865606178</v>
      </c>
      <c r="K122" s="4">
        <v>6.8980612064390501</v>
      </c>
    </row>
    <row r="123" spans="1:11" ht="15" customHeight="1" x14ac:dyDescent="0.2">
      <c r="A123" s="6">
        <v>45874</v>
      </c>
      <c r="B123" s="7">
        <v>56.97</v>
      </c>
      <c r="C123" s="8">
        <v>1437474</v>
      </c>
      <c r="D123" s="7">
        <v>0.77834777993985804</v>
      </c>
      <c r="E123" s="7">
        <v>56.83</v>
      </c>
      <c r="F123" s="7">
        <v>56.76</v>
      </c>
      <c r="G123" s="7">
        <v>57.07</v>
      </c>
      <c r="H123" s="7">
        <v>56.970700000000001</v>
      </c>
      <c r="I123" s="7">
        <v>60.344738</v>
      </c>
      <c r="J123" s="7">
        <v>0.77835396143568403</v>
      </c>
      <c r="K123" s="7">
        <v>6.7481655758004502</v>
      </c>
    </row>
    <row r="124" spans="1:11" ht="15" customHeight="1" x14ac:dyDescent="0.2">
      <c r="A124" s="3">
        <v>45873</v>
      </c>
      <c r="B124" s="4">
        <v>56.53</v>
      </c>
      <c r="C124" s="5">
        <v>6570382</v>
      </c>
      <c r="D124" s="4">
        <v>-0.47535211267605199</v>
      </c>
      <c r="E124" s="4">
        <v>56.61</v>
      </c>
      <c r="F124" s="4">
        <v>56.38</v>
      </c>
      <c r="G124" s="4">
        <v>56.81</v>
      </c>
      <c r="H124" s="4">
        <v>56.550400000000003</v>
      </c>
      <c r="I124" s="4">
        <v>59.87867</v>
      </c>
      <c r="J124" s="4">
        <v>-0.47535376453936501</v>
      </c>
      <c r="K124" s="4">
        <v>5.9237042278436203</v>
      </c>
    </row>
    <row r="125" spans="1:11" ht="15" customHeight="1" x14ac:dyDescent="0.2">
      <c r="A125" s="6">
        <v>45870</v>
      </c>
      <c r="B125" s="7">
        <v>56.8</v>
      </c>
      <c r="C125" s="8">
        <v>7998687</v>
      </c>
      <c r="D125" s="7">
        <v>-0.87260034904014205</v>
      </c>
      <c r="E125" s="7">
        <v>57.05</v>
      </c>
      <c r="F125" s="7">
        <v>56.6</v>
      </c>
      <c r="G125" s="7">
        <v>57.18</v>
      </c>
      <c r="H125" s="7">
        <v>56.800699999999999</v>
      </c>
      <c r="I125" s="7">
        <v>60.164664999999999</v>
      </c>
      <c r="J125" s="7">
        <v>-0.87259948354608796</v>
      </c>
      <c r="K125" s="7">
        <v>6.4296214399433804</v>
      </c>
    </row>
    <row r="126" spans="1:11" ht="15" customHeight="1" x14ac:dyDescent="0.2">
      <c r="A126" s="3">
        <v>45869</v>
      </c>
      <c r="B126" s="4">
        <v>57.3</v>
      </c>
      <c r="C126" s="5">
        <v>2913349</v>
      </c>
      <c r="D126" s="4">
        <v>0.17482517482516599</v>
      </c>
      <c r="E126" s="4">
        <v>56.91</v>
      </c>
      <c r="F126" s="4">
        <v>56.91</v>
      </c>
      <c r="G126" s="4">
        <v>57.6</v>
      </c>
      <c r="H126" s="4">
        <v>57.297699999999999</v>
      </c>
      <c r="I126" s="4">
        <v>60.694282999999999</v>
      </c>
      <c r="J126" s="4">
        <v>0.17482400910009399</v>
      </c>
      <c r="K126" s="4">
        <v>7.3665009729347197</v>
      </c>
    </row>
    <row r="127" spans="1:11" ht="15" customHeight="1" x14ac:dyDescent="0.2">
      <c r="A127" s="6">
        <v>45868</v>
      </c>
      <c r="B127" s="7">
        <v>57.2</v>
      </c>
      <c r="C127" s="8">
        <v>5139387</v>
      </c>
      <c r="D127" s="7">
        <v>-1.1748445058742101</v>
      </c>
      <c r="E127" s="7">
        <v>57.95</v>
      </c>
      <c r="F127" s="7">
        <v>57.06</v>
      </c>
      <c r="G127" s="7">
        <v>57.95</v>
      </c>
      <c r="H127" s="7">
        <v>57.296100000000003</v>
      </c>
      <c r="I127" s="7">
        <v>60.588360000000002</v>
      </c>
      <c r="J127" s="7">
        <v>-0.82297551403742697</v>
      </c>
      <c r="K127" s="7">
        <v>7.1791261277197904</v>
      </c>
    </row>
    <row r="128" spans="1:11" ht="15" customHeight="1" x14ac:dyDescent="0.2">
      <c r="A128" s="3">
        <v>45867</v>
      </c>
      <c r="B128" s="4">
        <v>57.88</v>
      </c>
      <c r="C128" s="5">
        <v>6328112</v>
      </c>
      <c r="D128" s="4">
        <v>1.17112392938298</v>
      </c>
      <c r="E128" s="4">
        <v>57.44</v>
      </c>
      <c r="F128" s="4">
        <v>56.7</v>
      </c>
      <c r="G128" s="4">
        <v>58</v>
      </c>
      <c r="H128" s="4">
        <v>57.925400000000003</v>
      </c>
      <c r="I128" s="4">
        <v>61.091124999999998</v>
      </c>
      <c r="J128" s="4">
        <v>1.1711307392113299</v>
      </c>
      <c r="K128" s="4">
        <v>8.0685034494958305</v>
      </c>
    </row>
    <row r="129" spans="1:11" ht="15" customHeight="1" x14ac:dyDescent="0.2">
      <c r="A129" s="6">
        <v>45866</v>
      </c>
      <c r="B129" s="7">
        <v>57.21</v>
      </c>
      <c r="C129" s="8">
        <v>5319402</v>
      </c>
      <c r="D129" s="7">
        <v>-0.38307504788437302</v>
      </c>
      <c r="E129" s="7">
        <v>57.47</v>
      </c>
      <c r="F129" s="7">
        <v>56.76</v>
      </c>
      <c r="G129" s="7">
        <v>57.48</v>
      </c>
      <c r="H129" s="7">
        <v>57.188200000000002</v>
      </c>
      <c r="I129" s="7">
        <v>60.383949999999999</v>
      </c>
      <c r="J129" s="7">
        <v>-0.38307937629434802</v>
      </c>
      <c r="K129" s="7">
        <v>6.81753051477091</v>
      </c>
    </row>
    <row r="130" spans="1:11" ht="15" customHeight="1" x14ac:dyDescent="0.2">
      <c r="A130" s="3">
        <v>45863</v>
      </c>
      <c r="B130" s="4">
        <v>57.43</v>
      </c>
      <c r="C130" s="5">
        <v>440041</v>
      </c>
      <c r="D130" s="4">
        <v>0.454783977610628</v>
      </c>
      <c r="E130" s="4">
        <v>57.16</v>
      </c>
      <c r="F130" s="4">
        <v>56.98</v>
      </c>
      <c r="G130" s="4">
        <v>57.48</v>
      </c>
      <c r="H130" s="4">
        <v>57.429099999999998</v>
      </c>
      <c r="I130" s="4">
        <v>60.616157999999999</v>
      </c>
      <c r="J130" s="4">
        <v>0.454786415477759</v>
      </c>
      <c r="K130" s="4">
        <v>7.2283000176897101</v>
      </c>
    </row>
    <row r="131" spans="1:11" ht="15" customHeight="1" x14ac:dyDescent="0.2">
      <c r="A131" s="6">
        <v>45862</v>
      </c>
      <c r="B131" s="7">
        <v>57.17</v>
      </c>
      <c r="C131" s="8">
        <v>1627556</v>
      </c>
      <c r="D131" s="7">
        <v>1.06063284426374</v>
      </c>
      <c r="E131" s="7">
        <v>56.83</v>
      </c>
      <c r="F131" s="7">
        <v>56.83</v>
      </c>
      <c r="G131" s="7">
        <v>57.21</v>
      </c>
      <c r="H131" s="7">
        <v>57.142000000000003</v>
      </c>
      <c r="I131" s="7">
        <v>60.341732</v>
      </c>
      <c r="J131" s="7">
        <v>1.0606288252648699</v>
      </c>
      <c r="K131" s="7">
        <v>6.7428480452856796</v>
      </c>
    </row>
    <row r="132" spans="1:11" ht="15" customHeight="1" x14ac:dyDescent="0.2">
      <c r="A132" s="3">
        <v>45861</v>
      </c>
      <c r="B132" s="4">
        <v>56.57</v>
      </c>
      <c r="C132" s="5">
        <v>1675566</v>
      </c>
      <c r="D132" s="4">
        <v>1.72630821794641</v>
      </c>
      <c r="E132" s="4">
        <v>55.98</v>
      </c>
      <c r="F132" s="4">
        <v>55.98</v>
      </c>
      <c r="G132" s="4">
        <v>56.6</v>
      </c>
      <c r="H132" s="4">
        <v>56.585000000000001</v>
      </c>
      <c r="I132" s="4">
        <v>59.708447</v>
      </c>
      <c r="J132" s="4">
        <v>1.72630849612933</v>
      </c>
      <c r="K132" s="4">
        <v>5.62258446842384</v>
      </c>
    </row>
    <row r="133" spans="1:11" ht="15" customHeight="1" x14ac:dyDescent="0.2">
      <c r="A133" s="6">
        <v>45860</v>
      </c>
      <c r="B133" s="7">
        <v>55.61</v>
      </c>
      <c r="C133" s="8">
        <v>1464403</v>
      </c>
      <c r="D133" s="7">
        <v>-0.67869262368280803</v>
      </c>
      <c r="E133" s="7">
        <v>55.71</v>
      </c>
      <c r="F133" s="7">
        <v>55.45</v>
      </c>
      <c r="G133" s="7">
        <v>55.95</v>
      </c>
      <c r="H133" s="7">
        <v>55.623800000000003</v>
      </c>
      <c r="I133" s="7">
        <v>58.695186999999997</v>
      </c>
      <c r="J133" s="7">
        <v>-0.67869091158176897</v>
      </c>
      <c r="K133" s="7">
        <v>3.83015566955598</v>
      </c>
    </row>
    <row r="134" spans="1:11" ht="15" customHeight="1" x14ac:dyDescent="0.2">
      <c r="A134" s="3">
        <v>45859</v>
      </c>
      <c r="B134" s="4">
        <v>55.99</v>
      </c>
      <c r="C134" s="5">
        <v>1237821</v>
      </c>
      <c r="D134" s="4">
        <v>-0.69173465768003195</v>
      </c>
      <c r="E134" s="4">
        <v>56.4</v>
      </c>
      <c r="F134" s="4">
        <v>55.9</v>
      </c>
      <c r="G134" s="4">
        <v>56.43</v>
      </c>
      <c r="H134" s="4">
        <v>55.948500000000003</v>
      </c>
      <c r="I134" s="4">
        <v>59.096268000000002</v>
      </c>
      <c r="J134" s="4">
        <v>-0.69173331999728904</v>
      </c>
      <c r="K134" s="4">
        <v>4.5396568193879299</v>
      </c>
    </row>
    <row r="135" spans="1:11" ht="15" customHeight="1" x14ac:dyDescent="0.2">
      <c r="A135" s="6">
        <v>45856</v>
      </c>
      <c r="B135" s="7">
        <v>56.38</v>
      </c>
      <c r="C135" s="8">
        <v>1305658</v>
      </c>
      <c r="D135" s="7">
        <v>-0.80928923293455102</v>
      </c>
      <c r="E135" s="7">
        <v>57.12</v>
      </c>
      <c r="F135" s="7">
        <v>56.35</v>
      </c>
      <c r="G135" s="7">
        <v>57.12</v>
      </c>
      <c r="H135" s="7">
        <v>56.381300000000003</v>
      </c>
      <c r="I135" s="7">
        <v>59.507904000000003</v>
      </c>
      <c r="J135" s="7">
        <v>-0.809287044681539</v>
      </c>
      <c r="K135" s="7">
        <v>5.2678294710772997</v>
      </c>
    </row>
    <row r="136" spans="1:11" ht="15" customHeight="1" x14ac:dyDescent="0.2">
      <c r="A136" s="3">
        <v>45855</v>
      </c>
      <c r="B136" s="4">
        <v>56.84</v>
      </c>
      <c r="C136" s="5">
        <v>3834155</v>
      </c>
      <c r="D136" s="4">
        <v>0.38855528081951302</v>
      </c>
      <c r="E136" s="4">
        <v>56.68</v>
      </c>
      <c r="F136" s="4">
        <v>56.54</v>
      </c>
      <c r="G136" s="4">
        <v>56.95</v>
      </c>
      <c r="H136" s="4">
        <v>56.822600000000001</v>
      </c>
      <c r="I136" s="4">
        <v>59.993423</v>
      </c>
      <c r="J136" s="4">
        <v>0.38855130467549898</v>
      </c>
      <c r="K136" s="4">
        <v>6.1266990978241598</v>
      </c>
    </row>
    <row r="137" spans="1:11" ht="15" customHeight="1" x14ac:dyDescent="0.2">
      <c r="A137" s="6">
        <v>45854</v>
      </c>
      <c r="B137" s="7">
        <v>56.62</v>
      </c>
      <c r="C137" s="8">
        <v>2601623</v>
      </c>
      <c r="D137" s="7">
        <v>0.24787535410764</v>
      </c>
      <c r="E137" s="7">
        <v>56.19</v>
      </c>
      <c r="F137" s="7">
        <v>56.19</v>
      </c>
      <c r="G137" s="7">
        <v>56.8</v>
      </c>
      <c r="H137" s="7">
        <v>56.581499999999998</v>
      </c>
      <c r="I137" s="7">
        <v>59.761220000000002</v>
      </c>
      <c r="J137" s="7">
        <v>0.24787525728462401</v>
      </c>
      <c r="K137" s="7">
        <v>5.7159384397664903</v>
      </c>
    </row>
    <row r="138" spans="1:11" ht="15" customHeight="1" x14ac:dyDescent="0.2">
      <c r="A138" s="3">
        <v>45853</v>
      </c>
      <c r="B138" s="4">
        <v>56.48</v>
      </c>
      <c r="C138" s="5">
        <v>1767780</v>
      </c>
      <c r="D138" s="4">
        <v>3.5423308537008098E-2</v>
      </c>
      <c r="E138" s="4">
        <v>56.74</v>
      </c>
      <c r="F138" s="4">
        <v>56.22</v>
      </c>
      <c r="G138" s="4">
        <v>56.74</v>
      </c>
      <c r="H138" s="4">
        <v>56.561799999999998</v>
      </c>
      <c r="I138" s="4">
        <v>59.613453</v>
      </c>
      <c r="J138" s="4">
        <v>3.5425692784474203E-2</v>
      </c>
      <c r="K138" s="4">
        <v>5.4545427206792798</v>
      </c>
    </row>
    <row r="139" spans="1:11" ht="15" customHeight="1" x14ac:dyDescent="0.2">
      <c r="A139" s="6">
        <v>45852</v>
      </c>
      <c r="B139" s="7">
        <v>56.46</v>
      </c>
      <c r="C139" s="8">
        <v>3785628</v>
      </c>
      <c r="D139" s="7">
        <v>-0.335392762577224</v>
      </c>
      <c r="E139" s="7">
        <v>56.69</v>
      </c>
      <c r="F139" s="7">
        <v>56.2</v>
      </c>
      <c r="G139" s="7">
        <v>56.69</v>
      </c>
      <c r="H139" s="7">
        <v>56.426400000000001</v>
      </c>
      <c r="I139" s="7">
        <v>59.592342000000002</v>
      </c>
      <c r="J139" s="7">
        <v>-0.33539609269563803</v>
      </c>
      <c r="K139" s="7">
        <v>5.4171979479922099</v>
      </c>
    </row>
    <row r="140" spans="1:11" ht="15" customHeight="1" x14ac:dyDescent="0.2">
      <c r="A140" s="3">
        <v>45849</v>
      </c>
      <c r="B140" s="4">
        <v>56.65</v>
      </c>
      <c r="C140" s="5">
        <v>3168231</v>
      </c>
      <c r="D140" s="4">
        <v>-0.12341325811001599</v>
      </c>
      <c r="E140" s="4">
        <v>56.77</v>
      </c>
      <c r="F140" s="4">
        <v>56.22</v>
      </c>
      <c r="G140" s="4">
        <v>56.77</v>
      </c>
      <c r="H140" s="4">
        <v>56.651499999999999</v>
      </c>
      <c r="I140" s="4">
        <v>59.792884999999998</v>
      </c>
      <c r="J140" s="4">
        <v>-0.12341237462494201</v>
      </c>
      <c r="K140" s="4">
        <v>5.7719529453387501</v>
      </c>
    </row>
    <row r="141" spans="1:11" ht="15" customHeight="1" x14ac:dyDescent="0.2">
      <c r="A141" s="6">
        <v>45848</v>
      </c>
      <c r="B141" s="7">
        <v>56.72</v>
      </c>
      <c r="C141" s="8">
        <v>2364186</v>
      </c>
      <c r="D141" s="7">
        <v>0.105894811154261</v>
      </c>
      <c r="E141" s="7">
        <v>56.44</v>
      </c>
      <c r="F141" s="7">
        <v>56.34</v>
      </c>
      <c r="G141" s="7">
        <v>56.81</v>
      </c>
      <c r="H141" s="7">
        <v>56.723599999999998</v>
      </c>
      <c r="I141" s="7">
        <v>59.866768</v>
      </c>
      <c r="J141" s="7">
        <v>0.10589357401513599</v>
      </c>
      <c r="K141" s="7">
        <v>5.9026499203962404</v>
      </c>
    </row>
    <row r="142" spans="1:11" ht="15" customHeight="1" x14ac:dyDescent="0.2">
      <c r="A142" s="3">
        <v>45847</v>
      </c>
      <c r="B142" s="4">
        <v>56.66</v>
      </c>
      <c r="C142" s="5">
        <v>2274505</v>
      </c>
      <c r="D142" s="4">
        <v>-0.84004200210011604</v>
      </c>
      <c r="E142" s="4">
        <v>57.3</v>
      </c>
      <c r="F142" s="4">
        <v>56.59</v>
      </c>
      <c r="G142" s="4">
        <v>57.3</v>
      </c>
      <c r="H142" s="4">
        <v>56.666800000000002</v>
      </c>
      <c r="I142" s="4">
        <v>59.803440000000002</v>
      </c>
      <c r="J142" s="4">
        <v>-0.84003555890652604</v>
      </c>
      <c r="K142" s="4">
        <v>5.7906244471961799</v>
      </c>
    </row>
    <row r="143" spans="1:11" ht="15" customHeight="1" x14ac:dyDescent="0.2">
      <c r="A143" s="6">
        <v>45846</v>
      </c>
      <c r="B143" s="7">
        <v>57.14</v>
      </c>
      <c r="C143" s="8">
        <v>1678280</v>
      </c>
      <c r="D143" s="7">
        <v>-0.53959965187119197</v>
      </c>
      <c r="E143" s="7">
        <v>57.22</v>
      </c>
      <c r="F143" s="7">
        <v>56.86</v>
      </c>
      <c r="G143" s="7">
        <v>57.25</v>
      </c>
      <c r="H143" s="7">
        <v>57.162500000000001</v>
      </c>
      <c r="I143" s="7">
        <v>60.310065999999999</v>
      </c>
      <c r="J143" s="7">
        <v>-0.53960544528490695</v>
      </c>
      <c r="K143" s="7">
        <v>6.6868317707411897</v>
      </c>
    </row>
    <row r="144" spans="1:11" ht="15" customHeight="1" x14ac:dyDescent="0.2">
      <c r="A144" s="3">
        <v>45845</v>
      </c>
      <c r="B144" s="4">
        <v>57.45</v>
      </c>
      <c r="C144" s="5">
        <v>1695298</v>
      </c>
      <c r="D144" s="4">
        <v>-0.87991718426501098</v>
      </c>
      <c r="E144" s="4">
        <v>58.19</v>
      </c>
      <c r="F144" s="4">
        <v>57.38</v>
      </c>
      <c r="G144" s="4">
        <v>58.19</v>
      </c>
      <c r="H144" s="4">
        <v>57.402500000000003</v>
      </c>
      <c r="I144" s="4">
        <v>60.637267999999999</v>
      </c>
      <c r="J144" s="4">
        <v>-0.87991348178912898</v>
      </c>
      <c r="K144" s="4">
        <v>7.2656430214045598</v>
      </c>
    </row>
    <row r="145" spans="1:11" ht="15" customHeight="1" x14ac:dyDescent="0.2">
      <c r="A145" s="6">
        <v>45842</v>
      </c>
      <c r="B145" s="7">
        <v>57.96</v>
      </c>
      <c r="C145" s="8">
        <v>111871</v>
      </c>
      <c r="D145" s="7">
        <v>-8.6192035855880894E-2</v>
      </c>
      <c r="E145" s="7">
        <v>58.1</v>
      </c>
      <c r="F145" s="7">
        <v>57.65</v>
      </c>
      <c r="G145" s="7">
        <v>58.2</v>
      </c>
      <c r="H145" s="7">
        <v>57.9572</v>
      </c>
      <c r="I145" s="7">
        <v>61.175559999999997</v>
      </c>
      <c r="J145" s="7">
        <v>-8.6190489621862307E-2</v>
      </c>
      <c r="K145" s="7">
        <v>8.2178666194940604</v>
      </c>
    </row>
    <row r="146" spans="1:11" ht="15" customHeight="1" x14ac:dyDescent="0.2">
      <c r="A146" s="3">
        <v>45841</v>
      </c>
      <c r="B146" s="4">
        <v>58.01</v>
      </c>
      <c r="C146" s="5">
        <v>1291884</v>
      </c>
      <c r="D146" s="4">
        <v>-0.59972583961618298</v>
      </c>
      <c r="E146" s="4">
        <v>58.65</v>
      </c>
      <c r="F146" s="4">
        <v>57.69</v>
      </c>
      <c r="G146" s="4">
        <v>58.65</v>
      </c>
      <c r="H146" s="4">
        <v>57.870899999999999</v>
      </c>
      <c r="I146" s="4">
        <v>61.228332999999999</v>
      </c>
      <c r="J146" s="4">
        <v>-0.59973289610960601</v>
      </c>
      <c r="K146" s="4">
        <v>8.3112205908367205</v>
      </c>
    </row>
    <row r="147" spans="1:11" ht="15" customHeight="1" x14ac:dyDescent="0.2">
      <c r="A147" s="6">
        <v>45840</v>
      </c>
      <c r="B147" s="7">
        <v>58.36</v>
      </c>
      <c r="C147" s="8">
        <v>4817287</v>
      </c>
      <c r="D147" s="7">
        <v>1.0737790093522599</v>
      </c>
      <c r="E147" s="7">
        <v>58</v>
      </c>
      <c r="F147" s="7">
        <v>58</v>
      </c>
      <c r="G147" s="7">
        <v>58.4</v>
      </c>
      <c r="H147" s="7">
        <v>58.326300000000003</v>
      </c>
      <c r="I147" s="7">
        <v>61.597754999999999</v>
      </c>
      <c r="J147" s="7">
        <v>1.07377571568092</v>
      </c>
      <c r="K147" s="7">
        <v>8.9647178489297694</v>
      </c>
    </row>
    <row r="148" spans="1:11" ht="15" customHeight="1" x14ac:dyDescent="0.2">
      <c r="A148" s="3">
        <v>45839</v>
      </c>
      <c r="B148" s="4">
        <v>57.74</v>
      </c>
      <c r="C148" s="5">
        <v>11143317</v>
      </c>
      <c r="D148" s="4">
        <v>0.55729710902123697</v>
      </c>
      <c r="E148" s="4">
        <v>57.69</v>
      </c>
      <c r="F148" s="4">
        <v>57.55</v>
      </c>
      <c r="G148" s="4">
        <v>57.87</v>
      </c>
      <c r="H148" s="4">
        <v>57.780700000000003</v>
      </c>
      <c r="I148" s="4">
        <v>60.943359999999998</v>
      </c>
      <c r="J148" s="4">
        <v>0.55730491712631103</v>
      </c>
      <c r="K148" s="4">
        <v>7.8071112683530801</v>
      </c>
    </row>
    <row r="149" spans="1:11" ht="15" customHeight="1" x14ac:dyDescent="0.2">
      <c r="A149" s="6">
        <v>45838</v>
      </c>
      <c r="B149" s="7">
        <v>57.42</v>
      </c>
      <c r="C149" s="8">
        <v>10265227</v>
      </c>
      <c r="D149" s="7">
        <v>0.104602510460249</v>
      </c>
      <c r="E149" s="7">
        <v>57.49</v>
      </c>
      <c r="F149" s="7">
        <v>57.32</v>
      </c>
      <c r="G149" s="7">
        <v>57.8</v>
      </c>
      <c r="H149" s="7">
        <v>57.418799999999997</v>
      </c>
      <c r="I149" s="7">
        <v>60.605601999999998</v>
      </c>
      <c r="J149" s="7">
        <v>0.104601290661787</v>
      </c>
      <c r="K149" s="7">
        <v>7.2096267468600601</v>
      </c>
    </row>
    <row r="150" spans="1:11" ht="15" customHeight="1" x14ac:dyDescent="0.2">
      <c r="A150" s="3">
        <v>45835</v>
      </c>
      <c r="B150" s="4">
        <v>57.36</v>
      </c>
      <c r="C150" s="5">
        <v>2555516</v>
      </c>
      <c r="D150" s="4">
        <v>-0.86415485655029201</v>
      </c>
      <c r="E150" s="4">
        <v>57.5</v>
      </c>
      <c r="F150" s="4">
        <v>57.35</v>
      </c>
      <c r="G150" s="4">
        <v>57.65</v>
      </c>
      <c r="H150" s="4">
        <v>57.358199999999997</v>
      </c>
      <c r="I150" s="4">
        <v>60.542273999999999</v>
      </c>
      <c r="J150" s="4">
        <v>-0.18247422425454701</v>
      </c>
      <c r="K150" s="4">
        <v>7.0976012736599996</v>
      </c>
    </row>
    <row r="151" spans="1:11" ht="15" customHeight="1" x14ac:dyDescent="0.2">
      <c r="A151" s="6">
        <v>45834</v>
      </c>
      <c r="B151" s="7">
        <v>57.86</v>
      </c>
      <c r="C151" s="8">
        <v>2608673</v>
      </c>
      <c r="D151" s="7">
        <v>1.08315863032844</v>
      </c>
      <c r="E151" s="7">
        <v>57.22</v>
      </c>
      <c r="F151" s="7">
        <v>57.06</v>
      </c>
      <c r="G151" s="7">
        <v>57.95</v>
      </c>
      <c r="H151" s="7">
        <v>57.832299999999996</v>
      </c>
      <c r="I151" s="7">
        <v>60.652949999999997</v>
      </c>
      <c r="J151" s="7">
        <v>1.08315372433305</v>
      </c>
      <c r="K151" s="7">
        <v>7.2933840438704998</v>
      </c>
    </row>
    <row r="152" spans="1:11" ht="15" customHeight="1" x14ac:dyDescent="0.2">
      <c r="A152" s="3">
        <v>45833</v>
      </c>
      <c r="B152" s="4">
        <v>57.24</v>
      </c>
      <c r="C152" s="5">
        <v>4269087</v>
      </c>
      <c r="D152" s="4">
        <v>0.29787979674085102</v>
      </c>
      <c r="E152" s="4">
        <v>56.78</v>
      </c>
      <c r="F152" s="4">
        <v>56.78</v>
      </c>
      <c r="G152" s="4">
        <v>57.45</v>
      </c>
      <c r="H152" s="4">
        <v>57.288899999999998</v>
      </c>
      <c r="I152" s="4">
        <v>60.003025000000001</v>
      </c>
      <c r="J152" s="4">
        <v>0.297888097069543</v>
      </c>
      <c r="K152" s="4">
        <v>6.1436847691491199</v>
      </c>
    </row>
    <row r="153" spans="1:11" ht="15" customHeight="1" x14ac:dyDescent="0.2">
      <c r="A153" s="6">
        <v>45832</v>
      </c>
      <c r="B153" s="7">
        <v>57.07</v>
      </c>
      <c r="C153" s="8">
        <v>4167260</v>
      </c>
      <c r="D153" s="7">
        <v>1.06251106782362</v>
      </c>
      <c r="E153" s="7">
        <v>56.69</v>
      </c>
      <c r="F153" s="7">
        <v>56.62</v>
      </c>
      <c r="G153" s="7">
        <v>57.15</v>
      </c>
      <c r="H153" s="7">
        <v>57.098300000000002</v>
      </c>
      <c r="I153" s="7">
        <v>59.824814000000003</v>
      </c>
      <c r="J153" s="7">
        <v>1.06250684380702</v>
      </c>
      <c r="K153" s="7">
        <v>5.8284344595789799</v>
      </c>
    </row>
    <row r="154" spans="1:11" ht="15" customHeight="1" x14ac:dyDescent="0.2">
      <c r="A154" s="3">
        <v>45831</v>
      </c>
      <c r="B154" s="4">
        <v>56.47</v>
      </c>
      <c r="C154" s="5">
        <v>2308836</v>
      </c>
      <c r="D154" s="4">
        <v>-0.26492405510419798</v>
      </c>
      <c r="E154" s="4">
        <v>56.35</v>
      </c>
      <c r="F154" s="4">
        <v>56</v>
      </c>
      <c r="G154" s="4">
        <v>56.53</v>
      </c>
      <c r="H154" s="4">
        <v>56.4497</v>
      </c>
      <c r="I154" s="4">
        <v>59.195853999999997</v>
      </c>
      <c r="J154" s="4">
        <v>-0.26491964395047801</v>
      </c>
      <c r="K154" s="4">
        <v>4.7158216875994903</v>
      </c>
    </row>
    <row r="155" spans="1:11" ht="15" customHeight="1" x14ac:dyDescent="0.2">
      <c r="A155" s="6">
        <v>45828</v>
      </c>
      <c r="B155" s="7">
        <v>56.62</v>
      </c>
      <c r="C155" s="8">
        <v>6795885</v>
      </c>
      <c r="D155" s="7">
        <v>-0.64923670819442203</v>
      </c>
      <c r="E155" s="7">
        <v>56.35</v>
      </c>
      <c r="F155" s="7">
        <v>56.27</v>
      </c>
      <c r="G155" s="7">
        <v>56.76</v>
      </c>
      <c r="H155" s="7">
        <v>56.619599999999998</v>
      </c>
      <c r="I155" s="7">
        <v>59.353091999999997</v>
      </c>
      <c r="J155" s="7">
        <v>-0.64924137888321398</v>
      </c>
      <c r="K155" s="7">
        <v>4.9939713426499104</v>
      </c>
    </row>
    <row r="156" spans="1:11" ht="15" customHeight="1" x14ac:dyDescent="0.2">
      <c r="A156" s="3">
        <v>45827</v>
      </c>
      <c r="B156" s="4">
        <v>56.99</v>
      </c>
      <c r="C156" s="5">
        <v>69218</v>
      </c>
      <c r="D156" s="4">
        <v>-0.26251312565628199</v>
      </c>
      <c r="E156" s="4">
        <v>57.4</v>
      </c>
      <c r="F156" s="4">
        <v>56.55</v>
      </c>
      <c r="G156" s="4">
        <v>57.4</v>
      </c>
      <c r="H156" s="4">
        <v>56.422800000000002</v>
      </c>
      <c r="I156" s="4">
        <v>59.740955</v>
      </c>
      <c r="J156" s="4">
        <v>-0.26250875381165201</v>
      </c>
      <c r="K156" s="4">
        <v>5.6800902175835803</v>
      </c>
    </row>
    <row r="157" spans="1:11" ht="15" customHeight="1" x14ac:dyDescent="0.2">
      <c r="A157" s="6">
        <v>45826</v>
      </c>
      <c r="B157" s="7">
        <v>57.14</v>
      </c>
      <c r="C157" s="8">
        <v>1140730</v>
      </c>
      <c r="D157" s="7">
        <v>0.157756354075377</v>
      </c>
      <c r="E157" s="7">
        <v>56.97</v>
      </c>
      <c r="F157" s="7">
        <v>56.85</v>
      </c>
      <c r="G157" s="7">
        <v>57.34</v>
      </c>
      <c r="H157" s="7">
        <v>57.087400000000002</v>
      </c>
      <c r="I157" s="7">
        <v>59.898192999999999</v>
      </c>
      <c r="J157" s="7">
        <v>0.15775405764011299</v>
      </c>
      <c r="K157" s="7">
        <v>5.9582398726339898</v>
      </c>
    </row>
    <row r="158" spans="1:11" ht="15" customHeight="1" x14ac:dyDescent="0.2">
      <c r="A158" s="3">
        <v>45825</v>
      </c>
      <c r="B158" s="4">
        <v>57.05</v>
      </c>
      <c r="C158" s="5">
        <v>1574159</v>
      </c>
      <c r="D158" s="4">
        <v>-0.60975609756097604</v>
      </c>
      <c r="E158" s="4">
        <v>57.66</v>
      </c>
      <c r="F158" s="4">
        <v>56.88</v>
      </c>
      <c r="G158" s="4">
        <v>57.66</v>
      </c>
      <c r="H158" s="4">
        <v>57.034799999999997</v>
      </c>
      <c r="I158" s="4">
        <v>59.803849999999997</v>
      </c>
      <c r="J158" s="4">
        <v>-0.60975810404611996</v>
      </c>
      <c r="K158" s="4">
        <v>5.7913497258092903</v>
      </c>
    </row>
    <row r="159" spans="1:11" ht="15" customHeight="1" x14ac:dyDescent="0.2">
      <c r="A159" s="6">
        <v>45824</v>
      </c>
      <c r="B159" s="7">
        <v>57.4</v>
      </c>
      <c r="C159" s="8">
        <v>4054805</v>
      </c>
      <c r="D159" s="7">
        <v>-0.67485724173732498</v>
      </c>
      <c r="E159" s="7">
        <v>58.1</v>
      </c>
      <c r="F159" s="7">
        <v>57.31</v>
      </c>
      <c r="G159" s="7">
        <v>58.1</v>
      </c>
      <c r="H159" s="7">
        <v>57.393799999999999</v>
      </c>
      <c r="I159" s="7">
        <v>60.170746000000001</v>
      </c>
      <c r="J159" s="7">
        <v>-0.67485457556070105</v>
      </c>
      <c r="K159" s="7">
        <v>6.4403785600566001</v>
      </c>
    </row>
    <row r="160" spans="1:11" ht="15" customHeight="1" x14ac:dyDescent="0.2">
      <c r="A160" s="3">
        <v>45821</v>
      </c>
      <c r="B160" s="4">
        <v>57.79</v>
      </c>
      <c r="C160" s="5">
        <v>1278146</v>
      </c>
      <c r="D160" s="4">
        <v>-0.70446735395189797</v>
      </c>
      <c r="E160" s="4">
        <v>57.9</v>
      </c>
      <c r="F160" s="4">
        <v>57.7</v>
      </c>
      <c r="G160" s="4">
        <v>57.96</v>
      </c>
      <c r="H160" s="4">
        <v>57.788400000000003</v>
      </c>
      <c r="I160" s="4">
        <v>60.579569999999997</v>
      </c>
      <c r="J160" s="4">
        <v>-0.70446567543078698</v>
      </c>
      <c r="K160" s="4">
        <v>7.1635768618432598</v>
      </c>
    </row>
    <row r="161" spans="1:11" ht="15" customHeight="1" x14ac:dyDescent="0.2">
      <c r="A161" s="6">
        <v>45820</v>
      </c>
      <c r="B161" s="7">
        <v>58.2</v>
      </c>
      <c r="C161" s="8">
        <v>1268078</v>
      </c>
      <c r="D161" s="7">
        <v>0.120419748838807</v>
      </c>
      <c r="E161" s="7">
        <v>58.02</v>
      </c>
      <c r="F161" s="7">
        <v>57.91</v>
      </c>
      <c r="G161" s="7">
        <v>58.47</v>
      </c>
      <c r="H161" s="7">
        <v>58.181699999999999</v>
      </c>
      <c r="I161" s="7">
        <v>61.009360000000001</v>
      </c>
      <c r="J161" s="7">
        <v>0.120411607026427</v>
      </c>
      <c r="K161" s="7">
        <v>7.9238634353440602</v>
      </c>
    </row>
    <row r="162" spans="1:11" ht="15" customHeight="1" x14ac:dyDescent="0.2">
      <c r="A162" s="3">
        <v>45819</v>
      </c>
      <c r="B162" s="4">
        <v>58.13</v>
      </c>
      <c r="C162" s="5">
        <v>1552345</v>
      </c>
      <c r="D162" s="4">
        <v>-0.496405340636763</v>
      </c>
      <c r="E162" s="4">
        <v>58.32</v>
      </c>
      <c r="F162" s="4">
        <v>58.09</v>
      </c>
      <c r="G162" s="4">
        <v>58.65</v>
      </c>
      <c r="H162" s="4">
        <v>58.119399999999999</v>
      </c>
      <c r="I162" s="4">
        <v>60.935986</v>
      </c>
      <c r="J162" s="4">
        <v>-0.49639794134486098</v>
      </c>
      <c r="K162" s="4">
        <v>7.79406686715018</v>
      </c>
    </row>
    <row r="163" spans="1:11" ht="15" customHeight="1" x14ac:dyDescent="0.2">
      <c r="A163" s="6">
        <v>45818</v>
      </c>
      <c r="B163" s="7">
        <v>58.42</v>
      </c>
      <c r="C163" s="8">
        <v>1664283</v>
      </c>
      <c r="D163" s="7">
        <v>0.36076275554028903</v>
      </c>
      <c r="E163" s="7">
        <v>58.35</v>
      </c>
      <c r="F163" s="7">
        <v>58.13</v>
      </c>
      <c r="G163" s="7">
        <v>58.54</v>
      </c>
      <c r="H163" s="7">
        <v>58.452399999999997</v>
      </c>
      <c r="I163" s="7">
        <v>61.239980000000003</v>
      </c>
      <c r="J163" s="7">
        <v>0.36076132872446798</v>
      </c>
      <c r="K163" s="7">
        <v>8.3318238103661795</v>
      </c>
    </row>
    <row r="164" spans="1:11" ht="15" customHeight="1" x14ac:dyDescent="0.2">
      <c r="A164" s="3">
        <v>45817</v>
      </c>
      <c r="B164" s="4">
        <v>58.21</v>
      </c>
      <c r="C164" s="5">
        <v>3586112</v>
      </c>
      <c r="D164" s="4">
        <v>-0.35946593632317703</v>
      </c>
      <c r="E164" s="4">
        <v>58.3</v>
      </c>
      <c r="F164" s="4">
        <v>58.17</v>
      </c>
      <c r="G164" s="4">
        <v>58.48</v>
      </c>
      <c r="H164" s="4">
        <v>58.166400000000003</v>
      </c>
      <c r="I164" s="4">
        <v>61.019843999999999</v>
      </c>
      <c r="J164" s="4">
        <v>-0.35946451974674298</v>
      </c>
      <c r="K164" s="4">
        <v>7.9424093401733504</v>
      </c>
    </row>
    <row r="165" spans="1:11" ht="15" customHeight="1" x14ac:dyDescent="0.2">
      <c r="A165" s="6">
        <v>45814</v>
      </c>
      <c r="B165" s="7">
        <v>58.42</v>
      </c>
      <c r="C165" s="8">
        <v>2071600</v>
      </c>
      <c r="D165" s="7">
        <v>0.49888181661792402</v>
      </c>
      <c r="E165" s="7">
        <v>57.77</v>
      </c>
      <c r="F165" s="7">
        <v>57.64</v>
      </c>
      <c r="G165" s="7">
        <v>58.52</v>
      </c>
      <c r="H165" s="7">
        <v>58.416800000000002</v>
      </c>
      <c r="I165" s="7">
        <v>61.239980000000003</v>
      </c>
      <c r="J165" s="7">
        <v>0.49887434331496999</v>
      </c>
      <c r="K165" s="7">
        <v>8.3318238103661795</v>
      </c>
    </row>
    <row r="166" spans="1:11" ht="15" customHeight="1" x14ac:dyDescent="0.2">
      <c r="A166" s="3">
        <v>45813</v>
      </c>
      <c r="B166" s="4">
        <v>58.13</v>
      </c>
      <c r="C166" s="5">
        <v>1637276</v>
      </c>
      <c r="D166" s="4">
        <v>0.536146662054659</v>
      </c>
      <c r="E166" s="4">
        <v>58.12</v>
      </c>
      <c r="F166" s="4">
        <v>58</v>
      </c>
      <c r="G166" s="4">
        <v>58.3</v>
      </c>
      <c r="H166" s="4">
        <v>58.097299999999997</v>
      </c>
      <c r="I166" s="4">
        <v>60.935986</v>
      </c>
      <c r="J166" s="4">
        <v>0.53615002684330704</v>
      </c>
      <c r="K166" s="4">
        <v>7.79406686715018</v>
      </c>
    </row>
    <row r="167" spans="1:11" ht="15" customHeight="1" x14ac:dyDescent="0.2">
      <c r="A167" s="6">
        <v>45812</v>
      </c>
      <c r="B167" s="7">
        <v>57.82</v>
      </c>
      <c r="C167" s="8">
        <v>1244135</v>
      </c>
      <c r="D167" s="7">
        <v>-0.29315399206759601</v>
      </c>
      <c r="E167" s="7">
        <v>58.1</v>
      </c>
      <c r="F167" s="7">
        <v>57.75</v>
      </c>
      <c r="G167" s="7">
        <v>58.27</v>
      </c>
      <c r="H167" s="7">
        <v>57.8035</v>
      </c>
      <c r="I167" s="7">
        <v>60.611020000000003</v>
      </c>
      <c r="J167" s="7">
        <v>-0.29315556192216402</v>
      </c>
      <c r="K167" s="7">
        <v>7.2192110383866996</v>
      </c>
    </row>
    <row r="168" spans="1:11" ht="15" customHeight="1" x14ac:dyDescent="0.2">
      <c r="A168" s="3">
        <v>45811</v>
      </c>
      <c r="B168" s="4">
        <v>57.99</v>
      </c>
      <c r="C168" s="5">
        <v>2004134</v>
      </c>
      <c r="D168" s="4">
        <v>-0.15495867768594501</v>
      </c>
      <c r="E168" s="4">
        <v>58.19</v>
      </c>
      <c r="F168" s="4">
        <v>57.85</v>
      </c>
      <c r="G168" s="4">
        <v>58.19</v>
      </c>
      <c r="H168" s="4">
        <v>57.958300000000001</v>
      </c>
      <c r="I168" s="4">
        <v>60.789226999999997</v>
      </c>
      <c r="J168" s="4">
        <v>-0.15495641927699699</v>
      </c>
      <c r="K168" s="4">
        <v>7.5344542720679204</v>
      </c>
    </row>
    <row r="169" spans="1:11" ht="15" customHeight="1" x14ac:dyDescent="0.2">
      <c r="A169" s="6">
        <v>45810</v>
      </c>
      <c r="B169" s="7">
        <v>58.08</v>
      </c>
      <c r="C169" s="8">
        <v>7757763</v>
      </c>
      <c r="D169" s="7">
        <v>-0.137551581843187</v>
      </c>
      <c r="E169" s="7">
        <v>58.7</v>
      </c>
      <c r="F169" s="7">
        <v>57.88</v>
      </c>
      <c r="G169" s="7">
        <v>58.7</v>
      </c>
      <c r="H169" s="7">
        <v>58.020800000000001</v>
      </c>
      <c r="I169" s="7">
        <v>60.883569999999999</v>
      </c>
      <c r="J169" s="7">
        <v>-0.13754885190339</v>
      </c>
      <c r="K169" s="7">
        <v>7.7013444188926101</v>
      </c>
    </row>
    <row r="170" spans="1:11" ht="15" customHeight="1" x14ac:dyDescent="0.2">
      <c r="A170" s="3">
        <v>45807</v>
      </c>
      <c r="B170" s="4">
        <v>58.16</v>
      </c>
      <c r="C170" s="5">
        <v>775201</v>
      </c>
      <c r="D170" s="4">
        <v>-1.40701813866758</v>
      </c>
      <c r="E170" s="4">
        <v>58.46</v>
      </c>
      <c r="F170" s="4">
        <v>58.13</v>
      </c>
      <c r="G170" s="4">
        <v>58.7</v>
      </c>
      <c r="H170" s="4">
        <v>58.160699999999999</v>
      </c>
      <c r="I170" s="4">
        <v>60.96743</v>
      </c>
      <c r="J170" s="4">
        <v>-1.4070232919190799</v>
      </c>
      <c r="K170" s="4">
        <v>7.8496904298602503</v>
      </c>
    </row>
    <row r="171" spans="1:11" ht="15" customHeight="1" x14ac:dyDescent="0.2">
      <c r="A171" s="6">
        <v>45806</v>
      </c>
      <c r="B171" s="7">
        <v>58.99</v>
      </c>
      <c r="C171" s="8">
        <v>1502756</v>
      </c>
      <c r="D171" s="7">
        <v>-1.2058281694858399</v>
      </c>
      <c r="E171" s="7">
        <v>59.4</v>
      </c>
      <c r="F171" s="7">
        <v>58.94</v>
      </c>
      <c r="G171" s="7">
        <v>59.47</v>
      </c>
      <c r="H171" s="7">
        <v>58.923499999999997</v>
      </c>
      <c r="I171" s="7">
        <v>61.837497999999997</v>
      </c>
      <c r="J171" s="7">
        <v>-9.7638153803325495E-2</v>
      </c>
      <c r="K171" s="7">
        <v>9.3888165575800393</v>
      </c>
    </row>
    <row r="172" spans="1:11" ht="15" customHeight="1" x14ac:dyDescent="0.2">
      <c r="A172" s="3">
        <v>45805</v>
      </c>
      <c r="B172" s="4">
        <v>59.71</v>
      </c>
      <c r="C172" s="5">
        <v>3976862</v>
      </c>
      <c r="D172" s="4">
        <v>0.50496549402458901</v>
      </c>
      <c r="E172" s="4">
        <v>59.4</v>
      </c>
      <c r="F172" s="4">
        <v>59.4</v>
      </c>
      <c r="G172" s="4">
        <v>59.93</v>
      </c>
      <c r="H172" s="4">
        <v>59.708300000000001</v>
      </c>
      <c r="I172" s="4">
        <v>61.897933999999999</v>
      </c>
      <c r="J172" s="4">
        <v>0.50496744926764503</v>
      </c>
      <c r="K172" s="4">
        <v>9.4957261630992296</v>
      </c>
    </row>
    <row r="173" spans="1:11" ht="15" customHeight="1" x14ac:dyDescent="0.2">
      <c r="A173" s="6">
        <v>45804</v>
      </c>
      <c r="B173" s="7">
        <v>59.41</v>
      </c>
      <c r="C173" s="8">
        <v>7287548</v>
      </c>
      <c r="D173" s="7">
        <v>0.76322930800542998</v>
      </c>
      <c r="E173" s="7">
        <v>59.43</v>
      </c>
      <c r="F173" s="7">
        <v>59.33</v>
      </c>
      <c r="G173" s="7">
        <v>60.28</v>
      </c>
      <c r="H173" s="7">
        <v>59.387999999999998</v>
      </c>
      <c r="I173" s="7">
        <v>61.586939999999998</v>
      </c>
      <c r="J173" s="7">
        <v>0.76322569140645502</v>
      </c>
      <c r="K173" s="7">
        <v>8.9455864142932899</v>
      </c>
    </row>
    <row r="174" spans="1:11" ht="15" customHeight="1" x14ac:dyDescent="0.2">
      <c r="A174" s="3">
        <v>45803</v>
      </c>
      <c r="B174" s="4">
        <v>58.96</v>
      </c>
      <c r="C174" s="5">
        <v>898331</v>
      </c>
      <c r="D174" s="4">
        <v>-0.20311442112389499</v>
      </c>
      <c r="E174" s="4">
        <v>58.99</v>
      </c>
      <c r="F174" s="4">
        <v>58.83</v>
      </c>
      <c r="G174" s="4">
        <v>59.1</v>
      </c>
      <c r="H174" s="4">
        <v>59.182600000000001</v>
      </c>
      <c r="I174" s="4">
        <v>61.120452999999998</v>
      </c>
      <c r="J174" s="4">
        <v>-0.20311422103246299</v>
      </c>
      <c r="K174" s="4">
        <v>8.1203838669732793</v>
      </c>
    </row>
    <row r="175" spans="1:11" ht="15" customHeight="1" x14ac:dyDescent="0.2">
      <c r="A175" s="6">
        <v>45800</v>
      </c>
      <c r="B175" s="7">
        <v>59.08</v>
      </c>
      <c r="C175" s="8">
        <v>1523993</v>
      </c>
      <c r="D175" s="7">
        <v>0.97419244573577701</v>
      </c>
      <c r="E175" s="7">
        <v>58.43</v>
      </c>
      <c r="F175" s="7">
        <v>57.88</v>
      </c>
      <c r="G175" s="7">
        <v>59.13</v>
      </c>
      <c r="H175" s="7">
        <v>59.077199999999998</v>
      </c>
      <c r="I175" s="7">
        <v>61.24485</v>
      </c>
      <c r="J175" s="7">
        <v>0.97419855191647198</v>
      </c>
      <c r="K175" s="7">
        <v>8.3404387051123194</v>
      </c>
    </row>
    <row r="176" spans="1:11" ht="15" customHeight="1" x14ac:dyDescent="0.2">
      <c r="A176" s="3">
        <v>45799</v>
      </c>
      <c r="B176" s="4">
        <v>58.51</v>
      </c>
      <c r="C176" s="5">
        <v>5202568</v>
      </c>
      <c r="D176" s="4">
        <v>-1.14884270991721</v>
      </c>
      <c r="E176" s="4">
        <v>59.22</v>
      </c>
      <c r="F176" s="4">
        <v>58.43</v>
      </c>
      <c r="G176" s="4">
        <v>59.22</v>
      </c>
      <c r="H176" s="4">
        <v>58.525199999999998</v>
      </c>
      <c r="I176" s="4">
        <v>60.653959999999998</v>
      </c>
      <c r="J176" s="4">
        <v>-1.1488475669699301</v>
      </c>
      <c r="K176" s="4">
        <v>7.2951707058199098</v>
      </c>
    </row>
    <row r="177" spans="1:11" ht="15" customHeight="1" x14ac:dyDescent="0.2">
      <c r="A177" s="6">
        <v>45798</v>
      </c>
      <c r="B177" s="7">
        <v>59.19</v>
      </c>
      <c r="C177" s="8">
        <v>4264031</v>
      </c>
      <c r="D177" s="7">
        <v>0.49235993208829298</v>
      </c>
      <c r="E177" s="7">
        <v>59.04</v>
      </c>
      <c r="F177" s="7">
        <v>58.92</v>
      </c>
      <c r="G177" s="7">
        <v>59.24</v>
      </c>
      <c r="H177" s="7">
        <v>59.197600000000001</v>
      </c>
      <c r="I177" s="7">
        <v>61.358879999999999</v>
      </c>
      <c r="J177" s="7">
        <v>0.49235931312414599</v>
      </c>
      <c r="K177" s="7">
        <v>8.5421546081726394</v>
      </c>
    </row>
    <row r="178" spans="1:11" ht="15" customHeight="1" x14ac:dyDescent="0.2">
      <c r="A178" s="3">
        <v>45797</v>
      </c>
      <c r="B178" s="4">
        <v>58.9</v>
      </c>
      <c r="C178" s="5">
        <v>2251911</v>
      </c>
      <c r="D178" s="4">
        <v>-0.28779414254275199</v>
      </c>
      <c r="E178" s="4">
        <v>59.05</v>
      </c>
      <c r="F178" s="4">
        <v>58.82</v>
      </c>
      <c r="G178" s="4">
        <v>59.2</v>
      </c>
      <c r="H178" s="4">
        <v>58.910899999999998</v>
      </c>
      <c r="I178" s="4">
        <v>61.058253999999998</v>
      </c>
      <c r="J178" s="4">
        <v>-0.287788840535596</v>
      </c>
      <c r="K178" s="4">
        <v>8.0103555634176402</v>
      </c>
    </row>
    <row r="179" spans="1:11" ht="15" customHeight="1" x14ac:dyDescent="0.2">
      <c r="A179" s="6">
        <v>45796</v>
      </c>
      <c r="B179" s="7">
        <v>59.07</v>
      </c>
      <c r="C179" s="8">
        <v>1535824</v>
      </c>
      <c r="D179" s="7">
        <v>0.81925243215565902</v>
      </c>
      <c r="E179" s="7">
        <v>58.6</v>
      </c>
      <c r="F179" s="7">
        <v>58.6</v>
      </c>
      <c r="G179" s="7">
        <v>59.44</v>
      </c>
      <c r="H179" s="7">
        <v>59.095100000000002</v>
      </c>
      <c r="I179" s="7">
        <v>61.234479999999998</v>
      </c>
      <c r="J179" s="7">
        <v>0.81924336700966904</v>
      </c>
      <c r="K179" s="7">
        <v>8.3220944631169207</v>
      </c>
    </row>
    <row r="180" spans="1:11" ht="15" customHeight="1" x14ac:dyDescent="0.2">
      <c r="A180" s="3">
        <v>45793</v>
      </c>
      <c r="B180" s="4">
        <v>58.59</v>
      </c>
      <c r="C180" s="5">
        <v>1459749</v>
      </c>
      <c r="D180" s="4">
        <v>0.10251153254741099</v>
      </c>
      <c r="E180" s="4">
        <v>58.5</v>
      </c>
      <c r="F180" s="4">
        <v>58.4</v>
      </c>
      <c r="G180" s="4">
        <v>58.83</v>
      </c>
      <c r="H180" s="4">
        <v>58.585700000000003</v>
      </c>
      <c r="I180" s="4">
        <v>60.736896999999999</v>
      </c>
      <c r="J180" s="4">
        <v>0.10251885242305001</v>
      </c>
      <c r="K180" s="4">
        <v>7.4418839554218899</v>
      </c>
    </row>
    <row r="181" spans="1:11" ht="15" customHeight="1" x14ac:dyDescent="0.2">
      <c r="A181" s="6">
        <v>45792</v>
      </c>
      <c r="B181" s="7">
        <v>58.53</v>
      </c>
      <c r="C181" s="8">
        <v>5694845</v>
      </c>
      <c r="D181" s="7">
        <v>0.54973372272806298</v>
      </c>
      <c r="E181" s="7">
        <v>58.2</v>
      </c>
      <c r="F181" s="7">
        <v>58.04</v>
      </c>
      <c r="G181" s="7">
        <v>58.7</v>
      </c>
      <c r="H181" s="7">
        <v>58.558399999999999</v>
      </c>
      <c r="I181" s="7">
        <v>60.674694000000002</v>
      </c>
      <c r="J181" s="7">
        <v>0.54973431204112799</v>
      </c>
      <c r="K181" s="7">
        <v>7.3318485759773502</v>
      </c>
    </row>
    <row r="182" spans="1:11" ht="15" customHeight="1" x14ac:dyDescent="0.2">
      <c r="A182" s="3">
        <v>45791</v>
      </c>
      <c r="B182" s="4">
        <v>58.21</v>
      </c>
      <c r="C182" s="5">
        <v>2277429</v>
      </c>
      <c r="D182" s="4">
        <v>0.44866264020706398</v>
      </c>
      <c r="E182" s="4">
        <v>58.01</v>
      </c>
      <c r="F182" s="4">
        <v>57.71</v>
      </c>
      <c r="G182" s="4">
        <v>58.25</v>
      </c>
      <c r="H182" s="4">
        <v>58.2254</v>
      </c>
      <c r="I182" s="4">
        <v>60.342967999999999</v>
      </c>
      <c r="J182" s="4">
        <v>0.44865748000064698</v>
      </c>
      <c r="K182" s="4">
        <v>6.7450344949584196</v>
      </c>
    </row>
    <row r="183" spans="1:11" ht="15" customHeight="1" x14ac:dyDescent="0.2">
      <c r="A183" s="6">
        <v>45790</v>
      </c>
      <c r="B183" s="7">
        <v>57.95</v>
      </c>
      <c r="C183" s="8">
        <v>3430287</v>
      </c>
      <c r="D183" s="7">
        <v>1.0990928122819299</v>
      </c>
      <c r="E183" s="7">
        <v>57.16</v>
      </c>
      <c r="F183" s="7">
        <v>57.16</v>
      </c>
      <c r="G183" s="7">
        <v>58.35</v>
      </c>
      <c r="H183" s="7">
        <v>57.935899999999997</v>
      </c>
      <c r="I183" s="7">
        <v>60.073444000000002</v>
      </c>
      <c r="J183" s="7">
        <v>1.0990963921674</v>
      </c>
      <c r="K183" s="7">
        <v>6.2682540244118101</v>
      </c>
    </row>
    <row r="184" spans="1:11" ht="15" customHeight="1" x14ac:dyDescent="0.2">
      <c r="A184" s="3">
        <v>45789</v>
      </c>
      <c r="B184" s="4">
        <v>57.32</v>
      </c>
      <c r="C184" s="5">
        <v>1440247</v>
      </c>
      <c r="D184" s="4">
        <v>0.40287265720790799</v>
      </c>
      <c r="E184" s="4">
        <v>57</v>
      </c>
      <c r="F184" s="4">
        <v>56.53</v>
      </c>
      <c r="G184" s="4">
        <v>57.7</v>
      </c>
      <c r="H184" s="4">
        <v>57.314999999999998</v>
      </c>
      <c r="I184" s="4">
        <v>59.420357000000003</v>
      </c>
      <c r="J184" s="4">
        <v>0.402871281825389</v>
      </c>
      <c r="K184" s="4">
        <v>5.1129612595082197</v>
      </c>
    </row>
    <row r="185" spans="1:11" ht="15" customHeight="1" x14ac:dyDescent="0.2">
      <c r="A185" s="6">
        <v>45786</v>
      </c>
      <c r="B185" s="7">
        <v>57.09</v>
      </c>
      <c r="C185" s="8">
        <v>2324962</v>
      </c>
      <c r="D185" s="7">
        <v>-0.47071129707112402</v>
      </c>
      <c r="E185" s="7">
        <v>57.65</v>
      </c>
      <c r="F185" s="7">
        <v>57</v>
      </c>
      <c r="G185" s="7">
        <v>57.7</v>
      </c>
      <c r="H185" s="7">
        <v>57.094299999999997</v>
      </c>
      <c r="I185" s="7">
        <v>59.181930000000001</v>
      </c>
      <c r="J185" s="7">
        <v>-0.47071544691547001</v>
      </c>
      <c r="K185" s="7">
        <v>4.6911905183088596</v>
      </c>
    </row>
    <row r="186" spans="1:11" ht="15" customHeight="1" x14ac:dyDescent="0.2">
      <c r="A186" s="3">
        <v>45785</v>
      </c>
      <c r="B186" s="4">
        <v>57.36</v>
      </c>
      <c r="C186" s="5">
        <v>5593658</v>
      </c>
      <c r="D186" s="4">
        <v>-1.7808219178082101</v>
      </c>
      <c r="E186" s="4">
        <v>58.35</v>
      </c>
      <c r="F186" s="4">
        <v>57.23</v>
      </c>
      <c r="G186" s="4">
        <v>58.35</v>
      </c>
      <c r="H186" s="4">
        <v>57.327399999999997</v>
      </c>
      <c r="I186" s="4">
        <v>59.461826000000002</v>
      </c>
      <c r="J186" s="4">
        <v>-1.7808179896865399</v>
      </c>
      <c r="K186" s="4">
        <v>5.1863187687953296</v>
      </c>
    </row>
    <row r="187" spans="1:11" ht="15" customHeight="1" x14ac:dyDescent="0.2">
      <c r="A187" s="6">
        <v>45784</v>
      </c>
      <c r="B187" s="7">
        <v>58.4</v>
      </c>
      <c r="C187" s="8">
        <v>8287599</v>
      </c>
      <c r="D187" s="7">
        <v>1.1605750909405801</v>
      </c>
      <c r="E187" s="7">
        <v>57.78</v>
      </c>
      <c r="F187" s="7">
        <v>57.73</v>
      </c>
      <c r="G187" s="7">
        <v>58.5</v>
      </c>
      <c r="H187" s="7">
        <v>58.402700000000003</v>
      </c>
      <c r="I187" s="7">
        <v>60.539932</v>
      </c>
      <c r="J187" s="7">
        <v>1.1605724037224401</v>
      </c>
      <c r="K187" s="7">
        <v>7.0934583407040401</v>
      </c>
    </row>
    <row r="188" spans="1:11" ht="15" customHeight="1" x14ac:dyDescent="0.2">
      <c r="A188" s="3">
        <v>45783</v>
      </c>
      <c r="B188" s="4">
        <v>57.73</v>
      </c>
      <c r="C188" s="5">
        <v>4488234</v>
      </c>
      <c r="D188" s="4">
        <v>2.4853541629682199</v>
      </c>
      <c r="E188" s="4">
        <v>56.15</v>
      </c>
      <c r="F188" s="4">
        <v>56.14</v>
      </c>
      <c r="G188" s="4">
        <v>57.81</v>
      </c>
      <c r="H188" s="4">
        <v>57.788699999999999</v>
      </c>
      <c r="I188" s="4">
        <v>59.845382999999998</v>
      </c>
      <c r="J188" s="4">
        <v>2.4853510419762399</v>
      </c>
      <c r="K188" s="4">
        <v>5.8648204493189402</v>
      </c>
    </row>
    <row r="189" spans="1:11" ht="15" customHeight="1" x14ac:dyDescent="0.2">
      <c r="A189" s="6">
        <v>45782</v>
      </c>
      <c r="B189" s="7">
        <v>56.33</v>
      </c>
      <c r="C189" s="8">
        <v>2149320</v>
      </c>
      <c r="D189" s="7">
        <v>0.142222222222221</v>
      </c>
      <c r="E189" s="7">
        <v>55.97</v>
      </c>
      <c r="F189" s="7">
        <v>55.97</v>
      </c>
      <c r="G189" s="7">
        <v>56.41</v>
      </c>
      <c r="H189" s="7">
        <v>56.275399999999998</v>
      </c>
      <c r="I189" s="7">
        <v>58.394084999999997</v>
      </c>
      <c r="J189" s="7">
        <v>0.14222837313275699</v>
      </c>
      <c r="K189" s="7">
        <v>3.2975145940208601</v>
      </c>
    </row>
    <row r="190" spans="1:11" ht="15" customHeight="1" x14ac:dyDescent="0.2">
      <c r="A190" s="3">
        <v>45779</v>
      </c>
      <c r="B190" s="4">
        <v>56.25</v>
      </c>
      <c r="C190" s="5">
        <v>2058143.99999999</v>
      </c>
      <c r="D190" s="4">
        <v>-0.17746228926353</v>
      </c>
      <c r="E190" s="4">
        <v>56.58</v>
      </c>
      <c r="F190" s="4">
        <v>55.87</v>
      </c>
      <c r="G190" s="4">
        <v>56.58</v>
      </c>
      <c r="H190" s="4">
        <v>56.252699999999997</v>
      </c>
      <c r="I190" s="4">
        <v>58.311149999999998</v>
      </c>
      <c r="J190" s="4">
        <v>-0.177461833568448</v>
      </c>
      <c r="K190" s="4">
        <v>3.1508048823633401</v>
      </c>
    </row>
    <row r="191" spans="1:11" ht="15" customHeight="1" x14ac:dyDescent="0.2">
      <c r="A191" s="6">
        <v>45777</v>
      </c>
      <c r="B191" s="7">
        <v>56.35</v>
      </c>
      <c r="C191" s="8">
        <v>923543</v>
      </c>
      <c r="D191" s="7">
        <v>1.2396694214876101</v>
      </c>
      <c r="E191" s="7">
        <v>55.61</v>
      </c>
      <c r="F191" s="7">
        <v>55.5</v>
      </c>
      <c r="G191" s="7">
        <v>56.44</v>
      </c>
      <c r="H191" s="7">
        <v>56.3324</v>
      </c>
      <c r="I191" s="7">
        <v>58.414814</v>
      </c>
      <c r="J191" s="7">
        <v>1.23967040979362</v>
      </c>
      <c r="K191" s="7">
        <v>3.3341836193171699</v>
      </c>
    </row>
    <row r="192" spans="1:11" ht="15" customHeight="1" x14ac:dyDescent="0.2">
      <c r="A192" s="3">
        <v>45776</v>
      </c>
      <c r="B192" s="4">
        <v>55.66</v>
      </c>
      <c r="C192" s="5">
        <v>2848651</v>
      </c>
      <c r="D192" s="4">
        <v>-2.5730789427621299</v>
      </c>
      <c r="E192" s="4">
        <v>57</v>
      </c>
      <c r="F192" s="4">
        <v>55.61</v>
      </c>
      <c r="G192" s="4">
        <v>57.08</v>
      </c>
      <c r="H192" s="4">
        <v>55.687199999999997</v>
      </c>
      <c r="I192" s="4">
        <v>57.699530000000003</v>
      </c>
      <c r="J192" s="4">
        <v>-2.4522388238856299</v>
      </c>
      <c r="K192" s="4">
        <v>2.0688660888024</v>
      </c>
    </row>
    <row r="193" spans="1:11" ht="15" customHeight="1" x14ac:dyDescent="0.2">
      <c r="A193" s="6">
        <v>45775</v>
      </c>
      <c r="B193" s="7">
        <v>57.13</v>
      </c>
      <c r="C193" s="8">
        <v>3757017</v>
      </c>
      <c r="D193" s="7">
        <v>0.47485051002462603</v>
      </c>
      <c r="E193" s="7">
        <v>56.79</v>
      </c>
      <c r="F193" s="7">
        <v>56.79</v>
      </c>
      <c r="G193" s="7">
        <v>57.53</v>
      </c>
      <c r="H193" s="7">
        <v>57.122799999999998</v>
      </c>
      <c r="I193" s="7">
        <v>59.150030000000001</v>
      </c>
      <c r="J193" s="7">
        <v>0.47485086881315902</v>
      </c>
      <c r="K193" s="7">
        <v>4.6347603042632199</v>
      </c>
    </row>
    <row r="194" spans="1:11" ht="15" customHeight="1" x14ac:dyDescent="0.2">
      <c r="A194" s="3">
        <v>45772</v>
      </c>
      <c r="B194" s="4">
        <v>56.86</v>
      </c>
      <c r="C194" s="5">
        <v>16685463</v>
      </c>
      <c r="D194" s="4">
        <v>0.70846617074034002</v>
      </c>
      <c r="E194" s="4">
        <v>56.5</v>
      </c>
      <c r="F194" s="4">
        <v>56.3</v>
      </c>
      <c r="G194" s="4">
        <v>57.14</v>
      </c>
      <c r="H194" s="4">
        <v>56.863999999999997</v>
      </c>
      <c r="I194" s="4">
        <v>58.870483</v>
      </c>
      <c r="J194" s="4">
        <v>0.70847066589205798</v>
      </c>
      <c r="K194" s="4">
        <v>4.1402494250840203</v>
      </c>
    </row>
    <row r="195" spans="1:11" ht="15" customHeight="1" x14ac:dyDescent="0.2">
      <c r="A195" s="6">
        <v>45771</v>
      </c>
      <c r="B195" s="7">
        <v>56.46</v>
      </c>
      <c r="C195" s="8">
        <v>5036662</v>
      </c>
      <c r="D195" s="7">
        <v>1.12842557764643</v>
      </c>
      <c r="E195" s="7">
        <v>55.83</v>
      </c>
      <c r="F195" s="7">
        <v>55.83</v>
      </c>
      <c r="G195" s="7">
        <v>56.8</v>
      </c>
      <c r="H195" s="7">
        <v>56.526400000000002</v>
      </c>
      <c r="I195" s="7">
        <v>58.456336999999998</v>
      </c>
      <c r="J195" s="7">
        <v>1.1284171601354001</v>
      </c>
      <c r="K195" s="7">
        <v>3.4076366531045399</v>
      </c>
    </row>
    <row r="196" spans="1:11" ht="15" customHeight="1" x14ac:dyDescent="0.2">
      <c r="A196" s="3">
        <v>45770</v>
      </c>
      <c r="B196" s="4">
        <v>55.83</v>
      </c>
      <c r="C196" s="5">
        <v>4505868</v>
      </c>
      <c r="D196" s="4">
        <v>1.7866909753874101</v>
      </c>
      <c r="E196" s="4">
        <v>55</v>
      </c>
      <c r="F196" s="4">
        <v>55</v>
      </c>
      <c r="G196" s="4">
        <v>56.2</v>
      </c>
      <c r="H196" s="4">
        <v>55.881500000000003</v>
      </c>
      <c r="I196" s="4">
        <v>57.804065999999999</v>
      </c>
      <c r="J196" s="4">
        <v>1.78669931594641</v>
      </c>
      <c r="K196" s="4">
        <v>2.2537873695382902</v>
      </c>
    </row>
    <row r="197" spans="1:11" ht="15" customHeight="1" x14ac:dyDescent="0.2">
      <c r="A197" s="6">
        <v>45769</v>
      </c>
      <c r="B197" s="7">
        <v>54.85</v>
      </c>
      <c r="C197" s="8">
        <v>3219511</v>
      </c>
      <c r="D197" s="7">
        <v>1.91378669639539</v>
      </c>
      <c r="E197" s="7">
        <v>54.19</v>
      </c>
      <c r="F197" s="7">
        <v>54.19</v>
      </c>
      <c r="G197" s="7">
        <v>54.94</v>
      </c>
      <c r="H197" s="7">
        <v>54.892699999999998</v>
      </c>
      <c r="I197" s="7">
        <v>56.789409999999997</v>
      </c>
      <c r="J197" s="7">
        <v>1.9137845290145099</v>
      </c>
      <c r="K197" s="7">
        <v>0.45888908544134999</v>
      </c>
    </row>
    <row r="198" spans="1:11" ht="15" customHeight="1" x14ac:dyDescent="0.2">
      <c r="A198" s="3">
        <v>45768</v>
      </c>
      <c r="B198" s="4">
        <v>53.82</v>
      </c>
      <c r="C198" s="5">
        <v>1862066</v>
      </c>
      <c r="D198" s="4">
        <v>1.3368480512144501</v>
      </c>
      <c r="E198" s="4">
        <v>53.11</v>
      </c>
      <c r="F198" s="4">
        <v>53.11</v>
      </c>
      <c r="G198" s="4">
        <v>54.69</v>
      </c>
      <c r="H198" s="4">
        <v>53.856999999999999</v>
      </c>
      <c r="I198" s="4">
        <v>55.722991999999998</v>
      </c>
      <c r="J198" s="4">
        <v>1.33684343952822</v>
      </c>
      <c r="K198" s="4">
        <v>-1.4275747390766</v>
      </c>
    </row>
    <row r="199" spans="1:11" ht="15" customHeight="1" x14ac:dyDescent="0.2">
      <c r="A199" s="6">
        <v>45763</v>
      </c>
      <c r="B199" s="7">
        <v>53.11</v>
      </c>
      <c r="C199" s="8">
        <v>1091527</v>
      </c>
      <c r="D199" s="7">
        <v>0.73975720789074495</v>
      </c>
      <c r="E199" s="7">
        <v>52.8</v>
      </c>
      <c r="F199" s="7">
        <v>52.8</v>
      </c>
      <c r="G199" s="7">
        <v>53.56</v>
      </c>
      <c r="H199" s="7">
        <v>53.112400000000001</v>
      </c>
      <c r="I199" s="7">
        <v>54.98789</v>
      </c>
      <c r="J199" s="7">
        <v>0.73975754844359798</v>
      </c>
      <c r="K199" s="7">
        <v>-2.72794976118875</v>
      </c>
    </row>
    <row r="200" spans="1:11" ht="15" customHeight="1" x14ac:dyDescent="0.2">
      <c r="A200" s="3">
        <v>45762</v>
      </c>
      <c r="B200" s="4">
        <v>52.72</v>
      </c>
      <c r="C200" s="5">
        <v>920588</v>
      </c>
      <c r="D200" s="4">
        <v>0.457317073170737</v>
      </c>
      <c r="E200" s="4">
        <v>52.45</v>
      </c>
      <c r="F200" s="4">
        <v>52.44</v>
      </c>
      <c r="G200" s="4">
        <v>52.95</v>
      </c>
      <c r="H200" s="4">
        <v>52.736899999999999</v>
      </c>
      <c r="I200" s="4">
        <v>54.584099999999999</v>
      </c>
      <c r="J200" s="4">
        <v>0.45732439554832999</v>
      </c>
      <c r="K200" s="4">
        <v>-3.4422430567840099</v>
      </c>
    </row>
    <row r="201" spans="1:11" ht="15" customHeight="1" x14ac:dyDescent="0.2">
      <c r="A201" s="6">
        <v>45761</v>
      </c>
      <c r="B201" s="7">
        <v>52.48</v>
      </c>
      <c r="C201" s="8">
        <v>1175173</v>
      </c>
      <c r="D201" s="7">
        <v>1.72514053111065</v>
      </c>
      <c r="E201" s="7">
        <v>52</v>
      </c>
      <c r="F201" s="7">
        <v>52</v>
      </c>
      <c r="G201" s="7">
        <v>52.75</v>
      </c>
      <c r="H201" s="7">
        <v>52.485399999999998</v>
      </c>
      <c r="I201" s="7">
        <v>54.335610000000003</v>
      </c>
      <c r="J201" s="7">
        <v>1.72513673017276</v>
      </c>
      <c r="K201" s="7">
        <v>-3.88181496550503</v>
      </c>
    </row>
    <row r="202" spans="1:11" ht="15" customHeight="1" x14ac:dyDescent="0.2">
      <c r="A202" s="3">
        <v>45758</v>
      </c>
      <c r="B202" s="4">
        <v>51.59</v>
      </c>
      <c r="C202" s="5">
        <v>2554680</v>
      </c>
      <c r="D202" s="4">
        <v>-3.87521798101087E-2</v>
      </c>
      <c r="E202" s="4">
        <v>51.9</v>
      </c>
      <c r="F202" s="4">
        <v>51.5</v>
      </c>
      <c r="G202" s="4">
        <v>52.15</v>
      </c>
      <c r="H202" s="4">
        <v>51.586100000000002</v>
      </c>
      <c r="I202" s="4">
        <v>53.414143000000003</v>
      </c>
      <c r="J202" s="4">
        <v>-3.8751863250285901E-2</v>
      </c>
      <c r="K202" s="4">
        <v>-5.51186449672739</v>
      </c>
    </row>
    <row r="203" spans="1:11" ht="15" customHeight="1" x14ac:dyDescent="0.2">
      <c r="A203" s="6">
        <v>45757</v>
      </c>
      <c r="B203" s="7">
        <v>51.61</v>
      </c>
      <c r="C203" s="8">
        <v>4315217</v>
      </c>
      <c r="D203" s="7">
        <v>-1.9007793195210001</v>
      </c>
      <c r="E203" s="7">
        <v>52.14</v>
      </c>
      <c r="F203" s="7">
        <v>51.48</v>
      </c>
      <c r="G203" s="7">
        <v>52.48</v>
      </c>
      <c r="H203" s="7">
        <v>51.602400000000003</v>
      </c>
      <c r="I203" s="7">
        <v>53.434849999999997</v>
      </c>
      <c r="J203" s="7">
        <v>-1.9007766943129201</v>
      </c>
      <c r="K203" s="7">
        <v>-5.4752343888201001</v>
      </c>
    </row>
    <row r="204" spans="1:11" ht="15" customHeight="1" x14ac:dyDescent="0.2">
      <c r="A204" s="3">
        <v>45756</v>
      </c>
      <c r="B204" s="4">
        <v>52.61</v>
      </c>
      <c r="C204" s="5">
        <v>4423123</v>
      </c>
      <c r="D204" s="4">
        <v>4.4263596665343297</v>
      </c>
      <c r="E204" s="4">
        <v>50.41</v>
      </c>
      <c r="F204" s="4">
        <v>49.98</v>
      </c>
      <c r="G204" s="4">
        <v>52.85</v>
      </c>
      <c r="H204" s="4">
        <v>52.612000000000002</v>
      </c>
      <c r="I204" s="4">
        <v>54.470207000000002</v>
      </c>
      <c r="J204" s="4">
        <v>4.4263550643618199</v>
      </c>
      <c r="K204" s="4">
        <v>-3.6437166106492098</v>
      </c>
    </row>
    <row r="205" spans="1:11" ht="15" customHeight="1" x14ac:dyDescent="0.2">
      <c r="A205" s="6">
        <v>45755</v>
      </c>
      <c r="B205" s="7">
        <v>50.38</v>
      </c>
      <c r="C205" s="8">
        <v>5276648</v>
      </c>
      <c r="D205" s="7">
        <v>-0.198098256735324</v>
      </c>
      <c r="E205" s="7">
        <v>51.95</v>
      </c>
      <c r="F205" s="7">
        <v>50.26</v>
      </c>
      <c r="G205" s="7">
        <v>52</v>
      </c>
      <c r="H205" s="7">
        <v>50.399299999999997</v>
      </c>
      <c r="I205" s="7">
        <v>52.161360000000002</v>
      </c>
      <c r="J205" s="7">
        <v>-0.19809281920848401</v>
      </c>
      <c r="K205" s="7">
        <v>-7.7280028303555603</v>
      </c>
    </row>
    <row r="206" spans="1:11" ht="15" customHeight="1" x14ac:dyDescent="0.2">
      <c r="A206" s="3">
        <v>45754</v>
      </c>
      <c r="B206" s="4">
        <v>50.48</v>
      </c>
      <c r="C206" s="5">
        <v>23354334</v>
      </c>
      <c r="D206" s="4">
        <v>-2.0566550252231299</v>
      </c>
      <c r="E206" s="4">
        <v>51.6</v>
      </c>
      <c r="F206" s="4">
        <v>50.19</v>
      </c>
      <c r="G206" s="4">
        <v>52.03</v>
      </c>
      <c r="H206" s="4">
        <v>50.541499999999999</v>
      </c>
      <c r="I206" s="4">
        <v>52.264893000000001</v>
      </c>
      <c r="J206" s="4">
        <v>-2.0566625058700101</v>
      </c>
      <c r="K206" s="4">
        <v>-7.5448558287634802</v>
      </c>
    </row>
    <row r="207" spans="1:11" ht="15" customHeight="1" x14ac:dyDescent="0.2">
      <c r="A207" s="6">
        <v>45751</v>
      </c>
      <c r="B207" s="7">
        <v>51.54</v>
      </c>
      <c r="C207" s="8">
        <v>11818870</v>
      </c>
      <c r="D207" s="7">
        <v>-4.92529053680133</v>
      </c>
      <c r="E207" s="7">
        <v>53.12</v>
      </c>
      <c r="F207" s="7">
        <v>51.35</v>
      </c>
      <c r="G207" s="7">
        <v>53.15</v>
      </c>
      <c r="H207" s="7">
        <v>51.539299999999997</v>
      </c>
      <c r="I207" s="7">
        <v>53.362377000000002</v>
      </c>
      <c r="J207" s="7">
        <v>-4.9252834386722197</v>
      </c>
      <c r="K207" s="7">
        <v>-5.6034371130373204</v>
      </c>
    </row>
    <row r="208" spans="1:11" ht="15" customHeight="1" x14ac:dyDescent="0.2">
      <c r="A208" s="3">
        <v>45750</v>
      </c>
      <c r="B208" s="4">
        <v>54.21</v>
      </c>
      <c r="C208" s="5">
        <v>7220625</v>
      </c>
      <c r="D208" s="4">
        <v>0.57513914656772602</v>
      </c>
      <c r="E208" s="4">
        <v>53.9</v>
      </c>
      <c r="F208" s="4">
        <v>53.71</v>
      </c>
      <c r="G208" s="4">
        <v>54.84</v>
      </c>
      <c r="H208" s="4">
        <v>54.173699999999997</v>
      </c>
      <c r="I208" s="4">
        <v>56.126779999999997</v>
      </c>
      <c r="J208" s="4">
        <v>0.57513714519381498</v>
      </c>
      <c r="K208" s="4">
        <v>-0.71328498142579899</v>
      </c>
    </row>
    <row r="209" spans="1:11" ht="15" customHeight="1" x14ac:dyDescent="0.2">
      <c r="A209" s="6">
        <v>45749</v>
      </c>
      <c r="B209" s="7">
        <v>53.9</v>
      </c>
      <c r="C209" s="8">
        <v>10950960</v>
      </c>
      <c r="D209" s="7">
        <v>1.08777194298574</v>
      </c>
      <c r="E209" s="7">
        <v>53.18</v>
      </c>
      <c r="F209" s="7">
        <v>53.18</v>
      </c>
      <c r="G209" s="7">
        <v>53.96</v>
      </c>
      <c r="H209" s="7">
        <v>53.885899999999999</v>
      </c>
      <c r="I209" s="7">
        <v>55.805819999999997</v>
      </c>
      <c r="J209" s="7">
        <v>1.08777579548053</v>
      </c>
      <c r="K209" s="7">
        <v>-1.2810543074473799</v>
      </c>
    </row>
    <row r="210" spans="1:11" ht="15" customHeight="1" x14ac:dyDescent="0.2">
      <c r="A210" s="3">
        <v>45748</v>
      </c>
      <c r="B210" s="4">
        <v>53.32</v>
      </c>
      <c r="C210" s="5">
        <v>2617321</v>
      </c>
      <c r="D210" s="4">
        <v>1.58125357210896</v>
      </c>
      <c r="E210" s="4">
        <v>52.54</v>
      </c>
      <c r="F210" s="4">
        <v>52.54</v>
      </c>
      <c r="G210" s="4">
        <v>53.49</v>
      </c>
      <c r="H210" s="4">
        <v>53.346299999999999</v>
      </c>
      <c r="I210" s="4">
        <v>55.205309999999997</v>
      </c>
      <c r="J210" s="4">
        <v>1.5812470791300299</v>
      </c>
      <c r="K210" s="4">
        <v>-2.3433398195648398</v>
      </c>
    </row>
    <row r="211" spans="1:11" ht="15" customHeight="1" x14ac:dyDescent="0.2">
      <c r="A211" s="6">
        <v>45747</v>
      </c>
      <c r="B211" s="7">
        <v>52.49</v>
      </c>
      <c r="C211" s="8">
        <v>6258825</v>
      </c>
      <c r="D211" s="7">
        <v>-1.2974802557352301</v>
      </c>
      <c r="E211" s="7">
        <v>52.62</v>
      </c>
      <c r="F211" s="7">
        <v>52.18</v>
      </c>
      <c r="G211" s="7">
        <v>52.63</v>
      </c>
      <c r="H211" s="7">
        <v>52.4938</v>
      </c>
      <c r="I211" s="7">
        <v>54.345965999999997</v>
      </c>
      <c r="J211" s="7">
        <v>-1.2974814332865701</v>
      </c>
      <c r="K211" s="7">
        <v>-3.8634954891208202</v>
      </c>
    </row>
    <row r="212" spans="1:11" ht="15" customHeight="1" x14ac:dyDescent="0.2">
      <c r="A212" s="3">
        <v>45744</v>
      </c>
      <c r="B212" s="4">
        <v>53.18</v>
      </c>
      <c r="C212" s="5">
        <v>6190121</v>
      </c>
      <c r="D212" s="4">
        <v>-0.69094304388421701</v>
      </c>
      <c r="E212" s="4">
        <v>53.3</v>
      </c>
      <c r="F212" s="4">
        <v>52.82</v>
      </c>
      <c r="G212" s="4">
        <v>53.3</v>
      </c>
      <c r="H212" s="4">
        <v>53.183</v>
      </c>
      <c r="I212" s="4">
        <v>55.060364</v>
      </c>
      <c r="J212" s="4">
        <v>-0.58178590911235295</v>
      </c>
      <c r="K212" s="4">
        <v>-2.5997452679992898</v>
      </c>
    </row>
    <row r="213" spans="1:11" ht="15" customHeight="1" x14ac:dyDescent="0.2">
      <c r="A213" s="6">
        <v>45743</v>
      </c>
      <c r="B213" s="7">
        <v>53.55</v>
      </c>
      <c r="C213" s="8">
        <v>1780956</v>
      </c>
      <c r="D213" s="7">
        <v>1.26701966717093</v>
      </c>
      <c r="E213" s="7">
        <v>52.83</v>
      </c>
      <c r="F213" s="7">
        <v>52.78</v>
      </c>
      <c r="G213" s="7">
        <v>53.64</v>
      </c>
      <c r="H213" s="7">
        <v>53.546700000000001</v>
      </c>
      <c r="I213" s="7">
        <v>55.382572000000003</v>
      </c>
      <c r="J213" s="7">
        <v>1.2670112632650401</v>
      </c>
      <c r="K213" s="7">
        <v>-2.02976826463824</v>
      </c>
    </row>
    <row r="214" spans="1:11" ht="15" customHeight="1" x14ac:dyDescent="0.2">
      <c r="A214" s="3">
        <v>45742</v>
      </c>
      <c r="B214" s="4">
        <v>52.88</v>
      </c>
      <c r="C214" s="5">
        <v>1256060</v>
      </c>
      <c r="D214" s="4">
        <v>-0.73211939177774099</v>
      </c>
      <c r="E214" s="4">
        <v>53.44</v>
      </c>
      <c r="F214" s="4">
        <v>52.77</v>
      </c>
      <c r="G214" s="4">
        <v>53.44</v>
      </c>
      <c r="H214" s="4">
        <v>52.875999999999998</v>
      </c>
      <c r="I214" s="4">
        <v>54.689647999999998</v>
      </c>
      <c r="J214" s="4">
        <v>-0.73211129038377398</v>
      </c>
      <c r="K214" s="4">
        <v>-3.25553157615425</v>
      </c>
    </row>
    <row r="215" spans="1:11" ht="15" customHeight="1" x14ac:dyDescent="0.2">
      <c r="A215" s="6">
        <v>45741</v>
      </c>
      <c r="B215" s="7">
        <v>53.27</v>
      </c>
      <c r="C215" s="8">
        <v>1797399</v>
      </c>
      <c r="D215" s="7">
        <v>1.0049298445202901</v>
      </c>
      <c r="E215" s="7">
        <v>52.93</v>
      </c>
      <c r="F215" s="7">
        <v>52.92</v>
      </c>
      <c r="G215" s="7">
        <v>53.33</v>
      </c>
      <c r="H215" s="7">
        <v>53.2729</v>
      </c>
      <c r="I215" s="7">
        <v>55.09299</v>
      </c>
      <c r="J215" s="7">
        <v>1.00492150891513</v>
      </c>
      <c r="K215" s="7">
        <v>-2.5420307801167499</v>
      </c>
    </row>
    <row r="216" spans="1:11" ht="15" customHeight="1" x14ac:dyDescent="0.2">
      <c r="A216" s="3">
        <v>45740</v>
      </c>
      <c r="B216" s="4">
        <v>52.74</v>
      </c>
      <c r="C216" s="5">
        <v>3150639</v>
      </c>
      <c r="D216" s="4"/>
      <c r="E216" s="4">
        <v>52.91</v>
      </c>
      <c r="F216" s="4">
        <v>52.64</v>
      </c>
      <c r="G216" s="4">
        <v>53.21</v>
      </c>
      <c r="H216" s="4">
        <v>52.744900000000001</v>
      </c>
      <c r="I216" s="4">
        <v>54.544857</v>
      </c>
      <c r="J216" s="4"/>
      <c r="K216" s="4">
        <v>-3.5116628338934999</v>
      </c>
    </row>
    <row r="217" spans="1:11" ht="15" customHeight="1" x14ac:dyDescent="0.2">
      <c r="A217" s="6">
        <v>45737</v>
      </c>
      <c r="B217" s="7">
        <v>52.74</v>
      </c>
      <c r="C217" s="8">
        <v>11312140</v>
      </c>
      <c r="D217" s="7">
        <v>-0.80872672559714198</v>
      </c>
      <c r="E217" s="7">
        <v>53</v>
      </c>
      <c r="F217" s="7">
        <v>52.6</v>
      </c>
      <c r="G217" s="7">
        <v>53.06</v>
      </c>
      <c r="H217" s="7">
        <v>52.744999999999997</v>
      </c>
      <c r="I217" s="7">
        <v>54.544857</v>
      </c>
      <c r="J217" s="7">
        <v>-0.80871704263465405</v>
      </c>
      <c r="K217" s="7">
        <v>-3.5116628338934999</v>
      </c>
    </row>
    <row r="218" spans="1:11" ht="15" customHeight="1" x14ac:dyDescent="0.2">
      <c r="A218" s="3">
        <v>45736</v>
      </c>
      <c r="B218" s="4">
        <v>53.17</v>
      </c>
      <c r="C218" s="5">
        <v>2963785</v>
      </c>
      <c r="D218" s="4">
        <v>7.5287031808768307E-2</v>
      </c>
      <c r="E218" s="4">
        <v>53.24</v>
      </c>
      <c r="F218" s="4">
        <v>52.77</v>
      </c>
      <c r="G218" s="4">
        <v>53.24</v>
      </c>
      <c r="H218" s="4">
        <v>53.173999999999999</v>
      </c>
      <c r="I218" s="4">
        <v>54.989567000000001</v>
      </c>
      <c r="J218" s="4">
        <v>7.5283630764966206E-2</v>
      </c>
      <c r="K218" s="4">
        <v>-2.7249831947638401</v>
      </c>
    </row>
    <row r="219" spans="1:11" ht="15" customHeight="1" x14ac:dyDescent="0.2">
      <c r="A219" s="6">
        <v>45735</v>
      </c>
      <c r="B219" s="7">
        <v>53.13</v>
      </c>
      <c r="C219" s="8">
        <v>1934752</v>
      </c>
      <c r="D219" s="7">
        <v>0.52980132450330897</v>
      </c>
      <c r="E219" s="7">
        <v>52.75</v>
      </c>
      <c r="F219" s="7">
        <v>52.75</v>
      </c>
      <c r="G219" s="7">
        <v>53.18</v>
      </c>
      <c r="H219" s="7">
        <v>53.134300000000003</v>
      </c>
      <c r="I219" s="7">
        <v>54.9482</v>
      </c>
      <c r="J219" s="7">
        <v>0.52980669195514796</v>
      </c>
      <c r="K219" s="7">
        <v>-2.7981602688837799</v>
      </c>
    </row>
    <row r="220" spans="1:11" ht="15" customHeight="1" x14ac:dyDescent="0.2">
      <c r="A220" s="3">
        <v>45734</v>
      </c>
      <c r="B220" s="4">
        <v>52.85</v>
      </c>
      <c r="C220" s="5">
        <v>2922372</v>
      </c>
      <c r="D220" s="4">
        <v>0.47528517110266799</v>
      </c>
      <c r="E220" s="4">
        <v>52.75</v>
      </c>
      <c r="F220" s="4">
        <v>52.71</v>
      </c>
      <c r="G220" s="4">
        <v>53.12</v>
      </c>
      <c r="H220" s="4">
        <v>52.847000000000001</v>
      </c>
      <c r="I220" s="4">
        <v>54.658614999999998</v>
      </c>
      <c r="J220" s="4">
        <v>0.47527886134983699</v>
      </c>
      <c r="K220" s="4">
        <v>-3.3104280912789701</v>
      </c>
    </row>
    <row r="221" spans="1:11" ht="15" customHeight="1" x14ac:dyDescent="0.2">
      <c r="A221" s="6">
        <v>45730</v>
      </c>
      <c r="B221" s="7">
        <v>52.6</v>
      </c>
      <c r="C221" s="8">
        <v>1183515</v>
      </c>
      <c r="D221" s="7">
        <v>1.25120307988451</v>
      </c>
      <c r="E221" s="7">
        <v>52.44</v>
      </c>
      <c r="F221" s="7">
        <v>52.16</v>
      </c>
      <c r="G221" s="7">
        <v>52.66</v>
      </c>
      <c r="H221" s="7">
        <v>52.559199999999997</v>
      </c>
      <c r="I221" s="7">
        <v>54.400063000000003</v>
      </c>
      <c r="J221" s="7">
        <v>1.2512009606941099</v>
      </c>
      <c r="K221" s="7">
        <v>-3.76779939854943</v>
      </c>
    </row>
    <row r="222" spans="1:11" ht="15" customHeight="1" x14ac:dyDescent="0.2">
      <c r="A222" s="3">
        <v>45729</v>
      </c>
      <c r="B222" s="4">
        <v>51.95</v>
      </c>
      <c r="C222" s="5">
        <v>4932129</v>
      </c>
      <c r="D222" s="4">
        <v>-0.30704279408941798</v>
      </c>
      <c r="E222" s="4">
        <v>51.91</v>
      </c>
      <c r="F222" s="4">
        <v>51.75</v>
      </c>
      <c r="G222" s="4">
        <v>52.36</v>
      </c>
      <c r="H222" s="4">
        <v>51.952100000000002</v>
      </c>
      <c r="I222" s="4">
        <v>53.727820000000001</v>
      </c>
      <c r="J222" s="4">
        <v>-0.30704190567676298</v>
      </c>
      <c r="K222" s="4">
        <v>-4.9569785954360501</v>
      </c>
    </row>
    <row r="223" spans="1:11" ht="15" customHeight="1" x14ac:dyDescent="0.2">
      <c r="A223" s="6">
        <v>45728</v>
      </c>
      <c r="B223" s="7">
        <v>52.11</v>
      </c>
      <c r="C223" s="8">
        <v>5623011</v>
      </c>
      <c r="D223" s="7">
        <v>1.0275300504071401</v>
      </c>
      <c r="E223" s="7">
        <v>51.68</v>
      </c>
      <c r="F223" s="7">
        <v>51.42</v>
      </c>
      <c r="G223" s="7">
        <v>52.24</v>
      </c>
      <c r="H223" s="7">
        <v>52.113100000000003</v>
      </c>
      <c r="I223" s="7">
        <v>53.893295000000002</v>
      </c>
      <c r="J223" s="7">
        <v>1.02752905896352</v>
      </c>
      <c r="K223" s="7">
        <v>-4.6642579161507101</v>
      </c>
    </row>
    <row r="224" spans="1:11" ht="15" customHeight="1" x14ac:dyDescent="0.2">
      <c r="A224" s="3">
        <v>45727</v>
      </c>
      <c r="B224" s="4">
        <v>51.58</v>
      </c>
      <c r="C224" s="5">
        <v>12762220</v>
      </c>
      <c r="D224" s="4">
        <v>-0.42471042471041698</v>
      </c>
      <c r="E224" s="4">
        <v>51.7</v>
      </c>
      <c r="F224" s="4">
        <v>51.28</v>
      </c>
      <c r="G224" s="4">
        <v>52.5</v>
      </c>
      <c r="H224" s="4">
        <v>51.583399999999997</v>
      </c>
      <c r="I224" s="4">
        <v>53.345157999999998</v>
      </c>
      <c r="J224" s="4">
        <v>-0.42470710586934801</v>
      </c>
      <c r="K224" s="4">
        <v>-5.6338970458163802</v>
      </c>
    </row>
    <row r="225" spans="1:11" ht="15" customHeight="1" x14ac:dyDescent="0.2">
      <c r="A225" s="6">
        <v>45726</v>
      </c>
      <c r="B225" s="7">
        <v>51.8</v>
      </c>
      <c r="C225" s="8">
        <v>8580248</v>
      </c>
      <c r="D225" s="7">
        <v>-2.0793950850661602</v>
      </c>
      <c r="E225" s="7">
        <v>52.6</v>
      </c>
      <c r="F225" s="7">
        <v>51.5</v>
      </c>
      <c r="G225" s="7">
        <v>52.64</v>
      </c>
      <c r="H225" s="7">
        <v>51.799900000000001</v>
      </c>
      <c r="I225" s="7">
        <v>53.572685</v>
      </c>
      <c r="J225" s="7">
        <v>-2.0793970718143999</v>
      </c>
      <c r="K225" s="7">
        <v>-5.2314081018928</v>
      </c>
    </row>
    <row r="226" spans="1:11" ht="15" customHeight="1" x14ac:dyDescent="0.2">
      <c r="A226" s="3">
        <v>45723</v>
      </c>
      <c r="B226" s="4">
        <v>52.9</v>
      </c>
      <c r="C226" s="5">
        <v>17610951</v>
      </c>
      <c r="D226" s="4">
        <v>0.11355034065101401</v>
      </c>
      <c r="E226" s="4">
        <v>52.8</v>
      </c>
      <c r="F226" s="4">
        <v>52</v>
      </c>
      <c r="G226" s="4">
        <v>52.9</v>
      </c>
      <c r="H226" s="4">
        <v>52.899700000000003</v>
      </c>
      <c r="I226" s="4">
        <v>54.710329999999999</v>
      </c>
      <c r="J226" s="4">
        <v>0.113549783097455</v>
      </c>
      <c r="K226" s="4">
        <v>-3.2189456925526301</v>
      </c>
    </row>
    <row r="227" spans="1:11" ht="15" customHeight="1" x14ac:dyDescent="0.2">
      <c r="A227" s="6">
        <v>45722</v>
      </c>
      <c r="B227" s="7">
        <v>52.84</v>
      </c>
      <c r="C227" s="8">
        <v>10227466</v>
      </c>
      <c r="D227" s="7">
        <v>0.11367942402424799</v>
      </c>
      <c r="E227" s="7">
        <v>52.55</v>
      </c>
      <c r="F227" s="7">
        <v>52.55</v>
      </c>
      <c r="G227" s="7">
        <v>53.16</v>
      </c>
      <c r="H227" s="7">
        <v>52.876899999999999</v>
      </c>
      <c r="I227" s="7">
        <v>54.648277</v>
      </c>
      <c r="J227" s="7">
        <v>0.113686201389295</v>
      </c>
      <c r="K227" s="7">
        <v>-3.3287157261631002</v>
      </c>
    </row>
    <row r="228" spans="1:11" ht="15" customHeight="1" x14ac:dyDescent="0.2">
      <c r="A228" s="3">
        <v>45721</v>
      </c>
      <c r="B228" s="4">
        <v>52.78</v>
      </c>
      <c r="C228" s="5">
        <v>2758309</v>
      </c>
      <c r="D228" s="4">
        <v>0.62917063870351297</v>
      </c>
      <c r="E228" s="4">
        <v>52.6</v>
      </c>
      <c r="F228" s="4">
        <v>52.4</v>
      </c>
      <c r="G228" s="4">
        <v>52.8</v>
      </c>
      <c r="H228" s="4">
        <v>52.770299999999999</v>
      </c>
      <c r="I228" s="4">
        <v>54.586219999999997</v>
      </c>
      <c r="J228" s="4">
        <v>0.62916479014720705</v>
      </c>
      <c r="K228" s="4">
        <v>-3.4384928356624802</v>
      </c>
    </row>
    <row r="229" spans="1:11" ht="15" customHeight="1" x14ac:dyDescent="0.2">
      <c r="A229" s="6">
        <v>45720</v>
      </c>
      <c r="B229" s="7">
        <v>52.45</v>
      </c>
      <c r="C229" s="8">
        <v>7046123</v>
      </c>
      <c r="D229" s="7">
        <v>0.47892720306512698</v>
      </c>
      <c r="E229" s="7">
        <v>52</v>
      </c>
      <c r="F229" s="7">
        <v>51.16</v>
      </c>
      <c r="G229" s="7">
        <v>52.78</v>
      </c>
      <c r="H229" s="7">
        <v>52.445799999999998</v>
      </c>
      <c r="I229" s="7">
        <v>54.244929999999997</v>
      </c>
      <c r="J229" s="7">
        <v>0.47892825697091101</v>
      </c>
      <c r="K229" s="7">
        <v>-4.0422253670617403</v>
      </c>
    </row>
    <row r="230" spans="1:11" ht="15" customHeight="1" x14ac:dyDescent="0.2">
      <c r="A230" s="3">
        <v>45719</v>
      </c>
      <c r="B230" s="4">
        <v>52.2</v>
      </c>
      <c r="C230" s="5">
        <v>13240376</v>
      </c>
      <c r="D230" s="4">
        <v>-0.36266463065469601</v>
      </c>
      <c r="E230" s="4">
        <v>52.3</v>
      </c>
      <c r="F230" s="4">
        <v>52.03</v>
      </c>
      <c r="G230" s="4">
        <v>53.42</v>
      </c>
      <c r="H230" s="4">
        <v>52.1432</v>
      </c>
      <c r="I230" s="4">
        <v>53.986373999999998</v>
      </c>
      <c r="J230" s="4">
        <v>-0.36266623494356498</v>
      </c>
      <c r="K230" s="4">
        <v>-4.4996037502211204</v>
      </c>
    </row>
    <row r="231" spans="1:11" ht="15" customHeight="1" x14ac:dyDescent="0.2">
      <c r="A231" s="6">
        <v>45716</v>
      </c>
      <c r="B231" s="7">
        <v>52.39</v>
      </c>
      <c r="C231" s="8">
        <v>18295640</v>
      </c>
      <c r="D231" s="7">
        <v>-0.55049354593773503</v>
      </c>
      <c r="E231" s="7">
        <v>52.49</v>
      </c>
      <c r="F231" s="7">
        <v>52.33</v>
      </c>
      <c r="G231" s="7">
        <v>52.89</v>
      </c>
      <c r="H231" s="7">
        <v>52.388300000000001</v>
      </c>
      <c r="I231" s="7">
        <v>54.182876999999998</v>
      </c>
      <c r="J231" s="7">
        <v>-0.55049116418392996</v>
      </c>
      <c r="K231" s="7">
        <v>-4.1519954006722104</v>
      </c>
    </row>
    <row r="232" spans="1:11" ht="15" customHeight="1" x14ac:dyDescent="0.2">
      <c r="A232" s="3">
        <v>45715</v>
      </c>
      <c r="B232" s="4">
        <v>52.68</v>
      </c>
      <c r="C232" s="5">
        <v>14077898</v>
      </c>
      <c r="D232" s="4">
        <v>-1.1075652337150399</v>
      </c>
      <c r="E232" s="4">
        <v>53.22</v>
      </c>
      <c r="F232" s="4">
        <v>52.47</v>
      </c>
      <c r="G232" s="4">
        <v>53.25</v>
      </c>
      <c r="H232" s="4">
        <v>52.670400000000001</v>
      </c>
      <c r="I232" s="4">
        <v>54.482799999999997</v>
      </c>
      <c r="J232" s="4">
        <v>-1.10756377535509</v>
      </c>
      <c r="K232" s="4">
        <v>-3.6214399433928901</v>
      </c>
    </row>
    <row r="233" spans="1:11" ht="15" customHeight="1" x14ac:dyDescent="0.2">
      <c r="A233" s="6">
        <v>45714</v>
      </c>
      <c r="B233" s="7">
        <v>53.27</v>
      </c>
      <c r="C233" s="8">
        <v>13624357</v>
      </c>
      <c r="D233" s="7">
        <v>0.339046901488049</v>
      </c>
      <c r="E233" s="7">
        <v>53.26</v>
      </c>
      <c r="F233" s="7">
        <v>52.85</v>
      </c>
      <c r="G233" s="7">
        <v>53.47</v>
      </c>
      <c r="H233" s="7">
        <v>53.309100000000001</v>
      </c>
      <c r="I233" s="7">
        <v>55.09299</v>
      </c>
      <c r="J233" s="7">
        <v>0.33904707301442</v>
      </c>
      <c r="K233" s="7">
        <v>-2.5420307801167499</v>
      </c>
    </row>
    <row r="234" spans="1:11" ht="15" customHeight="1" x14ac:dyDescent="0.2">
      <c r="A234" s="3">
        <v>45713</v>
      </c>
      <c r="B234" s="4">
        <v>53.09</v>
      </c>
      <c r="C234" s="5">
        <v>6813585</v>
      </c>
      <c r="D234" s="4">
        <v>-1.1543474213367899</v>
      </c>
      <c r="E234" s="4">
        <v>53.59</v>
      </c>
      <c r="F234" s="4">
        <v>53</v>
      </c>
      <c r="G234" s="4">
        <v>53.59</v>
      </c>
      <c r="H234" s="4">
        <v>53.063200000000002</v>
      </c>
      <c r="I234" s="4">
        <v>54.906829999999999</v>
      </c>
      <c r="J234" s="4">
        <v>-1.15434483510005</v>
      </c>
      <c r="K234" s="4">
        <v>-2.8713426499203898</v>
      </c>
    </row>
    <row r="235" spans="1:11" ht="15" customHeight="1" x14ac:dyDescent="0.2">
      <c r="A235" s="6">
        <v>45712</v>
      </c>
      <c r="B235" s="7">
        <v>53.71</v>
      </c>
      <c r="C235" s="8">
        <v>2950703</v>
      </c>
      <c r="D235" s="7">
        <v>-7.4418604651160694E-2</v>
      </c>
      <c r="E235" s="7">
        <v>53.5</v>
      </c>
      <c r="F235" s="7">
        <v>53.5</v>
      </c>
      <c r="G235" s="7">
        <v>53.91</v>
      </c>
      <c r="H235" s="7">
        <v>53.717300000000002</v>
      </c>
      <c r="I235" s="7">
        <v>55.548045999999999</v>
      </c>
      <c r="J235" s="7">
        <v>-7.4422439076848798E-2</v>
      </c>
      <c r="K235" s="7">
        <v>-1.73704935432514</v>
      </c>
    </row>
    <row r="236" spans="1:11" ht="15" customHeight="1" x14ac:dyDescent="0.2">
      <c r="A236" s="3">
        <v>45709</v>
      </c>
      <c r="B236" s="4">
        <v>53.75</v>
      </c>
      <c r="C236" s="5">
        <v>4222049</v>
      </c>
      <c r="D236" s="4">
        <v>-1.0857563489142401</v>
      </c>
      <c r="E236" s="4">
        <v>54.44</v>
      </c>
      <c r="F236" s="4">
        <v>53.49</v>
      </c>
      <c r="G236" s="4">
        <v>54.44</v>
      </c>
      <c r="H236" s="4">
        <v>53.752699999999997</v>
      </c>
      <c r="I236" s="4">
        <v>55.589416999999997</v>
      </c>
      <c r="J236" s="4">
        <v>-1.0857566835697401</v>
      </c>
      <c r="K236" s="4">
        <v>-1.66386520431629</v>
      </c>
    </row>
    <row r="237" spans="1:11" ht="15" customHeight="1" x14ac:dyDescent="0.2">
      <c r="A237" s="6">
        <v>45708</v>
      </c>
      <c r="B237" s="7">
        <v>54.34</v>
      </c>
      <c r="C237" s="8">
        <v>1632602</v>
      </c>
      <c r="D237" s="7">
        <v>0.51794302626710897</v>
      </c>
      <c r="E237" s="7">
        <v>54.11</v>
      </c>
      <c r="F237" s="7">
        <v>54</v>
      </c>
      <c r="G237" s="7">
        <v>54.45</v>
      </c>
      <c r="H237" s="7">
        <v>54.317900000000002</v>
      </c>
      <c r="I237" s="7">
        <v>56.199607999999998</v>
      </c>
      <c r="J237" s="7">
        <v>0.51794108416367501</v>
      </c>
      <c r="K237" s="7">
        <v>-0.58445427206793399</v>
      </c>
    </row>
    <row r="238" spans="1:11" ht="15" customHeight="1" x14ac:dyDescent="0.2">
      <c r="A238" s="3">
        <v>45707</v>
      </c>
      <c r="B238" s="4">
        <v>54.06</v>
      </c>
      <c r="C238" s="5">
        <v>4035646</v>
      </c>
      <c r="D238" s="4">
        <v>-0.789135621214898</v>
      </c>
      <c r="E238" s="4">
        <v>54.19</v>
      </c>
      <c r="F238" s="4">
        <v>53.99</v>
      </c>
      <c r="G238" s="4">
        <v>54.38</v>
      </c>
      <c r="H238" s="4">
        <v>54.110999999999997</v>
      </c>
      <c r="I238" s="4">
        <v>55.910026999999999</v>
      </c>
      <c r="J238" s="4">
        <v>-0.78913853286246505</v>
      </c>
      <c r="K238" s="4">
        <v>-1.0967150185742101</v>
      </c>
    </row>
    <row r="239" spans="1:11" ht="15" customHeight="1" x14ac:dyDescent="0.2">
      <c r="A239" s="6">
        <v>45706</v>
      </c>
      <c r="B239" s="7">
        <v>54.49</v>
      </c>
      <c r="C239" s="8">
        <v>2482895</v>
      </c>
      <c r="D239" s="7">
        <v>0.81406105457910705</v>
      </c>
      <c r="E239" s="7">
        <v>54.15</v>
      </c>
      <c r="F239" s="7">
        <v>54.01</v>
      </c>
      <c r="G239" s="7">
        <v>54.68</v>
      </c>
      <c r="H239" s="7">
        <v>54.491300000000003</v>
      </c>
      <c r="I239" s="7">
        <v>56.354743999999997</v>
      </c>
      <c r="J239" s="7">
        <v>0.814063621288729</v>
      </c>
      <c r="K239" s="7">
        <v>-0.31002299663895999</v>
      </c>
    </row>
    <row r="240" spans="1:11" ht="15" customHeight="1" x14ac:dyDescent="0.2">
      <c r="A240" s="3">
        <v>45705</v>
      </c>
      <c r="B240" s="4">
        <v>54.05</v>
      </c>
      <c r="C240" s="5">
        <v>145060</v>
      </c>
      <c r="D240" s="4">
        <v>-7.3950822702917293E-2</v>
      </c>
      <c r="E240" s="4">
        <v>54</v>
      </c>
      <c r="F240" s="4">
        <v>53.75</v>
      </c>
      <c r="G240" s="4">
        <v>55.25</v>
      </c>
      <c r="H240" s="4">
        <v>54.306699999999999</v>
      </c>
      <c r="I240" s="4">
        <v>55.899684999999998</v>
      </c>
      <c r="J240" s="4">
        <v>-7.3943910598739296E-2</v>
      </c>
      <c r="K240" s="4">
        <v>-1.1150097293472501</v>
      </c>
    </row>
    <row r="241" spans="1:11" ht="15" customHeight="1" x14ac:dyDescent="0.2">
      <c r="A241" s="6">
        <v>45702</v>
      </c>
      <c r="B241" s="7">
        <v>54.09</v>
      </c>
      <c r="C241" s="8">
        <v>2820364</v>
      </c>
      <c r="D241" s="7">
        <v>-0.20295202952029801</v>
      </c>
      <c r="E241" s="7">
        <v>54</v>
      </c>
      <c r="F241" s="7">
        <v>54</v>
      </c>
      <c r="G241" s="7">
        <v>54.32</v>
      </c>
      <c r="H241" s="7">
        <v>54.094299999999997</v>
      </c>
      <c r="I241" s="7">
        <v>55.941049999999997</v>
      </c>
      <c r="J241" s="7">
        <v>-0.20295668791497901</v>
      </c>
      <c r="K241" s="7">
        <v>-1.0418361931717699</v>
      </c>
    </row>
    <row r="242" spans="1:11" ht="15" customHeight="1" x14ac:dyDescent="0.2">
      <c r="A242" s="3">
        <v>45701</v>
      </c>
      <c r="B242" s="4">
        <v>54.2</v>
      </c>
      <c r="C242" s="5">
        <v>4247881</v>
      </c>
      <c r="D242" s="4">
        <v>0.16632785067456299</v>
      </c>
      <c r="E242" s="4">
        <v>54.2</v>
      </c>
      <c r="F242" s="4">
        <v>54</v>
      </c>
      <c r="G242" s="4">
        <v>54.41</v>
      </c>
      <c r="H242" s="4">
        <v>54.1768</v>
      </c>
      <c r="I242" s="4">
        <v>56.054817</v>
      </c>
      <c r="J242" s="4">
        <v>0.16632256252218</v>
      </c>
      <c r="K242" s="4">
        <v>-0.84058552980718404</v>
      </c>
    </row>
    <row r="243" spans="1:11" ht="15" customHeight="1" x14ac:dyDescent="0.2">
      <c r="A243" s="6">
        <v>45700</v>
      </c>
      <c r="B243" s="7">
        <v>54.11</v>
      </c>
      <c r="C243" s="8">
        <v>10588617</v>
      </c>
      <c r="D243" s="7">
        <v>1.1401869158878399</v>
      </c>
      <c r="E243" s="7">
        <v>53.49</v>
      </c>
      <c r="F243" s="7">
        <v>53.11</v>
      </c>
      <c r="G243" s="7">
        <v>54.29</v>
      </c>
      <c r="H243" s="7">
        <v>54.082799999999999</v>
      </c>
      <c r="I243" s="7">
        <v>55.961739999999999</v>
      </c>
      <c r="J243" s="7">
        <v>1.1401882320146</v>
      </c>
      <c r="K243" s="7">
        <v>-1.0052361577923199</v>
      </c>
    </row>
    <row r="244" spans="1:11" ht="15" customHeight="1" x14ac:dyDescent="0.2">
      <c r="A244" s="3">
        <v>45699</v>
      </c>
      <c r="B244" s="4">
        <v>53.5</v>
      </c>
      <c r="C244" s="5">
        <v>4998857</v>
      </c>
      <c r="D244" s="4">
        <v>1.05780128447299</v>
      </c>
      <c r="E244" s="4">
        <v>52.94</v>
      </c>
      <c r="F244" s="4">
        <v>52.51</v>
      </c>
      <c r="G244" s="4">
        <v>53.65</v>
      </c>
      <c r="H244" s="4">
        <v>53.4694</v>
      </c>
      <c r="I244" s="4">
        <v>55.330863999999998</v>
      </c>
      <c r="J244" s="4">
        <v>1.0578046364881599</v>
      </c>
      <c r="K244" s="4">
        <v>-2.121238280559</v>
      </c>
    </row>
    <row r="245" spans="1:11" ht="15" customHeight="1" x14ac:dyDescent="0.2">
      <c r="A245" s="6">
        <v>45698</v>
      </c>
      <c r="B245" s="7">
        <v>52.94</v>
      </c>
      <c r="C245" s="8">
        <v>4318152</v>
      </c>
      <c r="D245" s="7">
        <v>0.18925056775169699</v>
      </c>
      <c r="E245" s="7">
        <v>52.9</v>
      </c>
      <c r="F245" s="7">
        <v>52.9</v>
      </c>
      <c r="G245" s="7">
        <v>53.26</v>
      </c>
      <c r="H245" s="7">
        <v>52.944800000000001</v>
      </c>
      <c r="I245" s="7">
        <v>54.751697999999998</v>
      </c>
      <c r="J245" s="7">
        <v>0.18924841857319499</v>
      </c>
      <c r="K245" s="7">
        <v>-3.1457668494604598</v>
      </c>
    </row>
    <row r="246" spans="1:11" ht="15" customHeight="1" x14ac:dyDescent="0.2">
      <c r="A246" s="3">
        <v>45695</v>
      </c>
      <c r="B246" s="4">
        <v>52.84</v>
      </c>
      <c r="C246" s="5">
        <v>1303919</v>
      </c>
      <c r="D246" s="4">
        <v>0.30372057706910999</v>
      </c>
      <c r="E246" s="4">
        <v>52.65</v>
      </c>
      <c r="F246" s="4">
        <v>52.65</v>
      </c>
      <c r="G246" s="4">
        <v>52.87</v>
      </c>
      <c r="H246" s="4">
        <v>52.837400000000002</v>
      </c>
      <c r="I246" s="4">
        <v>54.648277</v>
      </c>
      <c r="J246" s="4">
        <v>0.30372337691895102</v>
      </c>
      <c r="K246" s="4">
        <v>-3.3287157261631002</v>
      </c>
    </row>
    <row r="247" spans="1:11" ht="15" customHeight="1" x14ac:dyDescent="0.2">
      <c r="A247" s="6">
        <v>45694</v>
      </c>
      <c r="B247" s="7">
        <v>52.68</v>
      </c>
      <c r="C247" s="8">
        <v>3017880</v>
      </c>
      <c r="D247" s="7">
        <v>2.0930232558139501</v>
      </c>
      <c r="E247" s="7">
        <v>51.34</v>
      </c>
      <c r="F247" s="7">
        <v>51.34</v>
      </c>
      <c r="G247" s="7">
        <v>52.81</v>
      </c>
      <c r="H247" s="7">
        <v>52.695099999999996</v>
      </c>
      <c r="I247" s="7">
        <v>54.482799999999997</v>
      </c>
      <c r="J247" s="7">
        <v>2.0930243016881098</v>
      </c>
      <c r="K247" s="7">
        <v>-3.6214399433928901</v>
      </c>
    </row>
    <row r="248" spans="1:11" ht="15" customHeight="1" x14ac:dyDescent="0.2">
      <c r="A248" s="3">
        <v>45693</v>
      </c>
      <c r="B248" s="4">
        <v>51.6</v>
      </c>
      <c r="C248" s="5">
        <v>3787965</v>
      </c>
      <c r="D248" s="4">
        <v>-0.57803468208091902</v>
      </c>
      <c r="E248" s="4">
        <v>51.93</v>
      </c>
      <c r="F248" s="4">
        <v>51.46</v>
      </c>
      <c r="G248" s="4">
        <v>51.93</v>
      </c>
      <c r="H248" s="4">
        <v>51.591000000000001</v>
      </c>
      <c r="I248" s="4">
        <v>53.365839999999999</v>
      </c>
      <c r="J248" s="4">
        <v>-0.57804114344351898</v>
      </c>
      <c r="K248" s="4">
        <v>-5.5973111622147496</v>
      </c>
    </row>
    <row r="249" spans="1:11" ht="15" customHeight="1" x14ac:dyDescent="0.2">
      <c r="A249" s="6">
        <v>45692</v>
      </c>
      <c r="B249" s="7">
        <v>51.9</v>
      </c>
      <c r="C249" s="8">
        <v>5242984</v>
      </c>
      <c r="D249" s="7">
        <v>1.1301636788776299</v>
      </c>
      <c r="E249" s="7">
        <v>51.5</v>
      </c>
      <c r="F249" s="7">
        <v>51.5</v>
      </c>
      <c r="G249" s="7">
        <v>52.07</v>
      </c>
      <c r="H249" s="7">
        <v>51.910800000000002</v>
      </c>
      <c r="I249" s="7">
        <v>53.676110000000001</v>
      </c>
      <c r="J249" s="7">
        <v>1.1301662928020899</v>
      </c>
      <c r="K249" s="7">
        <v>-5.0484521493012497</v>
      </c>
    </row>
    <row r="250" spans="1:11" ht="15" customHeight="1" x14ac:dyDescent="0.2">
      <c r="A250" s="3">
        <v>45688</v>
      </c>
      <c r="B250" s="4">
        <v>51.32</v>
      </c>
      <c r="C250" s="5">
        <v>2934474</v>
      </c>
      <c r="D250" s="4">
        <v>-1.3266679484714301</v>
      </c>
      <c r="E250" s="4">
        <v>51.75</v>
      </c>
      <c r="F250" s="4">
        <v>51.17</v>
      </c>
      <c r="G250" s="4">
        <v>52.37</v>
      </c>
      <c r="H250" s="4">
        <v>51.232300000000002</v>
      </c>
      <c r="I250" s="4">
        <v>53.076259999999998</v>
      </c>
      <c r="J250" s="4">
        <v>-1.32666243662608</v>
      </c>
      <c r="K250" s="4">
        <v>-6.1095701397488096</v>
      </c>
    </row>
    <row r="251" spans="1:11" ht="15" customHeight="1" x14ac:dyDescent="0.2">
      <c r="A251" s="6">
        <v>45687</v>
      </c>
      <c r="B251" s="7">
        <v>52.01</v>
      </c>
      <c r="C251" s="8">
        <v>1429719</v>
      </c>
      <c r="D251" s="7">
        <v>0.67750677506774803</v>
      </c>
      <c r="E251" s="7">
        <v>52</v>
      </c>
      <c r="F251" s="7">
        <v>51.94</v>
      </c>
      <c r="G251" s="7">
        <v>52.3</v>
      </c>
      <c r="H251" s="7">
        <v>52.072899999999997</v>
      </c>
      <c r="I251" s="7">
        <v>53.789870000000001</v>
      </c>
      <c r="J251" s="7">
        <v>0.77439284827192001</v>
      </c>
      <c r="K251" s="7">
        <v>-4.8472138687422603</v>
      </c>
    </row>
    <row r="252" spans="1:11" ht="15" customHeight="1" x14ac:dyDescent="0.2">
      <c r="A252" s="3">
        <v>45686</v>
      </c>
      <c r="B252" s="4">
        <v>51.66</v>
      </c>
      <c r="C252" s="5">
        <v>2329691</v>
      </c>
      <c r="D252" s="4">
        <v>0.17452006980802601</v>
      </c>
      <c r="E252" s="4">
        <v>51.5</v>
      </c>
      <c r="F252" s="4">
        <v>51.12</v>
      </c>
      <c r="G252" s="4">
        <v>51.7</v>
      </c>
      <c r="H252" s="4">
        <v>51.629100000000001</v>
      </c>
      <c r="I252" s="4">
        <v>53.376525999999998</v>
      </c>
      <c r="J252" s="4">
        <v>0.174521078603362</v>
      </c>
      <c r="K252" s="4">
        <v>-5.57840792499558</v>
      </c>
    </row>
    <row r="253" spans="1:11" ht="15" customHeight="1" x14ac:dyDescent="0.2">
      <c r="A253" s="6">
        <v>45685</v>
      </c>
      <c r="B253" s="7">
        <v>51.57</v>
      </c>
      <c r="C253" s="8">
        <v>1283428</v>
      </c>
      <c r="D253" s="7">
        <v>-0.36707882534775499</v>
      </c>
      <c r="E253" s="7">
        <v>51.55</v>
      </c>
      <c r="F253" s="7">
        <v>51.5</v>
      </c>
      <c r="G253" s="7">
        <v>51.9</v>
      </c>
      <c r="H253" s="7">
        <v>51.600099999999998</v>
      </c>
      <c r="I253" s="7">
        <v>53.283535000000001</v>
      </c>
      <c r="J253" s="7">
        <v>-0.36707659242181101</v>
      </c>
      <c r="K253" s="7">
        <v>-5.7429064213691801</v>
      </c>
    </row>
    <row r="254" spans="1:11" ht="15" customHeight="1" x14ac:dyDescent="0.2">
      <c r="A254" s="3">
        <v>45684</v>
      </c>
      <c r="B254" s="4">
        <v>51.76</v>
      </c>
      <c r="C254" s="5">
        <v>5843095</v>
      </c>
      <c r="D254" s="4">
        <v>0.66122131466355105</v>
      </c>
      <c r="E254" s="4">
        <v>51.33</v>
      </c>
      <c r="F254" s="4">
        <v>51.17</v>
      </c>
      <c r="G254" s="4">
        <v>51.94</v>
      </c>
      <c r="H254" s="4">
        <v>51.751800000000003</v>
      </c>
      <c r="I254" s="4">
        <v>53.479846999999999</v>
      </c>
      <c r="J254" s="4">
        <v>0.66122075607182296</v>
      </c>
      <c r="K254" s="4">
        <v>-5.3956359455156502</v>
      </c>
    </row>
    <row r="255" spans="1:11" ht="15" customHeight="1" x14ac:dyDescent="0.2">
      <c r="A255" s="6">
        <v>45681</v>
      </c>
      <c r="B255" s="7">
        <v>51.42</v>
      </c>
      <c r="C255" s="8">
        <v>2554650</v>
      </c>
      <c r="D255" s="7">
        <v>0.62622309197650705</v>
      </c>
      <c r="E255" s="7">
        <v>51.5</v>
      </c>
      <c r="F255" s="7">
        <v>51.11</v>
      </c>
      <c r="G255" s="7">
        <v>51.54</v>
      </c>
      <c r="H255" s="7">
        <v>51.422899999999998</v>
      </c>
      <c r="I255" s="7">
        <v>53.128549999999997</v>
      </c>
      <c r="J255" s="7">
        <v>0.62622547450545896</v>
      </c>
      <c r="K255" s="7">
        <v>-6.0170705819918702</v>
      </c>
    </row>
    <row r="256" spans="1:11" ht="15" customHeight="1" x14ac:dyDescent="0.2">
      <c r="A256" s="3">
        <v>45680</v>
      </c>
      <c r="B256" s="4">
        <v>51.1</v>
      </c>
      <c r="C256" s="5">
        <v>4781256</v>
      </c>
      <c r="D256" s="4">
        <v>0.215728574230245</v>
      </c>
      <c r="E256" s="4">
        <v>51.01</v>
      </c>
      <c r="F256" s="4">
        <v>50.5</v>
      </c>
      <c r="G256" s="4">
        <v>51.4</v>
      </c>
      <c r="H256" s="4">
        <v>51.121099999999998</v>
      </c>
      <c r="I256" s="4">
        <v>52.797916000000001</v>
      </c>
      <c r="J256" s="4">
        <v>0.215720955773024</v>
      </c>
      <c r="K256" s="4">
        <v>-6.6019529453387502</v>
      </c>
    </row>
    <row r="257" spans="1:11" ht="15" customHeight="1" x14ac:dyDescent="0.2">
      <c r="A257" s="6">
        <v>45679</v>
      </c>
      <c r="B257" s="7">
        <v>50.99</v>
      </c>
      <c r="C257" s="8">
        <v>4891283</v>
      </c>
      <c r="D257" s="7">
        <v>0.95030686992676405</v>
      </c>
      <c r="E257" s="7">
        <v>50.47</v>
      </c>
      <c r="F257" s="7">
        <v>50.42</v>
      </c>
      <c r="G257" s="7">
        <v>51.4</v>
      </c>
      <c r="H257" s="7">
        <v>51.011099999999999</v>
      </c>
      <c r="I257" s="7">
        <v>52.684265000000003</v>
      </c>
      <c r="J257" s="7">
        <v>0.95031238124136896</v>
      </c>
      <c r="K257" s="7">
        <v>-6.8029984079249903</v>
      </c>
    </row>
    <row r="258" spans="1:11" ht="15" customHeight="1" x14ac:dyDescent="0.2">
      <c r="A258" s="3">
        <v>45678</v>
      </c>
      <c r="B258" s="4">
        <v>50.51</v>
      </c>
      <c r="C258" s="5">
        <v>5800745</v>
      </c>
      <c r="D258" s="4">
        <v>0.617529880478073</v>
      </c>
      <c r="E258" s="4">
        <v>49.95</v>
      </c>
      <c r="F258" s="4">
        <v>49.95</v>
      </c>
      <c r="G258" s="4">
        <v>50.61</v>
      </c>
      <c r="H258" s="4">
        <v>50.517499999999998</v>
      </c>
      <c r="I258" s="4">
        <v>52.188313000000001</v>
      </c>
      <c r="J258" s="4">
        <v>0.617525077834568</v>
      </c>
      <c r="K258" s="4">
        <v>-7.68032372191756</v>
      </c>
    </row>
    <row r="259" spans="1:11" ht="15" customHeight="1" x14ac:dyDescent="0.2">
      <c r="A259" s="6">
        <v>45677</v>
      </c>
      <c r="B259" s="7">
        <v>50.2</v>
      </c>
      <c r="C259" s="8">
        <v>848964</v>
      </c>
      <c r="D259" s="7">
        <v>0.379924015196975</v>
      </c>
      <c r="E259" s="7">
        <v>50</v>
      </c>
      <c r="F259" s="7">
        <v>49.93</v>
      </c>
      <c r="G259" s="7">
        <v>50.41</v>
      </c>
      <c r="H259" s="7">
        <v>50.268999999999998</v>
      </c>
      <c r="I259" s="7">
        <v>51.868015</v>
      </c>
      <c r="J259" s="7">
        <v>0.37992750383673002</v>
      </c>
      <c r="K259" s="7">
        <v>-8.2469219883247806</v>
      </c>
    </row>
    <row r="260" spans="1:11" ht="15" customHeight="1" x14ac:dyDescent="0.2">
      <c r="A260" s="3">
        <v>45674</v>
      </c>
      <c r="B260" s="4">
        <v>50.01</v>
      </c>
      <c r="C260" s="5">
        <v>3990509</v>
      </c>
      <c r="D260" s="4">
        <v>1.99999999999977E-2</v>
      </c>
      <c r="E260" s="4">
        <v>50</v>
      </c>
      <c r="F260" s="4">
        <v>49.95</v>
      </c>
      <c r="G260" s="4">
        <v>50.43</v>
      </c>
      <c r="H260" s="4">
        <v>50.009799999999998</v>
      </c>
      <c r="I260" s="4">
        <v>51.671700000000001</v>
      </c>
      <c r="J260" s="4">
        <v>1.9995598258426499E-2</v>
      </c>
      <c r="K260" s="4">
        <v>-8.5941977710949899</v>
      </c>
    </row>
    <row r="261" spans="1:11" ht="15" customHeight="1" x14ac:dyDescent="0.2">
      <c r="A261" s="6">
        <v>45673</v>
      </c>
      <c r="B261" s="7">
        <v>50</v>
      </c>
      <c r="C261" s="8">
        <v>2999362</v>
      </c>
      <c r="D261" s="7">
        <v>-0.57665539868760796</v>
      </c>
      <c r="E261" s="7">
        <v>50.04</v>
      </c>
      <c r="F261" s="7">
        <v>49.95</v>
      </c>
      <c r="G261" s="7">
        <v>50.2</v>
      </c>
      <c r="H261" s="7">
        <v>50.017400000000002</v>
      </c>
      <c r="I261" s="7">
        <v>51.661369999999998</v>
      </c>
      <c r="J261" s="7">
        <v>-0.576655502012413</v>
      </c>
      <c r="K261" s="7">
        <v>-8.61247125420131</v>
      </c>
    </row>
    <row r="262" spans="1:11" ht="15" customHeight="1" x14ac:dyDescent="0.2">
      <c r="A262" s="3">
        <v>45672</v>
      </c>
      <c r="B262" s="4">
        <v>50.29</v>
      </c>
      <c r="C262" s="5">
        <v>2439352</v>
      </c>
      <c r="D262" s="4">
        <v>0.76137046684032705</v>
      </c>
      <c r="E262" s="4">
        <v>50.15</v>
      </c>
      <c r="F262" s="4">
        <v>50</v>
      </c>
      <c r="G262" s="4">
        <v>50.38</v>
      </c>
      <c r="H262" s="4">
        <v>50.312100000000001</v>
      </c>
      <c r="I262" s="4">
        <v>51.961005999999998</v>
      </c>
      <c r="J262" s="4">
        <v>0.76136966102096004</v>
      </c>
      <c r="K262" s="4">
        <v>-8.0824234919511806</v>
      </c>
    </row>
    <row r="263" spans="1:11" ht="15" customHeight="1" x14ac:dyDescent="0.2">
      <c r="A263" s="6">
        <v>45671</v>
      </c>
      <c r="B263" s="7">
        <v>49.91</v>
      </c>
      <c r="C263" s="8">
        <v>2709965</v>
      </c>
      <c r="D263" s="7">
        <v>8.02085422097365E-2</v>
      </c>
      <c r="E263" s="7">
        <v>49.83</v>
      </c>
      <c r="F263" s="7">
        <v>49.8</v>
      </c>
      <c r="G263" s="7">
        <v>50.19</v>
      </c>
      <c r="H263" s="7">
        <v>49.885899999999999</v>
      </c>
      <c r="I263" s="7">
        <v>51.568379999999998</v>
      </c>
      <c r="J263" s="7">
        <v>8.0218066449999598E-2</v>
      </c>
      <c r="K263" s="7">
        <v>-8.7769679816026898</v>
      </c>
    </row>
    <row r="264" spans="1:11" ht="15" customHeight="1" x14ac:dyDescent="0.2">
      <c r="A264" s="3">
        <v>45670</v>
      </c>
      <c r="B264" s="4">
        <v>49.87</v>
      </c>
      <c r="C264" s="5">
        <v>1262454</v>
      </c>
      <c r="D264" s="4">
        <v>0.48357848075759602</v>
      </c>
      <c r="E264" s="4">
        <v>49.74</v>
      </c>
      <c r="F264" s="4">
        <v>49.5</v>
      </c>
      <c r="G264" s="4">
        <v>49.91</v>
      </c>
      <c r="H264" s="4">
        <v>49.865099999999998</v>
      </c>
      <c r="I264" s="4">
        <v>51.527045999999999</v>
      </c>
      <c r="J264" s="4">
        <v>0.48356955573847199</v>
      </c>
      <c r="K264" s="4">
        <v>-8.85008667963913</v>
      </c>
    </row>
    <row r="265" spans="1:11" ht="15" customHeight="1" x14ac:dyDescent="0.2">
      <c r="A265" s="6">
        <v>45667</v>
      </c>
      <c r="B265" s="7">
        <v>49.63</v>
      </c>
      <c r="C265" s="8">
        <v>8478356</v>
      </c>
      <c r="D265" s="7">
        <v>-0.22114997989545099</v>
      </c>
      <c r="E265" s="7">
        <v>49.73</v>
      </c>
      <c r="F265" s="7">
        <v>49.48</v>
      </c>
      <c r="G265" s="7">
        <v>49.83</v>
      </c>
      <c r="H265" s="7">
        <v>49.633099999999999</v>
      </c>
      <c r="I265" s="7">
        <v>51.279076000000003</v>
      </c>
      <c r="J265" s="7">
        <v>-0.22114801062328401</v>
      </c>
      <c r="K265" s="7">
        <v>-9.2887387228020408</v>
      </c>
    </row>
    <row r="266" spans="1:11" ht="15" customHeight="1" x14ac:dyDescent="0.2">
      <c r="A266" s="3">
        <v>45666</v>
      </c>
      <c r="B266" s="4">
        <v>49.74</v>
      </c>
      <c r="C266" s="5">
        <v>5990314</v>
      </c>
      <c r="D266" s="4">
        <v>0.20145044319097499</v>
      </c>
      <c r="E266" s="4">
        <v>49.73</v>
      </c>
      <c r="F266" s="4">
        <v>49.4</v>
      </c>
      <c r="G266" s="4">
        <v>50.59</v>
      </c>
      <c r="H266" s="4">
        <v>49.8446</v>
      </c>
      <c r="I266" s="4">
        <v>51.39273</v>
      </c>
      <c r="J266" s="4">
        <v>0.20145290822826101</v>
      </c>
      <c r="K266" s="4">
        <v>-9.0876879532991293</v>
      </c>
    </row>
    <row r="267" spans="1:11" ht="15" customHeight="1" x14ac:dyDescent="0.2">
      <c r="A267" s="6">
        <v>45665</v>
      </c>
      <c r="B267" s="7">
        <v>49.64</v>
      </c>
      <c r="C267" s="8">
        <v>4928911</v>
      </c>
      <c r="D267" s="7">
        <v>-0.99720781810929104</v>
      </c>
      <c r="E267" s="7">
        <v>50.39</v>
      </c>
      <c r="F267" s="7">
        <v>49.5</v>
      </c>
      <c r="G267" s="7">
        <v>50.39</v>
      </c>
      <c r="H267" s="7">
        <v>49.666699999999999</v>
      </c>
      <c r="I267" s="7">
        <v>51.289406</v>
      </c>
      <c r="J267" s="7">
        <v>-0.99720843253351399</v>
      </c>
      <c r="K267" s="7">
        <v>-9.2704652396957297</v>
      </c>
    </row>
    <row r="268" spans="1:11" ht="15" customHeight="1" x14ac:dyDescent="0.2">
      <c r="A268" s="3">
        <v>45664</v>
      </c>
      <c r="B268" s="4">
        <v>50.14</v>
      </c>
      <c r="C268" s="5">
        <v>6701893</v>
      </c>
      <c r="D268" s="4">
        <v>1.2315768221279999</v>
      </c>
      <c r="E268" s="4">
        <v>49.28</v>
      </c>
      <c r="F268" s="4">
        <v>49.28</v>
      </c>
      <c r="G268" s="4">
        <v>50.27</v>
      </c>
      <c r="H268" s="4">
        <v>50.118200000000002</v>
      </c>
      <c r="I268" s="4">
        <v>51.806019999999997</v>
      </c>
      <c r="J268" s="4">
        <v>1.2315794101698401</v>
      </c>
      <c r="K268" s="4">
        <v>-8.3565894215460901</v>
      </c>
    </row>
    <row r="269" spans="1:11" ht="15" customHeight="1" x14ac:dyDescent="0.2">
      <c r="A269" s="6">
        <v>45663</v>
      </c>
      <c r="B269" s="7">
        <v>49.53</v>
      </c>
      <c r="C269" s="8">
        <v>1576054</v>
      </c>
      <c r="D269" s="7">
        <v>1.1022657685241899</v>
      </c>
      <c r="E269" s="7">
        <v>48.96</v>
      </c>
      <c r="F269" s="7">
        <v>48.96</v>
      </c>
      <c r="G269" s="7">
        <v>50.09</v>
      </c>
      <c r="H269" s="7">
        <v>49.526699999999998</v>
      </c>
      <c r="I269" s="7">
        <v>51.175750000000001</v>
      </c>
      <c r="J269" s="7">
        <v>1.10226025187578</v>
      </c>
      <c r="K269" s="7">
        <v>-9.4715195471431102</v>
      </c>
    </row>
    <row r="270" spans="1:11" ht="15" customHeight="1" x14ac:dyDescent="0.2">
      <c r="A270" s="3">
        <v>45660</v>
      </c>
      <c r="B270" s="4">
        <v>48.99</v>
      </c>
      <c r="C270" s="5">
        <v>13446530</v>
      </c>
      <c r="D270" s="4">
        <v>-1.6462557719333399</v>
      </c>
      <c r="E270" s="4">
        <v>49.56</v>
      </c>
      <c r="F270" s="4">
        <v>48.92</v>
      </c>
      <c r="G270" s="4">
        <v>49.6</v>
      </c>
      <c r="H270" s="4">
        <v>48.990600000000001</v>
      </c>
      <c r="I270" s="4">
        <v>50.617809999999999</v>
      </c>
      <c r="J270" s="4">
        <v>-1.6462567990549399</v>
      </c>
      <c r="K270" s="4">
        <v>-10.4584999115513</v>
      </c>
    </row>
    <row r="271" spans="1:11" ht="15" customHeight="1" x14ac:dyDescent="0.2">
      <c r="A271" s="6">
        <v>45659</v>
      </c>
      <c r="B271" s="7">
        <v>49.81</v>
      </c>
      <c r="C271" s="8">
        <v>4078197</v>
      </c>
      <c r="D271" s="7">
        <v>0.52472250252271202</v>
      </c>
      <c r="E271" s="7">
        <v>49.56</v>
      </c>
      <c r="F271" s="7">
        <v>49.56</v>
      </c>
      <c r="G271" s="7">
        <v>50.04</v>
      </c>
      <c r="H271" s="7">
        <v>49.7988</v>
      </c>
      <c r="I271" s="7">
        <v>51.465057000000002</v>
      </c>
      <c r="J271" s="7">
        <v>0.52472814746891105</v>
      </c>
      <c r="K271" s="7">
        <v>-8.9597434990270592</v>
      </c>
    </row>
    <row r="272" spans="1:11" ht="15" customHeight="1" x14ac:dyDescent="0.2">
      <c r="A272" s="3">
        <v>45657</v>
      </c>
      <c r="B272" s="4">
        <v>49.55</v>
      </c>
      <c r="C272" s="5">
        <v>5008608</v>
      </c>
      <c r="D272" s="4">
        <v>1.3914466953141</v>
      </c>
      <c r="E272" s="4">
        <v>48.75</v>
      </c>
      <c r="F272" s="4">
        <v>48.75</v>
      </c>
      <c r="G272" s="4">
        <v>49.66</v>
      </c>
      <c r="H272" s="4">
        <v>49.547600000000003</v>
      </c>
      <c r="I272" s="4">
        <v>51.196415000000002</v>
      </c>
      <c r="J272" s="4">
        <v>1.3914475078336399</v>
      </c>
      <c r="K272" s="4">
        <v>-9.4349637360693404</v>
      </c>
    </row>
    <row r="273" spans="1:11" ht="15" customHeight="1" x14ac:dyDescent="0.2">
      <c r="A273" s="6">
        <v>45656</v>
      </c>
      <c r="B273" s="7">
        <v>48.87</v>
      </c>
      <c r="C273" s="8">
        <v>6931526</v>
      </c>
      <c r="D273" s="7">
        <v>-1.5511684125705101</v>
      </c>
      <c r="E273" s="7">
        <v>49.6</v>
      </c>
      <c r="F273" s="7">
        <v>48.84</v>
      </c>
      <c r="G273" s="7">
        <v>49.6</v>
      </c>
      <c r="H273" s="7">
        <v>48.872399999999999</v>
      </c>
      <c r="I273" s="7">
        <v>50.493819999999999</v>
      </c>
      <c r="J273" s="7">
        <v>-0.91646221726607802</v>
      </c>
      <c r="K273" s="7">
        <v>-10.677834777993899</v>
      </c>
    </row>
    <row r="274" spans="1:11" ht="15" customHeight="1" x14ac:dyDescent="0.2">
      <c r="A274" s="3">
        <v>45653</v>
      </c>
      <c r="B274" s="4">
        <v>49.64</v>
      </c>
      <c r="C274" s="5">
        <v>1751666</v>
      </c>
      <c r="D274" s="4">
        <v>-0.36130068245684399</v>
      </c>
      <c r="E274" s="4">
        <v>50.06</v>
      </c>
      <c r="F274" s="4">
        <v>49.59</v>
      </c>
      <c r="G274" s="4">
        <v>50.37</v>
      </c>
      <c r="H274" s="4">
        <v>49.641500000000001</v>
      </c>
      <c r="I274" s="4">
        <v>50.960856999999997</v>
      </c>
      <c r="J274" s="4">
        <v>-0.36130736436041899</v>
      </c>
      <c r="K274" s="4">
        <v>-9.8516592959490605</v>
      </c>
    </row>
    <row r="275" spans="1:11" ht="15" customHeight="1" x14ac:dyDescent="0.2">
      <c r="A275" s="6">
        <v>45652</v>
      </c>
      <c r="B275" s="7">
        <v>49.82</v>
      </c>
      <c r="C275" s="8">
        <v>906100</v>
      </c>
      <c r="D275" s="7">
        <v>0.40306328093511201</v>
      </c>
      <c r="E275" s="7">
        <v>49.97</v>
      </c>
      <c r="F275" s="7">
        <v>49.71</v>
      </c>
      <c r="G275" s="7">
        <v>50.05</v>
      </c>
      <c r="H275" s="7">
        <v>49.888399999999997</v>
      </c>
      <c r="I275" s="7">
        <v>51.145650000000003</v>
      </c>
      <c r="J275" s="7">
        <v>0.40306572825887699</v>
      </c>
      <c r="K275" s="7">
        <v>-9.5247656111798999</v>
      </c>
    </row>
    <row r="276" spans="1:11" ht="15" customHeight="1" x14ac:dyDescent="0.2">
      <c r="A276" s="3">
        <v>45650</v>
      </c>
      <c r="B276" s="4">
        <v>49.62</v>
      </c>
      <c r="C276" s="5">
        <v>510776</v>
      </c>
      <c r="D276" s="4">
        <v>-0.32141422257935198</v>
      </c>
      <c r="E276" s="4">
        <v>49.8</v>
      </c>
      <c r="F276" s="4">
        <v>49.62</v>
      </c>
      <c r="G276" s="4">
        <v>49.8</v>
      </c>
      <c r="H276" s="4">
        <v>49.668799999999997</v>
      </c>
      <c r="I276" s="4">
        <v>50.940327000000003</v>
      </c>
      <c r="J276" s="4">
        <v>-0.32141343719772603</v>
      </c>
      <c r="K276" s="4">
        <v>-9.88797629577215</v>
      </c>
    </row>
    <row r="277" spans="1:11" ht="15" customHeight="1" x14ac:dyDescent="0.2">
      <c r="A277" s="6">
        <v>45649</v>
      </c>
      <c r="B277" s="7">
        <v>49.78</v>
      </c>
      <c r="C277" s="8">
        <v>3232673</v>
      </c>
      <c r="D277" s="7">
        <v>-0.340340340340339</v>
      </c>
      <c r="E277" s="7">
        <v>49.91</v>
      </c>
      <c r="F277" s="7">
        <v>49.5</v>
      </c>
      <c r="G277" s="7">
        <v>49.91</v>
      </c>
      <c r="H277" s="7">
        <v>49.804400000000001</v>
      </c>
      <c r="I277" s="7">
        <v>51.104584000000003</v>
      </c>
      <c r="J277" s="7">
        <v>-0.34033744660055798</v>
      </c>
      <c r="K277" s="7">
        <v>-9.5974102246594697</v>
      </c>
    </row>
    <row r="278" spans="1:11" ht="15" customHeight="1" x14ac:dyDescent="0.2">
      <c r="A278" s="3">
        <v>45646</v>
      </c>
      <c r="B278" s="4">
        <v>49.95</v>
      </c>
      <c r="C278" s="5">
        <v>7354362</v>
      </c>
      <c r="D278" s="4">
        <v>0.30120481927711201</v>
      </c>
      <c r="E278" s="4">
        <v>49.56</v>
      </c>
      <c r="F278" s="4">
        <v>49.56</v>
      </c>
      <c r="G278" s="4">
        <v>50.18</v>
      </c>
      <c r="H278" s="4">
        <v>49.945300000000003</v>
      </c>
      <c r="I278" s="4">
        <v>51.279105999999999</v>
      </c>
      <c r="J278" s="4">
        <v>0.30120617432753899</v>
      </c>
      <c r="K278" s="4">
        <v>-9.2886856536352393</v>
      </c>
    </row>
    <row r="279" spans="1:11" ht="15" customHeight="1" x14ac:dyDescent="0.2">
      <c r="A279" s="6">
        <v>45645</v>
      </c>
      <c r="B279" s="7">
        <v>49.8</v>
      </c>
      <c r="C279" s="8">
        <v>15019801</v>
      </c>
      <c r="D279" s="7">
        <v>-1.07270560190704</v>
      </c>
      <c r="E279" s="7">
        <v>50.34</v>
      </c>
      <c r="F279" s="7">
        <v>49.56</v>
      </c>
      <c r="G279" s="7">
        <v>50.5</v>
      </c>
      <c r="H279" s="7">
        <v>49.6128</v>
      </c>
      <c r="I279" s="7">
        <v>51.125114000000004</v>
      </c>
      <c r="J279" s="7">
        <v>-1.0727099931433</v>
      </c>
      <c r="K279" s="7">
        <v>-9.5610932248363607</v>
      </c>
    </row>
    <row r="280" spans="1:11" ht="15" customHeight="1" x14ac:dyDescent="0.2">
      <c r="A280" s="3">
        <v>45644</v>
      </c>
      <c r="B280" s="4">
        <v>50.34</v>
      </c>
      <c r="C280" s="5">
        <v>1864632</v>
      </c>
      <c r="D280" s="4">
        <v>-0.94451003541912104</v>
      </c>
      <c r="E280" s="4">
        <v>50.76</v>
      </c>
      <c r="F280" s="4">
        <v>50.25</v>
      </c>
      <c r="G280" s="4">
        <v>50.98</v>
      </c>
      <c r="H280" s="4">
        <v>50.324599999999997</v>
      </c>
      <c r="I280" s="4">
        <v>51.679485</v>
      </c>
      <c r="J280" s="4">
        <v>-0.94450774756605904</v>
      </c>
      <c r="K280" s="4">
        <v>-8.5804263223067405</v>
      </c>
    </row>
    <row r="281" spans="1:11" ht="15" customHeight="1" x14ac:dyDescent="0.2">
      <c r="A281" s="6">
        <v>45643</v>
      </c>
      <c r="B281" s="7">
        <v>50.82</v>
      </c>
      <c r="C281" s="8">
        <v>6421399</v>
      </c>
      <c r="D281" s="7">
        <v>-0.41152263374485398</v>
      </c>
      <c r="E281" s="7">
        <v>51</v>
      </c>
      <c r="F281" s="7">
        <v>50.79</v>
      </c>
      <c r="G281" s="7">
        <v>51.2</v>
      </c>
      <c r="H281" s="7">
        <v>50.779699999999998</v>
      </c>
      <c r="I281" s="7">
        <v>52.172255999999997</v>
      </c>
      <c r="J281" s="7">
        <v>-0.41152294795716499</v>
      </c>
      <c r="K281" s="7">
        <v>-7.7087281089686899</v>
      </c>
    </row>
    <row r="282" spans="1:11" ht="15" customHeight="1" x14ac:dyDescent="0.2">
      <c r="A282" s="3">
        <v>45642</v>
      </c>
      <c r="B282" s="4">
        <v>51.03</v>
      </c>
      <c r="C282" s="5">
        <v>8809956</v>
      </c>
      <c r="D282" s="4">
        <v>-1.5814850530376101</v>
      </c>
      <c r="E282" s="4">
        <v>52</v>
      </c>
      <c r="F282" s="4">
        <v>50.97</v>
      </c>
      <c r="G282" s="4">
        <v>52</v>
      </c>
      <c r="H282" s="4">
        <v>51.078200000000002</v>
      </c>
      <c r="I282" s="4">
        <v>52.387844000000001</v>
      </c>
      <c r="J282" s="4">
        <v>-1.5814865936407101</v>
      </c>
      <c r="K282" s="4">
        <v>-7.32735892446488</v>
      </c>
    </row>
    <row r="283" spans="1:11" ht="15" customHeight="1" x14ac:dyDescent="0.2">
      <c r="A283" s="6">
        <v>45639</v>
      </c>
      <c r="B283" s="7">
        <v>51.85</v>
      </c>
      <c r="C283" s="8">
        <v>511839</v>
      </c>
      <c r="D283" s="7">
        <v>0.71872571872573199</v>
      </c>
      <c r="E283" s="7">
        <v>51.22</v>
      </c>
      <c r="F283" s="7">
        <v>51.22</v>
      </c>
      <c r="G283" s="7">
        <v>51.91</v>
      </c>
      <c r="H283" s="7">
        <v>51.8521</v>
      </c>
      <c r="I283" s="7">
        <v>53.229664</v>
      </c>
      <c r="J283" s="7">
        <v>0.718723356106032</v>
      </c>
      <c r="K283" s="7">
        <v>-5.8382027242172301</v>
      </c>
    </row>
    <row r="284" spans="1:11" ht="15" customHeight="1" x14ac:dyDescent="0.2">
      <c r="A284" s="3">
        <v>45637</v>
      </c>
      <c r="B284" s="4">
        <v>51.48</v>
      </c>
      <c r="C284" s="5">
        <v>303366</v>
      </c>
      <c r="D284" s="4">
        <v>-0.25188916876575002</v>
      </c>
      <c r="E284" s="4">
        <v>51.35</v>
      </c>
      <c r="F284" s="4">
        <v>51.22</v>
      </c>
      <c r="G284" s="4">
        <v>51.67</v>
      </c>
      <c r="H284" s="4">
        <v>51.516399999999997</v>
      </c>
      <c r="I284" s="4">
        <v>52.849820000000001</v>
      </c>
      <c r="J284" s="4">
        <v>-0.25188325463302202</v>
      </c>
      <c r="K284" s="4">
        <v>-6.5101362108614902</v>
      </c>
    </row>
    <row r="285" spans="1:11" ht="15" customHeight="1" x14ac:dyDescent="0.2">
      <c r="A285" s="6">
        <v>45636</v>
      </c>
      <c r="B285" s="7">
        <v>51.61</v>
      </c>
      <c r="C285" s="8">
        <v>1181825</v>
      </c>
      <c r="D285" s="7">
        <v>-1.48883374689826</v>
      </c>
      <c r="E285" s="7">
        <v>52.36</v>
      </c>
      <c r="F285" s="7">
        <v>51.59</v>
      </c>
      <c r="G285" s="7">
        <v>52.42</v>
      </c>
      <c r="H285" s="7">
        <v>51.61</v>
      </c>
      <c r="I285" s="7">
        <v>52.983275999999996</v>
      </c>
      <c r="J285" s="7">
        <v>-1.48883227976781</v>
      </c>
      <c r="K285" s="7">
        <v>-6.2740562533168296</v>
      </c>
    </row>
    <row r="286" spans="1:11" ht="15" customHeight="1" x14ac:dyDescent="0.2">
      <c r="A286" s="3">
        <v>45635</v>
      </c>
      <c r="B286" s="4">
        <v>52.39</v>
      </c>
      <c r="C286" s="5">
        <v>1090764</v>
      </c>
      <c r="D286" s="4">
        <v>1.86661481625509</v>
      </c>
      <c r="E286" s="4">
        <v>51.64</v>
      </c>
      <c r="F286" s="4">
        <v>51.53</v>
      </c>
      <c r="G286" s="4">
        <v>52.5</v>
      </c>
      <c r="H286" s="4">
        <v>52.373800000000003</v>
      </c>
      <c r="I286" s="4">
        <v>53.784030000000001</v>
      </c>
      <c r="J286" s="4">
        <v>1.86660641241822</v>
      </c>
      <c r="K286" s="4">
        <v>-4.8575446665487299</v>
      </c>
    </row>
    <row r="287" spans="1:11" ht="15" customHeight="1" x14ac:dyDescent="0.2">
      <c r="A287" s="6">
        <v>45632</v>
      </c>
      <c r="B287" s="7">
        <v>51.43</v>
      </c>
      <c r="C287" s="8">
        <v>2657829</v>
      </c>
      <c r="D287" s="7">
        <v>-0.77175381053443604</v>
      </c>
      <c r="E287" s="7">
        <v>51.57</v>
      </c>
      <c r="F287" s="7">
        <v>51.3</v>
      </c>
      <c r="G287" s="7">
        <v>51.64</v>
      </c>
      <c r="H287" s="7">
        <v>51.434399999999997</v>
      </c>
      <c r="I287" s="7">
        <v>52.798490000000001</v>
      </c>
      <c r="J287" s="7">
        <v>-0.77175284927120102</v>
      </c>
      <c r="K287" s="7">
        <v>-6.60093755528038</v>
      </c>
    </row>
    <row r="288" spans="1:11" ht="15" customHeight="1" x14ac:dyDescent="0.2">
      <c r="A288" s="3">
        <v>45631</v>
      </c>
      <c r="B288" s="4">
        <v>51.83</v>
      </c>
      <c r="C288" s="5">
        <v>1994960</v>
      </c>
      <c r="D288" s="4">
        <v>1.0528368102943899</v>
      </c>
      <c r="E288" s="4">
        <v>50.65</v>
      </c>
      <c r="F288" s="4">
        <v>50.65</v>
      </c>
      <c r="G288" s="4">
        <v>51.95</v>
      </c>
      <c r="H288" s="4">
        <v>51.795900000000003</v>
      </c>
      <c r="I288" s="4">
        <v>53.209133000000001</v>
      </c>
      <c r="J288" s="4">
        <v>1.0528411466374099</v>
      </c>
      <c r="K288" s="4">
        <v>-5.8745214930125504</v>
      </c>
    </row>
    <row r="289" spans="1:11" ht="15" customHeight="1" x14ac:dyDescent="0.2">
      <c r="A289" s="6">
        <v>45630</v>
      </c>
      <c r="B289" s="7">
        <v>51.29</v>
      </c>
      <c r="C289" s="8">
        <v>2343346</v>
      </c>
      <c r="D289" s="7">
        <v>0.70685254270568199</v>
      </c>
      <c r="E289" s="7">
        <v>50.93</v>
      </c>
      <c r="F289" s="7">
        <v>50.88</v>
      </c>
      <c r="G289" s="7">
        <v>51.39</v>
      </c>
      <c r="H289" s="7">
        <v>51.308</v>
      </c>
      <c r="I289" s="7">
        <v>52.654761999999998</v>
      </c>
      <c r="J289" s="7">
        <v>0.70685226443598603</v>
      </c>
      <c r="K289" s="7">
        <v>-6.8551883955421902</v>
      </c>
    </row>
    <row r="290" spans="1:11" ht="15" customHeight="1" x14ac:dyDescent="0.2">
      <c r="A290" s="3">
        <v>45629</v>
      </c>
      <c r="B290" s="4">
        <v>50.93</v>
      </c>
      <c r="C290" s="5">
        <v>6452330</v>
      </c>
      <c r="D290" s="4">
        <v>0.87145969498909603</v>
      </c>
      <c r="E290" s="4">
        <v>50.63</v>
      </c>
      <c r="F290" s="4">
        <v>50.55</v>
      </c>
      <c r="G290" s="4">
        <v>51.11</v>
      </c>
      <c r="H290" s="4">
        <v>50.8947</v>
      </c>
      <c r="I290" s="4">
        <v>52.285183000000004</v>
      </c>
      <c r="J290" s="4">
        <v>0.87145610548180397</v>
      </c>
      <c r="K290" s="4">
        <v>-7.5089633822748896</v>
      </c>
    </row>
    <row r="291" spans="1:11" ht="15" customHeight="1" x14ac:dyDescent="0.2">
      <c r="A291" s="6">
        <v>45628</v>
      </c>
      <c r="B291" s="7">
        <v>50.49</v>
      </c>
      <c r="C291" s="8">
        <v>10621729</v>
      </c>
      <c r="D291" s="7">
        <v>0.95980803839232898</v>
      </c>
      <c r="E291" s="7">
        <v>50.27</v>
      </c>
      <c r="F291" s="7">
        <v>50.17</v>
      </c>
      <c r="G291" s="7">
        <v>50.65</v>
      </c>
      <c r="H291" s="7">
        <v>50.460799999999999</v>
      </c>
      <c r="I291" s="7">
        <v>51.833477000000002</v>
      </c>
      <c r="J291" s="7">
        <v>0.95981352183303004</v>
      </c>
      <c r="K291" s="7">
        <v>-8.3080187511055996</v>
      </c>
    </row>
    <row r="292" spans="1:11" ht="15" customHeight="1" x14ac:dyDescent="0.2">
      <c r="A292" s="3">
        <v>45625</v>
      </c>
      <c r="B292" s="4">
        <v>50.01</v>
      </c>
      <c r="C292" s="5">
        <v>3417692</v>
      </c>
      <c r="D292" s="4">
        <v>-0.77380952380952095</v>
      </c>
      <c r="E292" s="4">
        <v>49.96</v>
      </c>
      <c r="F292" s="4">
        <v>49.9</v>
      </c>
      <c r="G292" s="4">
        <v>50.5</v>
      </c>
      <c r="H292" s="4">
        <v>50.007300000000001</v>
      </c>
      <c r="I292" s="4">
        <v>51.340702</v>
      </c>
      <c r="J292" s="4">
        <v>-0.77381067422634897</v>
      </c>
      <c r="K292" s="4">
        <v>-9.1797240403325606</v>
      </c>
    </row>
    <row r="293" spans="1:11" ht="15" customHeight="1" x14ac:dyDescent="0.2">
      <c r="A293" s="6">
        <v>45624</v>
      </c>
      <c r="B293" s="7">
        <v>50.4</v>
      </c>
      <c r="C293" s="8">
        <v>2231823</v>
      </c>
      <c r="D293" s="7">
        <v>0.39840637450199101</v>
      </c>
      <c r="E293" s="7">
        <v>50.45</v>
      </c>
      <c r="F293" s="7">
        <v>50.2</v>
      </c>
      <c r="G293" s="7">
        <v>50.99</v>
      </c>
      <c r="H293" s="7">
        <v>50.135599999999997</v>
      </c>
      <c r="I293" s="7">
        <v>51.741079999999997</v>
      </c>
      <c r="J293" s="7">
        <v>0.79551599837295295</v>
      </c>
      <c r="K293" s="7">
        <v>-8.4714664779762998</v>
      </c>
    </row>
    <row r="294" spans="1:11" ht="15" customHeight="1" x14ac:dyDescent="0.2">
      <c r="A294" s="3">
        <v>45623</v>
      </c>
      <c r="B294" s="4">
        <v>50.2</v>
      </c>
      <c r="C294" s="5">
        <v>5105511</v>
      </c>
      <c r="D294" s="4">
        <v>0.31974420463629599</v>
      </c>
      <c r="E294" s="4">
        <v>50.3</v>
      </c>
      <c r="F294" s="4">
        <v>50.02</v>
      </c>
      <c r="G294" s="4">
        <v>50.38</v>
      </c>
      <c r="H294" s="4">
        <v>50.182600000000001</v>
      </c>
      <c r="I294" s="4">
        <v>51.332720000000002</v>
      </c>
      <c r="J294" s="4">
        <v>0.31974368911242801</v>
      </c>
      <c r="K294" s="4">
        <v>-9.1938439766495605</v>
      </c>
    </row>
    <row r="295" spans="1:11" ht="15" customHeight="1" x14ac:dyDescent="0.2">
      <c r="A295" s="6">
        <v>45622</v>
      </c>
      <c r="B295" s="7">
        <v>50.04</v>
      </c>
      <c r="C295" s="8">
        <v>2252399</v>
      </c>
      <c r="D295" s="7">
        <v>-0.47732696897374499</v>
      </c>
      <c r="E295" s="7">
        <v>50.3</v>
      </c>
      <c r="F295" s="7">
        <v>49.9</v>
      </c>
      <c r="G295" s="7">
        <v>50.31</v>
      </c>
      <c r="H295" s="7">
        <v>50.1081</v>
      </c>
      <c r="I295" s="7">
        <v>51.169110000000003</v>
      </c>
      <c r="J295" s="7">
        <v>-0.47732426736071198</v>
      </c>
      <c r="K295" s="7">
        <v>-9.4832655227312799</v>
      </c>
    </row>
    <row r="296" spans="1:11" ht="15" customHeight="1" x14ac:dyDescent="0.2">
      <c r="A296" s="3">
        <v>45621</v>
      </c>
      <c r="B296" s="4">
        <v>50.28</v>
      </c>
      <c r="C296" s="5">
        <v>17360207</v>
      </c>
      <c r="D296" s="4">
        <v>-0.828402366863911</v>
      </c>
      <c r="E296" s="4">
        <v>50.6</v>
      </c>
      <c r="F296" s="4">
        <v>50.2</v>
      </c>
      <c r="G296" s="4">
        <v>51.2</v>
      </c>
      <c r="H296" s="4">
        <v>50.591500000000003</v>
      </c>
      <c r="I296" s="4">
        <v>51.414524</v>
      </c>
      <c r="J296" s="4">
        <v>-0.82840058637451097</v>
      </c>
      <c r="K296" s="4">
        <v>-9.04913497258093</v>
      </c>
    </row>
    <row r="297" spans="1:11" ht="15" customHeight="1" x14ac:dyDescent="0.2">
      <c r="A297" s="6">
        <v>45618</v>
      </c>
      <c r="B297" s="7">
        <v>50.7</v>
      </c>
      <c r="C297" s="8">
        <v>1723222</v>
      </c>
      <c r="D297" s="7">
        <v>0.396039603960396</v>
      </c>
      <c r="E297" s="7">
        <v>50.4</v>
      </c>
      <c r="F297" s="7">
        <v>50.22</v>
      </c>
      <c r="G297" s="7">
        <v>50.69</v>
      </c>
      <c r="H297" s="7">
        <v>50.695500000000003</v>
      </c>
      <c r="I297" s="7">
        <v>51.844000000000001</v>
      </c>
      <c r="J297" s="7">
        <v>0.39603412039894698</v>
      </c>
      <c r="K297" s="7">
        <v>-8.2894038563594492</v>
      </c>
    </row>
    <row r="298" spans="1:11" ht="15" customHeight="1" x14ac:dyDescent="0.2">
      <c r="A298" s="3">
        <v>45617</v>
      </c>
      <c r="B298" s="4">
        <v>50.5</v>
      </c>
      <c r="C298" s="5">
        <v>239681</v>
      </c>
      <c r="D298" s="4">
        <v>0.17853600476096501</v>
      </c>
      <c r="E298" s="4">
        <v>50.66</v>
      </c>
      <c r="F298" s="4">
        <v>50.41</v>
      </c>
      <c r="G298" s="4">
        <v>50.69</v>
      </c>
      <c r="H298" s="4">
        <v>50.441699999999997</v>
      </c>
      <c r="I298" s="4">
        <v>51.639490000000002</v>
      </c>
      <c r="J298" s="4">
        <v>0.17853450005103</v>
      </c>
      <c r="K298" s="4">
        <v>-8.6511763665310397</v>
      </c>
    </row>
    <row r="299" spans="1:11" ht="15" customHeight="1" x14ac:dyDescent="0.2">
      <c r="A299" s="6">
        <v>45616</v>
      </c>
      <c r="B299" s="7">
        <v>50.41</v>
      </c>
      <c r="C299" s="8">
        <v>461818</v>
      </c>
      <c r="D299" s="7">
        <v>-0.17821782178218901</v>
      </c>
      <c r="E299" s="7">
        <v>50.29</v>
      </c>
      <c r="F299" s="7">
        <v>50.13</v>
      </c>
      <c r="G299" s="7">
        <v>50.5</v>
      </c>
      <c r="H299" s="7">
        <v>50.436300000000003</v>
      </c>
      <c r="I299" s="7">
        <v>51.547460000000001</v>
      </c>
      <c r="J299" s="7">
        <v>-0.178216322430757</v>
      </c>
      <c r="K299" s="7">
        <v>-8.8139748805943707</v>
      </c>
    </row>
    <row r="300" spans="1:11" ht="15" customHeight="1" x14ac:dyDescent="0.2">
      <c r="A300" s="3">
        <v>45615</v>
      </c>
      <c r="B300" s="4">
        <v>50.5</v>
      </c>
      <c r="C300" s="5">
        <v>984756</v>
      </c>
      <c r="D300" s="4">
        <v>-0.19762845849802199</v>
      </c>
      <c r="E300" s="4">
        <v>50.56</v>
      </c>
      <c r="F300" s="4">
        <v>50.4</v>
      </c>
      <c r="G300" s="4">
        <v>50.9</v>
      </c>
      <c r="H300" s="4">
        <v>50.489899999999999</v>
      </c>
      <c r="I300" s="4">
        <v>51.639490000000002</v>
      </c>
      <c r="J300" s="4">
        <v>-0.197625727543593</v>
      </c>
      <c r="K300" s="4">
        <v>-8.6511763665310397</v>
      </c>
    </row>
    <row r="301" spans="1:11" ht="15" customHeight="1" x14ac:dyDescent="0.2">
      <c r="A301" s="6">
        <v>45611</v>
      </c>
      <c r="B301" s="7">
        <v>50.6</v>
      </c>
      <c r="C301" s="8">
        <v>429208</v>
      </c>
      <c r="D301" s="7">
        <v>-0.31520882584711302</v>
      </c>
      <c r="E301" s="7">
        <v>51</v>
      </c>
      <c r="F301" s="7">
        <v>50.4</v>
      </c>
      <c r="G301" s="7">
        <v>51</v>
      </c>
      <c r="H301" s="7">
        <v>50.708300000000001</v>
      </c>
      <c r="I301" s="7">
        <v>51.741745000000002</v>
      </c>
      <c r="J301" s="7">
        <v>-0.31520640433354502</v>
      </c>
      <c r="K301" s="7">
        <v>-8.4702901114452391</v>
      </c>
    </row>
    <row r="302" spans="1:11" ht="15" customHeight="1" x14ac:dyDescent="0.2">
      <c r="A302" s="3">
        <v>45610</v>
      </c>
      <c r="B302" s="4">
        <v>50.76</v>
      </c>
      <c r="C302" s="5">
        <v>1673880</v>
      </c>
      <c r="D302" s="4">
        <v>-0.23584905660378699</v>
      </c>
      <c r="E302" s="4">
        <v>50.92</v>
      </c>
      <c r="F302" s="4">
        <v>50.6</v>
      </c>
      <c r="G302" s="4">
        <v>50.99</v>
      </c>
      <c r="H302" s="4">
        <v>50.792200000000001</v>
      </c>
      <c r="I302" s="4">
        <v>51.905354000000003</v>
      </c>
      <c r="J302" s="4">
        <v>-0.235855398427742</v>
      </c>
      <c r="K302" s="4">
        <v>-8.1808703343357401</v>
      </c>
    </row>
    <row r="303" spans="1:11" ht="15" customHeight="1" x14ac:dyDescent="0.2">
      <c r="A303" s="6">
        <v>45609</v>
      </c>
      <c r="B303" s="7">
        <v>50.88</v>
      </c>
      <c r="C303" s="8">
        <v>426424</v>
      </c>
      <c r="D303" s="7">
        <v>-0.50840829096596696</v>
      </c>
      <c r="E303" s="7">
        <v>51.12</v>
      </c>
      <c r="F303" s="7">
        <v>50.83</v>
      </c>
      <c r="G303" s="7">
        <v>51.12</v>
      </c>
      <c r="H303" s="7">
        <v>50.9863</v>
      </c>
      <c r="I303" s="7">
        <v>52.028064999999998</v>
      </c>
      <c r="J303" s="7">
        <v>-0.508405086402963</v>
      </c>
      <c r="K303" s="7">
        <v>-7.9637979833716601</v>
      </c>
    </row>
    <row r="304" spans="1:11" ht="15" customHeight="1" x14ac:dyDescent="0.2">
      <c r="A304" s="3">
        <v>45608</v>
      </c>
      <c r="B304" s="4">
        <v>51.14</v>
      </c>
      <c r="C304" s="5">
        <v>1579468</v>
      </c>
      <c r="D304" s="4">
        <v>-0.89147286821705796</v>
      </c>
      <c r="E304" s="4">
        <v>51.55</v>
      </c>
      <c r="F304" s="4">
        <v>50.98</v>
      </c>
      <c r="G304" s="4">
        <v>51.55</v>
      </c>
      <c r="H304" s="4">
        <v>51.322699999999998</v>
      </c>
      <c r="I304" s="4">
        <v>52.293930000000003</v>
      </c>
      <c r="J304" s="4">
        <v>-0.891473801135656</v>
      </c>
      <c r="K304" s="4">
        <v>-7.4934901822041304</v>
      </c>
    </row>
    <row r="305" spans="1:11" ht="15" customHeight="1" x14ac:dyDescent="0.2">
      <c r="A305" s="6">
        <v>45607</v>
      </c>
      <c r="B305" s="7">
        <v>51.6</v>
      </c>
      <c r="C305" s="8">
        <v>621259</v>
      </c>
      <c r="D305" s="7">
        <v>-0.75014425851125299</v>
      </c>
      <c r="E305" s="7">
        <v>52.05</v>
      </c>
      <c r="F305" s="7">
        <v>51.54</v>
      </c>
      <c r="G305" s="7">
        <v>52.05</v>
      </c>
      <c r="H305" s="7">
        <v>51.673200000000001</v>
      </c>
      <c r="I305" s="7">
        <v>52.764310000000002</v>
      </c>
      <c r="J305" s="7">
        <v>-0.75014982662885399</v>
      </c>
      <c r="K305" s="7">
        <v>-6.6614010260038903</v>
      </c>
    </row>
    <row r="306" spans="1:11" ht="15" customHeight="1" x14ac:dyDescent="0.2">
      <c r="A306" s="3">
        <v>45604</v>
      </c>
      <c r="B306" s="4">
        <v>51.99</v>
      </c>
      <c r="C306" s="5">
        <v>330823</v>
      </c>
      <c r="D306" s="4">
        <v>-0.38321517532093802</v>
      </c>
      <c r="E306" s="4">
        <v>52.2</v>
      </c>
      <c r="F306" s="4">
        <v>51.42</v>
      </c>
      <c r="G306" s="4">
        <v>52.2</v>
      </c>
      <c r="H306" s="4">
        <v>51.986899999999999</v>
      </c>
      <c r="I306" s="4">
        <v>53.163113000000003</v>
      </c>
      <c r="J306" s="4">
        <v>-0.38320800578297498</v>
      </c>
      <c r="K306" s="4">
        <v>-5.9559295949053501</v>
      </c>
    </row>
    <row r="307" spans="1:11" ht="15" customHeight="1" x14ac:dyDescent="0.2">
      <c r="A307" s="6">
        <v>45603</v>
      </c>
      <c r="B307" s="7">
        <v>52.19</v>
      </c>
      <c r="C307" s="8">
        <v>1562864</v>
      </c>
      <c r="D307" s="7">
        <v>0.88923255364392595</v>
      </c>
      <c r="E307" s="7">
        <v>51.75</v>
      </c>
      <c r="F307" s="7">
        <v>51.65</v>
      </c>
      <c r="G307" s="7">
        <v>52.5</v>
      </c>
      <c r="H307" s="7">
        <v>52.382800000000003</v>
      </c>
      <c r="I307" s="7">
        <v>53.367621999999997</v>
      </c>
      <c r="J307" s="7">
        <v>0.88923159946161501</v>
      </c>
      <c r="K307" s="7">
        <v>-5.5941588537060003</v>
      </c>
    </row>
    <row r="308" spans="1:11" ht="15" customHeight="1" x14ac:dyDescent="0.2">
      <c r="A308" s="3">
        <v>45602</v>
      </c>
      <c r="B308" s="4">
        <v>51.73</v>
      </c>
      <c r="C308" s="5">
        <v>1654137</v>
      </c>
      <c r="D308" s="4">
        <v>1.6506189821182899</v>
      </c>
      <c r="E308" s="4">
        <v>50.51</v>
      </c>
      <c r="F308" s="4">
        <v>49.46</v>
      </c>
      <c r="G308" s="4">
        <v>51.84</v>
      </c>
      <c r="H308" s="4">
        <v>51.794199999999996</v>
      </c>
      <c r="I308" s="4">
        <v>52.897243000000003</v>
      </c>
      <c r="J308" s="4">
        <v>1.6506172666319301</v>
      </c>
      <c r="K308" s="4">
        <v>-6.4262462409340104</v>
      </c>
    </row>
    <row r="309" spans="1:11" ht="15" customHeight="1" x14ac:dyDescent="0.2">
      <c r="A309" s="6">
        <v>45601</v>
      </c>
      <c r="B309" s="7">
        <v>50.89</v>
      </c>
      <c r="C309" s="8">
        <v>1930130</v>
      </c>
      <c r="D309" s="7">
        <v>-5.8915946582882503E-2</v>
      </c>
      <c r="E309" s="7">
        <v>50.85</v>
      </c>
      <c r="F309" s="7">
        <v>50.34</v>
      </c>
      <c r="G309" s="7">
        <v>50.91</v>
      </c>
      <c r="H309" s="7">
        <v>50.900300000000001</v>
      </c>
      <c r="I309" s="7">
        <v>52.038290000000003</v>
      </c>
      <c r="J309" s="7">
        <v>-5.8906494045329799E-2</v>
      </c>
      <c r="K309" s="7">
        <v>-7.9457102423491897</v>
      </c>
    </row>
    <row r="310" spans="1:11" ht="15" customHeight="1" x14ac:dyDescent="0.2">
      <c r="A310" s="3">
        <v>45600</v>
      </c>
      <c r="B310" s="4">
        <v>50.92</v>
      </c>
      <c r="C310" s="5">
        <v>2337303</v>
      </c>
      <c r="D310" s="4">
        <v>0.45373840994280501</v>
      </c>
      <c r="E310" s="4">
        <v>50.55</v>
      </c>
      <c r="F310" s="4">
        <v>50.55</v>
      </c>
      <c r="G310" s="4">
        <v>51.15</v>
      </c>
      <c r="H310" s="4">
        <v>50.950299999999999</v>
      </c>
      <c r="I310" s="4">
        <v>52.068961999999999</v>
      </c>
      <c r="J310" s="4">
        <v>0.453733111277343</v>
      </c>
      <c r="K310" s="4">
        <v>-7.8914523261984799</v>
      </c>
    </row>
    <row r="311" spans="1:11" ht="15" customHeight="1" x14ac:dyDescent="0.2">
      <c r="A311" s="6">
        <v>45597</v>
      </c>
      <c r="B311" s="7">
        <v>50.69</v>
      </c>
      <c r="C311" s="8">
        <v>483869</v>
      </c>
      <c r="D311" s="7">
        <v>-7.8848807411790997E-2</v>
      </c>
      <c r="E311" s="7">
        <v>50.65</v>
      </c>
      <c r="F311" s="7">
        <v>50.56</v>
      </c>
      <c r="G311" s="7">
        <v>50.8</v>
      </c>
      <c r="H311" s="7">
        <v>50.693199999999997</v>
      </c>
      <c r="I311" s="7">
        <v>51.833775000000003</v>
      </c>
      <c r="J311" s="7">
        <v>-7.88534984697664E-2</v>
      </c>
      <c r="K311" s="7">
        <v>-8.3074915973819099</v>
      </c>
    </row>
    <row r="312" spans="1:11" ht="15" customHeight="1" x14ac:dyDescent="0.2">
      <c r="A312" s="3">
        <v>45596</v>
      </c>
      <c r="B312" s="4">
        <v>50.73</v>
      </c>
      <c r="C312" s="5">
        <v>253948</v>
      </c>
      <c r="D312" s="4">
        <v>-0.43179587831207999</v>
      </c>
      <c r="E312" s="4">
        <v>50.74</v>
      </c>
      <c r="F312" s="4">
        <v>50.54</v>
      </c>
      <c r="G312" s="4">
        <v>50.84</v>
      </c>
      <c r="H312" s="4">
        <v>50.731999999999999</v>
      </c>
      <c r="I312" s="4">
        <v>51.874679999999998</v>
      </c>
      <c r="J312" s="4">
        <v>-0.431795656799494</v>
      </c>
      <c r="K312" s="4">
        <v>-8.2351317884309196</v>
      </c>
    </row>
    <row r="313" spans="1:11" ht="15" customHeight="1" x14ac:dyDescent="0.2">
      <c r="A313" s="6">
        <v>45595</v>
      </c>
      <c r="B313" s="7">
        <v>50.95</v>
      </c>
      <c r="C313" s="8">
        <v>1439588</v>
      </c>
      <c r="D313" s="7">
        <v>-0.70161761839797598</v>
      </c>
      <c r="E313" s="7">
        <v>51.24</v>
      </c>
      <c r="F313" s="7">
        <v>50.73</v>
      </c>
      <c r="G313" s="7">
        <v>51.24</v>
      </c>
      <c r="H313" s="7">
        <v>50.946899999999999</v>
      </c>
      <c r="I313" s="7">
        <v>52.099643999999998</v>
      </c>
      <c r="J313" s="7">
        <v>-0.551851282886062</v>
      </c>
      <c r="K313" s="7">
        <v>-7.8371767203254903</v>
      </c>
    </row>
    <row r="314" spans="1:11" ht="15" customHeight="1" x14ac:dyDescent="0.2">
      <c r="A314" s="3">
        <v>45594</v>
      </c>
      <c r="B314" s="4">
        <v>51.31</v>
      </c>
      <c r="C314" s="5">
        <v>1140975</v>
      </c>
      <c r="D314" s="4">
        <v>-1.2509622786759</v>
      </c>
      <c r="E314" s="4">
        <v>51.5</v>
      </c>
      <c r="F314" s="4">
        <v>51.14</v>
      </c>
      <c r="G314" s="4">
        <v>51.68</v>
      </c>
      <c r="H314" s="4">
        <v>51.311</v>
      </c>
      <c r="I314" s="4">
        <v>52.388751999999997</v>
      </c>
      <c r="J314" s="4">
        <v>-1.2509627742132401</v>
      </c>
      <c r="K314" s="4">
        <v>-7.3257526976826499</v>
      </c>
    </row>
    <row r="315" spans="1:11" ht="15" customHeight="1" x14ac:dyDescent="0.2">
      <c r="A315" s="6">
        <v>45593</v>
      </c>
      <c r="B315" s="7">
        <v>51.96</v>
      </c>
      <c r="C315" s="8">
        <v>119723</v>
      </c>
      <c r="D315" s="7">
        <v>5.7770075101104497E-2</v>
      </c>
      <c r="E315" s="7">
        <v>51.5</v>
      </c>
      <c r="F315" s="7">
        <v>51.5</v>
      </c>
      <c r="G315" s="7">
        <v>51.84</v>
      </c>
      <c r="H315" s="7">
        <v>51.956400000000002</v>
      </c>
      <c r="I315" s="7">
        <v>53.052418000000003</v>
      </c>
      <c r="J315" s="7">
        <v>5.7772478656237199E-2</v>
      </c>
      <c r="K315" s="7">
        <v>-6.15174597558818</v>
      </c>
    </row>
    <row r="316" spans="1:11" ht="15" customHeight="1" x14ac:dyDescent="0.2">
      <c r="A316" s="3">
        <v>45590</v>
      </c>
      <c r="B316" s="4">
        <v>51.93</v>
      </c>
      <c r="C316" s="5">
        <v>158123</v>
      </c>
      <c r="D316" s="4">
        <v>0.464306442251882</v>
      </c>
      <c r="E316" s="4">
        <v>51.9</v>
      </c>
      <c r="F316" s="4">
        <v>51.64</v>
      </c>
      <c r="G316" s="4">
        <v>51.9</v>
      </c>
      <c r="H316" s="4">
        <v>51.925800000000002</v>
      </c>
      <c r="I316" s="4">
        <v>53.021785999999999</v>
      </c>
      <c r="J316" s="4">
        <v>0.464312524664034</v>
      </c>
      <c r="K316" s="4">
        <v>-6.2059331328498102</v>
      </c>
    </row>
    <row r="317" spans="1:11" ht="15" customHeight="1" x14ac:dyDescent="0.2">
      <c r="A317" s="6">
        <v>45589</v>
      </c>
      <c r="B317" s="7">
        <v>51.69</v>
      </c>
      <c r="C317" s="8">
        <v>180065</v>
      </c>
      <c r="D317" s="7">
        <v>-0.42381044114814198</v>
      </c>
      <c r="E317" s="7">
        <v>51.8</v>
      </c>
      <c r="F317" s="7">
        <v>51.51</v>
      </c>
      <c r="G317" s="7">
        <v>51.85</v>
      </c>
      <c r="H317" s="7">
        <v>51.928199999999997</v>
      </c>
      <c r="I317" s="7">
        <v>52.776736999999997</v>
      </c>
      <c r="J317" s="7">
        <v>-0.42381737859360502</v>
      </c>
      <c r="K317" s="7">
        <v>-6.6394180081372696</v>
      </c>
    </row>
    <row r="318" spans="1:11" ht="15" customHeight="1" x14ac:dyDescent="0.2">
      <c r="A318" s="3">
        <v>45588</v>
      </c>
      <c r="B318" s="4">
        <v>51.91</v>
      </c>
      <c r="C318" s="5">
        <v>6179317</v>
      </c>
      <c r="D318" s="4">
        <v>-0.307278663337817</v>
      </c>
      <c r="E318" s="4">
        <v>52.15</v>
      </c>
      <c r="F318" s="4">
        <v>51.83</v>
      </c>
      <c r="G318" s="4">
        <v>52.3</v>
      </c>
      <c r="H318" s="4">
        <v>52.272500000000001</v>
      </c>
      <c r="I318" s="4">
        <v>53.001365999999997</v>
      </c>
      <c r="J318" s="4">
        <v>-0.307278904642238</v>
      </c>
      <c r="K318" s="4">
        <v>-6.2420555457279301</v>
      </c>
    </row>
    <row r="319" spans="1:11" ht="15" customHeight="1" x14ac:dyDescent="0.2">
      <c r="A319" s="6">
        <v>45587</v>
      </c>
      <c r="B319" s="7">
        <v>52.07</v>
      </c>
      <c r="C319" s="8">
        <v>1416255</v>
      </c>
      <c r="D319" s="7">
        <v>-1.17669386980451</v>
      </c>
      <c r="E319" s="7">
        <v>52.45</v>
      </c>
      <c r="F319" s="7">
        <v>51.97</v>
      </c>
      <c r="G319" s="7">
        <v>52.57</v>
      </c>
      <c r="H319" s="7">
        <v>52.494100000000003</v>
      </c>
      <c r="I319" s="7">
        <v>53.164729999999999</v>
      </c>
      <c r="J319" s="7">
        <v>-1.1766920275720001</v>
      </c>
      <c r="K319" s="7">
        <v>-5.95306916681408</v>
      </c>
    </row>
    <row r="320" spans="1:11" ht="15" customHeight="1" x14ac:dyDescent="0.2">
      <c r="A320" s="3">
        <v>45586</v>
      </c>
      <c r="B320" s="4">
        <v>52.69</v>
      </c>
      <c r="C320" s="5">
        <v>257589.99999999901</v>
      </c>
      <c r="D320" s="4">
        <v>-1.84426229508196</v>
      </c>
      <c r="E320" s="4">
        <v>52.5</v>
      </c>
      <c r="F320" s="4">
        <v>52.45</v>
      </c>
      <c r="G320" s="4">
        <v>52.83</v>
      </c>
      <c r="H320" s="4">
        <v>52.9373</v>
      </c>
      <c r="I320" s="4">
        <v>53.797764000000001</v>
      </c>
      <c r="J320" s="4">
        <v>-1.8442659890112001</v>
      </c>
      <c r="K320" s="4">
        <v>-4.8332496019812403</v>
      </c>
    </row>
    <row r="321" spans="1:11" ht="15" customHeight="1" x14ac:dyDescent="0.2">
      <c r="A321" s="6">
        <v>45583</v>
      </c>
      <c r="B321" s="7">
        <v>53.68</v>
      </c>
      <c r="C321" s="8">
        <v>303427</v>
      </c>
      <c r="D321" s="7">
        <v>2.5797821517294</v>
      </c>
      <c r="E321" s="7">
        <v>52.49</v>
      </c>
      <c r="F321" s="7">
        <v>52.41</v>
      </c>
      <c r="G321" s="7">
        <v>52.9</v>
      </c>
      <c r="H321" s="7">
        <v>53.683700000000002</v>
      </c>
      <c r="I321" s="7">
        <v>54.808579999999999</v>
      </c>
      <c r="J321" s="7">
        <v>2.5797769800599499</v>
      </c>
      <c r="K321" s="7">
        <v>-3.0451441712365099</v>
      </c>
    </row>
    <row r="322" spans="1:11" ht="15" customHeight="1" x14ac:dyDescent="0.2">
      <c r="A322" s="3">
        <v>45582</v>
      </c>
      <c r="B322" s="4">
        <v>52.33</v>
      </c>
      <c r="C322" s="5">
        <v>398345</v>
      </c>
      <c r="D322" s="4">
        <v>7.6496462038622107E-2</v>
      </c>
      <c r="E322" s="4">
        <v>52.25</v>
      </c>
      <c r="F322" s="4">
        <v>52.24</v>
      </c>
      <c r="G322" s="4">
        <v>52.49</v>
      </c>
      <c r="H322" s="4">
        <v>53.124600000000001</v>
      </c>
      <c r="I322" s="4">
        <v>53.430199999999999</v>
      </c>
      <c r="J322" s="4">
        <v>7.6504014704803502E-2</v>
      </c>
      <c r="K322" s="4">
        <v>-5.4834601096762796</v>
      </c>
    </row>
    <row r="323" spans="1:11" ht="15" customHeight="1" x14ac:dyDescent="0.2">
      <c r="A323" s="6">
        <v>45581</v>
      </c>
      <c r="B323" s="7">
        <v>52.29</v>
      </c>
      <c r="C323" s="8">
        <v>896353</v>
      </c>
      <c r="D323" s="7">
        <v>0.13404825737266499</v>
      </c>
      <c r="E323" s="7">
        <v>52.24</v>
      </c>
      <c r="F323" s="7">
        <v>52.21</v>
      </c>
      <c r="G323" s="7">
        <v>52.5</v>
      </c>
      <c r="H323" s="7">
        <v>53.144799999999996</v>
      </c>
      <c r="I323" s="7">
        <v>53.389355000000002</v>
      </c>
      <c r="J323" s="7">
        <v>0.134048833109146</v>
      </c>
      <c r="K323" s="7">
        <v>-5.5557137802936403</v>
      </c>
    </row>
    <row r="324" spans="1:11" ht="15" customHeight="1" x14ac:dyDescent="0.2">
      <c r="A324" s="3">
        <v>45580</v>
      </c>
      <c r="B324" s="4">
        <v>52.22</v>
      </c>
      <c r="C324" s="5">
        <v>326789</v>
      </c>
      <c r="D324" s="4">
        <v>0.42307692307692601</v>
      </c>
      <c r="E324" s="4">
        <v>51.96</v>
      </c>
      <c r="F324" s="4">
        <v>51.7</v>
      </c>
      <c r="G324" s="4">
        <v>52.22</v>
      </c>
      <c r="H324" s="4">
        <v>53.004899999999999</v>
      </c>
      <c r="I324" s="4">
        <v>53.317883000000002</v>
      </c>
      <c r="J324" s="4">
        <v>0.42307631601738999</v>
      </c>
      <c r="K324" s="4">
        <v>-5.6821457633115102</v>
      </c>
    </row>
    <row r="325" spans="1:11" ht="15" customHeight="1" x14ac:dyDescent="0.2">
      <c r="A325" s="6">
        <v>45579</v>
      </c>
      <c r="B325" s="7">
        <v>52</v>
      </c>
      <c r="C325" s="8">
        <v>255113</v>
      </c>
      <c r="D325" s="7">
        <v>-1.90530088662516</v>
      </c>
      <c r="E325" s="7">
        <v>52.35</v>
      </c>
      <c r="F325" s="7">
        <v>51.9</v>
      </c>
      <c r="G325" s="7">
        <v>52.35</v>
      </c>
      <c r="H325" s="7">
        <v>52.630699999999997</v>
      </c>
      <c r="I325" s="7">
        <v>53.093257999999999</v>
      </c>
      <c r="J325" s="7">
        <v>-1.905296474849</v>
      </c>
      <c r="K325" s="7">
        <v>-6.07950114983195</v>
      </c>
    </row>
    <row r="326" spans="1:11" ht="15" customHeight="1" x14ac:dyDescent="0.2">
      <c r="A326" s="3">
        <v>45576</v>
      </c>
      <c r="B326" s="4">
        <v>53.01</v>
      </c>
      <c r="C326" s="5">
        <v>156545</v>
      </c>
      <c r="D326" s="4">
        <v>1.57118221881586</v>
      </c>
      <c r="E326" s="4">
        <v>52.3</v>
      </c>
      <c r="F326" s="4">
        <v>52.05</v>
      </c>
      <c r="G326" s="4">
        <v>52.37</v>
      </c>
      <c r="H326" s="4">
        <v>53.008499999999998</v>
      </c>
      <c r="I326" s="4">
        <v>54.124490000000002</v>
      </c>
      <c r="J326" s="4">
        <v>1.57118259996529</v>
      </c>
      <c r="K326" s="4">
        <v>-4.2552803820980003</v>
      </c>
    </row>
    <row r="327" spans="1:11" ht="15" customHeight="1" x14ac:dyDescent="0.2">
      <c r="A327" s="6">
        <v>45575</v>
      </c>
      <c r="B327" s="7">
        <v>52.19</v>
      </c>
      <c r="C327" s="8">
        <v>1307134</v>
      </c>
      <c r="D327" s="7">
        <v>0.61692693271639898</v>
      </c>
      <c r="E327" s="7">
        <v>51.99</v>
      </c>
      <c r="F327" s="7">
        <v>51.93</v>
      </c>
      <c r="G327" s="7">
        <v>52.35</v>
      </c>
      <c r="H327" s="7">
        <v>52.967199999999998</v>
      </c>
      <c r="I327" s="7">
        <v>53.28725</v>
      </c>
      <c r="J327" s="7">
        <v>0.61693125369615098</v>
      </c>
      <c r="K327" s="7">
        <v>-5.7363346895453704</v>
      </c>
    </row>
    <row r="328" spans="1:11" ht="15" customHeight="1" x14ac:dyDescent="0.2">
      <c r="A328" s="3">
        <v>45574</v>
      </c>
      <c r="B328" s="4">
        <v>51.87</v>
      </c>
      <c r="C328" s="5">
        <v>1104275</v>
      </c>
      <c r="D328" s="4">
        <v>0.25125628140702999</v>
      </c>
      <c r="E328" s="4">
        <v>51.81</v>
      </c>
      <c r="F328" s="4">
        <v>51.72</v>
      </c>
      <c r="G328" s="4">
        <v>52.34</v>
      </c>
      <c r="H328" s="4">
        <v>52.443800000000003</v>
      </c>
      <c r="I328" s="4">
        <v>52.960520000000002</v>
      </c>
      <c r="J328" s="4">
        <v>0.25124464313699402</v>
      </c>
      <c r="K328" s="4">
        <v>-6.3143109853175199</v>
      </c>
    </row>
    <row r="329" spans="1:11" ht="15" customHeight="1" x14ac:dyDescent="0.2">
      <c r="A329" s="6">
        <v>45573</v>
      </c>
      <c r="B329" s="7">
        <v>51.74</v>
      </c>
      <c r="C329" s="8">
        <v>956892</v>
      </c>
      <c r="D329" s="7">
        <v>-0.5</v>
      </c>
      <c r="E329" s="7">
        <v>52.02</v>
      </c>
      <c r="F329" s="7">
        <v>51.54</v>
      </c>
      <c r="G329" s="7">
        <v>52.02</v>
      </c>
      <c r="H329" s="7">
        <v>52.374499999999998</v>
      </c>
      <c r="I329" s="7">
        <v>52.827793</v>
      </c>
      <c r="J329" s="7">
        <v>-0.49999757031297098</v>
      </c>
      <c r="K329" s="7">
        <v>-6.54910136210861</v>
      </c>
    </row>
    <row r="330" spans="1:11" ht="15" customHeight="1" x14ac:dyDescent="0.2">
      <c r="A330" s="3">
        <v>45572</v>
      </c>
      <c r="B330" s="4">
        <v>52</v>
      </c>
      <c r="C330" s="5">
        <v>1158623</v>
      </c>
      <c r="D330" s="4">
        <v>-0.952380952380949</v>
      </c>
      <c r="E330" s="4">
        <v>52.66</v>
      </c>
      <c r="F330" s="4">
        <v>51.9</v>
      </c>
      <c r="G330" s="4">
        <v>52.77</v>
      </c>
      <c r="H330" s="4">
        <v>52.648000000000003</v>
      </c>
      <c r="I330" s="4">
        <v>53.093257999999999</v>
      </c>
      <c r="J330" s="4">
        <v>-0.95238077471043703</v>
      </c>
      <c r="K330" s="4">
        <v>-6.07950114983195</v>
      </c>
    </row>
    <row r="331" spans="1:11" ht="15" customHeight="1" x14ac:dyDescent="0.2">
      <c r="A331" s="6">
        <v>45569</v>
      </c>
      <c r="B331" s="7">
        <v>52.5</v>
      </c>
      <c r="C331" s="8">
        <v>1151421</v>
      </c>
      <c r="D331" s="7">
        <v>1.82311869666407</v>
      </c>
      <c r="E331" s="7">
        <v>51.65</v>
      </c>
      <c r="F331" s="7">
        <v>51.65</v>
      </c>
      <c r="G331" s="7">
        <v>52.78</v>
      </c>
      <c r="H331" s="7">
        <v>53.2149</v>
      </c>
      <c r="I331" s="7">
        <v>53.603769999999997</v>
      </c>
      <c r="J331" s="7">
        <v>1.82311339884631</v>
      </c>
      <c r="K331" s="7">
        <v>-5.17641960021228</v>
      </c>
    </row>
    <row r="332" spans="1:11" ht="15" customHeight="1" x14ac:dyDescent="0.2">
      <c r="A332" s="3">
        <v>45568</v>
      </c>
      <c r="B332" s="4">
        <v>51.56</v>
      </c>
      <c r="C332" s="5">
        <v>1875434</v>
      </c>
      <c r="D332" s="4">
        <v>-1.1503067484662399</v>
      </c>
      <c r="E332" s="4">
        <v>52.11</v>
      </c>
      <c r="F332" s="4">
        <v>51.5</v>
      </c>
      <c r="G332" s="4">
        <v>52.11</v>
      </c>
      <c r="H332" s="4">
        <v>52.286299999999997</v>
      </c>
      <c r="I332" s="4">
        <v>52.644010000000002</v>
      </c>
      <c r="J332" s="4">
        <v>-1.15030202253533</v>
      </c>
      <c r="K332" s="4">
        <v>-6.87420838492835</v>
      </c>
    </row>
    <row r="333" spans="1:11" ht="15" customHeight="1" x14ac:dyDescent="0.2">
      <c r="A333" s="6">
        <v>45567</v>
      </c>
      <c r="B333" s="7">
        <v>52.16</v>
      </c>
      <c r="C333" s="8">
        <v>726360</v>
      </c>
      <c r="D333" s="7">
        <v>-1.71471641228566</v>
      </c>
      <c r="E333" s="7">
        <v>52.8</v>
      </c>
      <c r="F333" s="7">
        <v>52</v>
      </c>
      <c r="G333" s="7">
        <v>52.8</v>
      </c>
      <c r="H333" s="7">
        <v>52.807699999999997</v>
      </c>
      <c r="I333" s="7">
        <v>53.256622</v>
      </c>
      <c r="J333" s="7">
        <v>-1.7147145671298401</v>
      </c>
      <c r="K333" s="7">
        <v>-5.7905147709180902</v>
      </c>
    </row>
    <row r="334" spans="1:11" ht="15" customHeight="1" x14ac:dyDescent="0.2">
      <c r="A334" s="3">
        <v>45565</v>
      </c>
      <c r="B334" s="4">
        <v>53.07</v>
      </c>
      <c r="C334" s="5">
        <v>1834600</v>
      </c>
      <c r="D334" s="4">
        <v>-0.56211354693647098</v>
      </c>
      <c r="E334" s="4">
        <v>52.94</v>
      </c>
      <c r="F334" s="4">
        <v>52.2</v>
      </c>
      <c r="G334" s="4">
        <v>52.94</v>
      </c>
      <c r="H334" s="4">
        <v>53.0715</v>
      </c>
      <c r="I334" s="4">
        <v>54.185752999999998</v>
      </c>
      <c r="J334" s="4">
        <v>-0.56211308583305997</v>
      </c>
      <c r="K334" s="4">
        <v>-4.14690783654697</v>
      </c>
    </row>
    <row r="335" spans="1:11" ht="15" customHeight="1" x14ac:dyDescent="0.2">
      <c r="A335" s="6">
        <v>45562</v>
      </c>
      <c r="B335" s="7">
        <v>53.37</v>
      </c>
      <c r="C335" s="8">
        <v>541821</v>
      </c>
      <c r="D335" s="7">
        <v>-0.55897149245389599</v>
      </c>
      <c r="E335" s="7">
        <v>53.66</v>
      </c>
      <c r="F335" s="7">
        <v>52.58</v>
      </c>
      <c r="G335" s="7">
        <v>53.73</v>
      </c>
      <c r="H335" s="7">
        <v>53.371200000000002</v>
      </c>
      <c r="I335" s="7">
        <v>54.492060000000002</v>
      </c>
      <c r="J335" s="7">
        <v>-0.39253254101747598</v>
      </c>
      <c r="K335" s="7">
        <v>-3.6050592605695999</v>
      </c>
    </row>
    <row r="336" spans="1:11" ht="15" customHeight="1" x14ac:dyDescent="0.2">
      <c r="A336" s="3">
        <v>45561</v>
      </c>
      <c r="B336" s="4">
        <v>53.67</v>
      </c>
      <c r="C336" s="5">
        <v>4789920</v>
      </c>
      <c r="D336" s="4">
        <v>1.2641509433962199</v>
      </c>
      <c r="E336" s="4">
        <v>53.68</v>
      </c>
      <c r="F336" s="4">
        <v>53.48</v>
      </c>
      <c r="G336" s="4">
        <v>54.52</v>
      </c>
      <c r="H336" s="4">
        <v>54.268500000000003</v>
      </c>
      <c r="I336" s="4">
        <v>54.706802000000003</v>
      </c>
      <c r="J336" s="4">
        <v>1.26414884090104</v>
      </c>
      <c r="K336" s="4">
        <v>-3.22518662656995</v>
      </c>
    </row>
    <row r="337" spans="1:11" ht="15" customHeight="1" x14ac:dyDescent="0.2">
      <c r="A337" s="6">
        <v>45560</v>
      </c>
      <c r="B337" s="7">
        <v>53</v>
      </c>
      <c r="C337" s="8">
        <v>2453971</v>
      </c>
      <c r="D337" s="7">
        <v>-0.87899756873012203</v>
      </c>
      <c r="E337" s="7">
        <v>53.31</v>
      </c>
      <c r="F337" s="7">
        <v>52.3</v>
      </c>
      <c r="G337" s="7">
        <v>53.5</v>
      </c>
      <c r="H337" s="7">
        <v>53.865200000000002</v>
      </c>
      <c r="I337" s="7">
        <v>54.023859999999999</v>
      </c>
      <c r="J337" s="7">
        <v>-0.87900754720684404</v>
      </c>
      <c r="K337" s="7">
        <v>-4.4332920573147003</v>
      </c>
    </row>
    <row r="338" spans="1:11" ht="15" customHeight="1" x14ac:dyDescent="0.2">
      <c r="A338" s="3">
        <v>45559</v>
      </c>
      <c r="B338" s="4">
        <v>53.47</v>
      </c>
      <c r="C338" s="5">
        <v>1087725</v>
      </c>
      <c r="D338" s="4">
        <v>2.3741144935860601</v>
      </c>
      <c r="E338" s="4">
        <v>52.5</v>
      </c>
      <c r="F338" s="4">
        <v>52.5</v>
      </c>
      <c r="G338" s="4">
        <v>53.61</v>
      </c>
      <c r="H338" s="4">
        <v>54.325699999999998</v>
      </c>
      <c r="I338" s="4">
        <v>54.502944999999997</v>
      </c>
      <c r="J338" s="4">
        <v>2.3741210553085601</v>
      </c>
      <c r="K338" s="4">
        <v>-3.5858039978772398</v>
      </c>
    </row>
    <row r="339" spans="1:11" ht="15" customHeight="1" x14ac:dyDescent="0.2">
      <c r="A339" s="6">
        <v>45558</v>
      </c>
      <c r="B339" s="7">
        <v>52.23</v>
      </c>
      <c r="C339" s="8">
        <v>393089</v>
      </c>
      <c r="D339" s="7">
        <v>-1.22919818456884</v>
      </c>
      <c r="E339" s="7">
        <v>52.42</v>
      </c>
      <c r="F339" s="7">
        <v>51.95</v>
      </c>
      <c r="G339" s="7">
        <v>52.42</v>
      </c>
      <c r="H339" s="7">
        <v>53.1023</v>
      </c>
      <c r="I339" s="7">
        <v>53.238987000000002</v>
      </c>
      <c r="J339" s="7">
        <v>-1.22920221991407</v>
      </c>
      <c r="K339" s="7">
        <v>-5.82171059614363</v>
      </c>
    </row>
    <row r="340" spans="1:11" ht="15" customHeight="1" x14ac:dyDescent="0.2">
      <c r="A340" s="3">
        <v>45555</v>
      </c>
      <c r="B340" s="4">
        <v>52.88</v>
      </c>
      <c r="C340" s="5">
        <v>2493322</v>
      </c>
      <c r="D340" s="4">
        <v>0.26545316647705802</v>
      </c>
      <c r="E340" s="4">
        <v>52.85</v>
      </c>
      <c r="F340" s="4">
        <v>52</v>
      </c>
      <c r="G340" s="4">
        <v>52.85</v>
      </c>
      <c r="H340" s="4">
        <v>52.875700000000002</v>
      </c>
      <c r="I340" s="4">
        <v>53.901546000000003</v>
      </c>
      <c r="J340" s="4">
        <v>0.26545214645807802</v>
      </c>
      <c r="K340" s="4">
        <v>-4.6496621263046096</v>
      </c>
    </row>
    <row r="341" spans="1:11" ht="15" customHeight="1" x14ac:dyDescent="0.2">
      <c r="A341" s="6">
        <v>45554</v>
      </c>
      <c r="B341" s="7">
        <v>52.74</v>
      </c>
      <c r="C341" s="8">
        <v>1089818</v>
      </c>
      <c r="D341" s="7">
        <v>0.43801180727480699</v>
      </c>
      <c r="E341" s="7">
        <v>52.85</v>
      </c>
      <c r="F341" s="7">
        <v>52.51</v>
      </c>
      <c r="G341" s="7">
        <v>52.85</v>
      </c>
      <c r="H341" s="7">
        <v>53.598599999999998</v>
      </c>
      <c r="I341" s="7">
        <v>53.758842000000001</v>
      </c>
      <c r="J341" s="7">
        <v>0.43801896312887201</v>
      </c>
      <c r="K341" s="7">
        <v>-4.9021015390058302</v>
      </c>
    </row>
    <row r="342" spans="1:11" ht="15" customHeight="1" x14ac:dyDescent="0.2">
      <c r="A342" s="3">
        <v>45553</v>
      </c>
      <c r="B342" s="4">
        <v>52.51</v>
      </c>
      <c r="C342" s="5">
        <v>1607566</v>
      </c>
      <c r="D342" s="4">
        <v>0.65171554533256504</v>
      </c>
      <c r="E342" s="4">
        <v>52.2</v>
      </c>
      <c r="F342" s="4">
        <v>52.2</v>
      </c>
      <c r="G342" s="4">
        <v>52.64</v>
      </c>
      <c r="H342" s="4">
        <v>53.266100000000002</v>
      </c>
      <c r="I342" s="4">
        <v>53.524394999999998</v>
      </c>
      <c r="J342" s="4">
        <v>0.65171712736056198</v>
      </c>
      <c r="K342" s="4">
        <v>-5.3168317707412003</v>
      </c>
    </row>
    <row r="343" spans="1:11" ht="15" customHeight="1" x14ac:dyDescent="0.2">
      <c r="A343" s="6">
        <v>45552</v>
      </c>
      <c r="B343" s="7">
        <v>52.17</v>
      </c>
      <c r="C343" s="8">
        <v>750018</v>
      </c>
      <c r="D343" s="7">
        <v>0.53960300635960101</v>
      </c>
      <c r="E343" s="7">
        <v>51.9</v>
      </c>
      <c r="F343" s="7">
        <v>51.9</v>
      </c>
      <c r="G343" s="7">
        <v>52.85</v>
      </c>
      <c r="H343" s="7">
        <v>52.959000000000003</v>
      </c>
      <c r="I343" s="7">
        <v>53.177826000000003</v>
      </c>
      <c r="J343" s="7">
        <v>0.53960096889502596</v>
      </c>
      <c r="K343" s="7">
        <v>-5.9299027065274998</v>
      </c>
    </row>
    <row r="344" spans="1:11" ht="15" customHeight="1" x14ac:dyDescent="0.2">
      <c r="A344" s="3">
        <v>45548</v>
      </c>
      <c r="B344" s="4">
        <v>51.89</v>
      </c>
      <c r="C344" s="5">
        <v>387560</v>
      </c>
      <c r="D344" s="4">
        <v>-0.15393496247835201</v>
      </c>
      <c r="E344" s="4">
        <v>52.1</v>
      </c>
      <c r="F344" s="4">
        <v>51.67</v>
      </c>
      <c r="G344" s="4">
        <v>52.28</v>
      </c>
      <c r="H344" s="4">
        <v>52.705599999999997</v>
      </c>
      <c r="I344" s="4">
        <v>52.892417999999999</v>
      </c>
      <c r="J344" s="4">
        <v>-0.153937882505117</v>
      </c>
      <c r="K344" s="4">
        <v>-6.4347815319299499</v>
      </c>
    </row>
    <row r="345" spans="1:11" ht="15" customHeight="1" x14ac:dyDescent="0.2">
      <c r="A345" s="6">
        <v>45547</v>
      </c>
      <c r="B345" s="7">
        <v>51.97</v>
      </c>
      <c r="C345" s="8">
        <v>1090271</v>
      </c>
      <c r="D345" s="7">
        <v>1.50390624999998</v>
      </c>
      <c r="E345" s="7">
        <v>50.94</v>
      </c>
      <c r="F345" s="7">
        <v>50.94</v>
      </c>
      <c r="G345" s="7">
        <v>52.09</v>
      </c>
      <c r="H345" s="7">
        <v>52.673699999999997</v>
      </c>
      <c r="I345" s="7">
        <v>52.973965</v>
      </c>
      <c r="J345" s="7">
        <v>1.5039062761968001</v>
      </c>
      <c r="K345" s="7">
        <v>-6.2905271537236898</v>
      </c>
    </row>
    <row r="346" spans="1:11" ht="15" customHeight="1" x14ac:dyDescent="0.2">
      <c r="A346" s="3">
        <v>45546</v>
      </c>
      <c r="B346" s="4">
        <v>51.2</v>
      </c>
      <c r="C346" s="5">
        <v>1431899</v>
      </c>
      <c r="D346" s="4">
        <v>0.60915700530557104</v>
      </c>
      <c r="E346" s="4">
        <v>50.63</v>
      </c>
      <c r="F346" s="4">
        <v>50.63</v>
      </c>
      <c r="G346" s="4">
        <v>51.26</v>
      </c>
      <c r="H346" s="4">
        <v>51.875599999999999</v>
      </c>
      <c r="I346" s="4">
        <v>52.18909</v>
      </c>
      <c r="J346" s="4">
        <v>0.60915966078758299</v>
      </c>
      <c r="K346" s="4">
        <v>-7.6789492304970803</v>
      </c>
    </row>
    <row r="347" spans="1:11" ht="15" customHeight="1" x14ac:dyDescent="0.2">
      <c r="A347" s="6">
        <v>45545</v>
      </c>
      <c r="B347" s="7">
        <v>50.89</v>
      </c>
      <c r="C347" s="8">
        <v>986281</v>
      </c>
      <c r="D347" s="7">
        <v>-0.43044414009000198</v>
      </c>
      <c r="E347" s="7">
        <v>50.88</v>
      </c>
      <c r="F347" s="7">
        <v>50.74</v>
      </c>
      <c r="G347" s="7">
        <v>51.03</v>
      </c>
      <c r="H347" s="7">
        <v>51.654800000000002</v>
      </c>
      <c r="I347" s="7">
        <v>51.873100000000001</v>
      </c>
      <c r="J347" s="7">
        <v>-0.430444158867959</v>
      </c>
      <c r="K347" s="7">
        <v>-8.2379267645497904</v>
      </c>
    </row>
    <row r="348" spans="1:11" ht="15" customHeight="1" x14ac:dyDescent="0.2">
      <c r="A348" s="3">
        <v>45544</v>
      </c>
      <c r="B348" s="4">
        <v>51.11</v>
      </c>
      <c r="C348" s="5">
        <v>1257271</v>
      </c>
      <c r="D348" s="4">
        <v>-1.2748696156074899</v>
      </c>
      <c r="E348" s="4">
        <v>51.19</v>
      </c>
      <c r="F348" s="4">
        <v>51</v>
      </c>
      <c r="G348" s="4">
        <v>51.58</v>
      </c>
      <c r="H348" s="4">
        <v>51.817</v>
      </c>
      <c r="I348" s="4">
        <v>52.097349999999999</v>
      </c>
      <c r="J348" s="4">
        <v>-1.27486967051417</v>
      </c>
      <c r="K348" s="4">
        <v>-7.8412347426145397</v>
      </c>
    </row>
    <row r="349" spans="1:11" ht="15" customHeight="1" x14ac:dyDescent="0.2">
      <c r="A349" s="6">
        <v>45541</v>
      </c>
      <c r="B349" s="7">
        <v>51.77</v>
      </c>
      <c r="C349" s="8">
        <v>1905901</v>
      </c>
      <c r="D349" s="7">
        <v>0.21293070073557999</v>
      </c>
      <c r="E349" s="7">
        <v>51.6</v>
      </c>
      <c r="F349" s="7">
        <v>50.87</v>
      </c>
      <c r="G349" s="7">
        <v>51.7</v>
      </c>
      <c r="H349" s="7">
        <v>51.765799999999999</v>
      </c>
      <c r="I349" s="7">
        <v>52.770099999999999</v>
      </c>
      <c r="J349" s="7">
        <v>0.21293261301695801</v>
      </c>
      <c r="K349" s="7">
        <v>-6.6511586768087696</v>
      </c>
    </row>
    <row r="350" spans="1:11" ht="15" customHeight="1" x14ac:dyDescent="0.2">
      <c r="A350" s="3">
        <v>45540</v>
      </c>
      <c r="B350" s="4">
        <v>51.66</v>
      </c>
      <c r="C350" s="5">
        <v>662107</v>
      </c>
      <c r="D350" s="4">
        <v>-3.8699690402488301E-2</v>
      </c>
      <c r="E350" s="4">
        <v>51.5</v>
      </c>
      <c r="F350" s="4">
        <v>51.5</v>
      </c>
      <c r="G350" s="4">
        <v>51.9</v>
      </c>
      <c r="H350" s="4">
        <v>52.340400000000002</v>
      </c>
      <c r="I350" s="4">
        <v>52.657974000000003</v>
      </c>
      <c r="J350" s="4">
        <v>-3.8706593090098697E-2</v>
      </c>
      <c r="K350" s="4">
        <v>-6.8495064567486201</v>
      </c>
    </row>
    <row r="351" spans="1:11" ht="15" customHeight="1" x14ac:dyDescent="0.2">
      <c r="A351" s="6">
        <v>45539</v>
      </c>
      <c r="B351" s="7">
        <v>51.68</v>
      </c>
      <c r="C351" s="8">
        <v>2670009</v>
      </c>
      <c r="D351" s="7">
        <v>0.33003300330032198</v>
      </c>
      <c r="E351" s="7">
        <v>51.71</v>
      </c>
      <c r="F351" s="7">
        <v>51.62</v>
      </c>
      <c r="G351" s="7">
        <v>52.1</v>
      </c>
      <c r="H351" s="7">
        <v>52.489600000000003</v>
      </c>
      <c r="I351" s="7">
        <v>52.678364000000002</v>
      </c>
      <c r="J351" s="7">
        <v>0.33003855989013298</v>
      </c>
      <c r="K351" s="7">
        <v>-6.8134371130373204</v>
      </c>
    </row>
    <row r="352" spans="1:11" ht="15" customHeight="1" x14ac:dyDescent="0.2">
      <c r="A352" s="3">
        <v>45538</v>
      </c>
      <c r="B352" s="4">
        <v>51.51</v>
      </c>
      <c r="C352" s="5">
        <v>1607642</v>
      </c>
      <c r="D352" s="4">
        <v>-1.7921830314585301</v>
      </c>
      <c r="E352" s="4">
        <v>51.65</v>
      </c>
      <c r="F352" s="4">
        <v>51.38</v>
      </c>
      <c r="G352" s="4">
        <v>51.93</v>
      </c>
      <c r="H352" s="4">
        <v>52.240200000000002</v>
      </c>
      <c r="I352" s="4">
        <v>52.505077</v>
      </c>
      <c r="J352" s="4">
        <v>-1.79218662363846</v>
      </c>
      <c r="K352" s="4">
        <v>-7.1199770033610399</v>
      </c>
    </row>
    <row r="353" spans="1:11" ht="15" customHeight="1" x14ac:dyDescent="0.2">
      <c r="A353" s="6">
        <v>45537</v>
      </c>
      <c r="B353" s="7">
        <v>52.45</v>
      </c>
      <c r="C353" s="8">
        <v>69011</v>
      </c>
      <c r="D353" s="7">
        <v>1.1766975308642</v>
      </c>
      <c r="E353" s="7">
        <v>52.23</v>
      </c>
      <c r="F353" s="7">
        <v>52.23</v>
      </c>
      <c r="G353" s="7">
        <v>52.49</v>
      </c>
      <c r="H353" s="7">
        <v>53.138300000000001</v>
      </c>
      <c r="I353" s="7">
        <v>53.463237999999997</v>
      </c>
      <c r="J353" s="7">
        <v>1.17669737096939</v>
      </c>
      <c r="K353" s="7">
        <v>-5.4250168052361598</v>
      </c>
    </row>
    <row r="354" spans="1:11" ht="15" customHeight="1" x14ac:dyDescent="0.2">
      <c r="A354" s="3">
        <v>45534</v>
      </c>
      <c r="B354" s="4">
        <v>51.84</v>
      </c>
      <c r="C354" s="5">
        <v>7654438</v>
      </c>
      <c r="D354" s="4">
        <v>-0.53722179585570196</v>
      </c>
      <c r="E354" s="4">
        <v>52.04</v>
      </c>
      <c r="F354" s="4">
        <v>51.65</v>
      </c>
      <c r="G354" s="4">
        <v>52.04</v>
      </c>
      <c r="H354" s="4">
        <v>52.635300000000001</v>
      </c>
      <c r="I354" s="4">
        <v>52.841453999999999</v>
      </c>
      <c r="J354" s="4">
        <v>-0.53721601464871105</v>
      </c>
      <c r="K354" s="4">
        <v>-6.5249354325137103</v>
      </c>
    </row>
    <row r="355" spans="1:11" ht="15" customHeight="1" x14ac:dyDescent="0.2">
      <c r="A355" s="6">
        <v>45533</v>
      </c>
      <c r="B355" s="7">
        <v>52.12</v>
      </c>
      <c r="C355" s="8">
        <v>634710</v>
      </c>
      <c r="D355" s="7">
        <v>1.38105426959735</v>
      </c>
      <c r="E355" s="7">
        <v>51.66</v>
      </c>
      <c r="F355" s="7">
        <v>51.64</v>
      </c>
      <c r="G355" s="7">
        <v>52.25</v>
      </c>
      <c r="H355" s="7">
        <v>52.859499999999997</v>
      </c>
      <c r="I355" s="7">
        <v>53.126860000000001</v>
      </c>
      <c r="J355" s="7">
        <v>1.38105260667082</v>
      </c>
      <c r="K355" s="7">
        <v>-6.0200601450557203</v>
      </c>
    </row>
    <row r="356" spans="1:11" ht="15" customHeight="1" x14ac:dyDescent="0.2">
      <c r="A356" s="3">
        <v>45532</v>
      </c>
      <c r="B356" s="4">
        <v>51.41</v>
      </c>
      <c r="C356" s="5">
        <v>2266235</v>
      </c>
      <c r="D356" s="4">
        <v>-0.19413706076489801</v>
      </c>
      <c r="E356" s="4">
        <v>51.66</v>
      </c>
      <c r="F356" s="4">
        <v>51.23</v>
      </c>
      <c r="G356" s="4">
        <v>51.93</v>
      </c>
      <c r="H356" s="4">
        <v>52.166699999999999</v>
      </c>
      <c r="I356" s="4">
        <v>52.403145000000002</v>
      </c>
      <c r="J356" s="4">
        <v>-0.19413741646354599</v>
      </c>
      <c r="K356" s="4">
        <v>-7.3002918804174701</v>
      </c>
    </row>
    <row r="357" spans="1:11" ht="15" customHeight="1" x14ac:dyDescent="0.2">
      <c r="A357" s="6">
        <v>45531</v>
      </c>
      <c r="B357" s="7">
        <v>51.51</v>
      </c>
      <c r="C357" s="8">
        <v>3079442</v>
      </c>
      <c r="D357" s="7">
        <v>-1.20828538550058</v>
      </c>
      <c r="E357" s="7">
        <v>52.25</v>
      </c>
      <c r="F357" s="7">
        <v>51.41</v>
      </c>
      <c r="G357" s="7">
        <v>52.26</v>
      </c>
      <c r="H357" s="7">
        <v>52.177500000000002</v>
      </c>
      <c r="I357" s="7">
        <v>52.505077</v>
      </c>
      <c r="J357" s="7">
        <v>-1.2082845984477799</v>
      </c>
      <c r="K357" s="7">
        <v>-7.1199770033610399</v>
      </c>
    </row>
    <row r="358" spans="1:11" ht="15" customHeight="1" x14ac:dyDescent="0.2">
      <c r="A358" s="3">
        <v>45530</v>
      </c>
      <c r="B358" s="4">
        <v>52.14</v>
      </c>
      <c r="C358" s="5">
        <v>687939</v>
      </c>
      <c r="D358" s="4">
        <v>-0.363080450984132</v>
      </c>
      <c r="E358" s="4">
        <v>52.39</v>
      </c>
      <c r="F358" s="4">
        <v>52</v>
      </c>
      <c r="G358" s="4">
        <v>52.59</v>
      </c>
      <c r="H358" s="4">
        <v>52.814900000000002</v>
      </c>
      <c r="I358" s="4">
        <v>53.147247</v>
      </c>
      <c r="J358" s="4">
        <v>-0.36308522612658001</v>
      </c>
      <c r="K358" s="4">
        <v>-5.9839961082611</v>
      </c>
    </row>
    <row r="359" spans="1:11" ht="15" customHeight="1" x14ac:dyDescent="0.2">
      <c r="A359" s="6">
        <v>45527</v>
      </c>
      <c r="B359" s="7">
        <v>52.33</v>
      </c>
      <c r="C359" s="8">
        <v>2392617</v>
      </c>
      <c r="D359" s="7">
        <v>0.21064726158559399</v>
      </c>
      <c r="E359" s="7">
        <v>52.29</v>
      </c>
      <c r="F359" s="7">
        <v>52.28</v>
      </c>
      <c r="G359" s="7">
        <v>52.69</v>
      </c>
      <c r="H359" s="7">
        <v>53.132899999999999</v>
      </c>
      <c r="I359" s="7">
        <v>53.340919999999997</v>
      </c>
      <c r="J359" s="7">
        <v>0.21064914602422199</v>
      </c>
      <c r="K359" s="7">
        <v>-5.6413939501149901</v>
      </c>
    </row>
    <row r="360" spans="1:11" ht="15" customHeight="1" x14ac:dyDescent="0.2">
      <c r="A360" s="3">
        <v>45526</v>
      </c>
      <c r="B360" s="4">
        <v>52.22</v>
      </c>
      <c r="C360" s="5">
        <v>4305054</v>
      </c>
      <c r="D360" s="4">
        <v>-1.06100795755968</v>
      </c>
      <c r="E360" s="4">
        <v>52.51</v>
      </c>
      <c r="F360" s="4">
        <v>52.19</v>
      </c>
      <c r="G360" s="4">
        <v>53.06</v>
      </c>
      <c r="H360" s="4">
        <v>52.96</v>
      </c>
      <c r="I360" s="4">
        <v>53.228794000000001</v>
      </c>
      <c r="J360" s="4">
        <v>-1.0610039738206201</v>
      </c>
      <c r="K360" s="4">
        <v>-5.8397417300548398</v>
      </c>
    </row>
    <row r="361" spans="1:11" ht="15" customHeight="1" x14ac:dyDescent="0.2">
      <c r="A361" s="6">
        <v>45525</v>
      </c>
      <c r="B361" s="7">
        <v>52.78</v>
      </c>
      <c r="C361" s="8">
        <v>2608194</v>
      </c>
      <c r="D361" s="7">
        <v>5.6872037914690303E-2</v>
      </c>
      <c r="E361" s="7">
        <v>52.8</v>
      </c>
      <c r="F361" s="7">
        <v>52.57</v>
      </c>
      <c r="G361" s="7">
        <v>52.85</v>
      </c>
      <c r="H361" s="7">
        <v>53.504300000000001</v>
      </c>
      <c r="I361" s="7">
        <v>53.799610000000001</v>
      </c>
      <c r="J361" s="7">
        <v>5.6872887608361199E-2</v>
      </c>
      <c r="K361" s="7">
        <v>-4.8299840792499502</v>
      </c>
    </row>
    <row r="362" spans="1:11" ht="15" customHeight="1" x14ac:dyDescent="0.2">
      <c r="A362" s="3">
        <v>45524</v>
      </c>
      <c r="B362" s="4">
        <v>52.75</v>
      </c>
      <c r="C362" s="5">
        <v>1450650</v>
      </c>
      <c r="D362" s="4">
        <v>-0.26470032142181799</v>
      </c>
      <c r="E362" s="4">
        <v>53.01</v>
      </c>
      <c r="F362" s="4">
        <v>52.62</v>
      </c>
      <c r="G362" s="4">
        <v>53.01</v>
      </c>
      <c r="H362" s="4">
        <v>53.600099999999998</v>
      </c>
      <c r="I362" s="4">
        <v>53.769030000000001</v>
      </c>
      <c r="J362" s="4">
        <v>-0.26470303237869902</v>
      </c>
      <c r="K362" s="4">
        <v>-4.8840792499557697</v>
      </c>
    </row>
    <row r="363" spans="1:11" ht="15" customHeight="1" x14ac:dyDescent="0.2">
      <c r="A363" s="6">
        <v>45523</v>
      </c>
      <c r="B363" s="7">
        <v>52.89</v>
      </c>
      <c r="C363" s="8">
        <v>2393923</v>
      </c>
      <c r="D363" s="7">
        <v>-1.8903591682417599E-2</v>
      </c>
      <c r="E363" s="7">
        <v>52.95</v>
      </c>
      <c r="F363" s="7">
        <v>52.82</v>
      </c>
      <c r="G363" s="7">
        <v>53.1</v>
      </c>
      <c r="H363" s="7">
        <v>53.742899999999999</v>
      </c>
      <c r="I363" s="7">
        <v>53.911735999999998</v>
      </c>
      <c r="J363" s="7">
        <v>-1.8908818029739202E-2</v>
      </c>
      <c r="K363" s="7">
        <v>-4.6316362993100997</v>
      </c>
    </row>
    <row r="364" spans="1:11" ht="15" customHeight="1" x14ac:dyDescent="0.2">
      <c r="A364" s="3">
        <v>45520</v>
      </c>
      <c r="B364" s="4">
        <v>52.9</v>
      </c>
      <c r="C364" s="5">
        <v>961266</v>
      </c>
      <c r="D364" s="4">
        <v>-0.33911077618689001</v>
      </c>
      <c r="E364" s="4">
        <v>52.81</v>
      </c>
      <c r="F364" s="4">
        <v>52.81</v>
      </c>
      <c r="G364" s="4">
        <v>53.17</v>
      </c>
      <c r="H364" s="4">
        <v>53.723300000000002</v>
      </c>
      <c r="I364" s="4">
        <v>53.921931999999998</v>
      </c>
      <c r="J364" s="4">
        <v>-0.33911211466653901</v>
      </c>
      <c r="K364" s="4">
        <v>-4.6135998584822202</v>
      </c>
    </row>
    <row r="365" spans="1:11" ht="15" customHeight="1" x14ac:dyDescent="0.2">
      <c r="A365" s="6">
        <v>45519</v>
      </c>
      <c r="B365" s="7">
        <v>53.08</v>
      </c>
      <c r="C365" s="8">
        <v>2723815</v>
      </c>
      <c r="D365" s="7">
        <v>1.06626047220106</v>
      </c>
      <c r="E365" s="7">
        <v>52.7</v>
      </c>
      <c r="F365" s="7">
        <v>52.7</v>
      </c>
      <c r="G365" s="7">
        <v>53.2</v>
      </c>
      <c r="H365" s="7">
        <v>53.903300000000002</v>
      </c>
      <c r="I365" s="7">
        <v>54.105409999999999</v>
      </c>
      <c r="J365" s="7">
        <v>1.0662638865824801</v>
      </c>
      <c r="K365" s="7">
        <v>-4.2890323721917598</v>
      </c>
    </row>
    <row r="366" spans="1:11" ht="15" customHeight="1" x14ac:dyDescent="0.2">
      <c r="A366" s="3">
        <v>45518</v>
      </c>
      <c r="B366" s="4">
        <v>52.52</v>
      </c>
      <c r="C366" s="5">
        <v>1819919</v>
      </c>
      <c r="D366" s="4">
        <v>-5.7088487155076903E-2</v>
      </c>
      <c r="E366" s="4">
        <v>52.6</v>
      </c>
      <c r="F366" s="4">
        <v>52.31</v>
      </c>
      <c r="G366" s="4">
        <v>52.65</v>
      </c>
      <c r="H366" s="4">
        <v>53.362299999999998</v>
      </c>
      <c r="I366" s="4">
        <v>53.534590000000001</v>
      </c>
      <c r="J366" s="4">
        <v>-5.70893362235258E-2</v>
      </c>
      <c r="K366" s="4">
        <v>-5.2987970988855402</v>
      </c>
    </row>
    <row r="367" spans="1:11" ht="15" customHeight="1" x14ac:dyDescent="0.2">
      <c r="A367" s="6">
        <v>45517</v>
      </c>
      <c r="B367" s="7">
        <v>52.55</v>
      </c>
      <c r="C367" s="8">
        <v>2018830</v>
      </c>
      <c r="D367" s="7">
        <v>1.1549566891241501</v>
      </c>
      <c r="E367" s="7">
        <v>52.22</v>
      </c>
      <c r="F367" s="7">
        <v>52.22</v>
      </c>
      <c r="G367" s="7">
        <v>52.59</v>
      </c>
      <c r="H367" s="7">
        <v>53.318300000000001</v>
      </c>
      <c r="I367" s="7">
        <v>53.565170000000002</v>
      </c>
      <c r="J367" s="7">
        <v>1.1549549624406901</v>
      </c>
      <c r="K367" s="7">
        <v>-5.2447019281797198</v>
      </c>
    </row>
    <row r="368" spans="1:11" ht="15" customHeight="1" x14ac:dyDescent="0.2">
      <c r="A368" s="3">
        <v>45516</v>
      </c>
      <c r="B368" s="4">
        <v>51.95</v>
      </c>
      <c r="C368" s="5">
        <v>3192385</v>
      </c>
      <c r="D368" s="4">
        <v>-0.153757447626368</v>
      </c>
      <c r="E368" s="4">
        <v>52.35</v>
      </c>
      <c r="F368" s="4">
        <v>51.83</v>
      </c>
      <c r="G368" s="4">
        <v>52.35</v>
      </c>
      <c r="H368" s="4">
        <v>52.690100000000001</v>
      </c>
      <c r="I368" s="4">
        <v>52.953580000000002</v>
      </c>
      <c r="J368" s="4">
        <v>-0.15375094263004799</v>
      </c>
      <c r="K368" s="4">
        <v>-6.32658765257385</v>
      </c>
    </row>
    <row r="369" spans="1:11" ht="15" customHeight="1" x14ac:dyDescent="0.2">
      <c r="A369" s="6">
        <v>45513</v>
      </c>
      <c r="B369" s="7">
        <v>52.03</v>
      </c>
      <c r="C369" s="8">
        <v>797870</v>
      </c>
      <c r="D369" s="7">
        <v>0.36651234567901497</v>
      </c>
      <c r="E369" s="7">
        <v>52.44</v>
      </c>
      <c r="F369" s="7">
        <v>51.81</v>
      </c>
      <c r="G369" s="7">
        <v>52.44</v>
      </c>
      <c r="H369" s="7">
        <v>52.702300000000001</v>
      </c>
      <c r="I369" s="7">
        <v>53.035122000000001</v>
      </c>
      <c r="J369" s="7">
        <v>0.36650770434893898</v>
      </c>
      <c r="K369" s="7">
        <v>-6.1823421192287196</v>
      </c>
    </row>
    <row r="370" spans="1:11" ht="15" customHeight="1" x14ac:dyDescent="0.2">
      <c r="A370" s="3">
        <v>45512</v>
      </c>
      <c r="B370" s="4">
        <v>51.84</v>
      </c>
      <c r="C370" s="5">
        <v>1634924</v>
      </c>
      <c r="D370" s="4">
        <v>0.484590036828835</v>
      </c>
      <c r="E370" s="4">
        <v>51.97</v>
      </c>
      <c r="F370" s="4">
        <v>51.74</v>
      </c>
      <c r="G370" s="4">
        <v>52</v>
      </c>
      <c r="H370" s="4">
        <v>52.5291</v>
      </c>
      <c r="I370" s="4">
        <v>52.841453999999999</v>
      </c>
      <c r="J370" s="4">
        <v>0.48459091041859098</v>
      </c>
      <c r="K370" s="4">
        <v>-6.5249354325137103</v>
      </c>
    </row>
    <row r="371" spans="1:11" ht="15" customHeight="1" x14ac:dyDescent="0.2">
      <c r="A371" s="6">
        <v>45511</v>
      </c>
      <c r="B371" s="7">
        <v>51.59</v>
      </c>
      <c r="C371" s="8">
        <v>4010420</v>
      </c>
      <c r="D371" s="7">
        <v>-0.193461017604945</v>
      </c>
      <c r="E371" s="7">
        <v>52.15</v>
      </c>
      <c r="F371" s="7">
        <v>51.46</v>
      </c>
      <c r="G371" s="7">
        <v>52.15</v>
      </c>
      <c r="H371" s="7">
        <v>52.335500000000003</v>
      </c>
      <c r="I371" s="7">
        <v>52.586624</v>
      </c>
      <c r="J371" s="7">
        <v>-0.193455682869103</v>
      </c>
      <c r="K371" s="7">
        <v>-6.9757226251547797</v>
      </c>
    </row>
    <row r="372" spans="1:11" ht="15" customHeight="1" x14ac:dyDescent="0.2">
      <c r="A372" s="3">
        <v>45510</v>
      </c>
      <c r="B372" s="4">
        <v>51.69</v>
      </c>
      <c r="C372" s="5">
        <v>6995478</v>
      </c>
      <c r="D372" s="4">
        <v>0.64252336448598002</v>
      </c>
      <c r="E372" s="4">
        <v>51.61</v>
      </c>
      <c r="F372" s="4">
        <v>51.31</v>
      </c>
      <c r="G372" s="4">
        <v>51.82</v>
      </c>
      <c r="H372" s="4">
        <v>52.057000000000002</v>
      </c>
      <c r="I372" s="4">
        <v>52.688552999999999</v>
      </c>
      <c r="J372" s="4">
        <v>0.64251956652043796</v>
      </c>
      <c r="K372" s="4">
        <v>-6.7954130550150396</v>
      </c>
    </row>
    <row r="373" spans="1:11" ht="15" customHeight="1" x14ac:dyDescent="0.2">
      <c r="A373" s="6">
        <v>45509</v>
      </c>
      <c r="B373" s="7">
        <v>51.36</v>
      </c>
      <c r="C373" s="8">
        <v>3908955</v>
      </c>
      <c r="D373" s="7">
        <v>-0.46511627906976599</v>
      </c>
      <c r="E373" s="7">
        <v>51.2</v>
      </c>
      <c r="F373" s="7">
        <v>50.33</v>
      </c>
      <c r="G373" s="7">
        <v>51.58</v>
      </c>
      <c r="H373" s="7">
        <v>51.439799999999998</v>
      </c>
      <c r="I373" s="7">
        <v>52.352179999999997</v>
      </c>
      <c r="J373" s="7">
        <v>-0.46511749941067199</v>
      </c>
      <c r="K373" s="7">
        <v>-7.3904475499734703</v>
      </c>
    </row>
    <row r="374" spans="1:11" ht="15" customHeight="1" x14ac:dyDescent="0.2">
      <c r="A374" s="3">
        <v>45506</v>
      </c>
      <c r="B374" s="4">
        <v>51.6</v>
      </c>
      <c r="C374" s="5">
        <v>3799934</v>
      </c>
      <c r="D374" s="4">
        <v>-1.16835855200153</v>
      </c>
      <c r="E374" s="4">
        <v>52.25</v>
      </c>
      <c r="F374" s="4">
        <v>51.35</v>
      </c>
      <c r="G374" s="4">
        <v>52.25</v>
      </c>
      <c r="H374" s="4">
        <v>51.898299999999999</v>
      </c>
      <c r="I374" s="4">
        <v>52.596817000000001</v>
      </c>
      <c r="J374" s="4">
        <v>-1.1683565520325501</v>
      </c>
      <c r="K374" s="4">
        <v>-6.9576914912435797</v>
      </c>
    </row>
    <row r="375" spans="1:11" ht="15" customHeight="1" x14ac:dyDescent="0.2">
      <c r="A375" s="6">
        <v>45505</v>
      </c>
      <c r="B375" s="7">
        <v>52.21</v>
      </c>
      <c r="C375" s="8">
        <v>2596634</v>
      </c>
      <c r="D375" s="7">
        <v>-1.13614845673167</v>
      </c>
      <c r="E375" s="7">
        <v>52.62</v>
      </c>
      <c r="F375" s="7">
        <v>52.1</v>
      </c>
      <c r="G375" s="7">
        <v>52.66</v>
      </c>
      <c r="H375" s="7">
        <v>52.072299999999998</v>
      </c>
      <c r="I375" s="7">
        <v>53.218600000000002</v>
      </c>
      <c r="J375" s="7">
        <v>-1.1361523448374</v>
      </c>
      <c r="K375" s="7">
        <v>-5.8577746329382601</v>
      </c>
    </row>
    <row r="376" spans="1:11" ht="15" customHeight="1" x14ac:dyDescent="0.2">
      <c r="A376" s="3">
        <v>45504</v>
      </c>
      <c r="B376" s="4">
        <v>52.81</v>
      </c>
      <c r="C376" s="5">
        <v>2698062</v>
      </c>
      <c r="D376" s="4">
        <v>1.63587374903773</v>
      </c>
      <c r="E376" s="4">
        <v>52.21</v>
      </c>
      <c r="F376" s="4">
        <v>52.21</v>
      </c>
      <c r="G376" s="4">
        <v>52.95</v>
      </c>
      <c r="H376" s="4">
        <v>52.743400000000001</v>
      </c>
      <c r="I376" s="4">
        <v>53.830193000000001</v>
      </c>
      <c r="J376" s="4">
        <v>1.6358786393038101</v>
      </c>
      <c r="K376" s="4">
        <v>-4.7758836016274504</v>
      </c>
    </row>
    <row r="377" spans="1:11" ht="15" customHeight="1" x14ac:dyDescent="0.2">
      <c r="A377" s="6">
        <v>45503</v>
      </c>
      <c r="B377" s="7">
        <v>51.96</v>
      </c>
      <c r="C377" s="8">
        <v>12217388</v>
      </c>
      <c r="D377" s="7">
        <v>-1.44157814871016</v>
      </c>
      <c r="E377" s="7">
        <v>52.68</v>
      </c>
      <c r="F377" s="7">
        <v>51.88</v>
      </c>
      <c r="G377" s="7">
        <v>53.65</v>
      </c>
      <c r="H377" s="7">
        <v>51.982100000000003</v>
      </c>
      <c r="I377" s="7">
        <v>52.963769999999997</v>
      </c>
      <c r="J377" s="7">
        <v>-0.41848708995775302</v>
      </c>
      <c r="K377" s="7">
        <v>-6.3085618255793401</v>
      </c>
    </row>
    <row r="378" spans="1:11" ht="15" customHeight="1" x14ac:dyDescent="0.2">
      <c r="A378" s="3">
        <v>45502</v>
      </c>
      <c r="B378" s="4">
        <v>52.72</v>
      </c>
      <c r="C378" s="5">
        <v>7887980</v>
      </c>
      <c r="D378" s="4">
        <v>-0.75301204819276901</v>
      </c>
      <c r="E378" s="4">
        <v>52.96</v>
      </c>
      <c r="F378" s="4">
        <v>52.65</v>
      </c>
      <c r="G378" s="4">
        <v>53.41</v>
      </c>
      <c r="H378" s="4">
        <v>52.712499999999999</v>
      </c>
      <c r="I378" s="4">
        <v>53.186348000000002</v>
      </c>
      <c r="J378" s="4">
        <v>-0.75300037992247404</v>
      </c>
      <c r="K378" s="4">
        <v>-5.9148275252078504</v>
      </c>
    </row>
    <row r="379" spans="1:11" ht="15" customHeight="1" x14ac:dyDescent="0.2">
      <c r="A379" s="6">
        <v>45499</v>
      </c>
      <c r="B379" s="7">
        <v>53.12</v>
      </c>
      <c r="C379" s="8">
        <v>7152403</v>
      </c>
      <c r="D379" s="7">
        <v>3.76647834274823E-2</v>
      </c>
      <c r="E379" s="7">
        <v>53.21</v>
      </c>
      <c r="F379" s="7">
        <v>52.84</v>
      </c>
      <c r="G379" s="7">
        <v>53.33</v>
      </c>
      <c r="H379" s="7">
        <v>53.017899999999997</v>
      </c>
      <c r="I379" s="7">
        <v>53.589880000000001</v>
      </c>
      <c r="J379" s="7">
        <v>3.76593442570127E-2</v>
      </c>
      <c r="K379" s="7">
        <v>-5.20099062444719</v>
      </c>
    </row>
    <row r="380" spans="1:11" ht="15" customHeight="1" x14ac:dyDescent="0.2">
      <c r="A380" s="3">
        <v>45498</v>
      </c>
      <c r="B380" s="4">
        <v>53.1</v>
      </c>
      <c r="C380" s="5">
        <v>9356769</v>
      </c>
      <c r="D380" s="4">
        <v>-0.44994375703037898</v>
      </c>
      <c r="E380" s="4">
        <v>53.35</v>
      </c>
      <c r="F380" s="4">
        <v>52.9</v>
      </c>
      <c r="G380" s="4">
        <v>53.36</v>
      </c>
      <c r="H380" s="4">
        <v>53.130800000000001</v>
      </c>
      <c r="I380" s="4">
        <v>53.569705999999996</v>
      </c>
      <c r="J380" s="4">
        <v>-0.44994567179745798</v>
      </c>
      <c r="K380" s="4">
        <v>-5.2366778701574397</v>
      </c>
    </row>
    <row r="381" spans="1:11" ht="15" customHeight="1" x14ac:dyDescent="0.2">
      <c r="A381" s="6">
        <v>45497</v>
      </c>
      <c r="B381" s="7">
        <v>53.34</v>
      </c>
      <c r="C381" s="8">
        <v>5574474</v>
      </c>
      <c r="D381" s="7">
        <v>-1.00222717149219</v>
      </c>
      <c r="E381" s="7">
        <v>54.14</v>
      </c>
      <c r="F381" s="7">
        <v>53.21</v>
      </c>
      <c r="G381" s="7">
        <v>54.14</v>
      </c>
      <c r="H381" s="7">
        <v>53.368099999999998</v>
      </c>
      <c r="I381" s="7">
        <v>53.81183</v>
      </c>
      <c r="J381" s="7">
        <v>-1.00223321505885</v>
      </c>
      <c r="K381" s="7">
        <v>-4.8083672386343501</v>
      </c>
    </row>
    <row r="382" spans="1:11" ht="15" customHeight="1" x14ac:dyDescent="0.2">
      <c r="A382" s="3">
        <v>45496</v>
      </c>
      <c r="B382" s="4">
        <v>53.88</v>
      </c>
      <c r="C382" s="5">
        <v>13756175</v>
      </c>
      <c r="D382" s="4">
        <v>-0.51698670605612096</v>
      </c>
      <c r="E382" s="4">
        <v>54.35</v>
      </c>
      <c r="F382" s="4">
        <v>53.75</v>
      </c>
      <c r="G382" s="4">
        <v>54.35</v>
      </c>
      <c r="H382" s="4">
        <v>53.908799999999999</v>
      </c>
      <c r="I382" s="4">
        <v>54.356610000000003</v>
      </c>
      <c r="J382" s="4">
        <v>-0.51698158043790299</v>
      </c>
      <c r="K382" s="4">
        <v>-3.8446665487351801</v>
      </c>
    </row>
    <row r="383" spans="1:11" ht="15" customHeight="1" x14ac:dyDescent="0.2">
      <c r="A383" s="6">
        <v>45495</v>
      </c>
      <c r="B383" s="7">
        <v>54.16</v>
      </c>
      <c r="C383" s="8">
        <v>15786978</v>
      </c>
      <c r="D383" s="7">
        <v>0.613041055173702</v>
      </c>
      <c r="E383" s="7">
        <v>54.09</v>
      </c>
      <c r="F383" s="7">
        <v>53.94</v>
      </c>
      <c r="G383" s="7">
        <v>54.37</v>
      </c>
      <c r="H383" s="7">
        <v>54.208799999999997</v>
      </c>
      <c r="I383" s="7">
        <v>54.639083999999997</v>
      </c>
      <c r="J383" s="7">
        <v>0.61303533698049395</v>
      </c>
      <c r="K383" s="7">
        <v>-3.3449778878471599</v>
      </c>
    </row>
    <row r="384" spans="1:11" ht="15" customHeight="1" x14ac:dyDescent="0.2">
      <c r="A384" s="3">
        <v>45492</v>
      </c>
      <c r="B384" s="4">
        <v>53.83</v>
      </c>
      <c r="C384" s="5">
        <v>6120253</v>
      </c>
      <c r="D384" s="4">
        <v>1.1651945123097101</v>
      </c>
      <c r="E384" s="4">
        <v>53.11</v>
      </c>
      <c r="F384" s="4">
        <v>53.03</v>
      </c>
      <c r="G384" s="4">
        <v>53.95</v>
      </c>
      <c r="H384" s="4">
        <v>53.825299999999999</v>
      </c>
      <c r="I384" s="4">
        <v>54.306168</v>
      </c>
      <c r="J384" s="4">
        <v>1.16520133500543</v>
      </c>
      <c r="K384" s="4">
        <v>-3.93389704581638</v>
      </c>
    </row>
    <row r="385" spans="1:11" ht="15" customHeight="1" x14ac:dyDescent="0.2">
      <c r="A385" s="6">
        <v>45491</v>
      </c>
      <c r="B385" s="7">
        <v>53.21</v>
      </c>
      <c r="C385" s="8">
        <v>6967533</v>
      </c>
      <c r="D385" s="7">
        <v>-1.2251717096714201</v>
      </c>
      <c r="E385" s="7">
        <v>53.85</v>
      </c>
      <c r="F385" s="7">
        <v>53.08</v>
      </c>
      <c r="G385" s="7">
        <v>54.22</v>
      </c>
      <c r="H385" s="7">
        <v>53.189799999999998</v>
      </c>
      <c r="I385" s="7">
        <v>53.680680000000002</v>
      </c>
      <c r="J385" s="7">
        <v>-1.2251677734042701</v>
      </c>
      <c r="K385" s="7">
        <v>-5.04036794622324</v>
      </c>
    </row>
    <row r="386" spans="1:11" ht="15" customHeight="1" x14ac:dyDescent="0.2">
      <c r="A386" s="3">
        <v>45490</v>
      </c>
      <c r="B386" s="4">
        <v>53.87</v>
      </c>
      <c r="C386" s="5">
        <v>4372147</v>
      </c>
      <c r="D386" s="4">
        <v>-1.13782345384475</v>
      </c>
      <c r="E386" s="4">
        <v>54.24</v>
      </c>
      <c r="F386" s="4">
        <v>53.64</v>
      </c>
      <c r="G386" s="4">
        <v>54.57</v>
      </c>
      <c r="H386" s="4">
        <v>53.892299999999999</v>
      </c>
      <c r="I386" s="4">
        <v>54.346516000000001</v>
      </c>
      <c r="J386" s="4">
        <v>-1.1378300852921299</v>
      </c>
      <c r="K386" s="4">
        <v>-3.8625225543958899</v>
      </c>
    </row>
    <row r="387" spans="1:11" ht="15" customHeight="1" x14ac:dyDescent="0.2">
      <c r="A387" s="6">
        <v>45489</v>
      </c>
      <c r="B387" s="7">
        <v>54.49</v>
      </c>
      <c r="C387" s="8">
        <v>5332226</v>
      </c>
      <c r="D387" s="7">
        <v>9.1844232182225399E-2</v>
      </c>
      <c r="E387" s="7">
        <v>54.5</v>
      </c>
      <c r="F387" s="7">
        <v>54.17</v>
      </c>
      <c r="G387" s="7">
        <v>54.65</v>
      </c>
      <c r="H387" s="7">
        <v>54.487000000000002</v>
      </c>
      <c r="I387" s="7">
        <v>54.972003999999998</v>
      </c>
      <c r="J387" s="7">
        <v>9.1847354663632197E-2</v>
      </c>
      <c r="K387" s="7">
        <v>-2.7560516539890298</v>
      </c>
    </row>
    <row r="388" spans="1:11" ht="15" customHeight="1" x14ac:dyDescent="0.2">
      <c r="A388" s="3">
        <v>45488</v>
      </c>
      <c r="B388" s="4">
        <v>54.44</v>
      </c>
      <c r="C388" s="5">
        <v>7994673</v>
      </c>
      <c r="D388" s="4">
        <v>-1.10808356039963</v>
      </c>
      <c r="E388" s="4">
        <v>55</v>
      </c>
      <c r="F388" s="4">
        <v>54.38</v>
      </c>
      <c r="G388" s="4">
        <v>55</v>
      </c>
      <c r="H388" s="4">
        <v>54.431399999999996</v>
      </c>
      <c r="I388" s="4">
        <v>54.921559999999999</v>
      </c>
      <c r="J388" s="4">
        <v>-1.10808555823467</v>
      </c>
      <c r="K388" s="4">
        <v>-2.84528568901468</v>
      </c>
    </row>
    <row r="389" spans="1:11" ht="15" customHeight="1" x14ac:dyDescent="0.2">
      <c r="A389" s="6">
        <v>45485</v>
      </c>
      <c r="B389" s="7">
        <v>55.05</v>
      </c>
      <c r="C389" s="8">
        <v>5034094</v>
      </c>
      <c r="D389" s="7">
        <v>1.1390777144956801</v>
      </c>
      <c r="E389" s="7">
        <v>54.45</v>
      </c>
      <c r="F389" s="7">
        <v>54.45</v>
      </c>
      <c r="G389" s="7">
        <v>55.15</v>
      </c>
      <c r="H389" s="7">
        <v>55.057499999999997</v>
      </c>
      <c r="I389" s="7">
        <v>55.536957000000001</v>
      </c>
      <c r="J389" s="7">
        <v>1.1390789159685799</v>
      </c>
      <c r="K389" s="7">
        <v>-1.7566654873518399</v>
      </c>
    </row>
    <row r="390" spans="1:11" ht="15" customHeight="1" x14ac:dyDescent="0.2">
      <c r="A390" s="3">
        <v>45484</v>
      </c>
      <c r="B390" s="4">
        <v>54.43</v>
      </c>
      <c r="C390" s="5">
        <v>10893757</v>
      </c>
      <c r="D390" s="4">
        <v>0.25787437833855098</v>
      </c>
      <c r="E390" s="4">
        <v>54.45</v>
      </c>
      <c r="F390" s="4">
        <v>54.31</v>
      </c>
      <c r="G390" s="4">
        <v>54.57</v>
      </c>
      <c r="H390" s="4">
        <v>54.456000000000003</v>
      </c>
      <c r="I390" s="4">
        <v>54.911472000000003</v>
      </c>
      <c r="J390" s="4">
        <v>0.25787547772528802</v>
      </c>
      <c r="K390" s="4">
        <v>-2.8631310808420198</v>
      </c>
    </row>
    <row r="391" spans="1:11" ht="15" customHeight="1" x14ac:dyDescent="0.2">
      <c r="A391" s="6">
        <v>45483</v>
      </c>
      <c r="B391" s="7">
        <v>54.29</v>
      </c>
      <c r="C391" s="8">
        <v>6093072</v>
      </c>
      <c r="D391" s="7">
        <v>1.6857089342573399</v>
      </c>
      <c r="E391" s="7">
        <v>53.5</v>
      </c>
      <c r="F391" s="7">
        <v>53.48</v>
      </c>
      <c r="G391" s="7">
        <v>54.38</v>
      </c>
      <c r="H391" s="7">
        <v>54.309100000000001</v>
      </c>
      <c r="I391" s="7">
        <v>54.770232999999998</v>
      </c>
      <c r="J391" s="7">
        <v>1.6857124662588301</v>
      </c>
      <c r="K391" s="7">
        <v>-3.1129789492305</v>
      </c>
    </row>
    <row r="392" spans="1:11" ht="15" customHeight="1" x14ac:dyDescent="0.2">
      <c r="A392" s="3">
        <v>45482</v>
      </c>
      <c r="B392" s="4">
        <v>53.39</v>
      </c>
      <c r="C392" s="5">
        <v>3710236</v>
      </c>
      <c r="D392" s="4">
        <v>0.81193353474320296</v>
      </c>
      <c r="E392" s="4">
        <v>53.18</v>
      </c>
      <c r="F392" s="4">
        <v>53.07</v>
      </c>
      <c r="G392" s="4">
        <v>53.44</v>
      </c>
      <c r="H392" s="4">
        <v>53.361800000000002</v>
      </c>
      <c r="I392" s="4">
        <v>53.862270000000002</v>
      </c>
      <c r="J392" s="4">
        <v>0.81193233562175604</v>
      </c>
      <c r="K392" s="4">
        <v>-4.7191402794976103</v>
      </c>
    </row>
    <row r="393" spans="1:11" ht="15" customHeight="1" x14ac:dyDescent="0.2">
      <c r="A393" s="6">
        <v>45481</v>
      </c>
      <c r="B393" s="7">
        <v>52.96</v>
      </c>
      <c r="C393" s="8">
        <v>8990064</v>
      </c>
      <c r="D393" s="7">
        <v>1.1652340019102201</v>
      </c>
      <c r="E393" s="7">
        <v>52.4</v>
      </c>
      <c r="F393" s="7">
        <v>52.35</v>
      </c>
      <c r="G393" s="7">
        <v>53.02</v>
      </c>
      <c r="H393" s="7">
        <v>52.938200000000002</v>
      </c>
      <c r="I393" s="7">
        <v>53.428466999999998</v>
      </c>
      <c r="J393" s="7">
        <v>1.16523235005152</v>
      </c>
      <c r="K393" s="7">
        <v>-5.4865257385459101</v>
      </c>
    </row>
    <row r="394" spans="1:11" ht="15" customHeight="1" x14ac:dyDescent="0.2">
      <c r="A394" s="3">
        <v>45478</v>
      </c>
      <c r="B394" s="4">
        <v>52.35</v>
      </c>
      <c r="C394" s="5">
        <v>7385051</v>
      </c>
      <c r="D394" s="4">
        <v>-0.94607379375590805</v>
      </c>
      <c r="E394" s="4">
        <v>52.62</v>
      </c>
      <c r="F394" s="4">
        <v>52.27</v>
      </c>
      <c r="G394" s="4">
        <v>52.63</v>
      </c>
      <c r="H394" s="4">
        <v>52.365000000000002</v>
      </c>
      <c r="I394" s="4">
        <v>52.813071999999998</v>
      </c>
      <c r="J394" s="4">
        <v>-0.94607036381099097</v>
      </c>
      <c r="K394" s="4">
        <v>-6.5751424022642802</v>
      </c>
    </row>
    <row r="395" spans="1:11" ht="15" customHeight="1" x14ac:dyDescent="0.2">
      <c r="A395" s="6">
        <v>45477</v>
      </c>
      <c r="B395" s="7">
        <v>52.85</v>
      </c>
      <c r="C395" s="8">
        <v>67836</v>
      </c>
      <c r="D395" s="7"/>
      <c r="E395" s="7">
        <v>52.58</v>
      </c>
      <c r="F395" s="7">
        <v>52.58</v>
      </c>
      <c r="G395" s="7">
        <v>53.5</v>
      </c>
      <c r="H395" s="7">
        <v>52.687199999999997</v>
      </c>
      <c r="I395" s="7">
        <v>53.317492999999999</v>
      </c>
      <c r="J395" s="7"/>
      <c r="K395" s="7">
        <v>-5.6828356624801</v>
      </c>
    </row>
    <row r="396" spans="1:11" ht="15" customHeight="1" x14ac:dyDescent="0.2">
      <c r="A396" s="3">
        <v>45476</v>
      </c>
      <c r="B396" s="4">
        <v>52.85</v>
      </c>
      <c r="C396" s="5">
        <v>8548942</v>
      </c>
      <c r="D396" s="4">
        <v>1.69328458726187</v>
      </c>
      <c r="E396" s="4">
        <v>52.55</v>
      </c>
      <c r="F396" s="4">
        <v>52.55</v>
      </c>
      <c r="G396" s="4">
        <v>53</v>
      </c>
      <c r="H396" s="4">
        <v>52.828899999999997</v>
      </c>
      <c r="I396" s="4">
        <v>53.317492999999999</v>
      </c>
      <c r="J396" s="4">
        <v>1.6932745427525999</v>
      </c>
      <c r="K396" s="4">
        <v>-5.6828356624801</v>
      </c>
    </row>
    <row r="397" spans="1:11" ht="15" customHeight="1" x14ac:dyDescent="0.2">
      <c r="A397" s="6">
        <v>45475</v>
      </c>
      <c r="B397" s="7">
        <v>51.97</v>
      </c>
      <c r="C397" s="8">
        <v>27087275</v>
      </c>
      <c r="D397" s="7">
        <v>-1.72087745839637</v>
      </c>
      <c r="E397" s="7">
        <v>52.71</v>
      </c>
      <c r="F397" s="7">
        <v>51.85</v>
      </c>
      <c r="G397" s="7">
        <v>53.12</v>
      </c>
      <c r="H397" s="7">
        <v>51.966900000000003</v>
      </c>
      <c r="I397" s="7">
        <v>52.429713999999997</v>
      </c>
      <c r="J397" s="7">
        <v>-1.72087628116666</v>
      </c>
      <c r="K397" s="7">
        <v>-7.2532920573146997</v>
      </c>
    </row>
    <row r="398" spans="1:11" ht="15" customHeight="1" x14ac:dyDescent="0.2">
      <c r="A398" s="3">
        <v>45474</v>
      </c>
      <c r="B398" s="4">
        <v>52.88</v>
      </c>
      <c r="C398" s="5">
        <v>5552737</v>
      </c>
      <c r="D398" s="4">
        <v>0.87752766119801795</v>
      </c>
      <c r="E398" s="4">
        <v>52.8</v>
      </c>
      <c r="F398" s="4">
        <v>52.52</v>
      </c>
      <c r="G398" s="4">
        <v>53.1</v>
      </c>
      <c r="H398" s="4">
        <v>52.903500000000001</v>
      </c>
      <c r="I398" s="4">
        <v>53.347763</v>
      </c>
      <c r="J398" s="4">
        <v>0.877535209816104</v>
      </c>
      <c r="K398" s="4">
        <v>-5.6292888731646897</v>
      </c>
    </row>
    <row r="399" spans="1:11" ht="15" customHeight="1" x14ac:dyDescent="0.2">
      <c r="A399" s="6">
        <v>45471</v>
      </c>
      <c r="B399" s="7">
        <v>52.42</v>
      </c>
      <c r="C399" s="8">
        <v>5900373</v>
      </c>
      <c r="D399" s="7">
        <v>0.15284677111195799</v>
      </c>
      <c r="E399" s="7">
        <v>53.49</v>
      </c>
      <c r="F399" s="7">
        <v>51.96</v>
      </c>
      <c r="G399" s="7">
        <v>53.49</v>
      </c>
      <c r="H399" s="7">
        <v>52.463999999999999</v>
      </c>
      <c r="I399" s="7">
        <v>52.883690000000001</v>
      </c>
      <c r="J399" s="7">
        <v>0.15283984129230699</v>
      </c>
      <c r="K399" s="7">
        <v>-6.45022112152839</v>
      </c>
    </row>
    <row r="400" spans="1:11" ht="15" customHeight="1" x14ac:dyDescent="0.2">
      <c r="A400" s="3">
        <v>45470</v>
      </c>
      <c r="B400" s="4">
        <v>52.34</v>
      </c>
      <c r="C400" s="5">
        <v>25718977</v>
      </c>
      <c r="D400" s="4">
        <v>0.133920030610301</v>
      </c>
      <c r="E400" s="4">
        <v>52.25</v>
      </c>
      <c r="F400" s="4">
        <v>52.1</v>
      </c>
      <c r="G400" s="4">
        <v>52.47</v>
      </c>
      <c r="H400" s="4">
        <v>52.336399999999998</v>
      </c>
      <c r="I400" s="4">
        <v>52.802985999999997</v>
      </c>
      <c r="J400" s="4">
        <v>0.35211718639978001</v>
      </c>
      <c r="K400" s="4">
        <v>-6.5929842561471803</v>
      </c>
    </row>
    <row r="401" spans="1:11" ht="15" customHeight="1" x14ac:dyDescent="0.2">
      <c r="A401" s="6">
        <v>45469</v>
      </c>
      <c r="B401" s="7">
        <v>52.27</v>
      </c>
      <c r="C401" s="8">
        <v>21954793</v>
      </c>
      <c r="D401" s="7">
        <v>-0.24809160305342401</v>
      </c>
      <c r="E401" s="7">
        <v>52.4</v>
      </c>
      <c r="F401" s="7">
        <v>51.9</v>
      </c>
      <c r="G401" s="7">
        <v>52.55</v>
      </c>
      <c r="H401" s="7">
        <v>52.267699999999998</v>
      </c>
      <c r="I401" s="7">
        <v>52.617710000000002</v>
      </c>
      <c r="J401" s="7">
        <v>-0.248095792233404</v>
      </c>
      <c r="K401" s="7">
        <v>-6.9207323545020296</v>
      </c>
    </row>
    <row r="402" spans="1:11" ht="15" customHeight="1" x14ac:dyDescent="0.2">
      <c r="A402" s="3">
        <v>45468</v>
      </c>
      <c r="B402" s="4">
        <v>52.4</v>
      </c>
      <c r="C402" s="5">
        <v>5718231</v>
      </c>
      <c r="D402" s="4">
        <v>0.19120458891013201</v>
      </c>
      <c r="E402" s="4">
        <v>52.21</v>
      </c>
      <c r="F402" s="4">
        <v>51.7</v>
      </c>
      <c r="G402" s="4">
        <v>52.5</v>
      </c>
      <c r="H402" s="4">
        <v>52.403500000000001</v>
      </c>
      <c r="I402" s="4">
        <v>52.748576999999997</v>
      </c>
      <c r="J402" s="4">
        <v>0.19121367920666901</v>
      </c>
      <c r="K402" s="4">
        <v>-6.6892322660534296</v>
      </c>
    </row>
    <row r="403" spans="1:11" ht="15" customHeight="1" x14ac:dyDescent="0.2">
      <c r="A403" s="6">
        <v>45467</v>
      </c>
      <c r="B403" s="7">
        <v>52.3</v>
      </c>
      <c r="C403" s="8">
        <v>9853350</v>
      </c>
      <c r="D403" s="7">
        <v>-0.57034220532320401</v>
      </c>
      <c r="E403" s="7">
        <v>52.6</v>
      </c>
      <c r="F403" s="7">
        <v>52.24</v>
      </c>
      <c r="G403" s="7">
        <v>52.89</v>
      </c>
      <c r="H403" s="7">
        <v>52.313200000000002</v>
      </c>
      <c r="I403" s="7">
        <v>52.647906999999996</v>
      </c>
      <c r="J403" s="7">
        <v>-0.57033724331868596</v>
      </c>
      <c r="K403" s="7">
        <v>-6.8673147001592101</v>
      </c>
    </row>
    <row r="404" spans="1:11" ht="15" customHeight="1" x14ac:dyDescent="0.2">
      <c r="A404" s="3">
        <v>45464</v>
      </c>
      <c r="B404" s="4">
        <v>52.6</v>
      </c>
      <c r="C404" s="5">
        <v>19311240</v>
      </c>
      <c r="D404" s="4">
        <v>-1.0906355772846901</v>
      </c>
      <c r="E404" s="4">
        <v>53.22</v>
      </c>
      <c r="F404" s="4">
        <v>52.53</v>
      </c>
      <c r="G404" s="4">
        <v>53.29</v>
      </c>
      <c r="H404" s="4">
        <v>52.591000000000001</v>
      </c>
      <c r="I404" s="4">
        <v>52.9499</v>
      </c>
      <c r="J404" s="4">
        <v>-1.09064626952066</v>
      </c>
      <c r="K404" s="4">
        <v>-6.3330974703697098</v>
      </c>
    </row>
    <row r="405" spans="1:11" ht="15" customHeight="1" x14ac:dyDescent="0.2">
      <c r="A405" s="6">
        <v>45463</v>
      </c>
      <c r="B405" s="7">
        <v>53.18</v>
      </c>
      <c r="C405" s="8">
        <v>9930445</v>
      </c>
      <c r="D405" s="7">
        <v>0.18839487565938101</v>
      </c>
      <c r="E405" s="7">
        <v>53</v>
      </c>
      <c r="F405" s="7">
        <v>52.58</v>
      </c>
      <c r="G405" s="7">
        <v>53.23</v>
      </c>
      <c r="H405" s="7">
        <v>53.133299999999998</v>
      </c>
      <c r="I405" s="7">
        <v>53.533763999999998</v>
      </c>
      <c r="J405" s="7">
        <v>0.18839258811484899</v>
      </c>
      <c r="K405" s="7">
        <v>-5.3002582699451599</v>
      </c>
    </row>
    <row r="406" spans="1:11" ht="15" customHeight="1" x14ac:dyDescent="0.2">
      <c r="A406" s="3">
        <v>45462</v>
      </c>
      <c r="B406" s="4">
        <v>53.08</v>
      </c>
      <c r="C406" s="5">
        <v>460757</v>
      </c>
      <c r="D406" s="4">
        <v>3.76931775348587E-2</v>
      </c>
      <c r="E406" s="4">
        <v>53.05</v>
      </c>
      <c r="F406" s="4">
        <v>53</v>
      </c>
      <c r="G406" s="4">
        <v>53.29</v>
      </c>
      <c r="H406" s="4">
        <v>53.121200000000002</v>
      </c>
      <c r="I406" s="4">
        <v>53.433100000000003</v>
      </c>
      <c r="J406" s="4">
        <v>3.7691221352842398E-2</v>
      </c>
      <c r="K406" s="4">
        <v>-5.4783300902175798</v>
      </c>
    </row>
    <row r="407" spans="1:11" ht="15" customHeight="1" x14ac:dyDescent="0.2">
      <c r="A407" s="6">
        <v>45461</v>
      </c>
      <c r="B407" s="7">
        <v>53.06</v>
      </c>
      <c r="C407" s="8">
        <v>23113460</v>
      </c>
      <c r="D407" s="7">
        <v>1.6475095785440701</v>
      </c>
      <c r="E407" s="7">
        <v>52.3</v>
      </c>
      <c r="F407" s="7">
        <v>52.3</v>
      </c>
      <c r="G407" s="7">
        <v>53.34</v>
      </c>
      <c r="H407" s="7">
        <v>53.0351</v>
      </c>
      <c r="I407" s="7">
        <v>53.412967999999999</v>
      </c>
      <c r="J407" s="7">
        <v>1.6475135851556</v>
      </c>
      <c r="K407" s="7">
        <v>-5.5139430390942801</v>
      </c>
    </row>
    <row r="408" spans="1:11" ht="15" customHeight="1" x14ac:dyDescent="0.2">
      <c r="A408" s="3">
        <v>45460</v>
      </c>
      <c r="B408" s="4">
        <v>52.2</v>
      </c>
      <c r="C408" s="5">
        <v>3300734</v>
      </c>
      <c r="D408" s="4">
        <v>0.23041474654379401</v>
      </c>
      <c r="E408" s="4">
        <v>52.06</v>
      </c>
      <c r="F408" s="4">
        <v>51.83</v>
      </c>
      <c r="G408" s="4">
        <v>52.28</v>
      </c>
      <c r="H408" s="4">
        <v>52.200200000000002</v>
      </c>
      <c r="I408" s="4">
        <v>52.547244999999997</v>
      </c>
      <c r="J408" s="4">
        <v>0.230408505630252</v>
      </c>
      <c r="K408" s="4">
        <v>-7.0453829824871796</v>
      </c>
    </row>
    <row r="409" spans="1:11" ht="15" customHeight="1" x14ac:dyDescent="0.2">
      <c r="A409" s="6">
        <v>45457</v>
      </c>
      <c r="B409" s="7">
        <v>52.08</v>
      </c>
      <c r="C409" s="8">
        <v>3514970</v>
      </c>
      <c r="D409" s="7">
        <v>-1.9197542714544099E-2</v>
      </c>
      <c r="E409" s="7">
        <v>52.1</v>
      </c>
      <c r="F409" s="7">
        <v>51.73</v>
      </c>
      <c r="G409" s="7">
        <v>52.21</v>
      </c>
      <c r="H409" s="7">
        <v>52.017299999999999</v>
      </c>
      <c r="I409" s="7">
        <v>52.426450000000003</v>
      </c>
      <c r="J409" s="7">
        <v>-1.9188919354506902E-2</v>
      </c>
      <c r="K409" s="7">
        <v>-7.2590659826640698</v>
      </c>
    </row>
    <row r="410" spans="1:11" ht="15" customHeight="1" x14ac:dyDescent="0.2">
      <c r="A410" s="3">
        <v>45456</v>
      </c>
      <c r="B410" s="4">
        <v>52.09</v>
      </c>
      <c r="C410" s="5">
        <v>4916622</v>
      </c>
      <c r="D410" s="4">
        <v>-1.34469696969695</v>
      </c>
      <c r="E410" s="4">
        <v>52.73</v>
      </c>
      <c r="F410" s="4">
        <v>52.03</v>
      </c>
      <c r="G410" s="4">
        <v>52.85</v>
      </c>
      <c r="H410" s="4">
        <v>52.070099999999996</v>
      </c>
      <c r="I410" s="4">
        <v>52.436512</v>
      </c>
      <c r="J410" s="4">
        <v>-1.3446950262716399</v>
      </c>
      <c r="K410" s="4">
        <v>-7.24126658411463</v>
      </c>
    </row>
    <row r="411" spans="1:11" ht="15" customHeight="1" x14ac:dyDescent="0.2">
      <c r="A411" s="6">
        <v>45455</v>
      </c>
      <c r="B411" s="7">
        <v>52.8</v>
      </c>
      <c r="C411" s="8">
        <v>5665964</v>
      </c>
      <c r="D411" s="7">
        <v>-0.30211480362538601</v>
      </c>
      <c r="E411" s="7">
        <v>53.21</v>
      </c>
      <c r="F411" s="7">
        <v>52.7</v>
      </c>
      <c r="G411" s="7">
        <v>53.55</v>
      </c>
      <c r="H411" s="7">
        <v>52.767400000000002</v>
      </c>
      <c r="I411" s="7">
        <v>53.151234000000002</v>
      </c>
      <c r="J411" s="7">
        <v>-0.30211415760017502</v>
      </c>
      <c r="K411" s="7">
        <v>-5.9769432159914997</v>
      </c>
    </row>
    <row r="412" spans="1:11" ht="15" customHeight="1" x14ac:dyDescent="0.2">
      <c r="A412" s="3">
        <v>45454</v>
      </c>
      <c r="B412" s="4">
        <v>52.96</v>
      </c>
      <c r="C412" s="5">
        <v>8883461</v>
      </c>
      <c r="D412" s="4">
        <v>-1.88786105342564E-2</v>
      </c>
      <c r="E412" s="4">
        <v>52.76</v>
      </c>
      <c r="F412" s="4">
        <v>52.54</v>
      </c>
      <c r="G412" s="4">
        <v>53.35</v>
      </c>
      <c r="H412" s="4">
        <v>52.922499999999999</v>
      </c>
      <c r="I412" s="4">
        <v>53.312297999999998</v>
      </c>
      <c r="J412" s="4">
        <v>-1.8888882845979799E-2</v>
      </c>
      <c r="K412" s="4">
        <v>-5.6920254732000704</v>
      </c>
    </row>
    <row r="413" spans="1:11" ht="15" customHeight="1" x14ac:dyDescent="0.2">
      <c r="A413" s="6">
        <v>45453</v>
      </c>
      <c r="B413" s="7">
        <v>52.97</v>
      </c>
      <c r="C413" s="8">
        <v>5534061</v>
      </c>
      <c r="D413" s="7">
        <v>0.35998484274346598</v>
      </c>
      <c r="E413" s="7">
        <v>53.2</v>
      </c>
      <c r="F413" s="7">
        <v>52.86</v>
      </c>
      <c r="G413" s="7">
        <v>53.39</v>
      </c>
      <c r="H413" s="7">
        <v>52.9114</v>
      </c>
      <c r="I413" s="7">
        <v>53.322369999999999</v>
      </c>
      <c r="J413" s="7">
        <v>0.35999631101180002</v>
      </c>
      <c r="K413" s="7">
        <v>-5.6742083849283498</v>
      </c>
    </row>
    <row r="414" spans="1:11" ht="15" customHeight="1" x14ac:dyDescent="0.2">
      <c r="A414" s="3">
        <v>45450</v>
      </c>
      <c r="B414" s="4">
        <v>52.78</v>
      </c>
      <c r="C414" s="5">
        <v>14292330</v>
      </c>
      <c r="D414" s="4">
        <v>-2.7813593663658098</v>
      </c>
      <c r="E414" s="4">
        <v>54.22</v>
      </c>
      <c r="F414" s="4">
        <v>52.72</v>
      </c>
      <c r="G414" s="4">
        <v>54.4</v>
      </c>
      <c r="H414" s="4">
        <v>52.767899999999997</v>
      </c>
      <c r="I414" s="4">
        <v>53.131100000000004</v>
      </c>
      <c r="J414" s="4">
        <v>-2.7813687360650099</v>
      </c>
      <c r="K414" s="4">
        <v>-6.0125597028126601</v>
      </c>
    </row>
    <row r="415" spans="1:11" ht="15" customHeight="1" x14ac:dyDescent="0.2">
      <c r="A415" s="6">
        <v>45449</v>
      </c>
      <c r="B415" s="7">
        <v>54.29</v>
      </c>
      <c r="C415" s="8">
        <v>24545455</v>
      </c>
      <c r="D415" s="7">
        <v>0.14757424829367999</v>
      </c>
      <c r="E415" s="7">
        <v>54.21</v>
      </c>
      <c r="F415" s="7">
        <v>53.82</v>
      </c>
      <c r="G415" s="7">
        <v>55.44</v>
      </c>
      <c r="H415" s="7">
        <v>54.261099999999999</v>
      </c>
      <c r="I415" s="7">
        <v>54.651150000000001</v>
      </c>
      <c r="J415" s="7">
        <v>0.147581260493057</v>
      </c>
      <c r="K415" s="7">
        <v>-3.3236334689545299</v>
      </c>
    </row>
    <row r="416" spans="1:11" ht="15" customHeight="1" x14ac:dyDescent="0.2">
      <c r="A416" s="3">
        <v>45448</v>
      </c>
      <c r="B416" s="4">
        <v>54.21</v>
      </c>
      <c r="C416" s="5">
        <v>9295200</v>
      </c>
      <c r="D416" s="4">
        <v>1.8028169014084401</v>
      </c>
      <c r="E416" s="4">
        <v>53.38</v>
      </c>
      <c r="F416" s="4">
        <v>53.34</v>
      </c>
      <c r="G416" s="4">
        <v>54.3</v>
      </c>
      <c r="H416" s="4">
        <v>54.195099999999996</v>
      </c>
      <c r="I416" s="4">
        <v>54.570613999999999</v>
      </c>
      <c r="J416" s="4">
        <v>1.8028129496496701</v>
      </c>
      <c r="K416" s="4">
        <v>-3.4660994162391598</v>
      </c>
    </row>
    <row r="417" spans="1:11" ht="15" customHeight="1" x14ac:dyDescent="0.2">
      <c r="A417" s="6">
        <v>45447</v>
      </c>
      <c r="B417" s="7">
        <v>53.25</v>
      </c>
      <c r="C417" s="8">
        <v>21724234</v>
      </c>
      <c r="D417" s="7">
        <v>3.1576908175125999</v>
      </c>
      <c r="E417" s="7">
        <v>51.8</v>
      </c>
      <c r="F417" s="7">
        <v>51.8</v>
      </c>
      <c r="G417" s="7">
        <v>53.5</v>
      </c>
      <c r="H417" s="7">
        <v>53.2744</v>
      </c>
      <c r="I417" s="7">
        <v>53.604230000000001</v>
      </c>
      <c r="J417" s="7">
        <v>3.1576906255167798</v>
      </c>
      <c r="K417" s="7">
        <v>-5.1756058729877896</v>
      </c>
    </row>
    <row r="418" spans="1:11" ht="15" customHeight="1" x14ac:dyDescent="0.2">
      <c r="A418" s="3">
        <v>45446</v>
      </c>
      <c r="B418" s="4">
        <v>51.62</v>
      </c>
      <c r="C418" s="5">
        <v>19479299</v>
      </c>
      <c r="D418" s="4">
        <v>-6.0600545950864504</v>
      </c>
      <c r="E418" s="4">
        <v>54.8</v>
      </c>
      <c r="F418" s="4">
        <v>51.16</v>
      </c>
      <c r="G418" s="4">
        <v>54.8</v>
      </c>
      <c r="H418" s="4">
        <v>51.606499999999997</v>
      </c>
      <c r="I418" s="4">
        <v>51.963386999999997</v>
      </c>
      <c r="J418" s="4">
        <v>-6.0600497480490896</v>
      </c>
      <c r="K418" s="4">
        <v>-8.0782115690783698</v>
      </c>
    </row>
    <row r="419" spans="1:11" ht="15" customHeight="1" x14ac:dyDescent="0.2">
      <c r="A419" s="6">
        <v>45443</v>
      </c>
      <c r="B419" s="7">
        <v>54.95</v>
      </c>
      <c r="C419" s="8">
        <v>9685462</v>
      </c>
      <c r="D419" s="7">
        <v>-0.39876744607576498</v>
      </c>
      <c r="E419" s="7">
        <v>55.05</v>
      </c>
      <c r="F419" s="7">
        <v>54.64</v>
      </c>
      <c r="G419" s="7">
        <v>55.36</v>
      </c>
      <c r="H419" s="7">
        <v>54.959600000000002</v>
      </c>
      <c r="I419" s="7">
        <v>55.315536000000002</v>
      </c>
      <c r="J419" s="7">
        <v>-0.39876838864180097</v>
      </c>
      <c r="K419" s="7">
        <v>-2.1483530868565301</v>
      </c>
    </row>
    <row r="420" spans="1:11" ht="15" customHeight="1" x14ac:dyDescent="0.2">
      <c r="A420" s="3">
        <v>45442</v>
      </c>
      <c r="B420" s="4">
        <v>55.17</v>
      </c>
      <c r="C420" s="5">
        <v>24213443</v>
      </c>
      <c r="D420" s="4">
        <v>-7.2450642999455306E-2</v>
      </c>
      <c r="E420" s="4">
        <v>55.2</v>
      </c>
      <c r="F420" s="4">
        <v>54.55</v>
      </c>
      <c r="G420" s="4">
        <v>55.47</v>
      </c>
      <c r="H420" s="4">
        <v>55.132399999999997</v>
      </c>
      <c r="I420" s="4">
        <v>55.536999999999999</v>
      </c>
      <c r="J420" s="4">
        <v>0.29432031694715999</v>
      </c>
      <c r="K420" s="4">
        <v>-1.75658942154608</v>
      </c>
    </row>
    <row r="421" spans="1:11" ht="15" customHeight="1" x14ac:dyDescent="0.2">
      <c r="A421" s="6">
        <v>45441</v>
      </c>
      <c r="B421" s="7">
        <v>55.21</v>
      </c>
      <c r="C421" s="8">
        <v>24738438</v>
      </c>
      <c r="D421" s="7">
        <v>3.6238448994385601E-2</v>
      </c>
      <c r="E421" s="7">
        <v>54.89</v>
      </c>
      <c r="F421" s="7">
        <v>54.4</v>
      </c>
      <c r="G421" s="7">
        <v>55.44</v>
      </c>
      <c r="H421" s="7">
        <v>55.181899999999999</v>
      </c>
      <c r="I421" s="7">
        <v>55.374023000000001</v>
      </c>
      <c r="J421" s="7">
        <v>3.6234079415375903E-2</v>
      </c>
      <c r="K421" s="7">
        <v>-2.0448912082080302</v>
      </c>
    </row>
    <row r="422" spans="1:11" ht="15" customHeight="1" x14ac:dyDescent="0.2">
      <c r="A422" s="3">
        <v>45440</v>
      </c>
      <c r="B422" s="4">
        <v>55.19</v>
      </c>
      <c r="C422" s="5">
        <v>4708299</v>
      </c>
      <c r="D422" s="4">
        <v>-0.36107600649937199</v>
      </c>
      <c r="E422" s="4">
        <v>55.4</v>
      </c>
      <c r="F422" s="4">
        <v>55.14</v>
      </c>
      <c r="G422" s="4">
        <v>55.46</v>
      </c>
      <c r="H422" s="4">
        <v>55.154699999999998</v>
      </c>
      <c r="I422" s="4">
        <v>55.353966</v>
      </c>
      <c r="J422" s="4">
        <v>-0.36107567047601802</v>
      </c>
      <c r="K422" s="4">
        <v>-2.0803714841677001</v>
      </c>
    </row>
    <row r="423" spans="1:11" ht="15" customHeight="1" x14ac:dyDescent="0.2">
      <c r="A423" s="6">
        <v>45439</v>
      </c>
      <c r="B423" s="7">
        <v>55.39</v>
      </c>
      <c r="C423" s="8">
        <v>371937</v>
      </c>
      <c r="D423" s="7">
        <v>1.80570603105723E-2</v>
      </c>
      <c r="E423" s="7">
        <v>55.7</v>
      </c>
      <c r="F423" s="7">
        <v>55.08</v>
      </c>
      <c r="G423" s="7">
        <v>55.7</v>
      </c>
      <c r="H423" s="7">
        <v>55.383800000000001</v>
      </c>
      <c r="I423" s="7">
        <v>55.554560000000002</v>
      </c>
      <c r="J423" s="7">
        <v>1.80521816611545E-2</v>
      </c>
      <c r="K423" s="7">
        <v>-1.7255262692375699</v>
      </c>
    </row>
    <row r="424" spans="1:11" ht="15" customHeight="1" x14ac:dyDescent="0.2">
      <c r="A424" s="3">
        <v>45436</v>
      </c>
      <c r="B424" s="4">
        <v>55.38</v>
      </c>
      <c r="C424" s="5">
        <v>6275381</v>
      </c>
      <c r="D424" s="4">
        <v>-0.84153983885406602</v>
      </c>
      <c r="E424" s="4">
        <v>56.02</v>
      </c>
      <c r="F424" s="4">
        <v>55.34</v>
      </c>
      <c r="G424" s="4">
        <v>56.02</v>
      </c>
      <c r="H424" s="4">
        <v>55.345399999999998</v>
      </c>
      <c r="I424" s="4">
        <v>55.544533000000001</v>
      </c>
      <c r="J424" s="4">
        <v>-0.84153388805890905</v>
      </c>
      <c r="K424" s="4">
        <v>-1.7432637537590601</v>
      </c>
    </row>
    <row r="425" spans="1:11" ht="15" customHeight="1" x14ac:dyDescent="0.2">
      <c r="A425" s="6">
        <v>45435</v>
      </c>
      <c r="B425" s="7">
        <v>55.85</v>
      </c>
      <c r="C425" s="8">
        <v>6534812</v>
      </c>
      <c r="D425" s="7">
        <v>-0.88731144631766201</v>
      </c>
      <c r="E425" s="7">
        <v>56.36</v>
      </c>
      <c r="F425" s="7">
        <v>55.78</v>
      </c>
      <c r="G425" s="7">
        <v>56.36</v>
      </c>
      <c r="H425" s="7">
        <v>55.8489</v>
      </c>
      <c r="I425" s="7">
        <v>56.015926</v>
      </c>
      <c r="J425" s="7">
        <v>-0.88730888411199205</v>
      </c>
      <c r="K425" s="7">
        <v>-0.90938262869273001</v>
      </c>
    </row>
    <row r="426" spans="1:11" ht="15" customHeight="1" x14ac:dyDescent="0.2">
      <c r="A426" s="3">
        <v>45434</v>
      </c>
      <c r="B426" s="4">
        <v>56.35</v>
      </c>
      <c r="C426" s="5">
        <v>4045776</v>
      </c>
      <c r="D426" s="4">
        <v>-0.51200564971751705</v>
      </c>
      <c r="E426" s="4">
        <v>56.58</v>
      </c>
      <c r="F426" s="4">
        <v>56.09</v>
      </c>
      <c r="G426" s="4">
        <v>56.58</v>
      </c>
      <c r="H426" s="4">
        <v>56.360700000000001</v>
      </c>
      <c r="I426" s="4">
        <v>56.517409999999998</v>
      </c>
      <c r="J426" s="4">
        <v>-0.512008171767519</v>
      </c>
      <c r="K426" s="4">
        <v>-2.2271360339647901E-2</v>
      </c>
    </row>
    <row r="427" spans="1:11" ht="15" customHeight="1" x14ac:dyDescent="0.2">
      <c r="A427" s="6">
        <v>45433</v>
      </c>
      <c r="B427" s="7">
        <v>56.64</v>
      </c>
      <c r="C427" s="8">
        <v>4036675</v>
      </c>
      <c r="D427" s="7">
        <v>-0.96170659206153897</v>
      </c>
      <c r="E427" s="7">
        <v>57</v>
      </c>
      <c r="F427" s="7">
        <v>56.5</v>
      </c>
      <c r="G427" s="7">
        <v>57</v>
      </c>
      <c r="H427" s="7">
        <v>56.631799999999998</v>
      </c>
      <c r="I427" s="7">
        <v>56.808273</v>
      </c>
      <c r="J427" s="7">
        <v>-0.96170312694904203</v>
      </c>
      <c r="K427" s="7">
        <v>0.49225720856182298</v>
      </c>
    </row>
    <row r="428" spans="1:11" ht="15" customHeight="1" x14ac:dyDescent="0.2">
      <c r="A428" s="3">
        <v>45432</v>
      </c>
      <c r="B428" s="4">
        <v>57.19</v>
      </c>
      <c r="C428" s="5">
        <v>3756967</v>
      </c>
      <c r="D428" s="4">
        <v>-0.331125827814582</v>
      </c>
      <c r="E428" s="4">
        <v>57.41</v>
      </c>
      <c r="F428" s="4">
        <v>57.13</v>
      </c>
      <c r="G428" s="4">
        <v>57.44</v>
      </c>
      <c r="H428" s="4">
        <v>57.206200000000003</v>
      </c>
      <c r="I428" s="4">
        <v>57.359904999999998</v>
      </c>
      <c r="J428" s="4">
        <v>-0.33113021210321403</v>
      </c>
      <c r="K428" s="4">
        <v>1.46807889616132</v>
      </c>
    </row>
    <row r="429" spans="1:11" ht="15" customHeight="1" x14ac:dyDescent="0.2">
      <c r="A429" s="6">
        <v>45429</v>
      </c>
      <c r="B429" s="7">
        <v>57.38</v>
      </c>
      <c r="C429" s="8">
        <v>3884452</v>
      </c>
      <c r="D429" s="7">
        <v>0.174581005586604</v>
      </c>
      <c r="E429" s="7">
        <v>57.25</v>
      </c>
      <c r="F429" s="7">
        <v>57.2</v>
      </c>
      <c r="G429" s="7">
        <v>57.65</v>
      </c>
      <c r="H429" s="7">
        <v>57.391500000000001</v>
      </c>
      <c r="I429" s="7">
        <v>57.550471999999999</v>
      </c>
      <c r="J429" s="7">
        <v>0.17457909963582899</v>
      </c>
      <c r="K429" s="7">
        <v>1.8051866265699501</v>
      </c>
    </row>
    <row r="430" spans="1:11" ht="15" customHeight="1" x14ac:dyDescent="0.2">
      <c r="A430" s="3">
        <v>45428</v>
      </c>
      <c r="B430" s="4">
        <v>57.28</v>
      </c>
      <c r="C430" s="5">
        <v>9356362</v>
      </c>
      <c r="D430" s="4"/>
      <c r="E430" s="4">
        <v>57.56</v>
      </c>
      <c r="F430" s="4">
        <v>57.08</v>
      </c>
      <c r="G430" s="4">
        <v>57.56</v>
      </c>
      <c r="H430" s="4">
        <v>57.271500000000003</v>
      </c>
      <c r="I430" s="4">
        <v>57.450175999999999</v>
      </c>
      <c r="J430" s="4"/>
      <c r="K430" s="4">
        <v>1.6277657880771199</v>
      </c>
    </row>
    <row r="431" spans="1:11" ht="15" customHeight="1" x14ac:dyDescent="0.2">
      <c r="A431" s="6">
        <v>45427</v>
      </c>
      <c r="B431" s="7">
        <v>57.28</v>
      </c>
      <c r="C431" s="8">
        <v>13643813</v>
      </c>
      <c r="D431" s="7">
        <v>0.42075736325386498</v>
      </c>
      <c r="E431" s="7">
        <v>57.32</v>
      </c>
      <c r="F431" s="7">
        <v>57.18</v>
      </c>
      <c r="G431" s="7">
        <v>57.92</v>
      </c>
      <c r="H431" s="7">
        <v>57.265300000000003</v>
      </c>
      <c r="I431" s="7">
        <v>57.450175999999999</v>
      </c>
      <c r="J431" s="7">
        <v>0.42075380358825798</v>
      </c>
      <c r="K431" s="7">
        <v>1.6277657880771199</v>
      </c>
    </row>
    <row r="432" spans="1:11" ht="15" customHeight="1" x14ac:dyDescent="0.2">
      <c r="A432" s="3">
        <v>45426</v>
      </c>
      <c r="B432" s="4">
        <v>57.04</v>
      </c>
      <c r="C432" s="5">
        <v>4262277</v>
      </c>
      <c r="D432" s="4">
        <v>-0.86896072297532001</v>
      </c>
      <c r="E432" s="4">
        <v>57.58</v>
      </c>
      <c r="F432" s="4">
        <v>56.95</v>
      </c>
      <c r="G432" s="4">
        <v>57.68</v>
      </c>
      <c r="H432" s="4">
        <v>57.044199999999996</v>
      </c>
      <c r="I432" s="4">
        <v>57.209465000000002</v>
      </c>
      <c r="J432" s="4">
        <v>-0.86895987676515096</v>
      </c>
      <c r="K432" s="4">
        <v>1.2019547143109801</v>
      </c>
    </row>
    <row r="433" spans="1:11" ht="15" customHeight="1" x14ac:dyDescent="0.2">
      <c r="A433" s="6">
        <v>45425</v>
      </c>
      <c r="B433" s="7">
        <v>57.54</v>
      </c>
      <c r="C433" s="8">
        <v>9386372</v>
      </c>
      <c r="D433" s="7">
        <v>1.73822353554564E-2</v>
      </c>
      <c r="E433" s="7">
        <v>57.77</v>
      </c>
      <c r="F433" s="7">
        <v>57.48</v>
      </c>
      <c r="G433" s="7">
        <v>57.98</v>
      </c>
      <c r="H433" s="7">
        <v>57.540799999999997</v>
      </c>
      <c r="I433" s="7">
        <v>57.710949999999997</v>
      </c>
      <c r="J433" s="7">
        <v>1.7389671942114E-2</v>
      </c>
      <c r="K433" s="7">
        <v>2.0890677516362901</v>
      </c>
    </row>
    <row r="434" spans="1:11" ht="15" customHeight="1" x14ac:dyDescent="0.2">
      <c r="A434" s="3">
        <v>45422</v>
      </c>
      <c r="B434" s="4">
        <v>57.53</v>
      </c>
      <c r="C434" s="5">
        <v>3004873</v>
      </c>
      <c r="D434" s="4">
        <v>-0.19083969465648601</v>
      </c>
      <c r="E434" s="4">
        <v>57.35</v>
      </c>
      <c r="F434" s="4">
        <v>57.35</v>
      </c>
      <c r="G434" s="4">
        <v>57.73</v>
      </c>
      <c r="H434" s="4">
        <v>57.5291</v>
      </c>
      <c r="I434" s="4">
        <v>57.700915999999999</v>
      </c>
      <c r="J434" s="4">
        <v>-0.19084349420255201</v>
      </c>
      <c r="K434" s="4">
        <v>2.0713178843092099</v>
      </c>
    </row>
    <row r="435" spans="1:11" ht="15" customHeight="1" x14ac:dyDescent="0.2">
      <c r="A435" s="6">
        <v>45421</v>
      </c>
      <c r="B435" s="7">
        <v>57.64</v>
      </c>
      <c r="C435" s="8">
        <v>17358877</v>
      </c>
      <c r="D435" s="7">
        <v>1.4253035368643401</v>
      </c>
      <c r="E435" s="7">
        <v>56.83</v>
      </c>
      <c r="F435" s="7">
        <v>56.83</v>
      </c>
      <c r="G435" s="7">
        <v>57.78</v>
      </c>
      <c r="H435" s="7">
        <v>57.607399999999998</v>
      </c>
      <c r="I435" s="7">
        <v>57.811245</v>
      </c>
      <c r="J435" s="7">
        <v>1.42530093594885</v>
      </c>
      <c r="K435" s="7">
        <v>2.2664868211568998</v>
      </c>
    </row>
    <row r="436" spans="1:11" ht="15" customHeight="1" x14ac:dyDescent="0.2">
      <c r="A436" s="3">
        <v>45420</v>
      </c>
      <c r="B436" s="4">
        <v>56.83</v>
      </c>
      <c r="C436" s="5">
        <v>2265880</v>
      </c>
      <c r="D436" s="4"/>
      <c r="E436" s="4">
        <v>56.8</v>
      </c>
      <c r="F436" s="4">
        <v>56.52</v>
      </c>
      <c r="G436" s="4">
        <v>56.99</v>
      </c>
      <c r="H436" s="4">
        <v>56.829099999999997</v>
      </c>
      <c r="I436" s="4">
        <v>56.998840000000001</v>
      </c>
      <c r="J436" s="4"/>
      <c r="K436" s="4">
        <v>0.82936493897045804</v>
      </c>
    </row>
    <row r="437" spans="1:11" ht="15" customHeight="1" x14ac:dyDescent="0.2">
      <c r="A437" s="6">
        <v>45419</v>
      </c>
      <c r="B437" s="7">
        <v>56.83</v>
      </c>
      <c r="C437" s="8">
        <v>3680722</v>
      </c>
      <c r="D437" s="7">
        <v>-0.17565431231336601</v>
      </c>
      <c r="E437" s="7">
        <v>56.94</v>
      </c>
      <c r="F437" s="7">
        <v>56.54</v>
      </c>
      <c r="G437" s="7">
        <v>56.94</v>
      </c>
      <c r="H437" s="7">
        <v>56.802999999999997</v>
      </c>
      <c r="I437" s="7">
        <v>56.998840000000001</v>
      </c>
      <c r="J437" s="7">
        <v>-0.17565239516058501</v>
      </c>
      <c r="K437" s="7">
        <v>0.82936493897045804</v>
      </c>
    </row>
    <row r="438" spans="1:11" ht="15" customHeight="1" x14ac:dyDescent="0.2">
      <c r="A438" s="3">
        <v>45418</v>
      </c>
      <c r="B438" s="4">
        <v>56.93</v>
      </c>
      <c r="C438" s="5">
        <v>4383967</v>
      </c>
      <c r="D438" s="4">
        <v>0.15833919774805799</v>
      </c>
      <c r="E438" s="4">
        <v>56.96</v>
      </c>
      <c r="F438" s="4">
        <v>56.87</v>
      </c>
      <c r="G438" s="4">
        <v>57.13</v>
      </c>
      <c r="H438" s="4">
        <v>56.967300000000002</v>
      </c>
      <c r="I438" s="4">
        <v>57.099136000000001</v>
      </c>
      <c r="J438" s="4">
        <v>0.158336764086008</v>
      </c>
      <c r="K438" s="4">
        <v>1.00678577746329</v>
      </c>
    </row>
    <row r="439" spans="1:11" ht="15" customHeight="1" x14ac:dyDescent="0.2">
      <c r="A439" s="6">
        <v>45415</v>
      </c>
      <c r="B439" s="7">
        <v>56.84</v>
      </c>
      <c r="C439" s="8">
        <v>8301127</v>
      </c>
      <c r="D439" s="7">
        <v>0.72656388445861897</v>
      </c>
      <c r="E439" s="7">
        <v>56.76</v>
      </c>
      <c r="F439" s="7">
        <v>56.38</v>
      </c>
      <c r="G439" s="7">
        <v>56.95</v>
      </c>
      <c r="H439" s="7">
        <v>56.805799999999998</v>
      </c>
      <c r="I439" s="7">
        <v>57.008870000000002</v>
      </c>
      <c r="J439" s="7">
        <v>0.72656370974541995</v>
      </c>
      <c r="K439" s="7">
        <v>0.84710773040863296</v>
      </c>
    </row>
    <row r="440" spans="1:11" ht="15" customHeight="1" x14ac:dyDescent="0.2">
      <c r="A440" s="3">
        <v>45414</v>
      </c>
      <c r="B440" s="4">
        <v>56.43</v>
      </c>
      <c r="C440" s="5">
        <v>9027414</v>
      </c>
      <c r="D440" s="4">
        <v>0.10643959552953899</v>
      </c>
      <c r="E440" s="4">
        <v>56.6</v>
      </c>
      <c r="F440" s="4">
        <v>56.26</v>
      </c>
      <c r="G440" s="4">
        <v>56.72</v>
      </c>
      <c r="H440" s="4">
        <v>56.351100000000002</v>
      </c>
      <c r="I440" s="4">
        <v>56.597651999999997</v>
      </c>
      <c r="J440" s="4">
        <v>0.10644622053304</v>
      </c>
      <c r="K440" s="4">
        <v>0.119674509110198</v>
      </c>
    </row>
    <row r="441" spans="1:11" ht="15" customHeight="1" x14ac:dyDescent="0.2">
      <c r="A441" s="6">
        <v>45412</v>
      </c>
      <c r="B441" s="7">
        <v>56.37</v>
      </c>
      <c r="C441" s="8">
        <v>7318313</v>
      </c>
      <c r="D441" s="7">
        <v>-1.81153109214422</v>
      </c>
      <c r="E441" s="7">
        <v>57.5</v>
      </c>
      <c r="F441" s="7">
        <v>56.32</v>
      </c>
      <c r="G441" s="7">
        <v>57.5</v>
      </c>
      <c r="H441" s="7">
        <v>56.4024</v>
      </c>
      <c r="I441" s="7">
        <v>56.537469999999999</v>
      </c>
      <c r="J441" s="7">
        <v>-1.8115366464895399</v>
      </c>
      <c r="K441" s="7">
        <v>1.3214222536702401E-2</v>
      </c>
    </row>
    <row r="442" spans="1:11" ht="15" customHeight="1" x14ac:dyDescent="0.2">
      <c r="A442" s="3">
        <v>45411</v>
      </c>
      <c r="B442" s="4">
        <v>57.41</v>
      </c>
      <c r="C442" s="5">
        <v>10717687</v>
      </c>
      <c r="D442" s="4">
        <v>-0.17388280299078701</v>
      </c>
      <c r="E442" s="4">
        <v>57.64</v>
      </c>
      <c r="F442" s="4">
        <v>57.19</v>
      </c>
      <c r="G442" s="4">
        <v>57.8</v>
      </c>
      <c r="H442" s="4">
        <v>57.495800000000003</v>
      </c>
      <c r="I442" s="4">
        <v>57.580562999999998</v>
      </c>
      <c r="J442" s="4">
        <v>-0.173882636285249</v>
      </c>
      <c r="K442" s="4">
        <v>1.8584167698567</v>
      </c>
    </row>
    <row r="443" spans="1:11" ht="15" customHeight="1" x14ac:dyDescent="0.2">
      <c r="A443" s="6">
        <v>45408</v>
      </c>
      <c r="B443" s="7">
        <v>57.51</v>
      </c>
      <c r="C443" s="8">
        <v>4581721</v>
      </c>
      <c r="D443" s="7">
        <v>1.0720562390157999</v>
      </c>
      <c r="E443" s="7">
        <v>56.85</v>
      </c>
      <c r="F443" s="7">
        <v>56.71</v>
      </c>
      <c r="G443" s="7">
        <v>57.72</v>
      </c>
      <c r="H443" s="7">
        <v>57.503</v>
      </c>
      <c r="I443" s="7">
        <v>57.680860000000003</v>
      </c>
      <c r="J443" s="7">
        <v>1.28967864783244</v>
      </c>
      <c r="K443" s="7">
        <v>2.03583937732177</v>
      </c>
    </row>
    <row r="444" spans="1:11" ht="15" customHeight="1" x14ac:dyDescent="0.2">
      <c r="A444" s="3">
        <v>45407</v>
      </c>
      <c r="B444" s="4">
        <v>56.9</v>
      </c>
      <c r="C444" s="5">
        <v>8960614</v>
      </c>
      <c r="D444" s="4">
        <v>1.13757554212583</v>
      </c>
      <c r="E444" s="4">
        <v>56.15</v>
      </c>
      <c r="F444" s="4">
        <v>56.08</v>
      </c>
      <c r="G444" s="4">
        <v>57.05</v>
      </c>
      <c r="H444" s="4">
        <v>56.884</v>
      </c>
      <c r="I444" s="4">
        <v>56.946434000000004</v>
      </c>
      <c r="J444" s="4">
        <v>1.1375786307334399</v>
      </c>
      <c r="K444" s="4">
        <v>0.73666018043517101</v>
      </c>
    </row>
    <row r="445" spans="1:11" ht="15" customHeight="1" x14ac:dyDescent="0.2">
      <c r="A445" s="6">
        <v>45406</v>
      </c>
      <c r="B445" s="7">
        <v>56.26</v>
      </c>
      <c r="C445" s="8">
        <v>4234796</v>
      </c>
      <c r="D445" s="7">
        <v>-0.28358738036158199</v>
      </c>
      <c r="E445" s="7">
        <v>56.42</v>
      </c>
      <c r="F445" s="7">
        <v>56.03</v>
      </c>
      <c r="G445" s="7">
        <v>56.63</v>
      </c>
      <c r="H445" s="7">
        <v>56.266399999999997</v>
      </c>
      <c r="I445" s="7">
        <v>56.305909999999997</v>
      </c>
      <c r="J445" s="7">
        <v>-0.28358285027896202</v>
      </c>
      <c r="K445" s="7">
        <v>-0.39640898637892003</v>
      </c>
    </row>
    <row r="446" spans="1:11" ht="15" customHeight="1" x14ac:dyDescent="0.2">
      <c r="A446" s="3">
        <v>45405</v>
      </c>
      <c r="B446" s="4">
        <v>56.42</v>
      </c>
      <c r="C446" s="5">
        <v>3872172</v>
      </c>
      <c r="D446" s="4">
        <v>-5.3144375553593103E-2</v>
      </c>
      <c r="E446" s="4">
        <v>56.54</v>
      </c>
      <c r="F446" s="4">
        <v>56.16</v>
      </c>
      <c r="G446" s="4">
        <v>56.64</v>
      </c>
      <c r="H446" s="4">
        <v>56.435499999999998</v>
      </c>
      <c r="I446" s="4">
        <v>56.466037999999998</v>
      </c>
      <c r="J446" s="4">
        <v>-5.31523725359472E-2</v>
      </c>
      <c r="K446" s="4">
        <v>-0.11314700159208101</v>
      </c>
    </row>
    <row r="447" spans="1:11" ht="15" customHeight="1" x14ac:dyDescent="0.2">
      <c r="A447" s="6">
        <v>45404</v>
      </c>
      <c r="B447" s="7">
        <v>56.45</v>
      </c>
      <c r="C447" s="8">
        <v>4799144</v>
      </c>
      <c r="D447" s="7">
        <v>1.4740248067589301</v>
      </c>
      <c r="E447" s="7">
        <v>56.09</v>
      </c>
      <c r="F447" s="7">
        <v>55.6</v>
      </c>
      <c r="G447" s="7">
        <v>56.5</v>
      </c>
      <c r="H447" s="7">
        <v>56.35</v>
      </c>
      <c r="I447" s="7">
        <v>56.496066999999996</v>
      </c>
      <c r="J447" s="7">
        <v>1.4740281326422799</v>
      </c>
      <c r="K447" s="7">
        <v>-6.0026534583415198E-2</v>
      </c>
    </row>
    <row r="448" spans="1:11" ht="15" customHeight="1" x14ac:dyDescent="0.2">
      <c r="A448" s="3">
        <v>45401</v>
      </c>
      <c r="B448" s="4">
        <v>55.63</v>
      </c>
      <c r="C448" s="5">
        <v>1741356</v>
      </c>
      <c r="D448" s="4">
        <v>0.18008283810553299</v>
      </c>
      <c r="E448" s="4">
        <v>55.54</v>
      </c>
      <c r="F448" s="4">
        <v>55.54</v>
      </c>
      <c r="G448" s="4">
        <v>55.8</v>
      </c>
      <c r="H448" s="4">
        <v>55.666400000000003</v>
      </c>
      <c r="I448" s="4">
        <v>55.675395999999999</v>
      </c>
      <c r="J448" s="4">
        <v>0.18008355292422601</v>
      </c>
      <c r="K448" s="4">
        <v>-1.5117707411993599</v>
      </c>
    </row>
    <row r="449" spans="1:11" ht="15" customHeight="1" x14ac:dyDescent="0.2">
      <c r="A449" s="6">
        <v>45400</v>
      </c>
      <c r="B449" s="7">
        <v>55.53</v>
      </c>
      <c r="C449" s="8">
        <v>3142308</v>
      </c>
      <c r="D449" s="7">
        <v>0.524981897175957</v>
      </c>
      <c r="E449" s="7">
        <v>55.42</v>
      </c>
      <c r="F449" s="7">
        <v>55.42</v>
      </c>
      <c r="G449" s="7">
        <v>55.74</v>
      </c>
      <c r="H449" s="7">
        <v>55.537700000000001</v>
      </c>
      <c r="I449" s="7">
        <v>55.575313999999999</v>
      </c>
      <c r="J449" s="7">
        <v>0.524977082424404</v>
      </c>
      <c r="K449" s="7">
        <v>-1.6888130196355899</v>
      </c>
    </row>
    <row r="450" spans="1:11" ht="15" customHeight="1" x14ac:dyDescent="0.2">
      <c r="A450" s="3">
        <v>45399</v>
      </c>
      <c r="B450" s="4">
        <v>55.24</v>
      </c>
      <c r="C450" s="5">
        <v>2547569</v>
      </c>
      <c r="D450" s="4">
        <v>-0.71890726096333002</v>
      </c>
      <c r="E450" s="4">
        <v>55.75</v>
      </c>
      <c r="F450" s="4">
        <v>55.2</v>
      </c>
      <c r="G450" s="4">
        <v>55.8</v>
      </c>
      <c r="H450" s="4">
        <v>55.2164</v>
      </c>
      <c r="I450" s="4">
        <v>55.285080000000001</v>
      </c>
      <c r="J450" s="4">
        <v>-0.71889936252952302</v>
      </c>
      <c r="K450" s="4">
        <v>-2.2022289050061898</v>
      </c>
    </row>
    <row r="451" spans="1:11" ht="15" customHeight="1" x14ac:dyDescent="0.2">
      <c r="A451" s="6">
        <v>45398</v>
      </c>
      <c r="B451" s="7">
        <v>55.64</v>
      </c>
      <c r="C451" s="8">
        <v>2711051</v>
      </c>
      <c r="D451" s="7">
        <v>-0.233100233100236</v>
      </c>
      <c r="E451" s="7">
        <v>55.77</v>
      </c>
      <c r="F451" s="7">
        <v>55.49</v>
      </c>
      <c r="G451" s="7">
        <v>55.8</v>
      </c>
      <c r="H451" s="7">
        <v>55.595999999999997</v>
      </c>
      <c r="I451" s="7">
        <v>55.685402000000003</v>
      </c>
      <c r="J451" s="7">
        <v>-0.233103665988176</v>
      </c>
      <c r="K451" s="7">
        <v>-1.4940704050946301</v>
      </c>
    </row>
    <row r="452" spans="1:11" ht="15" customHeight="1" x14ac:dyDescent="0.2">
      <c r="A452" s="3">
        <v>45397</v>
      </c>
      <c r="B452" s="4">
        <v>55.77</v>
      </c>
      <c r="C452" s="5">
        <v>1951787</v>
      </c>
      <c r="D452" s="4">
        <v>-1.0292812777284699</v>
      </c>
      <c r="E452" s="4">
        <v>56.11</v>
      </c>
      <c r="F452" s="4">
        <v>55.72</v>
      </c>
      <c r="G452" s="4">
        <v>56.5</v>
      </c>
      <c r="H452" s="4">
        <v>55.751199999999997</v>
      </c>
      <c r="I452" s="4">
        <v>55.815510000000003</v>
      </c>
      <c r="J452" s="4">
        <v>-1.02927549091265</v>
      </c>
      <c r="K452" s="4">
        <v>-1.2639129665664199</v>
      </c>
    </row>
    <row r="453" spans="1:11" ht="15" customHeight="1" x14ac:dyDescent="0.2">
      <c r="A453" s="6">
        <v>45394</v>
      </c>
      <c r="B453" s="7">
        <v>56.35</v>
      </c>
      <c r="C453" s="8">
        <v>10042790</v>
      </c>
      <c r="D453" s="7">
        <v>-0.42410319844495797</v>
      </c>
      <c r="E453" s="7">
        <v>56.64</v>
      </c>
      <c r="F453" s="7">
        <v>56.26</v>
      </c>
      <c r="G453" s="7">
        <v>56.86</v>
      </c>
      <c r="H453" s="7">
        <v>56.3309</v>
      </c>
      <c r="I453" s="7">
        <v>56.395980000000002</v>
      </c>
      <c r="J453" s="7">
        <v>-0.42411052440330899</v>
      </c>
      <c r="K453" s="7">
        <v>-0.23707765788077001</v>
      </c>
    </row>
    <row r="454" spans="1:11" ht="15" customHeight="1" x14ac:dyDescent="0.2">
      <c r="A454" s="3">
        <v>45393</v>
      </c>
      <c r="B454" s="4">
        <v>56.59</v>
      </c>
      <c r="C454" s="5">
        <v>5864689</v>
      </c>
      <c r="D454" s="4">
        <v>0.390278516941644</v>
      </c>
      <c r="E454" s="4">
        <v>56.48</v>
      </c>
      <c r="F454" s="4">
        <v>56.31</v>
      </c>
      <c r="G454" s="4">
        <v>56.63</v>
      </c>
      <c r="H454" s="4">
        <v>56.573799999999999</v>
      </c>
      <c r="I454" s="4">
        <v>56.636180000000003</v>
      </c>
      <c r="J454" s="4">
        <v>0.39027935337494402</v>
      </c>
      <c r="K454" s="4">
        <v>0.18782947107730699</v>
      </c>
    </row>
    <row r="455" spans="1:11" ht="15" customHeight="1" x14ac:dyDescent="0.2">
      <c r="A455" s="6">
        <v>45392</v>
      </c>
      <c r="B455" s="7">
        <v>56.37</v>
      </c>
      <c r="C455" s="8">
        <v>15580464</v>
      </c>
      <c r="D455" s="7">
        <v>-1.6402024079567299</v>
      </c>
      <c r="E455" s="7">
        <v>57.01</v>
      </c>
      <c r="F455" s="7">
        <v>56.19</v>
      </c>
      <c r="G455" s="7">
        <v>57.01</v>
      </c>
      <c r="H455" s="7">
        <v>56.381599999999999</v>
      </c>
      <c r="I455" s="7">
        <v>56.415999999999997</v>
      </c>
      <c r="J455" s="7">
        <v>-1.6402074245115299</v>
      </c>
      <c r="K455" s="7">
        <v>-0.201662833893515</v>
      </c>
    </row>
    <row r="456" spans="1:11" ht="15" customHeight="1" x14ac:dyDescent="0.2">
      <c r="A456" s="3">
        <v>45391</v>
      </c>
      <c r="B456" s="4">
        <v>57.31</v>
      </c>
      <c r="C456" s="5">
        <v>2625834</v>
      </c>
      <c r="D456" s="4">
        <v>-0.67590987868284502</v>
      </c>
      <c r="E456" s="4">
        <v>57.9</v>
      </c>
      <c r="F456" s="4">
        <v>57.22</v>
      </c>
      <c r="G456" s="4">
        <v>58</v>
      </c>
      <c r="H456" s="4">
        <v>57.3065</v>
      </c>
      <c r="I456" s="4">
        <v>57.356769999999997</v>
      </c>
      <c r="J456" s="4">
        <v>-0.67590596692620397</v>
      </c>
      <c r="K456" s="4">
        <v>1.4625331682292499</v>
      </c>
    </row>
    <row r="457" spans="1:11" ht="15" customHeight="1" x14ac:dyDescent="0.2">
      <c r="A457" s="6">
        <v>45390</v>
      </c>
      <c r="B457" s="7">
        <v>57.7</v>
      </c>
      <c r="C457" s="8">
        <v>3320382</v>
      </c>
      <c r="D457" s="7">
        <v>-0.10387811634348</v>
      </c>
      <c r="E457" s="7">
        <v>57.76</v>
      </c>
      <c r="F457" s="7">
        <v>57.46</v>
      </c>
      <c r="G457" s="7">
        <v>57.9</v>
      </c>
      <c r="H457" s="7">
        <v>57.689700000000002</v>
      </c>
      <c r="I457" s="7">
        <v>57.747086000000003</v>
      </c>
      <c r="J457" s="7">
        <v>-0.103874724248986</v>
      </c>
      <c r="K457" s="7">
        <v>2.1529913320360898</v>
      </c>
    </row>
    <row r="458" spans="1:11" ht="15" customHeight="1" x14ac:dyDescent="0.2">
      <c r="A458" s="3">
        <v>45387</v>
      </c>
      <c r="B458" s="4">
        <v>57.76</v>
      </c>
      <c r="C458" s="5">
        <v>3428844</v>
      </c>
      <c r="D458" s="4">
        <v>0.29519013717658099</v>
      </c>
      <c r="E458" s="4">
        <v>57.71</v>
      </c>
      <c r="F458" s="4">
        <v>57.57</v>
      </c>
      <c r="G458" s="4">
        <v>57.89</v>
      </c>
      <c r="H458" s="4">
        <v>57.7928</v>
      </c>
      <c r="I458" s="4">
        <v>57.807133</v>
      </c>
      <c r="J458" s="4">
        <v>0.29518539975286101</v>
      </c>
      <c r="K458" s="4">
        <v>2.2592128073589199</v>
      </c>
    </row>
    <row r="459" spans="1:11" ht="15" customHeight="1" x14ac:dyDescent="0.2">
      <c r="A459" s="6">
        <v>45386</v>
      </c>
      <c r="B459" s="7">
        <v>57.59</v>
      </c>
      <c r="C459" s="8">
        <v>5872758</v>
      </c>
      <c r="D459" s="7">
        <v>0.64662705347782101</v>
      </c>
      <c r="E459" s="7">
        <v>57.4</v>
      </c>
      <c r="F459" s="7">
        <v>57.4</v>
      </c>
      <c r="G459" s="7">
        <v>57.93</v>
      </c>
      <c r="H459" s="7">
        <v>57.584800000000001</v>
      </c>
      <c r="I459" s="7">
        <v>57.636997000000001</v>
      </c>
      <c r="J459" s="7">
        <v>0.64663066889509802</v>
      </c>
      <c r="K459" s="7">
        <v>1.9582469485228999</v>
      </c>
    </row>
    <row r="460" spans="1:11" ht="15" customHeight="1" x14ac:dyDescent="0.2">
      <c r="A460" s="3">
        <v>45385</v>
      </c>
      <c r="B460" s="4">
        <v>57.22</v>
      </c>
      <c r="C460" s="5">
        <v>4829252</v>
      </c>
      <c r="D460" s="4">
        <v>-3.4940600978339197E-2</v>
      </c>
      <c r="E460" s="4">
        <v>57.13</v>
      </c>
      <c r="F460" s="4">
        <v>57.13</v>
      </c>
      <c r="G460" s="4">
        <v>57.73</v>
      </c>
      <c r="H460" s="4">
        <v>57.207999999999998</v>
      </c>
      <c r="I460" s="4">
        <v>57.266692999999997</v>
      </c>
      <c r="J460" s="4">
        <v>-3.49470216592817E-2</v>
      </c>
      <c r="K460" s="4">
        <v>1.30318945692551</v>
      </c>
    </row>
    <row r="461" spans="1:11" ht="15" customHeight="1" x14ac:dyDescent="0.2">
      <c r="A461" s="6">
        <v>45384</v>
      </c>
      <c r="B461" s="7">
        <v>57.24</v>
      </c>
      <c r="C461" s="8">
        <v>12386592</v>
      </c>
      <c r="D461" s="7">
        <v>-0.17439832577607001</v>
      </c>
      <c r="E461" s="7">
        <v>57</v>
      </c>
      <c r="F461" s="7">
        <v>56.94</v>
      </c>
      <c r="G461" s="7">
        <v>57.46</v>
      </c>
      <c r="H461" s="7">
        <v>57.285499999999999</v>
      </c>
      <c r="I461" s="7">
        <v>57.286712999999999</v>
      </c>
      <c r="J461" s="7">
        <v>-0.174390308292204</v>
      </c>
      <c r="K461" s="7">
        <v>1.3386042809127801</v>
      </c>
    </row>
    <row r="462" spans="1:11" ht="15" customHeight="1" x14ac:dyDescent="0.2">
      <c r="A462" s="3">
        <v>45383</v>
      </c>
      <c r="B462" s="4">
        <v>57.34</v>
      </c>
      <c r="C462" s="5">
        <v>23876748</v>
      </c>
      <c r="D462" s="4">
        <v>0.50832602979842201</v>
      </c>
      <c r="E462" s="4">
        <v>57.4</v>
      </c>
      <c r="F462" s="4">
        <v>57</v>
      </c>
      <c r="G462" s="4">
        <v>57.41</v>
      </c>
      <c r="H462" s="4">
        <v>57.344499999999996</v>
      </c>
      <c r="I462" s="4">
        <v>57.386789999999998</v>
      </c>
      <c r="J462" s="4">
        <v>0.50832489820664595</v>
      </c>
      <c r="K462" s="4">
        <v>1.5156377144878701</v>
      </c>
    </row>
    <row r="463" spans="1:11" ht="15" customHeight="1" x14ac:dyDescent="0.2">
      <c r="A463" s="6">
        <v>45378</v>
      </c>
      <c r="B463" s="7">
        <v>57.05</v>
      </c>
      <c r="C463" s="8">
        <v>9049339</v>
      </c>
      <c r="D463" s="7">
        <v>0.21078517477604</v>
      </c>
      <c r="E463" s="7">
        <v>57.15</v>
      </c>
      <c r="F463" s="7">
        <v>56.79</v>
      </c>
      <c r="G463" s="7">
        <v>57.3</v>
      </c>
      <c r="H463" s="7">
        <v>57.063899999999997</v>
      </c>
      <c r="I463" s="7">
        <v>57.096553999999998</v>
      </c>
      <c r="J463" s="7">
        <v>0.210785311041461</v>
      </c>
      <c r="K463" s="7">
        <v>1.0022182911728199</v>
      </c>
    </row>
    <row r="464" spans="1:11" ht="15" customHeight="1" x14ac:dyDescent="0.2">
      <c r="A464" s="3">
        <v>45377</v>
      </c>
      <c r="B464" s="4">
        <v>56.93</v>
      </c>
      <c r="C464" s="5">
        <v>7739367</v>
      </c>
      <c r="D464" s="4">
        <v>1.11900532859681</v>
      </c>
      <c r="E464" s="4">
        <v>56.26</v>
      </c>
      <c r="F464" s="4">
        <v>56.25</v>
      </c>
      <c r="G464" s="4">
        <v>57.09</v>
      </c>
      <c r="H464" s="4">
        <v>56.905999999999999</v>
      </c>
      <c r="I464" s="4">
        <v>56.976455999999999</v>
      </c>
      <c r="J464" s="4">
        <v>1.11900336817505</v>
      </c>
      <c r="K464" s="4">
        <v>0.78976826463824101</v>
      </c>
    </row>
    <row r="465" spans="1:11" ht="15" customHeight="1" x14ac:dyDescent="0.2">
      <c r="A465" s="6">
        <v>45376</v>
      </c>
      <c r="B465" s="7">
        <v>56.3</v>
      </c>
      <c r="C465" s="8">
        <v>6408174</v>
      </c>
      <c r="D465" s="7">
        <v>-1.7758835020431601E-2</v>
      </c>
      <c r="E465" s="7">
        <v>56.75</v>
      </c>
      <c r="F465" s="7">
        <v>56.05</v>
      </c>
      <c r="G465" s="7">
        <v>56.75</v>
      </c>
      <c r="H465" s="7">
        <v>56.253</v>
      </c>
      <c r="I465" s="7">
        <v>56.345942999999998</v>
      </c>
      <c r="J465" s="7">
        <v>2.8746798982770501E-2</v>
      </c>
      <c r="K465" s="7">
        <v>-0.32559172120998198</v>
      </c>
    </row>
    <row r="466" spans="1:11" ht="15" customHeight="1" x14ac:dyDescent="0.2">
      <c r="A466" s="3">
        <v>45373</v>
      </c>
      <c r="B466" s="4">
        <v>56.31</v>
      </c>
      <c r="C466" s="5">
        <v>3940221</v>
      </c>
      <c r="D466" s="4">
        <v>-8.8715400993610805E-2</v>
      </c>
      <c r="E466" s="4">
        <v>56.44</v>
      </c>
      <c r="F466" s="4">
        <v>56.25</v>
      </c>
      <c r="G466" s="4">
        <v>56.53</v>
      </c>
      <c r="H466" s="4">
        <v>56.337899999999998</v>
      </c>
      <c r="I466" s="4">
        <v>56.329749999999997</v>
      </c>
      <c r="J466" s="4">
        <v>-8.8719765972799999E-2</v>
      </c>
      <c r="K466" s="4">
        <v>-0.35423668848399698</v>
      </c>
    </row>
    <row r="467" spans="1:11" ht="15" customHeight="1" x14ac:dyDescent="0.2">
      <c r="A467" s="6">
        <v>45372</v>
      </c>
      <c r="B467" s="7">
        <v>56.36</v>
      </c>
      <c r="C467" s="8">
        <v>3847811</v>
      </c>
      <c r="D467" s="7">
        <v>5.3257589206467899E-2</v>
      </c>
      <c r="E467" s="7">
        <v>56.4</v>
      </c>
      <c r="F467" s="7">
        <v>56.25</v>
      </c>
      <c r="G467" s="7">
        <v>56.73</v>
      </c>
      <c r="H467" s="7">
        <v>56.3842</v>
      </c>
      <c r="I467" s="7">
        <v>56.379770000000001</v>
      </c>
      <c r="J467" s="7">
        <v>5.3256659833156299E-2</v>
      </c>
      <c r="K467" s="7">
        <v>-0.26575269768264698</v>
      </c>
    </row>
    <row r="468" spans="1:11" ht="15" customHeight="1" x14ac:dyDescent="0.2">
      <c r="A468" s="3">
        <v>45371</v>
      </c>
      <c r="B468" s="4">
        <v>56.33</v>
      </c>
      <c r="C468" s="5">
        <v>4177087</v>
      </c>
      <c r="D468" s="4">
        <v>1.88099113763791</v>
      </c>
      <c r="E468" s="4">
        <v>55.5</v>
      </c>
      <c r="F468" s="4">
        <v>55.34</v>
      </c>
      <c r="G468" s="4">
        <v>56.6</v>
      </c>
      <c r="H468" s="4">
        <v>56.343699999999998</v>
      </c>
      <c r="I468" s="4">
        <v>56.349760000000003</v>
      </c>
      <c r="J468" s="4">
        <v>1.88100067637702</v>
      </c>
      <c r="K468" s="4">
        <v>-0.31883955421899401</v>
      </c>
    </row>
    <row r="469" spans="1:11" ht="15" customHeight="1" x14ac:dyDescent="0.2">
      <c r="A469" s="6">
        <v>45370</v>
      </c>
      <c r="B469" s="7">
        <v>55.29</v>
      </c>
      <c r="C469" s="8">
        <v>4650100</v>
      </c>
      <c r="D469" s="7">
        <v>-1.25022325415252</v>
      </c>
      <c r="E469" s="7">
        <v>55.94</v>
      </c>
      <c r="F469" s="7">
        <v>55.22</v>
      </c>
      <c r="G469" s="7">
        <v>55.94</v>
      </c>
      <c r="H469" s="7">
        <v>55.2806</v>
      </c>
      <c r="I469" s="7">
        <v>55.30939</v>
      </c>
      <c r="J469" s="7">
        <v>-1.25023121019881</v>
      </c>
      <c r="K469" s="7">
        <v>-2.1592251901645101</v>
      </c>
    </row>
    <row r="470" spans="1:11" ht="15" customHeight="1" x14ac:dyDescent="0.2">
      <c r="A470" s="3">
        <v>45366</v>
      </c>
      <c r="B470" s="4">
        <v>55.99</v>
      </c>
      <c r="C470" s="5">
        <v>15277710</v>
      </c>
      <c r="D470" s="4">
        <v>0.412482065997132</v>
      </c>
      <c r="E470" s="4">
        <v>55.96</v>
      </c>
      <c r="F470" s="4">
        <v>55.69</v>
      </c>
      <c r="G470" s="4">
        <v>56.33</v>
      </c>
      <c r="H470" s="4">
        <v>55.961599999999997</v>
      </c>
      <c r="I470" s="4">
        <v>56.009639999999997</v>
      </c>
      <c r="J470" s="4">
        <v>0.41249524556954398</v>
      </c>
      <c r="K470" s="4">
        <v>-0.92050238811251295</v>
      </c>
    </row>
    <row r="471" spans="1:11" ht="15" customHeight="1" x14ac:dyDescent="0.2">
      <c r="A471" s="6">
        <v>45365</v>
      </c>
      <c r="B471" s="7">
        <v>55.76</v>
      </c>
      <c r="C471" s="8">
        <v>3612745</v>
      </c>
      <c r="D471" s="7">
        <v>0.32385750269880997</v>
      </c>
      <c r="E471" s="7">
        <v>55.56</v>
      </c>
      <c r="F471" s="7">
        <v>55.56</v>
      </c>
      <c r="G471" s="7">
        <v>56.21</v>
      </c>
      <c r="H471" s="7">
        <v>55.793900000000001</v>
      </c>
      <c r="I471" s="7">
        <v>55.779552000000002</v>
      </c>
      <c r="J471" s="7">
        <v>0.32384646659111499</v>
      </c>
      <c r="K471" s="7">
        <v>-1.32752166990978</v>
      </c>
    </row>
    <row r="472" spans="1:11" ht="15" customHeight="1" x14ac:dyDescent="0.2">
      <c r="A472" s="3">
        <v>45364</v>
      </c>
      <c r="B472" s="4">
        <v>55.58</v>
      </c>
      <c r="C472" s="5">
        <v>4149716</v>
      </c>
      <c r="D472" s="4">
        <v>1.6831320892791899</v>
      </c>
      <c r="E472" s="4">
        <v>54.7</v>
      </c>
      <c r="F472" s="4">
        <v>54.68</v>
      </c>
      <c r="G472" s="4">
        <v>55.64</v>
      </c>
      <c r="H472" s="4">
        <v>55.576300000000003</v>
      </c>
      <c r="I472" s="4">
        <v>55.599494999999997</v>
      </c>
      <c r="J472" s="4">
        <v>1.68313637533268</v>
      </c>
      <c r="K472" s="4">
        <v>-1.6460375022112199</v>
      </c>
    </row>
    <row r="473" spans="1:11" ht="15" customHeight="1" x14ac:dyDescent="0.2">
      <c r="A473" s="6">
        <v>45363</v>
      </c>
      <c r="B473" s="7">
        <v>54.66</v>
      </c>
      <c r="C473" s="8">
        <v>7403316</v>
      </c>
      <c r="D473" s="7">
        <v>-0.237269574739917</v>
      </c>
      <c r="E473" s="7">
        <v>55.11</v>
      </c>
      <c r="F473" s="7">
        <v>54.48</v>
      </c>
      <c r="G473" s="7">
        <v>55.11</v>
      </c>
      <c r="H473" s="7">
        <v>54.6327</v>
      </c>
      <c r="I473" s="7">
        <v>54.679169999999999</v>
      </c>
      <c r="J473" s="7">
        <v>-0.237270315999416</v>
      </c>
      <c r="K473" s="7">
        <v>-3.27406686715018</v>
      </c>
    </row>
    <row r="474" spans="1:11" ht="15" customHeight="1" x14ac:dyDescent="0.2">
      <c r="A474" s="3">
        <v>45362</v>
      </c>
      <c r="B474" s="4">
        <v>54.79</v>
      </c>
      <c r="C474" s="5">
        <v>3131314</v>
      </c>
      <c r="D474" s="4">
        <v>0.18284878405558899</v>
      </c>
      <c r="E474" s="4">
        <v>54.96</v>
      </c>
      <c r="F474" s="4">
        <v>54.51</v>
      </c>
      <c r="G474" s="4">
        <v>55.1</v>
      </c>
      <c r="H474" s="4">
        <v>54.809100000000001</v>
      </c>
      <c r="I474" s="4">
        <v>54.809215999999999</v>
      </c>
      <c r="J474" s="4">
        <v>0.18285048322785799</v>
      </c>
      <c r="K474" s="4">
        <v>-3.04401910490005</v>
      </c>
    </row>
    <row r="475" spans="1:11" ht="15" customHeight="1" x14ac:dyDescent="0.2">
      <c r="A475" s="6">
        <v>45359</v>
      </c>
      <c r="B475" s="7">
        <v>54.69</v>
      </c>
      <c r="C475" s="8">
        <v>3626797</v>
      </c>
      <c r="D475" s="7">
        <v>-0.218938149972636</v>
      </c>
      <c r="E475" s="7">
        <v>54.81</v>
      </c>
      <c r="F475" s="7">
        <v>54.6</v>
      </c>
      <c r="G475" s="7">
        <v>55.04</v>
      </c>
      <c r="H475" s="7">
        <v>54.670900000000003</v>
      </c>
      <c r="I475" s="7">
        <v>54.709180000000003</v>
      </c>
      <c r="J475" s="7">
        <v>-0.218941635942171</v>
      </c>
      <c r="K475" s="7">
        <v>-3.22098001061382</v>
      </c>
    </row>
    <row r="476" spans="1:11" ht="15" customHeight="1" x14ac:dyDescent="0.2">
      <c r="A476" s="3">
        <v>45358</v>
      </c>
      <c r="B476" s="4">
        <v>54.81</v>
      </c>
      <c r="C476" s="5">
        <v>4156278</v>
      </c>
      <c r="D476" s="4">
        <v>-0.32733224222586399</v>
      </c>
      <c r="E476" s="4">
        <v>55.18</v>
      </c>
      <c r="F476" s="4">
        <v>54.75</v>
      </c>
      <c r="G476" s="4">
        <v>55.27</v>
      </c>
      <c r="H476" s="4">
        <v>54.784100000000002</v>
      </c>
      <c r="I476" s="4">
        <v>54.829224000000004</v>
      </c>
      <c r="J476" s="4">
        <v>-0.32733743700381601</v>
      </c>
      <c r="K476" s="4">
        <v>-3.0086255085795099</v>
      </c>
    </row>
    <row r="477" spans="1:11" ht="15" customHeight="1" x14ac:dyDescent="0.2">
      <c r="A477" s="6">
        <v>45357</v>
      </c>
      <c r="B477" s="7">
        <v>54.99</v>
      </c>
      <c r="C477" s="8">
        <v>2883584</v>
      </c>
      <c r="D477" s="7">
        <v>-0.45257060101375701</v>
      </c>
      <c r="E477" s="7">
        <v>55.4</v>
      </c>
      <c r="F477" s="7">
        <v>54.93</v>
      </c>
      <c r="G477" s="7">
        <v>55.45</v>
      </c>
      <c r="H477" s="7">
        <v>55.018099999999997</v>
      </c>
      <c r="I477" s="7">
        <v>55.00929</v>
      </c>
      <c r="J477" s="7">
        <v>-0.452569344022824</v>
      </c>
      <c r="K477" s="7">
        <v>-2.6900937555280402</v>
      </c>
    </row>
    <row r="478" spans="1:11" ht="15" customHeight="1" x14ac:dyDescent="0.2">
      <c r="A478" s="3">
        <v>45356</v>
      </c>
      <c r="B478" s="4">
        <v>55.24</v>
      </c>
      <c r="C478" s="5">
        <v>3191548</v>
      </c>
      <c r="D478" s="4">
        <v>0.16319129646420399</v>
      </c>
      <c r="E478" s="4">
        <v>55.24</v>
      </c>
      <c r="F478" s="4">
        <v>54.95</v>
      </c>
      <c r="G478" s="4">
        <v>55.34</v>
      </c>
      <c r="H478" s="4">
        <v>55.209099999999999</v>
      </c>
      <c r="I478" s="4">
        <v>55.259377000000001</v>
      </c>
      <c r="J478" s="4">
        <v>0.163197523726132</v>
      </c>
      <c r="K478" s="4">
        <v>-2.2476967981602698</v>
      </c>
    </row>
    <row r="479" spans="1:11" ht="15" customHeight="1" x14ac:dyDescent="0.2">
      <c r="A479" s="6">
        <v>45355</v>
      </c>
      <c r="B479" s="7">
        <v>55.15</v>
      </c>
      <c r="C479" s="8">
        <v>3076643</v>
      </c>
      <c r="D479" s="7">
        <v>-0.23516642547033401</v>
      </c>
      <c r="E479" s="7">
        <v>55.42</v>
      </c>
      <c r="F479" s="7">
        <v>55.14</v>
      </c>
      <c r="G479" s="7">
        <v>55.63</v>
      </c>
      <c r="H479" s="7">
        <v>55.195500000000003</v>
      </c>
      <c r="I479" s="7">
        <v>55.169342</v>
      </c>
      <c r="J479" s="7">
        <v>-0.235161747278023</v>
      </c>
      <c r="K479" s="7">
        <v>-2.4069662126304601</v>
      </c>
    </row>
    <row r="480" spans="1:11" ht="15" customHeight="1" x14ac:dyDescent="0.2">
      <c r="A480" s="3">
        <v>45352</v>
      </c>
      <c r="B480" s="4">
        <v>55.28</v>
      </c>
      <c r="C480" s="5">
        <v>2270112</v>
      </c>
      <c r="D480" s="4">
        <v>0.18122508155129499</v>
      </c>
      <c r="E480" s="4">
        <v>55.04</v>
      </c>
      <c r="F480" s="4">
        <v>54.94</v>
      </c>
      <c r="G480" s="4">
        <v>55.73</v>
      </c>
      <c r="H480" s="4">
        <v>55.27</v>
      </c>
      <c r="I480" s="4">
        <v>55.299385000000001</v>
      </c>
      <c r="J480" s="4">
        <v>0.18122133027937901</v>
      </c>
      <c r="K480" s="4">
        <v>-2.1769237572970099</v>
      </c>
    </row>
    <row r="481" spans="1:11" ht="15" customHeight="1" x14ac:dyDescent="0.2">
      <c r="A481" s="6">
        <v>45351</v>
      </c>
      <c r="B481" s="7">
        <v>55.18</v>
      </c>
      <c r="C481" s="8">
        <v>12706980</v>
      </c>
      <c r="D481" s="7">
        <v>0.217944061024333</v>
      </c>
      <c r="E481" s="7">
        <v>55.15</v>
      </c>
      <c r="F481" s="7">
        <v>54.9</v>
      </c>
      <c r="G481" s="7">
        <v>55.48</v>
      </c>
      <c r="H481" s="7">
        <v>55.148899999999998</v>
      </c>
      <c r="I481" s="7">
        <v>55.199351999999998</v>
      </c>
      <c r="J481" s="7">
        <v>0.21794390670470901</v>
      </c>
      <c r="K481" s="7">
        <v>-2.3538793560941098</v>
      </c>
    </row>
    <row r="482" spans="1:11" ht="15" customHeight="1" x14ac:dyDescent="0.2">
      <c r="A482" s="3">
        <v>45350</v>
      </c>
      <c r="B482" s="4">
        <v>55.06</v>
      </c>
      <c r="C482" s="5">
        <v>4047116</v>
      </c>
      <c r="D482" s="4">
        <v>-1.5907059874888201</v>
      </c>
      <c r="E482" s="4">
        <v>55.98</v>
      </c>
      <c r="F482" s="4">
        <v>54.8</v>
      </c>
      <c r="G482" s="4">
        <v>56.02</v>
      </c>
      <c r="H482" s="4">
        <v>55.044899999999998</v>
      </c>
      <c r="I482" s="4">
        <v>55.07931</v>
      </c>
      <c r="J482" s="4">
        <v>-1.59070927473088</v>
      </c>
      <c r="K482" s="4">
        <v>-2.56623032018397</v>
      </c>
    </row>
    <row r="483" spans="1:11" ht="15" customHeight="1" x14ac:dyDescent="0.2">
      <c r="A483" s="6">
        <v>45349</v>
      </c>
      <c r="B483" s="7">
        <v>55.95</v>
      </c>
      <c r="C483" s="8">
        <v>7696099</v>
      </c>
      <c r="D483" s="7">
        <v>0.107353730542136</v>
      </c>
      <c r="E483" s="7">
        <v>56.11</v>
      </c>
      <c r="F483" s="7">
        <v>55.71</v>
      </c>
      <c r="G483" s="7">
        <v>56.16</v>
      </c>
      <c r="H483" s="7">
        <v>55.930300000000003</v>
      </c>
      <c r="I483" s="7">
        <v>55.969624000000003</v>
      </c>
      <c r="J483" s="7">
        <v>0.107359022421915</v>
      </c>
      <c r="K483" s="7">
        <v>-0.99128958075357798</v>
      </c>
    </row>
    <row r="484" spans="1:11" ht="15" customHeight="1" x14ac:dyDescent="0.2">
      <c r="A484" s="3">
        <v>45348</v>
      </c>
      <c r="B484" s="4">
        <v>55.89</v>
      </c>
      <c r="C484" s="5">
        <v>2992289</v>
      </c>
      <c r="D484" s="4">
        <v>-0.90425531914892698</v>
      </c>
      <c r="E484" s="4">
        <v>56.17</v>
      </c>
      <c r="F484" s="4">
        <v>55.8</v>
      </c>
      <c r="G484" s="4">
        <v>56.17</v>
      </c>
      <c r="H484" s="4">
        <v>55.884700000000002</v>
      </c>
      <c r="I484" s="4">
        <v>55.909599999999998</v>
      </c>
      <c r="J484" s="4">
        <v>-0.90425733670000896</v>
      </c>
      <c r="K484" s="4">
        <v>-1.0974703697152</v>
      </c>
    </row>
    <row r="485" spans="1:11" ht="15" customHeight="1" x14ac:dyDescent="0.2">
      <c r="A485" s="6">
        <v>45345</v>
      </c>
      <c r="B485" s="7">
        <v>56.4</v>
      </c>
      <c r="C485" s="8">
        <v>6695707</v>
      </c>
      <c r="D485" s="7">
        <v>-0.79155672823219003</v>
      </c>
      <c r="E485" s="7">
        <v>56.52</v>
      </c>
      <c r="F485" s="7">
        <v>56.18</v>
      </c>
      <c r="G485" s="7">
        <v>56.52</v>
      </c>
      <c r="H485" s="7">
        <v>56.348100000000002</v>
      </c>
      <c r="I485" s="7">
        <v>56.419780000000003</v>
      </c>
      <c r="J485" s="7">
        <v>-0.79155704372315605</v>
      </c>
      <c r="K485" s="7">
        <v>-0.19497611887492999</v>
      </c>
    </row>
    <row r="486" spans="1:11" ht="15" customHeight="1" x14ac:dyDescent="0.2">
      <c r="A486" s="3">
        <v>45344</v>
      </c>
      <c r="B486" s="4">
        <v>56.85</v>
      </c>
      <c r="C486" s="5">
        <v>3989350</v>
      </c>
      <c r="D486" s="4">
        <v>0.21152829190904601</v>
      </c>
      <c r="E486" s="4">
        <v>56.74</v>
      </c>
      <c r="F486" s="4">
        <v>56.53</v>
      </c>
      <c r="G486" s="4">
        <v>57</v>
      </c>
      <c r="H486" s="4">
        <v>56.834400000000002</v>
      </c>
      <c r="I486" s="4">
        <v>56.869937999999998</v>
      </c>
      <c r="J486" s="4">
        <v>0.211526375105131</v>
      </c>
      <c r="K486" s="4">
        <v>0.60134088094816296</v>
      </c>
    </row>
    <row r="487" spans="1:11" ht="15" customHeight="1" x14ac:dyDescent="0.2">
      <c r="A487" s="6">
        <v>45343</v>
      </c>
      <c r="B487" s="7">
        <v>56.73</v>
      </c>
      <c r="C487" s="8">
        <v>1564808</v>
      </c>
      <c r="D487" s="7">
        <v>-0.29876977152900602</v>
      </c>
      <c r="E487" s="7">
        <v>57.02</v>
      </c>
      <c r="F487" s="7">
        <v>56.51</v>
      </c>
      <c r="G487" s="7">
        <v>57.02</v>
      </c>
      <c r="H487" s="7">
        <v>56.707900000000002</v>
      </c>
      <c r="I487" s="7">
        <v>56.749896999999997</v>
      </c>
      <c r="J487" s="7">
        <v>-0.29876867789567702</v>
      </c>
      <c r="K487" s="7">
        <v>0.38899168583052501</v>
      </c>
    </row>
    <row r="488" spans="1:11" ht="15" customHeight="1" x14ac:dyDescent="0.2">
      <c r="A488" s="3">
        <v>45342</v>
      </c>
      <c r="B488" s="4">
        <v>56.9</v>
      </c>
      <c r="C488" s="5">
        <v>3271659</v>
      </c>
      <c r="D488" s="4">
        <v>-0.22795020164826299</v>
      </c>
      <c r="E488" s="4">
        <v>57.05</v>
      </c>
      <c r="F488" s="4">
        <v>56.8</v>
      </c>
      <c r="G488" s="4">
        <v>57.31</v>
      </c>
      <c r="H488" s="4">
        <v>56.913699999999999</v>
      </c>
      <c r="I488" s="4">
        <v>56.919955999999999</v>
      </c>
      <c r="J488" s="4">
        <v>-0.22794741454863399</v>
      </c>
      <c r="K488" s="4">
        <v>0.68982133380505495</v>
      </c>
    </row>
    <row r="489" spans="1:11" ht="15" customHeight="1" x14ac:dyDescent="0.2">
      <c r="A489" s="6">
        <v>45341</v>
      </c>
      <c r="B489" s="7">
        <v>57.03</v>
      </c>
      <c r="C489" s="8">
        <v>45247</v>
      </c>
      <c r="D489" s="7">
        <v>0.40492957746478497</v>
      </c>
      <c r="E489" s="7">
        <v>56.51</v>
      </c>
      <c r="F489" s="7">
        <v>56.51</v>
      </c>
      <c r="G489" s="7">
        <v>57.12</v>
      </c>
      <c r="H489" s="7">
        <v>57.174799999999998</v>
      </c>
      <c r="I489" s="7">
        <v>57.05</v>
      </c>
      <c r="J489" s="7">
        <v>0.40492841243000499</v>
      </c>
      <c r="K489" s="7">
        <v>0.91986555811073001</v>
      </c>
    </row>
    <row r="490" spans="1:11" ht="15" customHeight="1" x14ac:dyDescent="0.2">
      <c r="A490" s="3">
        <v>45338</v>
      </c>
      <c r="B490" s="4">
        <v>56.8</v>
      </c>
      <c r="C490" s="5">
        <v>3703291</v>
      </c>
      <c r="D490" s="4">
        <v>-0.19328764716218799</v>
      </c>
      <c r="E490" s="4">
        <v>57.1</v>
      </c>
      <c r="F490" s="4">
        <v>56.71</v>
      </c>
      <c r="G490" s="4">
        <v>57.1</v>
      </c>
      <c r="H490" s="4">
        <v>56.8202</v>
      </c>
      <c r="I490" s="4">
        <v>56.819920000000003</v>
      </c>
      <c r="J490" s="4">
        <v>-0.193290141078616</v>
      </c>
      <c r="K490" s="4">
        <v>0.51286042809128196</v>
      </c>
    </row>
    <row r="491" spans="1:11" ht="15" customHeight="1" x14ac:dyDescent="0.2">
      <c r="A491" s="6">
        <v>45337</v>
      </c>
      <c r="B491" s="7">
        <v>56.91</v>
      </c>
      <c r="C491" s="8">
        <v>2258857</v>
      </c>
      <c r="D491" s="7">
        <v>-1.7568517217159099E-2</v>
      </c>
      <c r="E491" s="7">
        <v>57.11</v>
      </c>
      <c r="F491" s="7">
        <v>56.88</v>
      </c>
      <c r="G491" s="7">
        <v>57.3</v>
      </c>
      <c r="H491" s="7">
        <v>56.939700000000002</v>
      </c>
      <c r="I491" s="7">
        <v>56.929960000000001</v>
      </c>
      <c r="J491" s="7">
        <v>-1.7562358666911498E-2</v>
      </c>
      <c r="K491" s="7">
        <v>0.70751813196532798</v>
      </c>
    </row>
    <row r="492" spans="1:11" ht="15" customHeight="1" x14ac:dyDescent="0.2">
      <c r="A492" s="3">
        <v>45336</v>
      </c>
      <c r="B492" s="4">
        <v>56.92</v>
      </c>
      <c r="C492" s="5">
        <v>2343577</v>
      </c>
      <c r="D492" s="4">
        <v>0.51209606215787395</v>
      </c>
      <c r="E492" s="4">
        <v>56.75</v>
      </c>
      <c r="F492" s="4">
        <v>56.62</v>
      </c>
      <c r="G492" s="4">
        <v>57</v>
      </c>
      <c r="H492" s="4">
        <v>56.936700000000002</v>
      </c>
      <c r="I492" s="4">
        <v>56.939959999999999</v>
      </c>
      <c r="J492" s="4">
        <v>0.51209305724675402</v>
      </c>
      <c r="K492" s="4">
        <v>0.72520785423668499</v>
      </c>
    </row>
    <row r="493" spans="1:11" ht="15" customHeight="1" x14ac:dyDescent="0.2">
      <c r="A493" s="6">
        <v>45335</v>
      </c>
      <c r="B493" s="7">
        <v>56.63</v>
      </c>
      <c r="C493" s="8">
        <v>10110261</v>
      </c>
      <c r="D493" s="7">
        <v>-0.82311733800349796</v>
      </c>
      <c r="E493" s="7">
        <v>55.45</v>
      </c>
      <c r="F493" s="7">
        <v>55.45</v>
      </c>
      <c r="G493" s="7">
        <v>57.1</v>
      </c>
      <c r="H493" s="7">
        <v>56.5976</v>
      </c>
      <c r="I493" s="7">
        <v>56.649859999999997</v>
      </c>
      <c r="J493" s="7">
        <v>-0.82311937322998496</v>
      </c>
      <c r="K493" s="7">
        <v>0.212029011144517</v>
      </c>
    </row>
    <row r="494" spans="1:11" ht="15" customHeight="1" x14ac:dyDescent="0.2">
      <c r="A494" s="3">
        <v>45334</v>
      </c>
      <c r="B494" s="4">
        <v>57.1</v>
      </c>
      <c r="C494" s="5">
        <v>977285</v>
      </c>
      <c r="D494" s="4">
        <v>0.15786704087001799</v>
      </c>
      <c r="E494" s="4">
        <v>57.32</v>
      </c>
      <c r="F494" s="4">
        <v>57.01</v>
      </c>
      <c r="G494" s="4">
        <v>57.43</v>
      </c>
      <c r="H494" s="4">
        <v>57.106499999999997</v>
      </c>
      <c r="I494" s="4">
        <v>57.120026000000003</v>
      </c>
      <c r="J494" s="4">
        <v>0.15787483041818001</v>
      </c>
      <c r="K494" s="4">
        <v>1.04373960728816</v>
      </c>
    </row>
    <row r="495" spans="1:11" ht="15" customHeight="1" x14ac:dyDescent="0.2">
      <c r="A495" s="6">
        <v>45331</v>
      </c>
      <c r="B495" s="7">
        <v>57.01</v>
      </c>
      <c r="C495" s="8">
        <v>4486909</v>
      </c>
      <c r="D495" s="7">
        <v>-0.71403692093348003</v>
      </c>
      <c r="E495" s="7">
        <v>57.53</v>
      </c>
      <c r="F495" s="7">
        <v>56.98</v>
      </c>
      <c r="G495" s="7">
        <v>57.53</v>
      </c>
      <c r="H495" s="7">
        <v>57.017099999999999</v>
      </c>
      <c r="I495" s="7">
        <v>57.029989999999998</v>
      </c>
      <c r="J495" s="7">
        <v>-0.71404078848281705</v>
      </c>
      <c r="K495" s="7">
        <v>0.88446842384573998</v>
      </c>
    </row>
    <row r="496" spans="1:11" ht="15" customHeight="1" x14ac:dyDescent="0.2">
      <c r="A496" s="3">
        <v>45330</v>
      </c>
      <c r="B496" s="4">
        <v>57.42</v>
      </c>
      <c r="C496" s="5">
        <v>5412778</v>
      </c>
      <c r="D496" s="4">
        <v>-1.61069225496914</v>
      </c>
      <c r="E496" s="4">
        <v>58.5</v>
      </c>
      <c r="F496" s="4">
        <v>57.39</v>
      </c>
      <c r="G496" s="4">
        <v>58.5</v>
      </c>
      <c r="H496" s="4">
        <v>57.449800000000003</v>
      </c>
      <c r="I496" s="4">
        <v>57.440136000000003</v>
      </c>
      <c r="J496" s="4">
        <v>-1.61069286428785</v>
      </c>
      <c r="K496" s="4">
        <v>1.61000530691668</v>
      </c>
    </row>
    <row r="497" spans="1:11" ht="15" customHeight="1" x14ac:dyDescent="0.2">
      <c r="A497" s="6">
        <v>45329</v>
      </c>
      <c r="B497" s="7">
        <v>58.36</v>
      </c>
      <c r="C497" s="8">
        <v>21606710</v>
      </c>
      <c r="D497" s="7">
        <v>1.71379605826915E-2</v>
      </c>
      <c r="E497" s="7">
        <v>58.5</v>
      </c>
      <c r="F497" s="7">
        <v>58.1</v>
      </c>
      <c r="G497" s="7">
        <v>58.68</v>
      </c>
      <c r="H497" s="7">
        <v>58.393999999999998</v>
      </c>
      <c r="I497" s="7">
        <v>58.380465999999998</v>
      </c>
      <c r="J497" s="7">
        <v>1.7135378605170799E-2</v>
      </c>
      <c r="K497" s="7">
        <v>3.2734229612595001</v>
      </c>
    </row>
    <row r="498" spans="1:11" ht="15" customHeight="1" x14ac:dyDescent="0.2">
      <c r="A498" s="3">
        <v>45328</v>
      </c>
      <c r="B498" s="4">
        <v>58.35</v>
      </c>
      <c r="C498" s="5">
        <v>5087464</v>
      </c>
      <c r="D498" s="4">
        <v>0.70762858129098605</v>
      </c>
      <c r="E498" s="4">
        <v>57.94</v>
      </c>
      <c r="F498" s="4">
        <v>57.6</v>
      </c>
      <c r="G498" s="4">
        <v>58.66</v>
      </c>
      <c r="H498" s="4">
        <v>58.362299999999998</v>
      </c>
      <c r="I498" s="4">
        <v>58.370463999999998</v>
      </c>
      <c r="J498" s="4">
        <v>0.70762894338747195</v>
      </c>
      <c r="K498" s="4">
        <v>3.2557297010436801</v>
      </c>
    </row>
    <row r="499" spans="1:11" ht="15" customHeight="1" x14ac:dyDescent="0.2">
      <c r="A499" s="6">
        <v>45324</v>
      </c>
      <c r="B499" s="7">
        <v>57.94</v>
      </c>
      <c r="C499" s="8">
        <v>3024406</v>
      </c>
      <c r="D499" s="7">
        <v>0.78274482518698696</v>
      </c>
      <c r="E499" s="7">
        <v>57.5</v>
      </c>
      <c r="F499" s="7">
        <v>57.5</v>
      </c>
      <c r="G499" s="7">
        <v>57.97</v>
      </c>
      <c r="H499" s="7">
        <v>57.9133</v>
      </c>
      <c r="I499" s="7">
        <v>57.960320000000003</v>
      </c>
      <c r="J499" s="7">
        <v>0.78274514337135503</v>
      </c>
      <c r="K499" s="7">
        <v>2.53019635591721</v>
      </c>
    </row>
    <row r="500" spans="1:11" ht="15" customHeight="1" x14ac:dyDescent="0.2">
      <c r="A500" s="3">
        <v>45323</v>
      </c>
      <c r="B500" s="4">
        <v>57.49</v>
      </c>
      <c r="C500" s="5">
        <v>4997502</v>
      </c>
      <c r="D500" s="4">
        <v>0.75359270942867396</v>
      </c>
      <c r="E500" s="4">
        <v>57.07</v>
      </c>
      <c r="F500" s="4">
        <v>57</v>
      </c>
      <c r="G500" s="4">
        <v>57.88</v>
      </c>
      <c r="H500" s="4">
        <v>57.517400000000002</v>
      </c>
      <c r="I500" s="4">
        <v>57.510162000000001</v>
      </c>
      <c r="J500" s="4">
        <v>0.75358952703812299</v>
      </c>
      <c r="K500" s="4">
        <v>1.7338793560940999</v>
      </c>
    </row>
    <row r="501" spans="1:11" ht="15" customHeight="1" x14ac:dyDescent="0.2">
      <c r="A501" s="6">
        <v>45322</v>
      </c>
      <c r="B501" s="7">
        <v>57.06</v>
      </c>
      <c r="C501" s="8">
        <v>9580748</v>
      </c>
      <c r="D501" s="7">
        <v>-0.22731246721453499</v>
      </c>
      <c r="E501" s="7">
        <v>57.2</v>
      </c>
      <c r="F501" s="7">
        <v>56.79</v>
      </c>
      <c r="G501" s="7">
        <v>57.55</v>
      </c>
      <c r="H501" s="7">
        <v>57.0655</v>
      </c>
      <c r="I501" s="7">
        <v>57.080013000000001</v>
      </c>
      <c r="J501" s="7">
        <v>-0.22730794040823801</v>
      </c>
      <c r="K501" s="7">
        <v>0.97295772156377103</v>
      </c>
    </row>
    <row r="502" spans="1:11" ht="15" customHeight="1" x14ac:dyDescent="0.2">
      <c r="A502" s="3">
        <v>45321</v>
      </c>
      <c r="B502" s="4">
        <v>57.19</v>
      </c>
      <c r="C502" s="5">
        <v>11856374</v>
      </c>
      <c r="D502" s="4">
        <v>0.61576354679802003</v>
      </c>
      <c r="E502" s="4">
        <v>56.77</v>
      </c>
      <c r="F502" s="4">
        <v>56.4</v>
      </c>
      <c r="G502" s="4">
        <v>57.3</v>
      </c>
      <c r="H502" s="4">
        <v>57.229199999999999</v>
      </c>
      <c r="I502" s="4">
        <v>57.210056000000002</v>
      </c>
      <c r="J502" s="4">
        <v>0.61575869519094795</v>
      </c>
      <c r="K502" s="4">
        <v>1.2030001768972201</v>
      </c>
    </row>
    <row r="503" spans="1:11" ht="15" customHeight="1" x14ac:dyDescent="0.2">
      <c r="A503" s="6">
        <v>45320</v>
      </c>
      <c r="B503" s="7">
        <v>56.84</v>
      </c>
      <c r="C503" s="8">
        <v>22362992</v>
      </c>
      <c r="D503" s="7">
        <v>0.54838139041217804</v>
      </c>
      <c r="E503" s="7">
        <v>56.07</v>
      </c>
      <c r="F503" s="7">
        <v>56.07</v>
      </c>
      <c r="G503" s="7">
        <v>56.97</v>
      </c>
      <c r="H503" s="7">
        <v>56.870399999999997</v>
      </c>
      <c r="I503" s="7">
        <v>56.859935999999998</v>
      </c>
      <c r="J503" s="7">
        <v>0.58364762073235199</v>
      </c>
      <c r="K503" s="7">
        <v>0.58364762073234799</v>
      </c>
    </row>
    <row r="504" spans="1:11" ht="15" customHeight="1" x14ac:dyDescent="0.2">
      <c r="A504" s="3">
        <v>45317</v>
      </c>
      <c r="B504" s="4">
        <v>56.53</v>
      </c>
      <c r="C504" s="5">
        <v>11073320</v>
      </c>
      <c r="D504" s="4"/>
      <c r="E504" s="4">
        <v>56.11</v>
      </c>
      <c r="F504" s="4">
        <v>56.01</v>
      </c>
      <c r="G504" s="4">
        <v>56.84</v>
      </c>
      <c r="H504" s="4">
        <v>56.573500000000003</v>
      </c>
      <c r="I504" s="4">
        <v>56.53</v>
      </c>
      <c r="J504" s="4"/>
      <c r="K504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2482-4110-454E-BC57-A2B8717A8DAF}">
  <dimension ref="B3:L28"/>
  <sheetViews>
    <sheetView tabSelected="1" topLeftCell="C1" zoomScale="170" zoomScaleNormal="170" workbookViewId="0">
      <selection activeCell="H27" sqref="H27:J28"/>
    </sheetView>
  </sheetViews>
  <sheetFormatPr baseColWidth="10" defaultRowHeight="12.75" x14ac:dyDescent="0.2"/>
  <cols>
    <col min="4" max="4" width="15.85546875" bestFit="1" customWidth="1"/>
    <col min="5" max="5" width="14.7109375" bestFit="1" customWidth="1"/>
    <col min="6" max="6" width="13.7109375" bestFit="1" customWidth="1"/>
    <col min="8" max="8" width="14.7109375" bestFit="1" customWidth="1"/>
  </cols>
  <sheetData>
    <row r="3" spans="2:12" x14ac:dyDescent="0.2">
      <c r="B3" t="s">
        <v>21</v>
      </c>
    </row>
    <row r="4" spans="2:12" x14ac:dyDescent="0.2">
      <c r="B4" t="s">
        <v>22</v>
      </c>
    </row>
    <row r="5" spans="2:12" x14ac:dyDescent="0.2">
      <c r="C5" t="s">
        <v>84</v>
      </c>
      <c r="D5" s="26" t="s">
        <v>85</v>
      </c>
      <c r="F5" s="28" t="s">
        <v>86</v>
      </c>
    </row>
    <row r="6" spans="2:12" x14ac:dyDescent="0.2">
      <c r="B6" s="28" t="s">
        <v>23</v>
      </c>
      <c r="C6" s="9">
        <v>0.08</v>
      </c>
      <c r="D6" s="27">
        <f>350000000*C6</f>
        <v>28000000</v>
      </c>
      <c r="E6" s="24">
        <f>D6/solucion!B2</f>
        <v>1565120.1788708775</v>
      </c>
      <c r="F6" s="29">
        <v>1565120</v>
      </c>
      <c r="H6" t="s">
        <v>81</v>
      </c>
    </row>
    <row r="7" spans="2:12" x14ac:dyDescent="0.2">
      <c r="B7" t="s">
        <v>24</v>
      </c>
      <c r="C7" s="9">
        <v>0.11</v>
      </c>
      <c r="H7" t="s">
        <v>82</v>
      </c>
    </row>
    <row r="8" spans="2:12" x14ac:dyDescent="0.2">
      <c r="B8" t="s">
        <v>25</v>
      </c>
      <c r="C8" s="9">
        <v>0.12</v>
      </c>
      <c r="H8" s="1" t="s">
        <v>83</v>
      </c>
    </row>
    <row r="9" spans="2:12" x14ac:dyDescent="0.2">
      <c r="B9" s="19" t="s">
        <v>26</v>
      </c>
      <c r="C9" s="22">
        <v>0.09</v>
      </c>
    </row>
    <row r="10" spans="2:12" x14ac:dyDescent="0.2">
      <c r="B10" t="s">
        <v>27</v>
      </c>
      <c r="C10" s="9">
        <v>0.21</v>
      </c>
    </row>
    <row r="11" spans="2:12" x14ac:dyDescent="0.2">
      <c r="B11" s="19" t="s">
        <v>31</v>
      </c>
      <c r="C11" s="22">
        <v>0.14000000000000001</v>
      </c>
    </row>
    <row r="12" spans="2:12" x14ac:dyDescent="0.2">
      <c r="B12" s="19" t="s">
        <v>28</v>
      </c>
      <c r="C12" s="22">
        <v>0.17</v>
      </c>
      <c r="D12" s="23">
        <f>C12*350000000</f>
        <v>59500000.000000007</v>
      </c>
      <c r="E12" s="24">
        <f>D12/solucion!H2</f>
        <v>3634697.6175931585</v>
      </c>
      <c r="F12">
        <v>3634697</v>
      </c>
      <c r="G12" t="s">
        <v>96</v>
      </c>
    </row>
    <row r="13" spans="2:12" x14ac:dyDescent="0.2">
      <c r="B13" s="19" t="s">
        <v>30</v>
      </c>
      <c r="C13" s="22">
        <v>0.08</v>
      </c>
    </row>
    <row r="15" spans="2:12" x14ac:dyDescent="0.2">
      <c r="B15" s="10" t="s">
        <v>32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x14ac:dyDescent="0.2">
      <c r="B16" s="10" t="s">
        <v>33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8" spans="2:10" x14ac:dyDescent="0.2">
      <c r="B18" t="s">
        <v>34</v>
      </c>
    </row>
    <row r="20" spans="2:10" x14ac:dyDescent="0.2">
      <c r="B20" t="s">
        <v>35</v>
      </c>
    </row>
    <row r="21" spans="2:10" x14ac:dyDescent="0.2">
      <c r="B21" s="10" t="s">
        <v>36</v>
      </c>
      <c r="C21" s="10"/>
      <c r="D21" s="10"/>
    </row>
    <row r="23" spans="2:10" x14ac:dyDescent="0.2">
      <c r="B23" t="s">
        <v>87</v>
      </c>
      <c r="H23" s="25">
        <f>AMXB!M4</f>
        <v>51181436.56666667</v>
      </c>
      <c r="I23" s="31">
        <f>F6/H23</f>
        <v>3.0579837241601144E-2</v>
      </c>
    </row>
    <row r="25" spans="2:10" x14ac:dyDescent="0.2">
      <c r="B25" t="s">
        <v>97</v>
      </c>
      <c r="H25" s="32">
        <f>AVERAGE(VOLARIS!C4:C93)</f>
        <v>2406056.1222222224</v>
      </c>
      <c r="I25" s="30">
        <f>F12/H25</f>
        <v>1.5106451451527285</v>
      </c>
    </row>
    <row r="27" spans="2:10" x14ac:dyDescent="0.2">
      <c r="H27" s="33">
        <f>H25*0.1</f>
        <v>240605.61222222226</v>
      </c>
      <c r="I27" s="19" t="s">
        <v>98</v>
      </c>
      <c r="J27" s="19"/>
    </row>
    <row r="28" spans="2:10" x14ac:dyDescent="0.2">
      <c r="H28" s="34">
        <f>E12/H27</f>
        <v>15.106454018355016</v>
      </c>
      <c r="I28" s="19" t="s">
        <v>99</v>
      </c>
      <c r="J28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75DA-F779-4C4A-84B9-67FBEE503C6F}">
  <dimension ref="A3:A14"/>
  <sheetViews>
    <sheetView zoomScale="190" zoomScaleNormal="190" workbookViewId="0">
      <selection activeCell="A3" sqref="A3:K13"/>
    </sheetView>
  </sheetViews>
  <sheetFormatPr baseColWidth="10" defaultRowHeight="12.75" x14ac:dyDescent="0.2"/>
  <sheetData>
    <row r="3" spans="1:1" x14ac:dyDescent="0.2">
      <c r="A3" t="s">
        <v>88</v>
      </c>
    </row>
    <row r="5" spans="1:1" x14ac:dyDescent="0.2">
      <c r="A5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t="s">
        <v>92</v>
      </c>
    </row>
    <row r="11" spans="1:1" x14ac:dyDescent="0.2">
      <c r="A11" t="s">
        <v>93</v>
      </c>
    </row>
    <row r="13" spans="1:1" x14ac:dyDescent="0.2">
      <c r="A13" t="s">
        <v>94</v>
      </c>
    </row>
    <row r="14" spans="1:1" x14ac:dyDescent="0.2">
      <c r="A14" t="s">
        <v>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37C0-025D-4779-BC84-08754ED67687}">
  <dimension ref="A1:AA502"/>
  <sheetViews>
    <sheetView zoomScale="140" zoomScaleNormal="140" workbookViewId="0">
      <selection activeCell="B2" sqref="B2"/>
    </sheetView>
  </sheetViews>
  <sheetFormatPr baseColWidth="10" defaultRowHeight="12.75" x14ac:dyDescent="0.2"/>
  <cols>
    <col min="2" max="2" width="6" customWidth="1"/>
    <col min="3" max="3" width="7.42578125" customWidth="1"/>
    <col min="4" max="4" width="7.140625" customWidth="1"/>
    <col min="5" max="5" width="10.140625" customWidth="1"/>
    <col min="6" max="6" width="9.85546875" customWidth="1"/>
    <col min="7" max="7" width="10.7109375" customWidth="1"/>
    <col min="8" max="8" width="9" customWidth="1"/>
    <col min="9" max="9" width="17.85546875" customWidth="1"/>
    <col min="20" max="20" width="16" bestFit="1" customWidth="1"/>
    <col min="21" max="22" width="12.140625" bestFit="1" customWidth="1"/>
    <col min="23" max="23" width="12.28515625" bestFit="1" customWidth="1"/>
  </cols>
  <sheetData>
    <row r="1" spans="1:27" x14ac:dyDescent="0.2">
      <c r="A1" t="s">
        <v>38</v>
      </c>
      <c r="B1" t="s">
        <v>37</v>
      </c>
      <c r="C1" t="s">
        <v>39</v>
      </c>
      <c r="D1" t="s">
        <v>40</v>
      </c>
      <c r="E1" t="s">
        <v>26</v>
      </c>
      <c r="F1" t="s">
        <v>27</v>
      </c>
      <c r="G1" t="s">
        <v>31</v>
      </c>
      <c r="H1" t="s">
        <v>28</v>
      </c>
      <c r="I1" t="s">
        <v>41</v>
      </c>
      <c r="J1" s="21" t="s">
        <v>42</v>
      </c>
      <c r="K1" s="21"/>
      <c r="L1" s="21"/>
      <c r="M1" s="21"/>
      <c r="N1" s="21"/>
      <c r="O1" s="21"/>
      <c r="P1" s="21"/>
      <c r="Q1" s="21"/>
      <c r="R1" s="1" t="s">
        <v>43</v>
      </c>
    </row>
    <row r="2" spans="1:27" x14ac:dyDescent="0.2">
      <c r="A2" s="11">
        <v>46048</v>
      </c>
      <c r="B2" s="12">
        <v>17.89</v>
      </c>
      <c r="C2" s="12">
        <v>22.1</v>
      </c>
      <c r="D2" s="12">
        <v>486.29</v>
      </c>
      <c r="E2" s="12">
        <v>38.18</v>
      </c>
      <c r="F2" s="12">
        <v>1109.2</v>
      </c>
      <c r="G2" s="12">
        <v>155.19</v>
      </c>
      <c r="H2" s="12">
        <v>16.37</v>
      </c>
      <c r="I2" s="12">
        <v>80.349999999999994</v>
      </c>
      <c r="J2">
        <f>B2/B3-1</f>
        <v>-8.8642659279778435E-3</v>
      </c>
      <c r="K2">
        <f t="shared" ref="K2:Q2" si="0">C2/C3-1</f>
        <v>-1.6466399643969676E-2</v>
      </c>
      <c r="L2">
        <f t="shared" si="0"/>
        <v>9.4030222517436091E-3</v>
      </c>
      <c r="M2">
        <f t="shared" si="0"/>
        <v>-5.2356020942412318E-4</v>
      </c>
      <c r="N2">
        <f t="shared" si="0"/>
        <v>3.2322912691838734E-2</v>
      </c>
      <c r="O2">
        <f t="shared" si="0"/>
        <v>8.70978225544361E-3</v>
      </c>
      <c r="P2">
        <f t="shared" si="0"/>
        <v>-1.147342995169065E-2</v>
      </c>
      <c r="Q2">
        <f t="shared" si="0"/>
        <v>-4.4604138272829053E-3</v>
      </c>
      <c r="R2" s="15">
        <f>SUMPRODUCT($T$2:$AA$2,J2:Q2)</f>
        <v>4.2606619993643671E-3</v>
      </c>
      <c r="T2" s="9">
        <v>0.08</v>
      </c>
      <c r="U2" s="9">
        <v>0.11</v>
      </c>
      <c r="V2" s="9">
        <v>0.12</v>
      </c>
      <c r="W2" s="9">
        <v>0.09</v>
      </c>
      <c r="X2" s="9">
        <v>0.21</v>
      </c>
      <c r="Y2" s="9">
        <v>0.14000000000000001</v>
      </c>
      <c r="Z2" s="9">
        <v>0.17</v>
      </c>
      <c r="AA2" s="9">
        <v>0.08</v>
      </c>
    </row>
    <row r="3" spans="1:27" x14ac:dyDescent="0.2">
      <c r="A3" s="13">
        <v>46045</v>
      </c>
      <c r="B3" s="14">
        <v>18.05</v>
      </c>
      <c r="C3" s="14">
        <v>22.47</v>
      </c>
      <c r="D3" s="14">
        <v>481.76</v>
      </c>
      <c r="E3" s="14">
        <v>38.200000000000003</v>
      </c>
      <c r="F3" s="14">
        <v>1074.47</v>
      </c>
      <c r="G3" s="14">
        <v>153.85</v>
      </c>
      <c r="H3" s="14">
        <v>16.559999999999999</v>
      </c>
      <c r="I3" s="14">
        <v>80.709999999999994</v>
      </c>
      <c r="J3">
        <f t="shared" ref="J3:J66" si="1">B3/B4-1</f>
        <v>-4.4125758411471816E-3</v>
      </c>
      <c r="K3">
        <f t="shared" ref="K3:K66" si="2">C3/C4-1</f>
        <v>-4.8715677590788209E-3</v>
      </c>
      <c r="L3">
        <f t="shared" ref="L3:L66" si="3">D3/D4-1</f>
        <v>-2.258110328876628E-2</v>
      </c>
      <c r="M3">
        <f t="shared" ref="M3:M66" si="4">E3/E4-1</f>
        <v>-8.0498571799531016E-3</v>
      </c>
      <c r="N3">
        <f t="shared" ref="N3:N66" si="5">F3/F4-1</f>
        <v>3.1369327146606452E-3</v>
      </c>
      <c r="O3">
        <f t="shared" ref="O3:O66" si="6">G3/G4-1</f>
        <v>5.0300496472430734E-3</v>
      </c>
      <c r="P3">
        <f t="shared" ref="P3:P66" si="7">H3/H4-1</f>
        <v>-1.2522361359570744E-2</v>
      </c>
      <c r="Q3">
        <f t="shared" ref="Q3:Q66" si="8">I3/I4-1</f>
        <v>8.7489063867014494E-3</v>
      </c>
      <c r="R3" s="15">
        <f t="shared" ref="R3:R66" si="9">SUMPRODUCT($T$2:$AA$2,J3:Q3)</f>
        <v>-4.3890241611363222E-3</v>
      </c>
    </row>
    <row r="4" spans="1:27" x14ac:dyDescent="0.2">
      <c r="A4" s="11">
        <v>46044</v>
      </c>
      <c r="B4" s="12">
        <v>18.13</v>
      </c>
      <c r="C4" s="12">
        <v>22.58</v>
      </c>
      <c r="D4" s="12">
        <v>492.89</v>
      </c>
      <c r="E4" s="12">
        <v>38.51</v>
      </c>
      <c r="F4" s="12">
        <v>1071.1099999999999</v>
      </c>
      <c r="G4" s="12">
        <v>153.08000000000001</v>
      </c>
      <c r="H4" s="12">
        <v>16.77</v>
      </c>
      <c r="I4" s="12">
        <v>80.010000000000005</v>
      </c>
      <c r="J4">
        <f t="shared" si="1"/>
        <v>1.6574585635358297E-3</v>
      </c>
      <c r="K4">
        <f t="shared" si="2"/>
        <v>-1.7683465959329459E-3</v>
      </c>
      <c r="L4">
        <f t="shared" si="3"/>
        <v>1.7947129285419194E-2</v>
      </c>
      <c r="M4">
        <f t="shared" si="4"/>
        <v>7.3240910279885885E-3</v>
      </c>
      <c r="N4">
        <f t="shared" si="5"/>
        <v>-1.8275972686861319E-2</v>
      </c>
      <c r="O4">
        <f t="shared" si="6"/>
        <v>4.1714869003062427E-2</v>
      </c>
      <c r="P4">
        <f t="shared" si="7"/>
        <v>7.4311338885330036E-2</v>
      </c>
      <c r="Q4">
        <f t="shared" si="8"/>
        <v>-4.1075429424943799E-3</v>
      </c>
      <c r="R4" s="15">
        <f t="shared" si="9"/>
        <v>1.7057353837593939E-2</v>
      </c>
    </row>
    <row r="5" spans="1:27" x14ac:dyDescent="0.2">
      <c r="A5" s="13">
        <v>46043</v>
      </c>
      <c r="B5" s="14">
        <v>18.100000000000001</v>
      </c>
      <c r="C5" s="14">
        <v>22.62</v>
      </c>
      <c r="D5" s="14">
        <v>484.2</v>
      </c>
      <c r="E5" s="14">
        <v>38.229999999999997</v>
      </c>
      <c r="F5" s="14">
        <v>1091.05</v>
      </c>
      <c r="G5" s="14">
        <v>146.94999999999999</v>
      </c>
      <c r="H5" s="14">
        <v>15.61</v>
      </c>
      <c r="I5" s="14">
        <v>80.34</v>
      </c>
      <c r="J5">
        <f t="shared" si="1"/>
        <v>-3.3039647577092213E-3</v>
      </c>
      <c r="K5">
        <f t="shared" si="2"/>
        <v>2.7247956403269713E-2</v>
      </c>
      <c r="L5">
        <f t="shared" si="3"/>
        <v>2.3051406114644291E-2</v>
      </c>
      <c r="M5">
        <f t="shared" si="4"/>
        <v>2.8856243441761631E-3</v>
      </c>
      <c r="N5">
        <f t="shared" si="5"/>
        <v>-2.5430541660711792E-2</v>
      </c>
      <c r="O5">
        <f t="shared" si="6"/>
        <v>2.2901294723653098E-2</v>
      </c>
      <c r="P5">
        <f t="shared" si="7"/>
        <v>5.1513200257566893E-3</v>
      </c>
      <c r="Q5">
        <f t="shared" si="8"/>
        <v>-1.2900847769996227E-2</v>
      </c>
      <c r="R5" s="15">
        <f t="shared" si="9"/>
        <v>3.4682570438169967E-3</v>
      </c>
    </row>
    <row r="6" spans="1:27" x14ac:dyDescent="0.2">
      <c r="A6" s="11">
        <v>46042</v>
      </c>
      <c r="B6" s="12">
        <v>18.16</v>
      </c>
      <c r="C6" s="12">
        <v>22.02</v>
      </c>
      <c r="D6" s="12">
        <v>473.29</v>
      </c>
      <c r="E6" s="12">
        <v>38.119999999999997</v>
      </c>
      <c r="F6" s="12">
        <v>1119.52</v>
      </c>
      <c r="G6" s="12">
        <v>143.66</v>
      </c>
      <c r="H6" s="12">
        <v>15.53</v>
      </c>
      <c r="I6" s="12">
        <v>81.39</v>
      </c>
      <c r="J6">
        <f t="shared" si="1"/>
        <v>6.0941828254847952E-3</v>
      </c>
      <c r="K6">
        <f t="shared" si="2"/>
        <v>-7.6611086074809265E-3</v>
      </c>
      <c r="L6">
        <f t="shared" si="3"/>
        <v>3.5034006167034892E-2</v>
      </c>
      <c r="M6">
        <f t="shared" si="4"/>
        <v>2.8939752696659493E-3</v>
      </c>
      <c r="N6">
        <f t="shared" si="5"/>
        <v>3.1663533488149209E-2</v>
      </c>
      <c r="O6">
        <f t="shared" si="6"/>
        <v>2.7537372147915073E-2</v>
      </c>
      <c r="P6">
        <f t="shared" si="7"/>
        <v>3.8795986622073508E-2</v>
      </c>
      <c r="Q6">
        <f t="shared" si="8"/>
        <v>-3.2338604208774213E-2</v>
      </c>
      <c r="R6" s="15">
        <f t="shared" si="9"/>
        <v>1.8622154715800008E-2</v>
      </c>
      <c r="U6" t="s">
        <v>44</v>
      </c>
      <c r="V6" t="s">
        <v>45</v>
      </c>
      <c r="W6" t="s">
        <v>46</v>
      </c>
      <c r="Y6" t="s">
        <v>47</v>
      </c>
      <c r="Z6" t="s">
        <v>48</v>
      </c>
      <c r="AA6" t="s">
        <v>49</v>
      </c>
    </row>
    <row r="7" spans="1:27" x14ac:dyDescent="0.2">
      <c r="A7" s="13">
        <v>46041</v>
      </c>
      <c r="B7" s="14">
        <v>18.05</v>
      </c>
      <c r="C7" s="14">
        <v>22.19</v>
      </c>
      <c r="D7" s="14">
        <v>457.27</v>
      </c>
      <c r="E7" s="14">
        <v>38.01</v>
      </c>
      <c r="F7" s="14">
        <v>1085.1600000000001</v>
      </c>
      <c r="G7" s="14">
        <v>139.81</v>
      </c>
      <c r="H7" s="14">
        <v>14.95</v>
      </c>
      <c r="I7" s="14">
        <v>84.11</v>
      </c>
      <c r="J7">
        <f t="shared" si="1"/>
        <v>-5.5370985603531153E-4</v>
      </c>
      <c r="K7">
        <f t="shared" si="2"/>
        <v>5.4372451291346824E-3</v>
      </c>
      <c r="L7">
        <f t="shared" si="3"/>
        <v>-1.4992568338970003E-2</v>
      </c>
      <c r="M7">
        <f t="shared" si="4"/>
        <v>7.898894154818592E-4</v>
      </c>
      <c r="N7">
        <f t="shared" si="5"/>
        <v>1.8403641311998564E-2</v>
      </c>
      <c r="O7">
        <f t="shared" si="6"/>
        <v>-2.5985787933677007E-2</v>
      </c>
      <c r="P7">
        <f t="shared" si="7"/>
        <v>-2.8589993502274313E-2</v>
      </c>
      <c r="Q7">
        <f t="shared" si="8"/>
        <v>-6.6139128380772183E-3</v>
      </c>
      <c r="R7" s="15">
        <f t="shared" si="9"/>
        <v>-6.3368755351889371E-3</v>
      </c>
    </row>
    <row r="8" spans="1:27" x14ac:dyDescent="0.2">
      <c r="A8" s="11">
        <v>46038</v>
      </c>
      <c r="B8" s="12">
        <v>18.059999999999999</v>
      </c>
      <c r="C8" s="12">
        <v>22.07</v>
      </c>
      <c r="D8" s="12">
        <v>464.23</v>
      </c>
      <c r="E8" s="12">
        <v>37.979999999999997</v>
      </c>
      <c r="F8" s="12">
        <v>1065.55</v>
      </c>
      <c r="G8" s="12">
        <v>143.54</v>
      </c>
      <c r="H8" s="12">
        <v>15.39</v>
      </c>
      <c r="I8" s="12">
        <v>84.67</v>
      </c>
      <c r="J8">
        <f t="shared" si="1"/>
        <v>2.7888446215139417E-2</v>
      </c>
      <c r="K8">
        <f t="shared" si="2"/>
        <v>1.2385321100917501E-2</v>
      </c>
      <c r="L8">
        <f t="shared" si="3"/>
        <v>2.1363196338995083E-2</v>
      </c>
      <c r="M8">
        <f t="shared" si="4"/>
        <v>0</v>
      </c>
      <c r="N8">
        <f t="shared" si="5"/>
        <v>1.6833506694277078E-2</v>
      </c>
      <c r="O8">
        <f t="shared" si="6"/>
        <v>1.4632077472255478E-2</v>
      </c>
      <c r="P8">
        <f t="shared" si="7"/>
        <v>-2.0992366412213692E-2</v>
      </c>
      <c r="Q8">
        <f t="shared" si="8"/>
        <v>3.5085574572127243E-2</v>
      </c>
      <c r="R8" s="15">
        <f t="shared" si="9"/>
        <v>1.0978715506599296E-2</v>
      </c>
    </row>
    <row r="9" spans="1:27" x14ac:dyDescent="0.2">
      <c r="A9" s="13">
        <v>46037</v>
      </c>
      <c r="B9" s="14">
        <v>17.57</v>
      </c>
      <c r="C9" s="14">
        <v>21.8</v>
      </c>
      <c r="D9" s="14">
        <v>454.52</v>
      </c>
      <c r="E9" s="14">
        <v>37.979999999999997</v>
      </c>
      <c r="F9" s="14">
        <v>1047.9100000000001</v>
      </c>
      <c r="G9" s="14">
        <v>141.47</v>
      </c>
      <c r="H9" s="14">
        <v>15.72</v>
      </c>
      <c r="I9" s="14">
        <v>81.8</v>
      </c>
      <c r="J9">
        <f t="shared" si="1"/>
        <v>-3.6732456140350811E-2</v>
      </c>
      <c r="K9">
        <f t="shared" si="2"/>
        <v>-2.4608501118568271E-2</v>
      </c>
      <c r="L9">
        <f t="shared" si="3"/>
        <v>-2.6640397464450905E-2</v>
      </c>
      <c r="M9">
        <f t="shared" si="4"/>
        <v>-1.8604651162790864E-2</v>
      </c>
      <c r="N9">
        <f t="shared" si="5"/>
        <v>-1.8240926380483025E-2</v>
      </c>
      <c r="O9">
        <f t="shared" si="6"/>
        <v>-1.715992774767261E-2</v>
      </c>
      <c r="P9">
        <f t="shared" si="7"/>
        <v>1.0282776349614497E-2</v>
      </c>
      <c r="Q9">
        <f t="shared" si="8"/>
        <v>9.378084896347394E-3</v>
      </c>
      <c r="R9" s="15">
        <f t="shared" si="9"/>
        <v>-1.4251463568089205E-2</v>
      </c>
      <c r="U9" t="s">
        <v>50</v>
      </c>
    </row>
    <row r="10" spans="1:27" x14ac:dyDescent="0.2">
      <c r="A10" s="11">
        <v>46036</v>
      </c>
      <c r="B10" s="12">
        <v>18.239999999999998</v>
      </c>
      <c r="C10" s="12">
        <v>22.35</v>
      </c>
      <c r="D10" s="12">
        <v>466.96</v>
      </c>
      <c r="E10" s="12">
        <v>38.700000000000003</v>
      </c>
      <c r="F10" s="12">
        <v>1067.3800000000001</v>
      </c>
      <c r="G10" s="12">
        <v>143.94</v>
      </c>
      <c r="H10" s="12">
        <v>15.56</v>
      </c>
      <c r="I10" s="12">
        <v>81.040000000000006</v>
      </c>
      <c r="J10">
        <f t="shared" si="1"/>
        <v>5.4854635216661229E-4</v>
      </c>
      <c r="K10">
        <f t="shared" si="2"/>
        <v>1.3605442176870763E-2</v>
      </c>
      <c r="L10">
        <f t="shared" si="3"/>
        <v>-1.3165958705805281E-2</v>
      </c>
      <c r="M10">
        <f t="shared" si="4"/>
        <v>9.6530133055050538E-3</v>
      </c>
      <c r="N10">
        <f t="shared" si="5"/>
        <v>4.422780140776128E-3</v>
      </c>
      <c r="O10">
        <f t="shared" si="6"/>
        <v>2.2155943757989016E-2</v>
      </c>
      <c r="P10">
        <f t="shared" si="7"/>
        <v>-4.5398773006134929E-2</v>
      </c>
      <c r="Q10">
        <f t="shared" si="8"/>
        <v>2.1040695476880478E-2</v>
      </c>
      <c r="R10" s="15">
        <f t="shared" si="9"/>
        <v>-1.1745813167831165E-3</v>
      </c>
    </row>
    <row r="11" spans="1:27" x14ac:dyDescent="0.2">
      <c r="A11" s="13">
        <v>46035</v>
      </c>
      <c r="B11" s="14">
        <v>18.23</v>
      </c>
      <c r="C11" s="14">
        <v>22.05</v>
      </c>
      <c r="D11" s="14">
        <v>473.19</v>
      </c>
      <c r="E11" s="14">
        <v>38.33</v>
      </c>
      <c r="F11" s="14">
        <v>1062.68</v>
      </c>
      <c r="G11" s="14">
        <v>140.82</v>
      </c>
      <c r="H11" s="14">
        <v>16.3</v>
      </c>
      <c r="I11" s="14">
        <v>79.37</v>
      </c>
      <c r="J11">
        <f t="shared" si="1"/>
        <v>-5.4555373704309185E-3</v>
      </c>
      <c r="K11">
        <f t="shared" si="2"/>
        <v>-9.4339622641509413E-3</v>
      </c>
      <c r="L11">
        <f t="shared" si="3"/>
        <v>-1.4987822394304628E-2</v>
      </c>
      <c r="M11">
        <f t="shared" si="4"/>
        <v>-4.674110620618066E-3</v>
      </c>
      <c r="N11">
        <f t="shared" si="5"/>
        <v>-1.0613734544912767E-2</v>
      </c>
      <c r="O11">
        <f t="shared" si="6"/>
        <v>-2.9736618521666314E-3</v>
      </c>
      <c r="P11">
        <f t="shared" si="7"/>
        <v>-1.5105740181268867E-2</v>
      </c>
      <c r="Q11">
        <f t="shared" si="8"/>
        <v>-8.4946908182385039E-3</v>
      </c>
      <c r="R11" s="15">
        <f t="shared" si="9"/>
        <v>-9.5861354918730553E-3</v>
      </c>
      <c r="T11" s="1" t="s">
        <v>51</v>
      </c>
    </row>
    <row r="12" spans="1:27" x14ac:dyDescent="0.2">
      <c r="A12" s="11">
        <v>46034</v>
      </c>
      <c r="B12" s="12">
        <v>18.329999999999998</v>
      </c>
      <c r="C12" s="12">
        <v>22.26</v>
      </c>
      <c r="D12" s="12">
        <v>480.39</v>
      </c>
      <c r="E12" s="12">
        <v>38.51</v>
      </c>
      <c r="F12" s="12">
        <v>1074.08</v>
      </c>
      <c r="G12" s="12">
        <v>141.24</v>
      </c>
      <c r="H12" s="12">
        <v>16.55</v>
      </c>
      <c r="I12" s="12">
        <v>80.05</v>
      </c>
      <c r="J12">
        <f t="shared" si="1"/>
        <v>3.284072249589487E-3</v>
      </c>
      <c r="K12">
        <f t="shared" si="2"/>
        <v>-4.472271914132242E-3</v>
      </c>
      <c r="L12">
        <f t="shared" si="3"/>
        <v>2.3996327518569505E-3</v>
      </c>
      <c r="M12">
        <f t="shared" si="4"/>
        <v>4.6960605270023326E-3</v>
      </c>
      <c r="N12">
        <f t="shared" si="5"/>
        <v>8.7896282791451341E-2</v>
      </c>
      <c r="O12">
        <f t="shared" si="6"/>
        <v>1.0806555499892845E-2</v>
      </c>
      <c r="P12">
        <f t="shared" si="7"/>
        <v>-2.3022432113341207E-2</v>
      </c>
      <c r="Q12">
        <f t="shared" si="8"/>
        <v>5.7796205553459767E-3</v>
      </c>
      <c r="R12" s="15">
        <f t="shared" si="9"/>
        <v>1.7001070588415112E-2</v>
      </c>
      <c r="T12" s="16">
        <f>PERCENTILE(R2:R501,0.01)</f>
        <v>-2.8611433660175475E-2</v>
      </c>
      <c r="U12" t="s">
        <v>52</v>
      </c>
    </row>
    <row r="13" spans="1:27" x14ac:dyDescent="0.2">
      <c r="A13" s="13">
        <v>46031</v>
      </c>
      <c r="B13" s="14">
        <v>18.27</v>
      </c>
      <c r="C13" s="14">
        <v>22.36</v>
      </c>
      <c r="D13" s="14">
        <v>479.24</v>
      </c>
      <c r="E13" s="14">
        <v>38.33</v>
      </c>
      <c r="F13" s="14">
        <v>987.3</v>
      </c>
      <c r="G13" s="14">
        <v>139.72999999999999</v>
      </c>
      <c r="H13" s="14">
        <v>16.940000000000001</v>
      </c>
      <c r="I13" s="14">
        <v>79.59</v>
      </c>
      <c r="J13">
        <f t="shared" si="1"/>
        <v>-8.1433224755701472E-3</v>
      </c>
      <c r="K13">
        <f t="shared" si="2"/>
        <v>1.4979573309123806E-2</v>
      </c>
      <c r="L13">
        <f t="shared" si="3"/>
        <v>-1.4781160701436979E-2</v>
      </c>
      <c r="M13">
        <f t="shared" si="4"/>
        <v>-1.08387096774194E-2</v>
      </c>
      <c r="N13">
        <f t="shared" si="5"/>
        <v>2.8566070758844875E-2</v>
      </c>
      <c r="O13">
        <f t="shared" si="6"/>
        <v>-1.3275898594732216E-2</v>
      </c>
      <c r="P13">
        <f t="shared" si="7"/>
        <v>0</v>
      </c>
      <c r="Q13">
        <f t="shared" si="8"/>
        <v>1.7514702122219505E-2</v>
      </c>
      <c r="R13" s="15">
        <f t="shared" si="9"/>
        <v>3.7884893366902971E-3</v>
      </c>
      <c r="T13" s="17">
        <f>T12*350000000</f>
        <v>-10014001.781061416</v>
      </c>
      <c r="U13" t="s">
        <v>53</v>
      </c>
    </row>
    <row r="14" spans="1:27" x14ac:dyDescent="0.2">
      <c r="A14" s="11">
        <v>46030</v>
      </c>
      <c r="B14" s="12">
        <v>18.420000000000002</v>
      </c>
      <c r="C14" s="12">
        <v>22.03</v>
      </c>
      <c r="D14" s="12">
        <v>486.43</v>
      </c>
      <c r="E14" s="12">
        <v>38.75</v>
      </c>
      <c r="F14" s="12">
        <v>959.88</v>
      </c>
      <c r="G14" s="12">
        <v>141.61000000000001</v>
      </c>
      <c r="H14" s="12">
        <v>16.940000000000001</v>
      </c>
      <c r="I14" s="12">
        <v>78.22</v>
      </c>
      <c r="J14">
        <f t="shared" si="1"/>
        <v>1.0976948408342624E-2</v>
      </c>
      <c r="K14">
        <f t="shared" si="2"/>
        <v>6.1175337186897938E-2</v>
      </c>
      <c r="L14">
        <f t="shared" si="3"/>
        <v>1.3121446274967141E-2</v>
      </c>
      <c r="M14">
        <f t="shared" si="4"/>
        <v>1.5195179460309127E-2</v>
      </c>
      <c r="N14">
        <f t="shared" si="5"/>
        <v>8.7965444398903081E-3</v>
      </c>
      <c r="O14">
        <f t="shared" si="6"/>
        <v>1.0778015703069466E-2</v>
      </c>
      <c r="P14">
        <f t="shared" si="7"/>
        <v>1.558752997601931E-2</v>
      </c>
      <c r="Q14">
        <f t="shared" si="8"/>
        <v>2.2216414009409435E-2</v>
      </c>
      <c r="R14" s="15">
        <f t="shared" si="9"/>
        <v>1.8332972415132789E-2</v>
      </c>
    </row>
    <row r="15" spans="1:27" x14ac:dyDescent="0.2">
      <c r="A15" s="13">
        <v>46029</v>
      </c>
      <c r="B15" s="14">
        <v>18.22</v>
      </c>
      <c r="C15" s="14">
        <v>20.76</v>
      </c>
      <c r="D15" s="14">
        <v>480.13</v>
      </c>
      <c r="E15" s="14">
        <v>38.17</v>
      </c>
      <c r="F15" s="14">
        <v>951.51</v>
      </c>
      <c r="G15" s="14">
        <v>140.1</v>
      </c>
      <c r="H15" s="14">
        <v>16.68</v>
      </c>
      <c r="I15" s="14">
        <v>76.52</v>
      </c>
      <c r="J15">
        <f t="shared" si="1"/>
        <v>2.2002200220021528E-3</v>
      </c>
      <c r="K15">
        <f t="shared" si="2"/>
        <v>-2.8089887640449285E-2</v>
      </c>
      <c r="L15">
        <f t="shared" si="3"/>
        <v>3.8890166642273627E-3</v>
      </c>
      <c r="M15">
        <f t="shared" si="4"/>
        <v>6.8583487206543836E-3</v>
      </c>
      <c r="N15">
        <f t="shared" si="5"/>
        <v>-1.9577335627659731E-2</v>
      </c>
      <c r="O15">
        <f t="shared" si="6"/>
        <v>2.3150514861608018E-2</v>
      </c>
      <c r="P15">
        <f t="shared" si="7"/>
        <v>4.2143287176399369E-3</v>
      </c>
      <c r="Q15">
        <f t="shared" si="8"/>
        <v>-1.0730446024563634E-2</v>
      </c>
      <c r="R15" s="15">
        <f t="shared" si="9"/>
        <v>-2.8421048552727925E-3</v>
      </c>
    </row>
    <row r="16" spans="1:27" x14ac:dyDescent="0.2">
      <c r="A16" s="11">
        <v>46028</v>
      </c>
      <c r="B16" s="12">
        <v>18.18</v>
      </c>
      <c r="C16" s="12">
        <v>21.36</v>
      </c>
      <c r="D16" s="12">
        <v>478.27</v>
      </c>
      <c r="E16" s="12">
        <v>37.909999999999997</v>
      </c>
      <c r="F16" s="12">
        <v>970.51</v>
      </c>
      <c r="G16" s="12">
        <v>136.93</v>
      </c>
      <c r="H16" s="12">
        <v>16.61</v>
      </c>
      <c r="I16" s="12">
        <v>77.349999999999994</v>
      </c>
      <c r="J16">
        <f t="shared" si="1"/>
        <v>-2.6766595289079209E-2</v>
      </c>
      <c r="K16">
        <f t="shared" si="2"/>
        <v>8.4985835694051381E-3</v>
      </c>
      <c r="L16">
        <f t="shared" si="3"/>
        <v>1.5349014945652106E-2</v>
      </c>
      <c r="M16">
        <f t="shared" si="4"/>
        <v>-1.0441138084051338E-2</v>
      </c>
      <c r="N16">
        <f t="shared" si="5"/>
        <v>2.3043272018131056E-2</v>
      </c>
      <c r="O16">
        <f t="shared" si="6"/>
        <v>-3.5296604198957193E-2</v>
      </c>
      <c r="P16">
        <f t="shared" si="7"/>
        <v>-7.1727435744173285E-3</v>
      </c>
      <c r="Q16">
        <f t="shared" si="8"/>
        <v>-2.4097905627050387E-2</v>
      </c>
      <c r="R16" s="15">
        <f t="shared" si="9"/>
        <v>-3.5539403864396023E-3</v>
      </c>
    </row>
    <row r="17" spans="1:18" x14ac:dyDescent="0.2">
      <c r="A17" s="13">
        <v>46027</v>
      </c>
      <c r="B17" s="14">
        <v>18.68</v>
      </c>
      <c r="C17" s="14">
        <v>21.18</v>
      </c>
      <c r="D17" s="14">
        <v>471.04</v>
      </c>
      <c r="E17" s="14">
        <v>38.31</v>
      </c>
      <c r="F17" s="14">
        <v>948.65</v>
      </c>
      <c r="G17" s="14">
        <v>141.94</v>
      </c>
      <c r="H17" s="14">
        <v>16.73</v>
      </c>
      <c r="I17" s="14">
        <v>79.260000000000005</v>
      </c>
      <c r="J17">
        <f t="shared" si="1"/>
        <v>8.0949811117105863E-3</v>
      </c>
      <c r="K17">
        <f t="shared" si="2"/>
        <v>2.4177949709864643E-2</v>
      </c>
      <c r="L17">
        <f t="shared" si="3"/>
        <v>9.1479743771023525E-3</v>
      </c>
      <c r="M17">
        <f t="shared" si="4"/>
        <v>1.0284810126582222E-2</v>
      </c>
      <c r="N17">
        <f t="shared" si="5"/>
        <v>4.5367391016881919E-2</v>
      </c>
      <c r="O17">
        <f t="shared" si="6"/>
        <v>-7.0402703463812166E-4</v>
      </c>
      <c r="P17">
        <f t="shared" si="7"/>
        <v>2.5122549019607865E-2</v>
      </c>
      <c r="Q17">
        <f t="shared" si="8"/>
        <v>3.8249934503536753E-2</v>
      </c>
      <c r="R17" s="15">
        <f t="shared" si="9"/>
        <v>2.2089979215978783E-2</v>
      </c>
    </row>
    <row r="18" spans="1:18" x14ac:dyDescent="0.2">
      <c r="A18" s="11">
        <v>46024</v>
      </c>
      <c r="B18" s="12">
        <v>18.53</v>
      </c>
      <c r="C18" s="12">
        <v>20.68</v>
      </c>
      <c r="D18" s="12">
        <v>466.77</v>
      </c>
      <c r="E18" s="12">
        <v>37.92</v>
      </c>
      <c r="F18" s="12">
        <v>907.48</v>
      </c>
      <c r="G18" s="12">
        <v>142.04</v>
      </c>
      <c r="H18" s="12">
        <v>16.32</v>
      </c>
      <c r="I18" s="12">
        <v>76.34</v>
      </c>
      <c r="J18">
        <f t="shared" si="1"/>
        <v>-5.3676865271067298E-3</v>
      </c>
      <c r="K18">
        <f t="shared" si="2"/>
        <v>4.8379293662303979E-4</v>
      </c>
      <c r="L18">
        <f t="shared" si="3"/>
        <v>-1.3296410603306219E-2</v>
      </c>
      <c r="M18">
        <f t="shared" si="4"/>
        <v>-2.2932233960319515E-2</v>
      </c>
      <c r="N18">
        <f t="shared" si="5"/>
        <v>-4.1468618628134446E-2</v>
      </c>
      <c r="O18">
        <f t="shared" si="6"/>
        <v>-4.345997476517649E-3</v>
      </c>
      <c r="P18">
        <f t="shared" si="7"/>
        <v>2.1276595744680771E-2</v>
      </c>
      <c r="Q18">
        <f t="shared" si="8"/>
        <v>1.1930010604453978E-2</v>
      </c>
      <c r="R18" s="15">
        <f t="shared" si="9"/>
        <v>-8.7810954616341589E-3</v>
      </c>
    </row>
    <row r="19" spans="1:18" x14ac:dyDescent="0.2">
      <c r="A19" s="13">
        <v>46022</v>
      </c>
      <c r="B19" s="14">
        <v>18.63</v>
      </c>
      <c r="C19" s="14">
        <v>20.67</v>
      </c>
      <c r="D19" s="14">
        <v>473.06</v>
      </c>
      <c r="E19" s="14">
        <v>38.81</v>
      </c>
      <c r="F19" s="14">
        <v>946.74</v>
      </c>
      <c r="G19" s="14">
        <v>142.66</v>
      </c>
      <c r="H19" s="14">
        <v>15.98</v>
      </c>
      <c r="I19" s="14">
        <v>75.44</v>
      </c>
      <c r="J19">
        <f t="shared" si="1"/>
        <v>-6.9296375266525434E-3</v>
      </c>
      <c r="K19">
        <f t="shared" si="2"/>
        <v>-1.0531354715174635E-2</v>
      </c>
      <c r="L19">
        <f t="shared" si="3"/>
        <v>-2.004177127064799E-3</v>
      </c>
      <c r="M19">
        <f t="shared" si="4"/>
        <v>1.5171331415119171E-2</v>
      </c>
      <c r="N19">
        <f t="shared" si="5"/>
        <v>-9.3545956805625163E-3</v>
      </c>
      <c r="O19">
        <f t="shared" si="6"/>
        <v>7.1302506177197689E-3</v>
      </c>
      <c r="P19">
        <f t="shared" si="7"/>
        <v>0</v>
      </c>
      <c r="Q19">
        <f t="shared" si="8"/>
        <v>-3.8123167155425297E-2</v>
      </c>
      <c r="R19" s="15">
        <f t="shared" si="9"/>
        <v>-4.6039848275598481E-3</v>
      </c>
    </row>
    <row r="20" spans="1:18" x14ac:dyDescent="0.2">
      <c r="A20" s="11">
        <v>46021</v>
      </c>
      <c r="B20" s="12">
        <v>18.760000000000002</v>
      </c>
      <c r="C20" s="12">
        <v>20.89</v>
      </c>
      <c r="D20" s="12">
        <v>474.01</v>
      </c>
      <c r="E20" s="12">
        <v>38.229999999999997</v>
      </c>
      <c r="F20" s="12">
        <v>955.68</v>
      </c>
      <c r="G20" s="12">
        <v>141.65</v>
      </c>
      <c r="H20" s="12">
        <v>15.98</v>
      </c>
      <c r="I20" s="12">
        <v>78.430000000000007</v>
      </c>
      <c r="J20">
        <f t="shared" si="1"/>
        <v>0</v>
      </c>
      <c r="K20">
        <f t="shared" si="2"/>
        <v>-1.7865538316878204E-2</v>
      </c>
      <c r="L20">
        <f t="shared" si="3"/>
        <v>-1.834862385321101E-2</v>
      </c>
      <c r="M20">
        <f t="shared" si="4"/>
        <v>-2.2250639386189319E-2</v>
      </c>
      <c r="N20">
        <f t="shared" si="5"/>
        <v>-2.6772711997311571E-2</v>
      </c>
      <c r="O20">
        <f t="shared" si="6"/>
        <v>-2.1821697396588569E-2</v>
      </c>
      <c r="P20">
        <f t="shared" si="7"/>
        <v>-1.1750154607297558E-2</v>
      </c>
      <c r="Q20">
        <f t="shared" si="8"/>
        <v>-7.6442858962910698E-4</v>
      </c>
      <c r="R20" s="15">
        <f t="shared" si="9"/>
        <v>-1.690558934736771E-2</v>
      </c>
    </row>
    <row r="21" spans="1:18" x14ac:dyDescent="0.2">
      <c r="A21" s="13">
        <v>46020</v>
      </c>
      <c r="B21" s="14">
        <v>18.760000000000002</v>
      </c>
      <c r="C21" s="14">
        <v>21.27</v>
      </c>
      <c r="D21" s="14">
        <v>482.87</v>
      </c>
      <c r="E21" s="14">
        <v>39.1</v>
      </c>
      <c r="F21" s="14">
        <v>981.97</v>
      </c>
      <c r="G21" s="14">
        <v>144.81</v>
      </c>
      <c r="H21" s="14">
        <v>16.170000000000002</v>
      </c>
      <c r="I21" s="14">
        <v>78.489999999999995</v>
      </c>
      <c r="J21">
        <f t="shared" si="1"/>
        <v>5.8981233243968756E-3</v>
      </c>
      <c r="K21">
        <f t="shared" si="2"/>
        <v>-7.0028011204482654E-3</v>
      </c>
      <c r="L21">
        <f t="shared" si="3"/>
        <v>-7.9100920447074952E-3</v>
      </c>
      <c r="M21">
        <f t="shared" si="4"/>
        <v>-1.1877685114986103E-2</v>
      </c>
      <c r="N21">
        <f t="shared" si="5"/>
        <v>2.6650057180199749E-3</v>
      </c>
      <c r="O21">
        <f t="shared" si="6"/>
        <v>3.4647633566626812E-3</v>
      </c>
      <c r="P21">
        <f t="shared" si="7"/>
        <v>-2.4728588661037221E-2</v>
      </c>
      <c r="Q21">
        <f t="shared" si="8"/>
        <v>1.3297185644203457E-2</v>
      </c>
      <c r="R21" s="15">
        <f t="shared" si="9"/>
        <v>-4.4120281131342894E-3</v>
      </c>
    </row>
    <row r="22" spans="1:18" x14ac:dyDescent="0.2">
      <c r="A22" s="11">
        <v>46017</v>
      </c>
      <c r="B22" s="12">
        <v>18.649999999999999</v>
      </c>
      <c r="C22" s="12">
        <v>21.42</v>
      </c>
      <c r="D22" s="12">
        <v>486.72</v>
      </c>
      <c r="E22" s="12">
        <v>39.57</v>
      </c>
      <c r="F22" s="12">
        <v>979.36</v>
      </c>
      <c r="G22" s="12">
        <v>144.31</v>
      </c>
      <c r="H22" s="12">
        <v>16.579999999999998</v>
      </c>
      <c r="I22" s="12">
        <v>77.459999999999994</v>
      </c>
      <c r="J22">
        <f t="shared" si="1"/>
        <v>-5.8635394456291179E-3</v>
      </c>
      <c r="K22">
        <f t="shared" si="2"/>
        <v>6.106153123532243E-3</v>
      </c>
      <c r="L22">
        <f t="shared" si="3"/>
        <v>2.4302838077192579E-3</v>
      </c>
      <c r="M22">
        <f t="shared" si="4"/>
        <v>1.072796934865905E-2</v>
      </c>
      <c r="N22">
        <f t="shared" si="5"/>
        <v>2.4220874294080597E-2</v>
      </c>
      <c r="O22">
        <f t="shared" si="6"/>
        <v>-1.4410599644857136E-2</v>
      </c>
      <c r="P22">
        <f t="shared" si="7"/>
        <v>-1.4854426619132499E-2</v>
      </c>
      <c r="Q22">
        <f t="shared" si="8"/>
        <v>8.9878858929268723E-3</v>
      </c>
      <c r="R22" s="15">
        <f t="shared" si="9"/>
        <v>2.7224229839023935E-3</v>
      </c>
    </row>
    <row r="23" spans="1:18" x14ac:dyDescent="0.2">
      <c r="A23" s="13">
        <v>46015</v>
      </c>
      <c r="B23" s="14">
        <v>18.760000000000002</v>
      </c>
      <c r="C23" s="14">
        <v>21.29</v>
      </c>
      <c r="D23" s="14">
        <v>485.54</v>
      </c>
      <c r="E23" s="14">
        <v>39.15</v>
      </c>
      <c r="F23" s="14">
        <v>956.2</v>
      </c>
      <c r="G23" s="14">
        <v>146.41999999999999</v>
      </c>
      <c r="H23" s="14">
        <v>16.829999999999998</v>
      </c>
      <c r="I23" s="14">
        <v>76.77</v>
      </c>
      <c r="J23">
        <f t="shared" si="1"/>
        <v>4.282655246252709E-3</v>
      </c>
      <c r="K23">
        <f t="shared" si="2"/>
        <v>-4.6948356807519076E-4</v>
      </c>
      <c r="L23">
        <f t="shared" si="3"/>
        <v>-1.3985438690304886E-3</v>
      </c>
      <c r="M23">
        <f t="shared" si="4"/>
        <v>5.9095580678314441E-3</v>
      </c>
      <c r="N23">
        <f t="shared" si="5"/>
        <v>-3.3977445646509175E-3</v>
      </c>
      <c r="O23">
        <f t="shared" si="6"/>
        <v>-6.3115032236172874E-3</v>
      </c>
      <c r="P23">
        <f t="shared" si="7"/>
        <v>1.6304347826086918E-2</v>
      </c>
      <c r="Q23">
        <f t="shared" si="8"/>
        <v>1.5879317189360975E-2</v>
      </c>
      <c r="R23" s="15">
        <f t="shared" si="9"/>
        <v>3.0999518847336584E-3</v>
      </c>
    </row>
    <row r="24" spans="1:18" x14ac:dyDescent="0.2">
      <c r="A24" s="11">
        <v>46014</v>
      </c>
      <c r="B24" s="12">
        <v>18.68</v>
      </c>
      <c r="C24" s="12">
        <v>21.3</v>
      </c>
      <c r="D24" s="12">
        <v>486.22</v>
      </c>
      <c r="E24" s="12">
        <v>38.92</v>
      </c>
      <c r="F24" s="12">
        <v>959.46</v>
      </c>
      <c r="G24" s="12">
        <v>147.35</v>
      </c>
      <c r="H24" s="12">
        <v>16.559999999999999</v>
      </c>
      <c r="I24" s="12">
        <v>75.569999999999993</v>
      </c>
      <c r="J24">
        <f t="shared" si="1"/>
        <v>9.1842247433817636E-3</v>
      </c>
      <c r="K24">
        <f t="shared" si="2"/>
        <v>8.0454330336015012E-3</v>
      </c>
      <c r="L24">
        <f t="shared" si="3"/>
        <v>9.2158246502553887E-3</v>
      </c>
      <c r="M24">
        <f t="shared" si="4"/>
        <v>1.6453382084095081E-2</v>
      </c>
      <c r="N24">
        <f t="shared" si="5"/>
        <v>2.4155930104714729E-2</v>
      </c>
      <c r="O24">
        <f t="shared" si="6"/>
        <v>2.2199098161637121E-2</v>
      </c>
      <c r="P24">
        <f t="shared" si="7"/>
        <v>-2.416028285209193E-2</v>
      </c>
      <c r="Q24">
        <f t="shared" si="8"/>
        <v>6.9287141905396421E-3</v>
      </c>
      <c r="R24" s="15">
        <f t="shared" si="9"/>
        <v>8.8341070737727422E-3</v>
      </c>
    </row>
    <row r="25" spans="1:18" x14ac:dyDescent="0.2">
      <c r="A25" s="13">
        <v>46013</v>
      </c>
      <c r="B25" s="14">
        <v>18.510000000000002</v>
      </c>
      <c r="C25" s="14">
        <v>21.13</v>
      </c>
      <c r="D25" s="14">
        <v>481.78</v>
      </c>
      <c r="E25" s="14">
        <v>38.29</v>
      </c>
      <c r="F25" s="14">
        <v>936.83</v>
      </c>
      <c r="G25" s="14">
        <v>144.15</v>
      </c>
      <c r="H25" s="14">
        <v>16.97</v>
      </c>
      <c r="I25" s="14">
        <v>75.05</v>
      </c>
      <c r="J25">
        <f t="shared" si="1"/>
        <v>1.5359297860669363E-2</v>
      </c>
      <c r="K25">
        <f t="shared" si="2"/>
        <v>8.1106870229006311E-3</v>
      </c>
      <c r="L25">
        <f t="shared" si="3"/>
        <v>-4.1958620119468826E-3</v>
      </c>
      <c r="M25">
        <f t="shared" si="4"/>
        <v>-7.0020746887967666E-3</v>
      </c>
      <c r="N25">
        <f t="shared" si="5"/>
        <v>7.6828469292750556E-2</v>
      </c>
      <c r="O25">
        <f t="shared" si="6"/>
        <v>-2.9051670471050839E-3</v>
      </c>
      <c r="P25">
        <f t="shared" si="7"/>
        <v>-1.1771630370805974E-3</v>
      </c>
      <c r="Q25">
        <f t="shared" si="8"/>
        <v>-5.3015241882041764E-3</v>
      </c>
      <c r="R25" s="15">
        <f t="shared" si="9"/>
        <v>1.6090244751470154E-2</v>
      </c>
    </row>
    <row r="26" spans="1:18" x14ac:dyDescent="0.2">
      <c r="A26" s="11">
        <v>46010</v>
      </c>
      <c r="B26" s="12">
        <v>18.23</v>
      </c>
      <c r="C26" s="12">
        <v>20.96</v>
      </c>
      <c r="D26" s="12">
        <v>483.81</v>
      </c>
      <c r="E26" s="12">
        <v>38.56</v>
      </c>
      <c r="F26" s="12">
        <v>869.99</v>
      </c>
      <c r="G26" s="12">
        <v>144.57</v>
      </c>
      <c r="H26" s="12">
        <v>16.989999999999998</v>
      </c>
      <c r="I26" s="12">
        <v>75.45</v>
      </c>
      <c r="J26">
        <f t="shared" si="1"/>
        <v>-1.8837459634014952E-2</v>
      </c>
      <c r="K26">
        <f t="shared" si="2"/>
        <v>4.3124101581217822E-3</v>
      </c>
      <c r="L26">
        <f t="shared" si="3"/>
        <v>1.451068380548981E-2</v>
      </c>
      <c r="M26">
        <f t="shared" si="4"/>
        <v>-1.9079114729076529E-2</v>
      </c>
      <c r="N26">
        <f t="shared" si="5"/>
        <v>8.3127910161599594E-2</v>
      </c>
      <c r="O26">
        <f t="shared" si="6"/>
        <v>4.4580924855491144E-2</v>
      </c>
      <c r="P26">
        <f t="shared" si="7"/>
        <v>0.14103425117528534</v>
      </c>
      <c r="Q26">
        <f t="shared" si="8"/>
        <v>2.6810016330974351E-2</v>
      </c>
      <c r="R26" s="15">
        <f t="shared" si="9"/>
        <v>4.881034469769522E-2</v>
      </c>
    </row>
    <row r="27" spans="1:18" x14ac:dyDescent="0.2">
      <c r="A27" s="13">
        <v>46009</v>
      </c>
      <c r="B27" s="14">
        <v>18.579999999999998</v>
      </c>
      <c r="C27" s="14">
        <v>20.87</v>
      </c>
      <c r="D27" s="14">
        <v>476.89</v>
      </c>
      <c r="E27" s="14">
        <v>39.31</v>
      </c>
      <c r="F27" s="14">
        <v>803.22</v>
      </c>
      <c r="G27" s="14">
        <v>138.4</v>
      </c>
      <c r="H27" s="14">
        <v>14.89</v>
      </c>
      <c r="I27" s="14">
        <v>73.48</v>
      </c>
      <c r="J27">
        <f t="shared" si="1"/>
        <v>8.138903960933197E-3</v>
      </c>
      <c r="K27">
        <f t="shared" si="2"/>
        <v>3.8308457711442756E-2</v>
      </c>
      <c r="L27">
        <f t="shared" si="3"/>
        <v>1.91046051928625E-2</v>
      </c>
      <c r="M27">
        <f t="shared" si="4"/>
        <v>8.2072326237496718E-3</v>
      </c>
      <c r="N27">
        <f t="shared" si="5"/>
        <v>1.0848225522275268E-2</v>
      </c>
      <c r="O27">
        <f t="shared" si="6"/>
        <v>4.3541364296080243E-3</v>
      </c>
      <c r="P27">
        <f t="shared" si="7"/>
        <v>5.1553672316384302E-2</v>
      </c>
      <c r="Q27">
        <f t="shared" si="8"/>
        <v>2.3683477291724708E-2</v>
      </c>
      <c r="R27" s="15">
        <f t="shared" si="9"/>
        <v>2.1442755161360568E-2</v>
      </c>
    </row>
    <row r="28" spans="1:18" x14ac:dyDescent="0.2">
      <c r="A28" s="11">
        <v>46008</v>
      </c>
      <c r="B28" s="12">
        <v>18.43</v>
      </c>
      <c r="C28" s="12">
        <v>20.100000000000001</v>
      </c>
      <c r="D28" s="12">
        <v>467.95</v>
      </c>
      <c r="E28" s="12">
        <v>38.99</v>
      </c>
      <c r="F28" s="12">
        <v>794.6</v>
      </c>
      <c r="G28" s="12">
        <v>137.80000000000001</v>
      </c>
      <c r="H28" s="12">
        <v>14.16</v>
      </c>
      <c r="I28" s="12">
        <v>71.78</v>
      </c>
      <c r="J28">
        <f t="shared" si="1"/>
        <v>-1.8114011720831158E-2</v>
      </c>
      <c r="K28">
        <f t="shared" si="2"/>
        <v>-2.663438256658579E-2</v>
      </c>
      <c r="L28">
        <f t="shared" si="3"/>
        <v>3.1817780913741434E-2</v>
      </c>
      <c r="M28">
        <f t="shared" si="4"/>
        <v>-3.7996545768566481E-2</v>
      </c>
      <c r="N28">
        <f t="shared" si="5"/>
        <v>1.1559221916692231E-2</v>
      </c>
      <c r="O28">
        <f t="shared" si="6"/>
        <v>8.9324937765411505E-3</v>
      </c>
      <c r="P28">
        <f t="shared" si="7"/>
        <v>1.8705035971223083E-2</v>
      </c>
      <c r="Q28">
        <f t="shared" si="8"/>
        <v>-1.1158561785369892E-2</v>
      </c>
      <c r="R28" s="15">
        <f t="shared" si="9"/>
        <v>1.9846984739865219E-3</v>
      </c>
    </row>
    <row r="29" spans="1:18" x14ac:dyDescent="0.2">
      <c r="A29" s="13">
        <v>46007</v>
      </c>
      <c r="B29" s="14">
        <v>18.77</v>
      </c>
      <c r="C29" s="14">
        <v>20.65</v>
      </c>
      <c r="D29" s="14">
        <v>453.52</v>
      </c>
      <c r="E29" s="14">
        <v>40.53</v>
      </c>
      <c r="F29" s="14">
        <v>785.52</v>
      </c>
      <c r="G29" s="14">
        <v>136.58000000000001</v>
      </c>
      <c r="H29" s="14">
        <v>13.9</v>
      </c>
      <c r="I29" s="14">
        <v>72.59</v>
      </c>
      <c r="J29">
        <f t="shared" si="1"/>
        <v>-1.2624934245134223E-2</v>
      </c>
      <c r="K29">
        <f t="shared" si="2"/>
        <v>-1.5259895088221231E-2</v>
      </c>
      <c r="L29">
        <f t="shared" si="3"/>
        <v>-8.6344459745995028E-3</v>
      </c>
      <c r="M29">
        <f t="shared" si="4"/>
        <v>-4.1769041769041948E-3</v>
      </c>
      <c r="N29">
        <f t="shared" si="5"/>
        <v>2.0665901262917341E-3</v>
      </c>
      <c r="O29">
        <f t="shared" si="6"/>
        <v>-7.4849211539859128E-3</v>
      </c>
      <c r="P29">
        <f t="shared" si="7"/>
        <v>-7.1890726096335289E-4</v>
      </c>
      <c r="Q29">
        <f t="shared" si="8"/>
        <v>-5.2076195696860728E-3</v>
      </c>
      <c r="R29" s="15">
        <f t="shared" si="9"/>
        <v>-5.2533669271638116E-3</v>
      </c>
    </row>
    <row r="30" spans="1:18" x14ac:dyDescent="0.2">
      <c r="A30" s="11">
        <v>46006</v>
      </c>
      <c r="B30" s="12">
        <v>19.010000000000002</v>
      </c>
      <c r="C30" s="12">
        <v>20.97</v>
      </c>
      <c r="D30" s="12">
        <v>457.47</v>
      </c>
      <c r="E30" s="12">
        <v>40.700000000000003</v>
      </c>
      <c r="F30" s="12">
        <v>783.9</v>
      </c>
      <c r="G30" s="12">
        <v>137.61000000000001</v>
      </c>
      <c r="H30" s="12">
        <v>13.91</v>
      </c>
      <c r="I30" s="12">
        <v>72.97</v>
      </c>
      <c r="J30">
        <f t="shared" si="1"/>
        <v>-1.5025906735751215E-2</v>
      </c>
      <c r="K30">
        <f t="shared" si="2"/>
        <v>4.2764793635007514E-2</v>
      </c>
      <c r="L30">
        <f t="shared" si="3"/>
        <v>-2.1601043693992295E-2</v>
      </c>
      <c r="M30">
        <f t="shared" si="4"/>
        <v>-6.34765625E-3</v>
      </c>
      <c r="N30">
        <f t="shared" si="5"/>
        <v>-2.3250598086124397E-2</v>
      </c>
      <c r="O30">
        <f t="shared" si="6"/>
        <v>-3.2754621494341718E-2</v>
      </c>
      <c r="P30">
        <f t="shared" si="7"/>
        <v>-1.2073863636363646E-2</v>
      </c>
      <c r="Q30">
        <f t="shared" si="8"/>
        <v>-2.0514223194748604E-3</v>
      </c>
      <c r="R30" s="15">
        <f t="shared" si="9"/>
        <v>-1.1346302755822119E-2</v>
      </c>
    </row>
    <row r="31" spans="1:18" x14ac:dyDescent="0.2">
      <c r="A31" s="13">
        <v>46002</v>
      </c>
      <c r="B31" s="14">
        <v>19.3</v>
      </c>
      <c r="C31" s="14">
        <v>20.11</v>
      </c>
      <c r="D31" s="14">
        <v>467.57</v>
      </c>
      <c r="E31" s="14">
        <v>40.96</v>
      </c>
      <c r="F31" s="14">
        <v>802.56</v>
      </c>
      <c r="G31" s="14">
        <v>142.27000000000001</v>
      </c>
      <c r="H31" s="14">
        <v>14.08</v>
      </c>
      <c r="I31" s="14">
        <v>73.12</v>
      </c>
      <c r="J31">
        <f t="shared" si="1"/>
        <v>-1.0351966873706209E-3</v>
      </c>
      <c r="K31">
        <f t="shared" si="2"/>
        <v>1.9260010136847416E-2</v>
      </c>
      <c r="L31">
        <f t="shared" si="3"/>
        <v>6.0947108075605216E-2</v>
      </c>
      <c r="M31">
        <f t="shared" si="4"/>
        <v>1.8145662440964605E-2</v>
      </c>
      <c r="N31">
        <f t="shared" si="5"/>
        <v>2.4222159830521228E-2</v>
      </c>
      <c r="O31">
        <f t="shared" si="6"/>
        <v>3.4389995637632786E-2</v>
      </c>
      <c r="P31">
        <f t="shared" si="7"/>
        <v>2.5491624180626449E-2</v>
      </c>
      <c r="Q31">
        <f t="shared" si="8"/>
        <v>1.1341632088520237E-2</v>
      </c>
      <c r="R31" s="15">
        <f t="shared" si="9"/>
        <v>2.6124707600289173E-2</v>
      </c>
    </row>
    <row r="32" spans="1:18" x14ac:dyDescent="0.2">
      <c r="A32" s="11">
        <v>46001</v>
      </c>
      <c r="B32" s="12">
        <v>19.32</v>
      </c>
      <c r="C32" s="12">
        <v>19.73</v>
      </c>
      <c r="D32" s="12">
        <v>440.71</v>
      </c>
      <c r="E32" s="12">
        <v>40.229999999999997</v>
      </c>
      <c r="F32" s="12">
        <v>783.58</v>
      </c>
      <c r="G32" s="12">
        <v>137.54</v>
      </c>
      <c r="H32" s="12">
        <v>13.73</v>
      </c>
      <c r="I32" s="12">
        <v>72.3</v>
      </c>
      <c r="J32">
        <f t="shared" si="1"/>
        <v>-2.0661157024792765E-3</v>
      </c>
      <c r="K32">
        <f t="shared" si="2"/>
        <v>-1.053159478435306E-2</v>
      </c>
      <c r="L32">
        <f t="shared" si="3"/>
        <v>8.3281854165235814E-3</v>
      </c>
      <c r="M32">
        <f t="shared" si="4"/>
        <v>-8.6249383932972545E-3</v>
      </c>
      <c r="N32">
        <f t="shared" si="5"/>
        <v>2.9952383390507986E-3</v>
      </c>
      <c r="O32">
        <f t="shared" si="6"/>
        <v>-1.1783302198591805E-2</v>
      </c>
      <c r="P32">
        <f t="shared" si="7"/>
        <v>-8.664259927797735E-3</v>
      </c>
      <c r="Q32">
        <f t="shared" si="8"/>
        <v>-2.6916066867420763E-2</v>
      </c>
      <c r="R32" s="15">
        <f t="shared" si="9"/>
        <v>-5.7474986816125635E-3</v>
      </c>
    </row>
    <row r="33" spans="1:18" x14ac:dyDescent="0.2">
      <c r="A33" s="13">
        <v>46000</v>
      </c>
      <c r="B33" s="14">
        <v>19.36</v>
      </c>
      <c r="C33" s="14">
        <v>19.940000000000001</v>
      </c>
      <c r="D33" s="14">
        <v>437.07</v>
      </c>
      <c r="E33" s="14">
        <v>40.58</v>
      </c>
      <c r="F33" s="14">
        <v>781.24</v>
      </c>
      <c r="G33" s="14">
        <v>139.18</v>
      </c>
      <c r="H33" s="14">
        <v>13.85</v>
      </c>
      <c r="I33" s="14">
        <v>74.299859999999995</v>
      </c>
      <c r="J33">
        <f t="shared" si="1"/>
        <v>-9.7186700767264433E-3</v>
      </c>
      <c r="K33">
        <f t="shared" si="2"/>
        <v>-4.9900199600797501E-3</v>
      </c>
      <c r="L33">
        <f t="shared" si="3"/>
        <v>1.1736111111111169E-2</v>
      </c>
      <c r="M33">
        <f t="shared" si="4"/>
        <v>0</v>
      </c>
      <c r="N33">
        <f t="shared" si="5"/>
        <v>7.8435419784304017E-3</v>
      </c>
      <c r="O33">
        <f t="shared" si="6"/>
        <v>4.6196044463693298E-3</v>
      </c>
      <c r="P33">
        <f t="shared" si="7"/>
        <v>2.6686434395848835E-2</v>
      </c>
      <c r="Q33">
        <f t="shared" si="8"/>
        <v>1.7010386255249754E-2</v>
      </c>
      <c r="R33" s="15">
        <f t="shared" si="9"/>
        <v>8.2733507172628243E-3</v>
      </c>
    </row>
    <row r="34" spans="1:18" x14ac:dyDescent="0.2">
      <c r="A34" s="11">
        <v>45999</v>
      </c>
      <c r="B34" s="12">
        <v>19.55</v>
      </c>
      <c r="C34" s="12">
        <v>20.04</v>
      </c>
      <c r="D34" s="12">
        <v>432</v>
      </c>
      <c r="E34" s="12">
        <v>40.58</v>
      </c>
      <c r="F34" s="12">
        <v>775.16</v>
      </c>
      <c r="G34" s="12">
        <v>138.54</v>
      </c>
      <c r="H34" s="12">
        <v>13.49</v>
      </c>
      <c r="I34" s="12">
        <v>73.057130000000001</v>
      </c>
      <c r="J34">
        <f t="shared" si="1"/>
        <v>-2.5510204081633514E-3</v>
      </c>
      <c r="K34">
        <f t="shared" si="2"/>
        <v>1.9328585961342792E-2</v>
      </c>
      <c r="L34">
        <f t="shared" si="3"/>
        <v>4.3780806030733643E-2</v>
      </c>
      <c r="M34">
        <f t="shared" si="4"/>
        <v>-6.6095471236230496E-3</v>
      </c>
      <c r="N34">
        <f t="shared" si="5"/>
        <v>-1.5769826557302191E-2</v>
      </c>
      <c r="O34">
        <f t="shared" si="6"/>
        <v>2.9682183450372435E-3</v>
      </c>
      <c r="P34">
        <f t="shared" si="7"/>
        <v>-1.8195050946142599E-2</v>
      </c>
      <c r="Q34">
        <f t="shared" si="8"/>
        <v>-6.3880091645470705E-3</v>
      </c>
      <c r="R34" s="15">
        <f t="shared" si="9"/>
        <v>8.058790292034886E-5</v>
      </c>
    </row>
    <row r="35" spans="1:18" x14ac:dyDescent="0.2">
      <c r="A35" s="13">
        <v>45996</v>
      </c>
      <c r="B35" s="14">
        <v>19.600000000000001</v>
      </c>
      <c r="C35" s="14">
        <v>19.66</v>
      </c>
      <c r="D35" s="14">
        <v>413.88</v>
      </c>
      <c r="E35" s="14">
        <v>40.85</v>
      </c>
      <c r="F35" s="14">
        <v>787.58</v>
      </c>
      <c r="G35" s="14">
        <v>138.13</v>
      </c>
      <c r="H35" s="14">
        <v>13.74</v>
      </c>
      <c r="I35" s="14">
        <v>73.526820000000001</v>
      </c>
      <c r="J35">
        <f t="shared" si="1"/>
        <v>-1.3588324106693528E-2</v>
      </c>
      <c r="K35">
        <f t="shared" si="2"/>
        <v>-1.6016016016015988E-2</v>
      </c>
      <c r="L35">
        <f t="shared" si="3"/>
        <v>-9.3824796553375611E-3</v>
      </c>
      <c r="M35">
        <f t="shared" si="4"/>
        <v>-1.2569494802997294E-2</v>
      </c>
      <c r="N35">
        <f t="shared" si="5"/>
        <v>-7.1603257443965118E-3</v>
      </c>
      <c r="O35">
        <f t="shared" si="6"/>
        <v>3.1955842835353909E-3</v>
      </c>
      <c r="P35">
        <f t="shared" si="7"/>
        <v>-3.7815126050420145E-2</v>
      </c>
      <c r="Q35">
        <f t="shared" si="8"/>
        <v>1.0897278536655675E-2</v>
      </c>
      <c r="R35" s="15">
        <f t="shared" si="9"/>
        <v>-1.1719055533474789E-2</v>
      </c>
    </row>
    <row r="36" spans="1:18" x14ac:dyDescent="0.2">
      <c r="A36" s="11">
        <v>45995</v>
      </c>
      <c r="B36" s="12">
        <v>19.87</v>
      </c>
      <c r="C36" s="12">
        <v>19.98</v>
      </c>
      <c r="D36" s="12">
        <v>417.8</v>
      </c>
      <c r="E36" s="12">
        <v>41.37</v>
      </c>
      <c r="F36" s="12">
        <v>793.26</v>
      </c>
      <c r="G36" s="12">
        <v>137.69</v>
      </c>
      <c r="H36" s="12">
        <v>14.28</v>
      </c>
      <c r="I36" s="12">
        <v>72.734215000000006</v>
      </c>
      <c r="J36">
        <f t="shared" si="1"/>
        <v>3.0287733467946332E-3</v>
      </c>
      <c r="K36">
        <f t="shared" si="2"/>
        <v>7.0564516129032473E-3</v>
      </c>
      <c r="L36">
        <f t="shared" si="3"/>
        <v>-1.3505855685681856E-2</v>
      </c>
      <c r="M36">
        <f t="shared" si="4"/>
        <v>-9.5762508977736971E-3</v>
      </c>
      <c r="N36">
        <f t="shared" si="5"/>
        <v>1.119212726901897E-2</v>
      </c>
      <c r="O36">
        <f t="shared" si="6"/>
        <v>2.1106259097525282E-3</v>
      </c>
      <c r="P36">
        <f t="shared" si="7"/>
        <v>-1.1080332409972304E-2</v>
      </c>
      <c r="Q36">
        <f t="shared" si="8"/>
        <v>1.9056798987486578E-2</v>
      </c>
      <c r="R36" s="15">
        <f t="shared" si="9"/>
        <v>8.2266804524444462E-4</v>
      </c>
    </row>
    <row r="37" spans="1:18" x14ac:dyDescent="0.2">
      <c r="A37" s="13">
        <v>45994</v>
      </c>
      <c r="B37" s="14">
        <v>19.809999999999999</v>
      </c>
      <c r="C37" s="14">
        <v>19.84</v>
      </c>
      <c r="D37" s="14">
        <v>423.52</v>
      </c>
      <c r="E37" s="14">
        <v>41.77</v>
      </c>
      <c r="F37" s="14">
        <v>784.48</v>
      </c>
      <c r="G37" s="14">
        <v>137.4</v>
      </c>
      <c r="H37" s="14">
        <v>14.44</v>
      </c>
      <c r="I37" s="14">
        <v>71.374054000000001</v>
      </c>
      <c r="J37">
        <f t="shared" si="1"/>
        <v>-3.1295843520782407E-2</v>
      </c>
      <c r="K37">
        <f t="shared" si="2"/>
        <v>1.1728709841917428E-2</v>
      </c>
      <c r="L37">
        <f t="shared" si="3"/>
        <v>-6.1482142019054775E-3</v>
      </c>
      <c r="M37">
        <f t="shared" si="4"/>
        <v>1.0157194679564663E-2</v>
      </c>
      <c r="N37">
        <f t="shared" si="5"/>
        <v>-4.9216094170175806E-3</v>
      </c>
      <c r="O37">
        <f t="shared" si="6"/>
        <v>-4.3478260869564966E-3</v>
      </c>
      <c r="P37">
        <f t="shared" si="7"/>
        <v>3.2904148783976961E-2</v>
      </c>
      <c r="Q37">
        <f t="shared" si="8"/>
        <v>-3.9504909523864096E-2</v>
      </c>
      <c r="R37" s="15">
        <f t="shared" si="9"/>
        <v>-2.4606868050015829E-4</v>
      </c>
    </row>
    <row r="38" spans="1:18" x14ac:dyDescent="0.2">
      <c r="A38" s="11">
        <v>45993</v>
      </c>
      <c r="B38" s="12">
        <v>20.45</v>
      </c>
      <c r="C38" s="12">
        <v>19.61</v>
      </c>
      <c r="D38" s="12">
        <v>426.14</v>
      </c>
      <c r="E38" s="12">
        <v>41.35</v>
      </c>
      <c r="F38" s="12">
        <v>788.36</v>
      </c>
      <c r="G38" s="12">
        <v>138</v>
      </c>
      <c r="H38" s="12">
        <v>13.98</v>
      </c>
      <c r="I38" s="12">
        <v>74.309650000000005</v>
      </c>
      <c r="J38">
        <f t="shared" si="1"/>
        <v>5.902606984751646E-3</v>
      </c>
      <c r="K38">
        <f t="shared" si="2"/>
        <v>1.3436692506459735E-2</v>
      </c>
      <c r="L38">
        <f t="shared" si="3"/>
        <v>-2.0074964932048744E-2</v>
      </c>
      <c r="M38">
        <f t="shared" si="4"/>
        <v>7.3081607795373316E-3</v>
      </c>
      <c r="N38">
        <f t="shared" si="5"/>
        <v>-4.003701719351227E-2</v>
      </c>
      <c r="O38">
        <f t="shared" si="6"/>
        <v>2.0031044423091116E-2</v>
      </c>
      <c r="P38">
        <f t="shared" si="7"/>
        <v>4.1728763040238537E-2</v>
      </c>
      <c r="Q38">
        <f t="shared" si="8"/>
        <v>-1.3159412013774574E-4</v>
      </c>
      <c r="R38" s="15">
        <f t="shared" si="9"/>
        <v>1.6789182086279263E-3</v>
      </c>
    </row>
    <row r="39" spans="1:18" x14ac:dyDescent="0.2">
      <c r="A39" s="13">
        <v>45992</v>
      </c>
      <c r="B39" s="14">
        <v>20.329999999999998</v>
      </c>
      <c r="C39" s="14">
        <v>19.350000000000001</v>
      </c>
      <c r="D39" s="14">
        <v>434.87</v>
      </c>
      <c r="E39" s="14">
        <v>41.05</v>
      </c>
      <c r="F39" s="14">
        <v>821.24</v>
      </c>
      <c r="G39" s="14">
        <v>135.29</v>
      </c>
      <c r="H39" s="14">
        <v>13.42</v>
      </c>
      <c r="I39" s="14">
        <v>74.319429999999997</v>
      </c>
      <c r="J39">
        <f t="shared" si="1"/>
        <v>-3.2365540218943556E-2</v>
      </c>
      <c r="K39">
        <f t="shared" si="2"/>
        <v>-1.0325245224573898E-3</v>
      </c>
      <c r="L39">
        <f t="shared" si="3"/>
        <v>-2.5545073610146241E-2</v>
      </c>
      <c r="M39">
        <f t="shared" si="4"/>
        <v>5.6344928956393314E-3</v>
      </c>
      <c r="N39">
        <f t="shared" si="5"/>
        <v>6.2708662232459522E-2</v>
      </c>
      <c r="O39">
        <f t="shared" si="6"/>
        <v>-7.3372954728886386E-3</v>
      </c>
      <c r="P39">
        <f t="shared" si="7"/>
        <v>1.3595166163141936E-2</v>
      </c>
      <c r="Q39">
        <f t="shared" si="8"/>
        <v>-2.7155044165169784E-2</v>
      </c>
      <c r="R39" s="15">
        <f t="shared" si="9"/>
        <v>7.0192470295368306E-3</v>
      </c>
    </row>
    <row r="40" spans="1:18" x14ac:dyDescent="0.2">
      <c r="A40" s="11">
        <v>45989</v>
      </c>
      <c r="B40" s="12">
        <v>21.01</v>
      </c>
      <c r="C40" s="12">
        <v>19.37</v>
      </c>
      <c r="D40" s="12">
        <v>446.27</v>
      </c>
      <c r="E40" s="12">
        <v>40.82</v>
      </c>
      <c r="F40" s="12">
        <v>772.78</v>
      </c>
      <c r="G40" s="12">
        <v>136.29</v>
      </c>
      <c r="H40" s="12">
        <v>13.24</v>
      </c>
      <c r="I40" s="12">
        <v>76.393910000000005</v>
      </c>
      <c r="J40">
        <f t="shared" si="1"/>
        <v>1.1555127587867142E-2</v>
      </c>
      <c r="K40">
        <f t="shared" si="2"/>
        <v>2.3784355179703898E-2</v>
      </c>
      <c r="L40">
        <f t="shared" si="3"/>
        <v>1.8300057045065543E-2</v>
      </c>
      <c r="M40">
        <f t="shared" si="4"/>
        <v>8.8976767177459948E-3</v>
      </c>
      <c r="N40">
        <f t="shared" si="5"/>
        <v>1.6040390228509782E-2</v>
      </c>
      <c r="O40">
        <f t="shared" si="6"/>
        <v>-5.8355824640747844E-3</v>
      </c>
      <c r="P40">
        <f t="shared" si="7"/>
        <v>9.1463414634147533E-3</v>
      </c>
      <c r="Q40">
        <f t="shared" si="8"/>
        <v>1.4159404582560597E-2</v>
      </c>
      <c r="R40" s="15">
        <f t="shared" si="9"/>
        <v>1.1776617845203747E-2</v>
      </c>
    </row>
    <row r="41" spans="1:18" x14ac:dyDescent="0.2">
      <c r="A41" s="13">
        <v>45988</v>
      </c>
      <c r="B41" s="14">
        <v>20.77</v>
      </c>
      <c r="C41" s="14">
        <v>18.920000000000002</v>
      </c>
      <c r="D41" s="14">
        <v>438.25</v>
      </c>
      <c r="E41" s="14">
        <v>40.46</v>
      </c>
      <c r="F41" s="14">
        <v>760.58</v>
      </c>
      <c r="G41" s="14">
        <v>137.09</v>
      </c>
      <c r="H41" s="14">
        <v>13.12</v>
      </c>
      <c r="I41" s="14">
        <v>75.32732</v>
      </c>
      <c r="J41">
        <f t="shared" si="1"/>
        <v>-1.18934348239772E-2</v>
      </c>
      <c r="K41">
        <f t="shared" si="2"/>
        <v>-2.1716649431230528E-2</v>
      </c>
      <c r="L41">
        <f t="shared" si="3"/>
        <v>7.9578647162996674E-3</v>
      </c>
      <c r="M41">
        <f t="shared" si="4"/>
        <v>-7.1165644171778952E-3</v>
      </c>
      <c r="N41">
        <f t="shared" si="5"/>
        <v>-2.3695830766070958E-2</v>
      </c>
      <c r="O41">
        <f t="shared" si="6"/>
        <v>-1.4662545820455675E-2</v>
      </c>
      <c r="P41">
        <f t="shared" si="7"/>
        <v>-5.3070507960576441E-3</v>
      </c>
      <c r="Q41">
        <f t="shared" si="8"/>
        <v>5.7485790108171564E-3</v>
      </c>
      <c r="R41" s="15">
        <f t="shared" si="9"/>
        <v>-1.0497046445146707E-2</v>
      </c>
    </row>
    <row r="42" spans="1:18" x14ac:dyDescent="0.2">
      <c r="A42" s="11">
        <v>45987</v>
      </c>
      <c r="B42" s="12">
        <v>21.02</v>
      </c>
      <c r="C42" s="12">
        <v>19.34</v>
      </c>
      <c r="D42" s="12">
        <v>434.79</v>
      </c>
      <c r="E42" s="12">
        <v>40.75</v>
      </c>
      <c r="F42" s="12">
        <v>779.04</v>
      </c>
      <c r="G42" s="12">
        <v>139.13</v>
      </c>
      <c r="H42" s="12">
        <v>13.19</v>
      </c>
      <c r="I42" s="12">
        <v>74.896770000000004</v>
      </c>
      <c r="J42">
        <f t="shared" si="1"/>
        <v>-1.2682010333489924E-2</v>
      </c>
      <c r="K42">
        <f t="shared" si="2"/>
        <v>8.8680229525299747E-3</v>
      </c>
      <c r="L42">
        <f t="shared" si="3"/>
        <v>-9.4209558823521444E-4</v>
      </c>
      <c r="M42">
        <f t="shared" si="4"/>
        <v>6.6699604743083452E-3</v>
      </c>
      <c r="N42">
        <f t="shared" si="5"/>
        <v>3.7709962303358102E-2</v>
      </c>
      <c r="O42">
        <f t="shared" si="6"/>
        <v>-3.2953649974927224E-3</v>
      </c>
      <c r="P42">
        <f t="shared" si="7"/>
        <v>3.2889584964761243E-2</v>
      </c>
      <c r="Q42">
        <f t="shared" si="8"/>
        <v>-1.0983260255621463E-2</v>
      </c>
      <c r="R42" s="15">
        <f t="shared" si="9"/>
        <v>1.2618476277814544E-2</v>
      </c>
    </row>
    <row r="43" spans="1:18" x14ac:dyDescent="0.2">
      <c r="A43" s="13">
        <v>45986</v>
      </c>
      <c r="B43" s="14">
        <v>21.29</v>
      </c>
      <c r="C43" s="14">
        <v>19.170000000000002</v>
      </c>
      <c r="D43" s="14">
        <v>435.2</v>
      </c>
      <c r="E43" s="14">
        <v>40.479999999999997</v>
      </c>
      <c r="F43" s="14">
        <v>750.73</v>
      </c>
      <c r="G43" s="14">
        <v>139.59</v>
      </c>
      <c r="H43" s="14">
        <v>12.77</v>
      </c>
      <c r="I43" s="14">
        <v>75.728515999999999</v>
      </c>
      <c r="J43">
        <f t="shared" si="1"/>
        <v>-7.9217148182666453E-3</v>
      </c>
      <c r="K43">
        <f t="shared" si="2"/>
        <v>3.0645161290322687E-2</v>
      </c>
      <c r="L43">
        <f t="shared" si="3"/>
        <v>1.8607372732592165E-2</v>
      </c>
      <c r="M43">
        <f t="shared" si="4"/>
        <v>1.5554440541896586E-2</v>
      </c>
      <c r="N43">
        <f t="shared" si="5"/>
        <v>-1.5074387971976577E-2</v>
      </c>
      <c r="O43">
        <f t="shared" si="6"/>
        <v>8.4525357607283524E-3</v>
      </c>
      <c r="P43">
        <f t="shared" si="7"/>
        <v>9.332191780821919E-2</v>
      </c>
      <c r="Q43">
        <f t="shared" si="8"/>
        <v>-3.8615623250508602E-3</v>
      </c>
      <c r="R43" s="15">
        <f t="shared" si="9"/>
        <v>1.9943549506936002E-2</v>
      </c>
    </row>
    <row r="44" spans="1:18" x14ac:dyDescent="0.2">
      <c r="A44" s="11">
        <v>45985</v>
      </c>
      <c r="B44" s="12">
        <v>21.46</v>
      </c>
      <c r="C44" s="12">
        <v>18.600000000000001</v>
      </c>
      <c r="D44" s="12">
        <v>427.25</v>
      </c>
      <c r="E44" s="12">
        <v>39.86</v>
      </c>
      <c r="F44" s="12">
        <v>762.22</v>
      </c>
      <c r="G44" s="12">
        <v>138.41999999999999</v>
      </c>
      <c r="H44" s="12">
        <v>11.68</v>
      </c>
      <c r="I44" s="12">
        <v>76.022080000000003</v>
      </c>
      <c r="J44">
        <f t="shared" si="1"/>
        <v>2.0446980504041923E-2</v>
      </c>
      <c r="K44">
        <f t="shared" si="2"/>
        <v>1.0764262648010892E-3</v>
      </c>
      <c r="L44">
        <f t="shared" si="3"/>
        <v>2.6697745950881924E-2</v>
      </c>
      <c r="M44">
        <f t="shared" si="4"/>
        <v>-2.2320333578611851E-2</v>
      </c>
      <c r="N44">
        <f t="shared" si="5"/>
        <v>4.581315258702312E-2</v>
      </c>
      <c r="O44">
        <f t="shared" si="6"/>
        <v>3.5525266439497827E-3</v>
      </c>
      <c r="P44">
        <f t="shared" si="7"/>
        <v>4.2992261392948983E-3</v>
      </c>
      <c r="Q44">
        <f t="shared" si="8"/>
        <v>4.7853542729701104E-3</v>
      </c>
      <c r="R44" s="15">
        <f t="shared" si="9"/>
        <v>1.4180877380427805E-2</v>
      </c>
    </row>
    <row r="45" spans="1:18" x14ac:dyDescent="0.2">
      <c r="A45" s="13">
        <v>45982</v>
      </c>
      <c r="B45" s="14">
        <v>21.03</v>
      </c>
      <c r="C45" s="14">
        <v>18.579999999999998</v>
      </c>
      <c r="D45" s="14">
        <v>416.14</v>
      </c>
      <c r="E45" s="14">
        <v>40.770000000000003</v>
      </c>
      <c r="F45" s="14">
        <v>728.83</v>
      </c>
      <c r="G45" s="14">
        <v>137.93</v>
      </c>
      <c r="H45" s="14">
        <v>11.63</v>
      </c>
      <c r="I45" s="14">
        <v>75.660020000000003</v>
      </c>
      <c r="J45">
        <f t="shared" si="1"/>
        <v>6.7017711823840198E-3</v>
      </c>
      <c r="K45">
        <f t="shared" si="2"/>
        <v>-1.2752391073326375E-2</v>
      </c>
      <c r="L45">
        <f t="shared" si="3"/>
        <v>2.2431881280558175E-2</v>
      </c>
      <c r="M45">
        <f t="shared" si="4"/>
        <v>1.7215568862275488E-2</v>
      </c>
      <c r="N45">
        <f t="shared" si="5"/>
        <v>1.2306068308401752E-2</v>
      </c>
      <c r="O45">
        <f t="shared" si="6"/>
        <v>1.8008709129825107E-2</v>
      </c>
      <c r="P45">
        <f t="shared" si="7"/>
        <v>-2.572898799313883E-3</v>
      </c>
      <c r="Q45">
        <f t="shared" si="8"/>
        <v>1.7636266685460811E-2</v>
      </c>
      <c r="R45" s="15">
        <f t="shared" si="9"/>
        <v>9.4536077896899828E-3</v>
      </c>
    </row>
    <row r="46" spans="1:18" x14ac:dyDescent="0.2">
      <c r="A46" s="11">
        <v>45981</v>
      </c>
      <c r="B46" s="12">
        <v>20.89</v>
      </c>
      <c r="C46" s="12">
        <v>18.82</v>
      </c>
      <c r="D46" s="12">
        <v>407.01</v>
      </c>
      <c r="E46" s="12">
        <v>40.08</v>
      </c>
      <c r="F46" s="12">
        <v>719.97</v>
      </c>
      <c r="G46" s="12">
        <v>135.49</v>
      </c>
      <c r="H46" s="12">
        <v>11.66</v>
      </c>
      <c r="I46" s="12">
        <v>74.348785000000007</v>
      </c>
      <c r="J46">
        <f t="shared" si="1"/>
        <v>-1.5551366635249697E-2</v>
      </c>
      <c r="K46">
        <f t="shared" si="2"/>
        <v>-5.8108821975699776E-3</v>
      </c>
      <c r="L46">
        <f t="shared" si="3"/>
        <v>4.9133376129573136E-3</v>
      </c>
      <c r="M46">
        <f t="shared" si="4"/>
        <v>-1.5958752762091799E-2</v>
      </c>
      <c r="N46">
        <f t="shared" si="5"/>
        <v>-1.3226062882048195E-2</v>
      </c>
      <c r="O46">
        <f t="shared" si="6"/>
        <v>-2.5392029923752002E-2</v>
      </c>
      <c r="P46">
        <f t="shared" si="7"/>
        <v>-1.7691659646166702E-2</v>
      </c>
      <c r="Q46">
        <f t="shared" si="8"/>
        <v>-1.5930551277434146E-2</v>
      </c>
      <c r="R46" s="15">
        <f t="shared" si="9"/>
        <v>-1.334437724418453E-2</v>
      </c>
    </row>
    <row r="47" spans="1:18" x14ac:dyDescent="0.2">
      <c r="A47" s="13">
        <v>45980</v>
      </c>
      <c r="B47" s="14">
        <v>21.22</v>
      </c>
      <c r="C47" s="14">
        <v>18.93</v>
      </c>
      <c r="D47" s="14">
        <v>405.02</v>
      </c>
      <c r="E47" s="14">
        <v>40.729999999999997</v>
      </c>
      <c r="F47" s="14">
        <v>729.62</v>
      </c>
      <c r="G47" s="14">
        <v>139.02000000000001</v>
      </c>
      <c r="H47" s="14">
        <v>11.87</v>
      </c>
      <c r="I47" s="14">
        <v>75.552375999999995</v>
      </c>
      <c r="J47">
        <f t="shared" si="1"/>
        <v>-9.7993467102193144E-3</v>
      </c>
      <c r="K47">
        <f t="shared" si="2"/>
        <v>1.1217948717948678E-2</v>
      </c>
      <c r="L47">
        <f t="shared" si="3"/>
        <v>3.1952047160230812E-3</v>
      </c>
      <c r="M47">
        <f t="shared" si="4"/>
        <v>-2.6934378060726738E-3</v>
      </c>
      <c r="N47">
        <f t="shared" si="5"/>
        <v>1.8780457154027763E-2</v>
      </c>
      <c r="O47">
        <f t="shared" si="6"/>
        <v>1.2243428159885994E-3</v>
      </c>
      <c r="P47">
        <f t="shared" si="7"/>
        <v>1.8884120171673624E-2</v>
      </c>
      <c r="Q47">
        <f t="shared" si="8"/>
        <v>-1.7059357860064406E-2</v>
      </c>
      <c r="R47" s="15">
        <f t="shared" si="9"/>
        <v>6.5518975824966352E-3</v>
      </c>
    </row>
    <row r="48" spans="1:18" x14ac:dyDescent="0.2">
      <c r="A48" s="11">
        <v>45979</v>
      </c>
      <c r="B48" s="12">
        <v>21.43</v>
      </c>
      <c r="C48" s="12">
        <v>18.72</v>
      </c>
      <c r="D48" s="12">
        <v>403.73</v>
      </c>
      <c r="E48" s="12">
        <v>40.840000000000003</v>
      </c>
      <c r="F48" s="12">
        <v>716.17</v>
      </c>
      <c r="G48" s="12">
        <v>138.85</v>
      </c>
      <c r="H48" s="12">
        <v>11.65</v>
      </c>
      <c r="I48" s="12">
        <v>76.863619999999997</v>
      </c>
      <c r="J48">
        <f t="shared" si="1"/>
        <v>1.0372465818010213E-2</v>
      </c>
      <c r="K48">
        <f t="shared" si="2"/>
        <v>1.0799136069114423E-2</v>
      </c>
      <c r="L48">
        <f t="shared" si="3"/>
        <v>-4.8803332429566693E-3</v>
      </c>
      <c r="M48">
        <f t="shared" si="4"/>
        <v>9.1425747467259733E-3</v>
      </c>
      <c r="N48">
        <f t="shared" si="5"/>
        <v>-1.3635048962221452E-2</v>
      </c>
      <c r="O48">
        <f t="shared" si="6"/>
        <v>-1.5387888242802572E-2</v>
      </c>
      <c r="P48">
        <f t="shared" si="7"/>
        <v>-2.6733500417710943E-2</v>
      </c>
      <c r="Q48">
        <f t="shared" si="8"/>
        <v>1.0289456773516781E-2</v>
      </c>
      <c r="R48" s="15">
        <f t="shared" si="9"/>
        <v>-6.4843091940944425E-3</v>
      </c>
    </row>
    <row r="49" spans="1:18" x14ac:dyDescent="0.2">
      <c r="A49" s="13">
        <v>45975</v>
      </c>
      <c r="B49" s="14">
        <v>21.21</v>
      </c>
      <c r="C49" s="14">
        <v>18.52</v>
      </c>
      <c r="D49" s="14">
        <v>405.71</v>
      </c>
      <c r="E49" s="14">
        <v>40.47</v>
      </c>
      <c r="F49" s="14">
        <v>726.07</v>
      </c>
      <c r="G49" s="14">
        <v>141.02000000000001</v>
      </c>
      <c r="H49" s="14">
        <v>11.97</v>
      </c>
      <c r="I49" s="14">
        <v>76.080789999999993</v>
      </c>
      <c r="J49">
        <f t="shared" si="1"/>
        <v>-3.2894736842105088E-3</v>
      </c>
      <c r="K49">
        <f t="shared" si="2"/>
        <v>-8.0342795929299049E-3</v>
      </c>
      <c r="L49">
        <f t="shared" si="3"/>
        <v>2.3589665960238149E-2</v>
      </c>
      <c r="M49">
        <f t="shared" si="4"/>
        <v>-6.139489194499026E-3</v>
      </c>
      <c r="N49">
        <f t="shared" si="5"/>
        <v>-2.9746234949821537E-2</v>
      </c>
      <c r="O49">
        <f t="shared" si="6"/>
        <v>-1.673406777297437E-2</v>
      </c>
      <c r="P49">
        <f t="shared" si="7"/>
        <v>-1.4003294892915963E-2</v>
      </c>
      <c r="Q49">
        <f t="shared" si="8"/>
        <v>7.9077811050518587E-3</v>
      </c>
      <c r="R49" s="15">
        <f t="shared" si="9"/>
        <v>-9.2061392333059652E-3</v>
      </c>
    </row>
    <row r="50" spans="1:18" x14ac:dyDescent="0.2">
      <c r="A50" s="11">
        <v>45974</v>
      </c>
      <c r="B50" s="12">
        <v>21.28</v>
      </c>
      <c r="C50" s="12">
        <v>18.670000000000002</v>
      </c>
      <c r="D50" s="12">
        <v>396.36</v>
      </c>
      <c r="E50" s="12">
        <v>40.72</v>
      </c>
      <c r="F50" s="12">
        <v>748.33</v>
      </c>
      <c r="G50" s="12">
        <v>143.41999999999999</v>
      </c>
      <c r="H50" s="12">
        <v>12.14</v>
      </c>
      <c r="I50" s="12">
        <v>75.483879999999999</v>
      </c>
      <c r="J50">
        <f t="shared" si="1"/>
        <v>9.4073377234238365E-4</v>
      </c>
      <c r="K50">
        <f t="shared" si="2"/>
        <v>-1.5295358649789037E-2</v>
      </c>
      <c r="L50">
        <f t="shared" si="3"/>
        <v>-1.410863650105787E-3</v>
      </c>
      <c r="M50">
        <f t="shared" si="4"/>
        <v>-1.4997581035317009E-2</v>
      </c>
      <c r="N50">
        <f t="shared" si="5"/>
        <v>1.005560954540563E-2</v>
      </c>
      <c r="O50">
        <f t="shared" si="6"/>
        <v>-2.1568218186878152E-3</v>
      </c>
      <c r="P50">
        <f t="shared" si="7"/>
        <v>-2.0967741935483897E-2</v>
      </c>
      <c r="Q50">
        <f t="shared" si="8"/>
        <v>9.4216537229168118E-3</v>
      </c>
      <c r="R50" s="15">
        <f t="shared" si="9"/>
        <v>-4.1273775621606581E-3</v>
      </c>
    </row>
    <row r="51" spans="1:18" x14ac:dyDescent="0.2">
      <c r="A51" s="13">
        <v>45973</v>
      </c>
      <c r="B51" s="14">
        <v>21.26</v>
      </c>
      <c r="C51" s="14">
        <v>18.96</v>
      </c>
      <c r="D51" s="14">
        <v>396.92</v>
      </c>
      <c r="E51" s="14">
        <v>41.34</v>
      </c>
      <c r="F51" s="14">
        <v>740.88</v>
      </c>
      <c r="G51" s="14">
        <v>143.72999999999999</v>
      </c>
      <c r="H51" s="14">
        <v>12.4</v>
      </c>
      <c r="I51" s="14">
        <v>74.779335000000003</v>
      </c>
      <c r="J51">
        <f t="shared" si="1"/>
        <v>-1.1162790697674341E-2</v>
      </c>
      <c r="K51">
        <f t="shared" si="2"/>
        <v>-1.6597510373444035E-2</v>
      </c>
      <c r="L51">
        <f t="shared" si="3"/>
        <v>-2.0616483129682894E-3</v>
      </c>
      <c r="M51">
        <f t="shared" si="4"/>
        <v>1.1005135730007387E-2</v>
      </c>
      <c r="N51">
        <f t="shared" si="5"/>
        <v>-2.4708747449483259E-2</v>
      </c>
      <c r="O51">
        <f t="shared" si="6"/>
        <v>-9.9194048357098552E-3</v>
      </c>
      <c r="P51">
        <f t="shared" si="7"/>
        <v>-1.6103059581320522E-3</v>
      </c>
      <c r="Q51">
        <f t="shared" si="8"/>
        <v>-1.3171532318853707E-2</v>
      </c>
      <c r="R51" s="15">
        <f t="shared" si="9"/>
        <v>-9.8807132185299296E-3</v>
      </c>
    </row>
    <row r="52" spans="1:18" x14ac:dyDescent="0.2">
      <c r="A52" s="11">
        <v>45972</v>
      </c>
      <c r="B52" s="12">
        <v>21.5</v>
      </c>
      <c r="C52" s="12">
        <v>19.28</v>
      </c>
      <c r="D52" s="12">
        <v>397.74</v>
      </c>
      <c r="E52" s="12">
        <v>40.89</v>
      </c>
      <c r="F52" s="12">
        <v>759.65</v>
      </c>
      <c r="G52" s="12">
        <v>145.16999999999999</v>
      </c>
      <c r="H52" s="12">
        <v>12.42</v>
      </c>
      <c r="I52" s="12">
        <v>75.777439999999999</v>
      </c>
      <c r="J52">
        <f t="shared" si="1"/>
        <v>1.3672795851013664E-2</v>
      </c>
      <c r="K52">
        <f t="shared" si="2"/>
        <v>1.6341591987348636E-2</v>
      </c>
      <c r="L52">
        <f t="shared" si="3"/>
        <v>1.0158988164778782E-2</v>
      </c>
      <c r="M52">
        <f t="shared" si="4"/>
        <v>7.3421439060217253E-4</v>
      </c>
      <c r="N52">
        <f t="shared" si="5"/>
        <v>1.1922205941121478E-2</v>
      </c>
      <c r="O52">
        <f t="shared" si="6"/>
        <v>4.589337175792485E-2</v>
      </c>
      <c r="P52">
        <f t="shared" si="7"/>
        <v>2.6446280991735627E-2</v>
      </c>
      <c r="Q52">
        <f t="shared" si="8"/>
        <v>7.4150807341908376E-3</v>
      </c>
      <c r="R52" s="15">
        <f t="shared" si="9"/>
        <v>1.8194366182692406E-2</v>
      </c>
    </row>
    <row r="53" spans="1:18" x14ac:dyDescent="0.2">
      <c r="A53" s="13">
        <v>45971</v>
      </c>
      <c r="B53" s="14">
        <v>21.21</v>
      </c>
      <c r="C53" s="14">
        <v>18.97</v>
      </c>
      <c r="D53" s="14">
        <v>393.74</v>
      </c>
      <c r="E53" s="14">
        <v>40.86</v>
      </c>
      <c r="F53" s="14">
        <v>750.7</v>
      </c>
      <c r="G53" s="14">
        <v>138.80000000000001</v>
      </c>
      <c r="H53" s="14">
        <v>12.1</v>
      </c>
      <c r="I53" s="14">
        <v>75.219679999999997</v>
      </c>
      <c r="J53">
        <f t="shared" si="1"/>
        <v>-9.8039215686275272E-3</v>
      </c>
      <c r="K53">
        <f t="shared" si="2"/>
        <v>8.5061137692716837E-3</v>
      </c>
      <c r="L53">
        <f t="shared" si="3"/>
        <v>-1.1696787148594345E-2</v>
      </c>
      <c r="M53">
        <f t="shared" si="4"/>
        <v>-3.4146341463414664E-3</v>
      </c>
      <c r="N53">
        <f t="shared" si="5"/>
        <v>3.3111306836948184E-2</v>
      </c>
      <c r="O53">
        <f t="shared" si="6"/>
        <v>-5.0406855332318923E-4</v>
      </c>
      <c r="P53">
        <f t="shared" si="7"/>
        <v>-1.8653690186536953E-2</v>
      </c>
      <c r="Q53">
        <f t="shared" si="8"/>
        <v>-6.3340200868808871E-3</v>
      </c>
      <c r="R53" s="15">
        <f t="shared" si="9"/>
        <v>1.6453831577597482E-3</v>
      </c>
    </row>
    <row r="54" spans="1:18" x14ac:dyDescent="0.2">
      <c r="A54" s="11">
        <v>45968</v>
      </c>
      <c r="B54" s="12">
        <v>21.42</v>
      </c>
      <c r="C54" s="12">
        <v>18.809999999999999</v>
      </c>
      <c r="D54" s="12">
        <v>398.4</v>
      </c>
      <c r="E54" s="12">
        <v>41</v>
      </c>
      <c r="F54" s="12">
        <v>726.64</v>
      </c>
      <c r="G54" s="12">
        <v>138.87</v>
      </c>
      <c r="H54" s="12">
        <v>12.33</v>
      </c>
      <c r="I54" s="12">
        <v>75.699160000000006</v>
      </c>
      <c r="J54">
        <f t="shared" si="1"/>
        <v>1.5165876777251119E-2</v>
      </c>
      <c r="K54">
        <f t="shared" si="2"/>
        <v>-9.4786729857819774E-3</v>
      </c>
      <c r="L54">
        <f t="shared" si="3"/>
        <v>-1.2296707655692241E-2</v>
      </c>
      <c r="M54">
        <f t="shared" si="4"/>
        <v>-1.3237063778579916E-2</v>
      </c>
      <c r="N54">
        <f t="shared" si="5"/>
        <v>5.8275542267072211E-3</v>
      </c>
      <c r="O54">
        <f t="shared" si="6"/>
        <v>5.7213209733486536E-3</v>
      </c>
      <c r="P54">
        <f t="shared" si="7"/>
        <v>-1.5175718849840258E-2</v>
      </c>
      <c r="Q54">
        <f t="shared" si="8"/>
        <v>7.0294629227460881E-3</v>
      </c>
      <c r="R54" s="15">
        <f t="shared" si="9"/>
        <v>-2.4890683917870183E-3</v>
      </c>
    </row>
    <row r="55" spans="1:18" x14ac:dyDescent="0.2">
      <c r="A55" s="13">
        <v>45967</v>
      </c>
      <c r="B55" s="14">
        <v>21.1</v>
      </c>
      <c r="C55" s="14">
        <v>18.989999999999998</v>
      </c>
      <c r="D55" s="14">
        <v>403.36</v>
      </c>
      <c r="E55" s="14">
        <v>41.55</v>
      </c>
      <c r="F55" s="14">
        <v>722.43</v>
      </c>
      <c r="G55" s="14">
        <v>138.08000000000001</v>
      </c>
      <c r="H55" s="14">
        <v>12.52</v>
      </c>
      <c r="I55" s="14">
        <v>75.170749999999998</v>
      </c>
      <c r="J55">
        <f t="shared" si="1"/>
        <v>-1.3557737260401992E-2</v>
      </c>
      <c r="K55">
        <f t="shared" si="2"/>
        <v>-6.7991631799164676E-3</v>
      </c>
      <c r="L55">
        <f t="shared" si="3"/>
        <v>-2.6950179255779139E-3</v>
      </c>
      <c r="M55">
        <f t="shared" si="4"/>
        <v>2.8964518464880129E-3</v>
      </c>
      <c r="N55">
        <f t="shared" si="5"/>
        <v>-6.2450995226763784E-3</v>
      </c>
      <c r="O55">
        <f t="shared" si="6"/>
        <v>-7.2614853691853609E-3</v>
      </c>
      <c r="P55">
        <f t="shared" si="7"/>
        <v>-7.1371927042029881E-3</v>
      </c>
      <c r="Q55">
        <f t="shared" si="8"/>
        <v>2.0592630246115462E-2</v>
      </c>
      <c r="R55" s="15">
        <f t="shared" si="9"/>
        <v>-3.7892396069816609E-3</v>
      </c>
    </row>
    <row r="56" spans="1:18" x14ac:dyDescent="0.2">
      <c r="A56" s="11">
        <v>45966</v>
      </c>
      <c r="B56" s="12">
        <v>21.39</v>
      </c>
      <c r="C56" s="12">
        <v>19.12</v>
      </c>
      <c r="D56" s="12">
        <v>404.45</v>
      </c>
      <c r="E56" s="12">
        <v>41.43</v>
      </c>
      <c r="F56" s="12">
        <v>726.97</v>
      </c>
      <c r="G56" s="12">
        <v>139.09</v>
      </c>
      <c r="H56" s="12">
        <v>12.61</v>
      </c>
      <c r="I56" s="12">
        <v>73.654020000000003</v>
      </c>
      <c r="J56">
        <f t="shared" si="1"/>
        <v>9.9150141643060685E-3</v>
      </c>
      <c r="K56">
        <f t="shared" si="2"/>
        <v>1.7021276595744705E-2</v>
      </c>
      <c r="L56">
        <f t="shared" si="3"/>
        <v>1.9073775448498198E-2</v>
      </c>
      <c r="M56">
        <f t="shared" si="4"/>
        <v>2.0192070918493066E-2</v>
      </c>
      <c r="N56">
        <f t="shared" si="5"/>
        <v>1.1718043281608859E-2</v>
      </c>
      <c r="O56">
        <f t="shared" si="6"/>
        <v>4.0002990877822553E-2</v>
      </c>
      <c r="P56">
        <f t="shared" si="7"/>
        <v>4.6473029045642988E-2</v>
      </c>
      <c r="Q56">
        <f t="shared" si="8"/>
        <v>1.4420442548269685E-2</v>
      </c>
      <c r="R56" s="15">
        <f t="shared" si="9"/>
        <v>2.3886939148814464E-2</v>
      </c>
    </row>
    <row r="57" spans="1:18" x14ac:dyDescent="0.2">
      <c r="A57" s="13">
        <v>45965</v>
      </c>
      <c r="B57" s="14">
        <v>21.18</v>
      </c>
      <c r="C57" s="14">
        <v>18.8</v>
      </c>
      <c r="D57" s="14">
        <v>396.88</v>
      </c>
      <c r="E57" s="14">
        <v>40.61</v>
      </c>
      <c r="F57" s="14">
        <v>718.55</v>
      </c>
      <c r="G57" s="14">
        <v>133.74</v>
      </c>
      <c r="H57" s="14">
        <v>12.05</v>
      </c>
      <c r="I57" s="14">
        <v>72.606994999999998</v>
      </c>
      <c r="J57">
        <f t="shared" si="1"/>
        <v>1.7779913503123579E-2</v>
      </c>
      <c r="K57">
        <f t="shared" si="2"/>
        <v>1.5982951518380695E-3</v>
      </c>
      <c r="L57">
        <f t="shared" si="3"/>
        <v>9.0768096412499055E-3</v>
      </c>
      <c r="M57">
        <f t="shared" si="4"/>
        <v>1.3476416271524849E-2</v>
      </c>
      <c r="N57">
        <f t="shared" si="5"/>
        <v>-2.5457060706342016E-2</v>
      </c>
      <c r="O57">
        <f t="shared" si="6"/>
        <v>-1.9402985074625789E-3</v>
      </c>
      <c r="P57">
        <f t="shared" si="7"/>
        <v>-8.2304526748970819E-3</v>
      </c>
      <c r="Q57">
        <f t="shared" si="8"/>
        <v>1.2554536358153179E-2</v>
      </c>
      <c r="R57" s="15">
        <f t="shared" si="9"/>
        <v>-2.1121384171175353E-3</v>
      </c>
    </row>
    <row r="58" spans="1:18" x14ac:dyDescent="0.2">
      <c r="A58" s="11">
        <v>45964</v>
      </c>
      <c r="B58" s="12">
        <v>20.81</v>
      </c>
      <c r="C58" s="12">
        <v>18.77</v>
      </c>
      <c r="D58" s="12">
        <v>393.31</v>
      </c>
      <c r="E58" s="12">
        <v>40.07</v>
      </c>
      <c r="F58" s="12">
        <v>737.32</v>
      </c>
      <c r="G58" s="12">
        <v>134</v>
      </c>
      <c r="H58" s="12">
        <v>12.15</v>
      </c>
      <c r="I58" s="12">
        <v>71.70675</v>
      </c>
      <c r="J58">
        <f t="shared" si="1"/>
        <v>-1.7932987258140742E-2</v>
      </c>
      <c r="K58">
        <f t="shared" si="2"/>
        <v>-5.8262711864406347E-3</v>
      </c>
      <c r="L58">
        <f t="shared" si="3"/>
        <v>1.5596353964933973E-2</v>
      </c>
      <c r="M58">
        <f t="shared" si="4"/>
        <v>-3.9771314939098801E-3</v>
      </c>
      <c r="N58">
        <f t="shared" si="5"/>
        <v>-4.1308559466382344E-2</v>
      </c>
      <c r="O58">
        <f t="shared" si="6"/>
        <v>-3.1161882727206991E-2</v>
      </c>
      <c r="P58">
        <f t="shared" si="7"/>
        <v>-1.6990291262135804E-2</v>
      </c>
      <c r="Q58">
        <f t="shared" si="8"/>
        <v>-1.2265760626338218E-2</v>
      </c>
      <c r="R58" s="15">
        <f t="shared" si="9"/>
        <v>-1.746897960423896E-2</v>
      </c>
    </row>
    <row r="59" spans="1:18" x14ac:dyDescent="0.2">
      <c r="A59" s="13">
        <v>45961</v>
      </c>
      <c r="B59" s="14">
        <v>21.19</v>
      </c>
      <c r="C59" s="14">
        <v>18.88</v>
      </c>
      <c r="D59" s="14">
        <v>387.27</v>
      </c>
      <c r="E59" s="14">
        <v>40.229999999999997</v>
      </c>
      <c r="F59" s="14">
        <v>769.09</v>
      </c>
      <c r="G59" s="14">
        <v>138.31</v>
      </c>
      <c r="H59" s="14">
        <v>12.36</v>
      </c>
      <c r="I59" s="14">
        <v>72.597210000000004</v>
      </c>
      <c r="J59">
        <f t="shared" si="1"/>
        <v>9.4473311289555717E-4</v>
      </c>
      <c r="K59">
        <f t="shared" si="2"/>
        <v>3.1880977683313994E-3</v>
      </c>
      <c r="L59">
        <f t="shared" si="3"/>
        <v>3.0303030303029388E-3</v>
      </c>
      <c r="M59">
        <f t="shared" si="4"/>
        <v>-4.9468216670789378E-3</v>
      </c>
      <c r="N59">
        <f t="shared" si="5"/>
        <v>1.8540836191712318E-2</v>
      </c>
      <c r="O59">
        <f t="shared" si="6"/>
        <v>1.9759640197596351E-2</v>
      </c>
      <c r="P59">
        <f t="shared" si="7"/>
        <v>3.5175879396984966E-2</v>
      </c>
      <c r="Q59">
        <f t="shared" si="8"/>
        <v>4.6039196833964624E-3</v>
      </c>
      <c r="R59" s="15">
        <f t="shared" si="9"/>
        <v>1.3352830117229585E-2</v>
      </c>
    </row>
    <row r="60" spans="1:18" x14ac:dyDescent="0.2">
      <c r="A60" s="11">
        <v>45960</v>
      </c>
      <c r="B60" s="12">
        <v>21.17</v>
      </c>
      <c r="C60" s="12">
        <v>18.82</v>
      </c>
      <c r="D60" s="12">
        <v>386.1</v>
      </c>
      <c r="E60" s="12">
        <v>40.43</v>
      </c>
      <c r="F60" s="12">
        <v>755.09</v>
      </c>
      <c r="G60" s="12">
        <v>135.63</v>
      </c>
      <c r="H60" s="12">
        <v>11.94</v>
      </c>
      <c r="I60" s="12">
        <v>72.264510000000001</v>
      </c>
      <c r="J60">
        <f t="shared" si="1"/>
        <v>-1.885902876001877E-3</v>
      </c>
      <c r="K60">
        <f t="shared" si="2"/>
        <v>-1.1554621848739455E-2</v>
      </c>
      <c r="L60">
        <f t="shared" si="3"/>
        <v>-3.1675569934542125E-2</v>
      </c>
      <c r="M60">
        <f t="shared" si="4"/>
        <v>4.9492699826791942E-4</v>
      </c>
      <c r="N60">
        <f t="shared" si="5"/>
        <v>1.1818778726198298E-2</v>
      </c>
      <c r="O60">
        <f t="shared" si="6"/>
        <v>-1.6461203770848476E-2</v>
      </c>
      <c r="P60">
        <f t="shared" si="7"/>
        <v>-4.17014178482078E-3</v>
      </c>
      <c r="Q60">
        <f t="shared" si="8"/>
        <v>-2.9702072812296532E-3</v>
      </c>
      <c r="R60" s="15">
        <f t="shared" si="9"/>
        <v>-5.9475712770774812E-3</v>
      </c>
    </row>
    <row r="61" spans="1:18" x14ac:dyDescent="0.2">
      <c r="A61" s="13">
        <v>45959</v>
      </c>
      <c r="B61" s="14">
        <v>21.21</v>
      </c>
      <c r="C61" s="14">
        <v>19.04</v>
      </c>
      <c r="D61" s="14">
        <v>398.73</v>
      </c>
      <c r="E61" s="14">
        <v>40.409999999999997</v>
      </c>
      <c r="F61" s="14">
        <v>746.27</v>
      </c>
      <c r="G61" s="14">
        <v>137.9</v>
      </c>
      <c r="H61" s="14">
        <v>11.99</v>
      </c>
      <c r="I61" s="14">
        <v>72.479789999999994</v>
      </c>
      <c r="J61">
        <f t="shared" si="1"/>
        <v>-1.8823529411764461E-3</v>
      </c>
      <c r="K61">
        <f t="shared" si="2"/>
        <v>4.749340369393229E-3</v>
      </c>
      <c r="L61">
        <f t="shared" si="3"/>
        <v>6.2078885608298773E-3</v>
      </c>
      <c r="M61">
        <f t="shared" si="4"/>
        <v>7.4794315632011887E-3</v>
      </c>
      <c r="N61">
        <f t="shared" si="5"/>
        <v>-7.6321568207382562E-4</v>
      </c>
      <c r="O61">
        <f t="shared" si="6"/>
        <v>-2.3440266270094212E-2</v>
      </c>
      <c r="P61">
        <f t="shared" si="7"/>
        <v>-4.689984101748812E-2</v>
      </c>
      <c r="Q61">
        <f t="shared" si="8"/>
        <v>1.5770698630275248E-2</v>
      </c>
      <c r="R61" s="15">
        <f t="shared" si="9"/>
        <v>-8.3632949802728233E-3</v>
      </c>
    </row>
    <row r="62" spans="1:18" x14ac:dyDescent="0.2">
      <c r="A62" s="11">
        <v>45958</v>
      </c>
      <c r="B62" s="12">
        <v>21.25</v>
      </c>
      <c r="C62" s="12">
        <v>18.95</v>
      </c>
      <c r="D62" s="12">
        <v>396.27</v>
      </c>
      <c r="E62" s="12">
        <v>40.11</v>
      </c>
      <c r="F62" s="12">
        <v>746.84</v>
      </c>
      <c r="G62" s="12">
        <v>141.21</v>
      </c>
      <c r="H62" s="12">
        <v>12.58</v>
      </c>
      <c r="I62" s="12">
        <v>71.354479999999995</v>
      </c>
      <c r="J62">
        <f t="shared" si="1"/>
        <v>1.6260162601626105E-2</v>
      </c>
      <c r="K62">
        <f t="shared" si="2"/>
        <v>0.10302677532013971</v>
      </c>
      <c r="L62">
        <f t="shared" si="3"/>
        <v>-5.6458897922312401E-3</v>
      </c>
      <c r="M62">
        <f t="shared" si="4"/>
        <v>-2.4925224327010387E-4</v>
      </c>
      <c r="N62">
        <f t="shared" si="5"/>
        <v>-1.3356232247836775E-2</v>
      </c>
      <c r="O62">
        <f t="shared" si="6"/>
        <v>4.4298180742493809E-2</v>
      </c>
      <c r="P62">
        <f t="shared" si="7"/>
        <v>-1.795472287275568E-2</v>
      </c>
      <c r="Q62">
        <f t="shared" si="8"/>
        <v>-3.5529103225997449E-3</v>
      </c>
      <c r="R62" s="15">
        <f t="shared" si="9"/>
        <v>1.1994219634110362E-2</v>
      </c>
    </row>
    <row r="63" spans="1:18" x14ac:dyDescent="0.2">
      <c r="A63" s="13">
        <v>45957</v>
      </c>
      <c r="B63" s="14">
        <v>20.91</v>
      </c>
      <c r="C63" s="14">
        <v>17.18</v>
      </c>
      <c r="D63" s="14">
        <v>398.52</v>
      </c>
      <c r="E63" s="14">
        <v>40.119999999999997</v>
      </c>
      <c r="F63" s="14">
        <v>756.95</v>
      </c>
      <c r="G63" s="14">
        <v>135.22</v>
      </c>
      <c r="H63" s="14">
        <v>12.81</v>
      </c>
      <c r="I63" s="14">
        <v>71.608900000000006</v>
      </c>
      <c r="J63">
        <f t="shared" si="1"/>
        <v>3.3589251439538614E-3</v>
      </c>
      <c r="K63">
        <f t="shared" si="2"/>
        <v>-1.7431725740848503E-3</v>
      </c>
      <c r="L63">
        <f t="shared" si="3"/>
        <v>-4.3471743366811921E-3</v>
      </c>
      <c r="M63">
        <f t="shared" si="4"/>
        <v>3.6157024793388448E-2</v>
      </c>
      <c r="N63">
        <f t="shared" si="5"/>
        <v>3.0915900578821986E-2</v>
      </c>
      <c r="O63">
        <f t="shared" si="6"/>
        <v>1.2732174955062847E-2</v>
      </c>
      <c r="P63">
        <f t="shared" si="7"/>
        <v>2.0717131474103478E-2</v>
      </c>
      <c r="Q63">
        <f t="shared" si="8"/>
        <v>1.1611889369972817E-2</v>
      </c>
      <c r="R63" s="15">
        <f t="shared" si="9"/>
        <v>1.5535143454827025E-2</v>
      </c>
    </row>
    <row r="64" spans="1:18" x14ac:dyDescent="0.2">
      <c r="A64" s="11">
        <v>45954</v>
      </c>
      <c r="B64" s="12">
        <v>20.84</v>
      </c>
      <c r="C64" s="12">
        <v>17.21</v>
      </c>
      <c r="D64" s="12">
        <v>400.26</v>
      </c>
      <c r="E64" s="12">
        <v>38.72</v>
      </c>
      <c r="F64" s="12">
        <v>734.25</v>
      </c>
      <c r="G64" s="12">
        <v>133.52000000000001</v>
      </c>
      <c r="H64" s="12">
        <v>12.55</v>
      </c>
      <c r="I64" s="12">
        <v>70.786929999999998</v>
      </c>
      <c r="J64">
        <f t="shared" si="1"/>
        <v>-9.5877277085332224E-4</v>
      </c>
      <c r="K64">
        <f t="shared" si="2"/>
        <v>4.0840140023337135E-3</v>
      </c>
      <c r="L64">
        <f t="shared" si="3"/>
        <v>5.8553011836253166E-3</v>
      </c>
      <c r="M64">
        <f t="shared" si="4"/>
        <v>-4.115226337448652E-3</v>
      </c>
      <c r="N64">
        <f t="shared" si="5"/>
        <v>-3.8637791976537161E-2</v>
      </c>
      <c r="O64">
        <f t="shared" si="6"/>
        <v>-3.7307864497836407E-3</v>
      </c>
      <c r="P64">
        <f t="shared" si="7"/>
        <v>-4.7799696509863376E-2</v>
      </c>
      <c r="Q64">
        <f t="shared" si="8"/>
        <v>-2.2432413508998383E-2</v>
      </c>
      <c r="R64" s="15">
        <f t="shared" si="9"/>
        <v>-1.7851982415186055E-2</v>
      </c>
    </row>
    <row r="65" spans="1:18" x14ac:dyDescent="0.2">
      <c r="A65" s="13">
        <v>45953</v>
      </c>
      <c r="B65" s="14">
        <v>20.86</v>
      </c>
      <c r="C65" s="14">
        <v>17.14</v>
      </c>
      <c r="D65" s="14">
        <v>397.93</v>
      </c>
      <c r="E65" s="14">
        <v>38.880000000000003</v>
      </c>
      <c r="F65" s="14">
        <v>763.76</v>
      </c>
      <c r="G65" s="14">
        <v>134.02000000000001</v>
      </c>
      <c r="H65" s="14">
        <v>13.18</v>
      </c>
      <c r="I65" s="14">
        <v>72.411289999999994</v>
      </c>
      <c r="J65">
        <f t="shared" si="1"/>
        <v>8.2165297245044844E-3</v>
      </c>
      <c r="K65">
        <f t="shared" si="2"/>
        <v>1.001767825574551E-2</v>
      </c>
      <c r="L65">
        <f t="shared" si="3"/>
        <v>-1.279991968677785E-3</v>
      </c>
      <c r="M65">
        <f t="shared" si="4"/>
        <v>-3.379721669980118E-2</v>
      </c>
      <c r="N65">
        <f t="shared" si="5"/>
        <v>1.0747896295906223E-3</v>
      </c>
      <c r="O65">
        <f t="shared" si="6"/>
        <v>4.7983205877943913E-3</v>
      </c>
      <c r="P65">
        <f t="shared" si="7"/>
        <v>2.488335925349916E-2</v>
      </c>
      <c r="Q65">
        <f t="shared" si="8"/>
        <v>2.4788804710802692E-2</v>
      </c>
      <c r="R65" s="15">
        <f t="shared" si="9"/>
        <v>5.674664601333243E-3</v>
      </c>
    </row>
    <row r="66" spans="1:18" x14ac:dyDescent="0.2">
      <c r="A66" s="11">
        <v>45952</v>
      </c>
      <c r="B66" s="12">
        <v>20.69</v>
      </c>
      <c r="C66" s="12">
        <v>16.97</v>
      </c>
      <c r="D66" s="12">
        <v>398.44</v>
      </c>
      <c r="E66" s="12">
        <v>40.24</v>
      </c>
      <c r="F66" s="12">
        <v>762.94</v>
      </c>
      <c r="G66" s="12">
        <v>133.38</v>
      </c>
      <c r="H66" s="12">
        <v>12.86</v>
      </c>
      <c r="I66" s="12">
        <v>70.659719999999993</v>
      </c>
      <c r="J66">
        <f t="shared" si="1"/>
        <v>7.3028237585199829E-3</v>
      </c>
      <c r="K66">
        <f t="shared" si="2"/>
        <v>9.5181439619274055E-3</v>
      </c>
      <c r="L66">
        <f t="shared" si="3"/>
        <v>2.6933683857831348E-2</v>
      </c>
      <c r="M66">
        <f t="shared" si="4"/>
        <v>1.4932802389249211E-3</v>
      </c>
      <c r="N66">
        <f t="shared" si="5"/>
        <v>2.5097565141980471E-3</v>
      </c>
      <c r="O66">
        <f t="shared" si="6"/>
        <v>3.0079711234771711E-3</v>
      </c>
      <c r="P66">
        <f t="shared" si="7"/>
        <v>2.6336791699920203E-2</v>
      </c>
      <c r="Q66">
        <f t="shared" si="8"/>
        <v>1.1202843858270528E-2</v>
      </c>
      <c r="R66" s="15">
        <f t="shared" si="9"/>
        <v>1.1319305943853089E-2</v>
      </c>
    </row>
    <row r="67" spans="1:18" x14ac:dyDescent="0.2">
      <c r="A67" s="13">
        <v>45951</v>
      </c>
      <c r="B67" s="14">
        <v>20.54</v>
      </c>
      <c r="C67" s="14">
        <v>16.809999999999999</v>
      </c>
      <c r="D67" s="14">
        <v>387.99</v>
      </c>
      <c r="E67" s="14">
        <v>40.18</v>
      </c>
      <c r="F67" s="14">
        <v>761.03</v>
      </c>
      <c r="G67" s="14">
        <v>132.97999999999999</v>
      </c>
      <c r="H67" s="14">
        <v>12.53</v>
      </c>
      <c r="I67" s="14">
        <v>69.876900000000006</v>
      </c>
      <c r="J67">
        <f t="shared" ref="J67:J130" si="10">B67/B68-1</f>
        <v>4.8709206039920794E-4</v>
      </c>
      <c r="K67">
        <f t="shared" ref="K67:K130" si="11">C67/C68-1</f>
        <v>-4.5428733674048871E-2</v>
      </c>
      <c r="L67">
        <f t="shared" ref="L67:L130" si="12">D67/D68-1</f>
        <v>-4.0246376094592584E-2</v>
      </c>
      <c r="M67">
        <f t="shared" ref="M67:M130" si="13">E67/E68-1</f>
        <v>-2.309749574519826E-2</v>
      </c>
      <c r="N67">
        <f t="shared" ref="N67:N130" si="14">F67/F68-1</f>
        <v>-4.05693322071079E-2</v>
      </c>
      <c r="O67">
        <f t="shared" ref="O67:O130" si="15">G67/G68-1</f>
        <v>-5.5339515405324891E-3</v>
      </c>
      <c r="P67">
        <f t="shared" ref="P67:P130" si="16">H67/H68-1</f>
        <v>-9.4861660079051946E-3</v>
      </c>
      <c r="Q67">
        <f t="shared" ref="Q67:Q130" si="17">I67/I68-1</f>
        <v>-1.9566117523250881E-3</v>
      </c>
      <c r="R67" s="15">
        <f t="shared" ref="R67:R130" si="18">SUMPRODUCT($T$2:$AA$2,J67:Q67)</f>
        <v>-2.2930023228429488E-2</v>
      </c>
    </row>
    <row r="68" spans="1:18" x14ac:dyDescent="0.2">
      <c r="A68" s="11">
        <v>45950</v>
      </c>
      <c r="B68" s="12">
        <v>20.53</v>
      </c>
      <c r="C68" s="12">
        <v>17.61</v>
      </c>
      <c r="D68" s="12">
        <v>404.26</v>
      </c>
      <c r="E68" s="12">
        <v>41.13</v>
      </c>
      <c r="F68" s="12">
        <v>793.21</v>
      </c>
      <c r="G68" s="12">
        <v>133.72</v>
      </c>
      <c r="H68" s="12">
        <v>12.65</v>
      </c>
      <c r="I68" s="12">
        <v>70.013890000000004</v>
      </c>
      <c r="J68">
        <f t="shared" si="10"/>
        <v>-5.3294573643410947E-3</v>
      </c>
      <c r="K68">
        <f t="shared" si="11"/>
        <v>-6.7681895093063549E-3</v>
      </c>
      <c r="L68">
        <f t="shared" si="12"/>
        <v>-1.134751773049647E-2</v>
      </c>
      <c r="M68">
        <f t="shared" si="13"/>
        <v>6.6079295154186646E-3</v>
      </c>
      <c r="N68">
        <f t="shared" si="14"/>
        <v>-3.0247652656123503E-4</v>
      </c>
      <c r="O68">
        <f t="shared" si="15"/>
        <v>2.412499042659122E-2</v>
      </c>
      <c r="P68">
        <f t="shared" si="16"/>
        <v>-1.7857142857142905E-2</v>
      </c>
      <c r="Q68">
        <f t="shared" si="17"/>
        <v>-4.8679875304563636E-3</v>
      </c>
      <c r="R68" s="15">
        <f t="shared" si="18"/>
        <v>-2.0490206054487739E-3</v>
      </c>
    </row>
    <row r="69" spans="1:18" x14ac:dyDescent="0.2">
      <c r="A69" s="13">
        <v>45947</v>
      </c>
      <c r="B69" s="14">
        <v>20.64</v>
      </c>
      <c r="C69" s="14">
        <v>17.73</v>
      </c>
      <c r="D69" s="14">
        <v>408.9</v>
      </c>
      <c r="E69" s="14">
        <v>40.86</v>
      </c>
      <c r="F69" s="14">
        <v>793.45</v>
      </c>
      <c r="G69" s="14">
        <v>130.57</v>
      </c>
      <c r="H69" s="14">
        <v>12.88</v>
      </c>
      <c r="I69" s="14">
        <v>70.356384000000006</v>
      </c>
      <c r="J69">
        <f t="shared" si="10"/>
        <v>-1.4513788098694524E-3</v>
      </c>
      <c r="K69">
        <f t="shared" si="11"/>
        <v>-1.2806236080178168E-2</v>
      </c>
      <c r="L69">
        <f t="shared" si="12"/>
        <v>-3.0476654882359844E-3</v>
      </c>
      <c r="M69">
        <f t="shared" si="13"/>
        <v>-1.9438444924406051E-2</v>
      </c>
      <c r="N69">
        <f t="shared" si="14"/>
        <v>-4.3575216972034703E-2</v>
      </c>
      <c r="O69">
        <f t="shared" si="15"/>
        <v>-3.9078598763614969E-2</v>
      </c>
      <c r="P69">
        <f t="shared" si="16"/>
        <v>-2.4981074943224879E-2</v>
      </c>
      <c r="Q69">
        <f t="shared" si="17"/>
        <v>5.5667713920515283E-4</v>
      </c>
      <c r="R69" s="15">
        <f t="shared" si="18"/>
        <v>-2.2464024135639218E-2</v>
      </c>
    </row>
    <row r="70" spans="1:18" x14ac:dyDescent="0.2">
      <c r="A70" s="11">
        <v>45946</v>
      </c>
      <c r="B70" s="12">
        <v>20.67</v>
      </c>
      <c r="C70" s="12">
        <v>17.96</v>
      </c>
      <c r="D70" s="12">
        <v>410.15</v>
      </c>
      <c r="E70" s="12">
        <v>41.67</v>
      </c>
      <c r="F70" s="12">
        <v>829.6</v>
      </c>
      <c r="G70" s="12">
        <v>135.88</v>
      </c>
      <c r="H70" s="12">
        <v>13.21</v>
      </c>
      <c r="I70" s="12">
        <v>70.317239999999998</v>
      </c>
      <c r="J70">
        <f t="shared" si="10"/>
        <v>4.3412417970722039E-2</v>
      </c>
      <c r="K70">
        <f t="shared" si="11"/>
        <v>-1.2101210121012063E-2</v>
      </c>
      <c r="L70">
        <f t="shared" si="12"/>
        <v>-1.8310196266156153E-2</v>
      </c>
      <c r="M70">
        <f t="shared" si="13"/>
        <v>2.4840137727496492E-2</v>
      </c>
      <c r="N70">
        <f t="shared" si="14"/>
        <v>2.7432039135550257E-2</v>
      </c>
      <c r="O70">
        <f t="shared" si="15"/>
        <v>-2.5810151993117203E-2</v>
      </c>
      <c r="P70">
        <f t="shared" si="16"/>
        <v>1.9290123456790154E-2</v>
      </c>
      <c r="Q70">
        <f t="shared" si="17"/>
        <v>8.5613466600995558E-3</v>
      </c>
      <c r="R70" s="15">
        <f t="shared" si="18"/>
        <v>8.2917848277738165E-3</v>
      </c>
    </row>
    <row r="71" spans="1:18" x14ac:dyDescent="0.2">
      <c r="A71" s="13">
        <v>45945</v>
      </c>
      <c r="B71" s="14">
        <v>19.809999999999999</v>
      </c>
      <c r="C71" s="14">
        <v>18.18</v>
      </c>
      <c r="D71" s="14">
        <v>417.8</v>
      </c>
      <c r="E71" s="14">
        <v>40.659999999999997</v>
      </c>
      <c r="F71" s="14">
        <v>807.45</v>
      </c>
      <c r="G71" s="14">
        <v>139.47999999999999</v>
      </c>
      <c r="H71" s="14">
        <v>12.96</v>
      </c>
      <c r="I71" s="14">
        <v>69.720339999999993</v>
      </c>
      <c r="J71">
        <f t="shared" si="10"/>
        <v>2.4831867563372967E-2</v>
      </c>
      <c r="K71">
        <f t="shared" si="11"/>
        <v>3.1196823596143064E-2</v>
      </c>
      <c r="L71">
        <f t="shared" si="12"/>
        <v>1.2038853765472535E-2</v>
      </c>
      <c r="M71">
        <f t="shared" si="13"/>
        <v>1.0437375745526722E-2</v>
      </c>
      <c r="N71">
        <f t="shared" si="14"/>
        <v>2.2839835652488372E-3</v>
      </c>
      <c r="O71">
        <f t="shared" si="15"/>
        <v>-3.6431173655262494E-3</v>
      </c>
      <c r="P71">
        <f t="shared" si="16"/>
        <v>1.0920436817472678E-2</v>
      </c>
      <c r="Q71">
        <f t="shared" si="17"/>
        <v>-1.0554038784616804E-2</v>
      </c>
      <c r="R71" s="15">
        <f t="shared" si="18"/>
        <v>8.7839775433292758E-3</v>
      </c>
    </row>
    <row r="72" spans="1:18" x14ac:dyDescent="0.2">
      <c r="A72" s="11">
        <v>45944</v>
      </c>
      <c r="B72" s="12">
        <v>19.329999999999998</v>
      </c>
      <c r="C72" s="12">
        <v>17.63</v>
      </c>
      <c r="D72" s="12">
        <v>412.83</v>
      </c>
      <c r="E72" s="12">
        <v>40.24</v>
      </c>
      <c r="F72" s="12">
        <v>805.61</v>
      </c>
      <c r="G72" s="12">
        <v>139.99</v>
      </c>
      <c r="H72" s="12">
        <v>12.82</v>
      </c>
      <c r="I72" s="12">
        <v>70.464020000000005</v>
      </c>
      <c r="J72">
        <f t="shared" si="10"/>
        <v>-2.0273694880892146E-2</v>
      </c>
      <c r="K72">
        <f t="shared" si="11"/>
        <v>2.5596276905177184E-2</v>
      </c>
      <c r="L72">
        <f t="shared" si="12"/>
        <v>5.1373198285935562E-3</v>
      </c>
      <c r="M72">
        <f t="shared" si="13"/>
        <v>-2.6373094604403513E-2</v>
      </c>
      <c r="N72">
        <f t="shared" si="14"/>
        <v>-2.1985626183654627E-2</v>
      </c>
      <c r="O72">
        <f t="shared" si="15"/>
        <v>-2.1869759642258235E-2</v>
      </c>
      <c r="P72">
        <f t="shared" si="16"/>
        <v>1.746031746031762E-2</v>
      </c>
      <c r="Q72">
        <f t="shared" si="17"/>
        <v>-1.8803613036328715E-2</v>
      </c>
      <c r="R72" s="15">
        <f t="shared" si="18"/>
        <v>-6.7781881890028968E-3</v>
      </c>
    </row>
    <row r="73" spans="1:18" x14ac:dyDescent="0.2">
      <c r="A73" s="13">
        <v>45943</v>
      </c>
      <c r="B73" s="14">
        <v>19.73</v>
      </c>
      <c r="C73" s="14">
        <v>17.190000000000001</v>
      </c>
      <c r="D73" s="14">
        <v>410.72</v>
      </c>
      <c r="E73" s="14">
        <v>41.33</v>
      </c>
      <c r="F73" s="14">
        <v>823.72</v>
      </c>
      <c r="G73" s="14">
        <v>143.12</v>
      </c>
      <c r="H73" s="14">
        <v>12.6</v>
      </c>
      <c r="I73" s="14">
        <v>71.814390000000003</v>
      </c>
      <c r="J73">
        <f t="shared" si="10"/>
        <v>5.6065239551477131E-3</v>
      </c>
      <c r="K73">
        <f t="shared" si="11"/>
        <v>1.3561320754716943E-2</v>
      </c>
      <c r="L73">
        <f t="shared" si="12"/>
        <v>-1.9527333492480148E-2</v>
      </c>
      <c r="M73">
        <f t="shared" si="13"/>
        <v>1.7729623245505977E-2</v>
      </c>
      <c r="N73">
        <f t="shared" si="14"/>
        <v>5.250245965526501E-2</v>
      </c>
      <c r="O73">
        <f t="shared" si="15"/>
        <v>8.9531194924217239E-3</v>
      </c>
      <c r="P73">
        <f t="shared" si="16"/>
        <v>2.3558082859463703E-2</v>
      </c>
      <c r="Q73">
        <f t="shared" si="17"/>
        <v>2.8735727271770095E-2</v>
      </c>
      <c r="R73" s="15">
        <f t="shared" si="18"/>
        <v>1.9775338796823732E-2</v>
      </c>
    </row>
    <row r="74" spans="1:18" x14ac:dyDescent="0.2">
      <c r="A74" s="11">
        <v>45940</v>
      </c>
      <c r="B74" s="12">
        <v>19.62</v>
      </c>
      <c r="C74" s="12">
        <v>16.96</v>
      </c>
      <c r="D74" s="12">
        <v>418.9</v>
      </c>
      <c r="E74" s="12">
        <v>40.61</v>
      </c>
      <c r="F74" s="12">
        <v>782.63</v>
      </c>
      <c r="G74" s="12">
        <v>141.85</v>
      </c>
      <c r="H74" s="12">
        <v>12.31</v>
      </c>
      <c r="I74" s="12">
        <v>69.808395000000004</v>
      </c>
      <c r="J74">
        <f t="shared" si="10"/>
        <v>6.1538461538461764E-3</v>
      </c>
      <c r="K74">
        <f t="shared" si="11"/>
        <v>1.0125074449076843E-2</v>
      </c>
      <c r="L74">
        <f t="shared" si="12"/>
        <v>5.3760860173761582E-3</v>
      </c>
      <c r="M74">
        <f t="shared" si="13"/>
        <v>1.4489133150137334E-2</v>
      </c>
      <c r="N74">
        <f t="shared" si="14"/>
        <v>-1.4630154233553627E-2</v>
      </c>
      <c r="O74">
        <f t="shared" si="15"/>
        <v>-3.3521836887647427E-2</v>
      </c>
      <c r="P74">
        <f t="shared" si="16"/>
        <v>-1.1244979919678655E-2</v>
      </c>
      <c r="Q74">
        <f t="shared" si="17"/>
        <v>-3.9192052183489978E-2</v>
      </c>
      <c r="R74" s="15">
        <f t="shared" si="18"/>
        <v>-9.2571821270378257E-3</v>
      </c>
    </row>
    <row r="75" spans="1:18" x14ac:dyDescent="0.2">
      <c r="A75" s="13">
        <v>45939</v>
      </c>
      <c r="B75" s="14">
        <v>19.5</v>
      </c>
      <c r="C75" s="14">
        <v>16.79</v>
      </c>
      <c r="D75" s="14">
        <v>416.66</v>
      </c>
      <c r="E75" s="14">
        <v>40.03</v>
      </c>
      <c r="F75" s="14">
        <v>794.25</v>
      </c>
      <c r="G75" s="14">
        <v>146.77000000000001</v>
      </c>
      <c r="H75" s="14">
        <v>12.45</v>
      </c>
      <c r="I75" s="14">
        <v>72.655929999999998</v>
      </c>
      <c r="J75">
        <f t="shared" si="10"/>
        <v>5.1546391752577136E-3</v>
      </c>
      <c r="K75">
        <f t="shared" si="11"/>
        <v>-8.269344359125852E-3</v>
      </c>
      <c r="L75">
        <f t="shared" si="12"/>
        <v>-1.4475613794408315E-2</v>
      </c>
      <c r="M75">
        <f t="shared" si="13"/>
        <v>-9.1584158415840555E-3</v>
      </c>
      <c r="N75">
        <f t="shared" si="14"/>
        <v>-3.8129162538097505E-3</v>
      </c>
      <c r="O75">
        <f t="shared" si="15"/>
        <v>-2.4330253273947999E-2</v>
      </c>
      <c r="P75">
        <f t="shared" si="16"/>
        <v>-1.1904761904761973E-2</v>
      </c>
      <c r="Q75">
        <f t="shared" si="17"/>
        <v>-3.2218070957407141E-3</v>
      </c>
      <c r="R75" s="15">
        <f t="shared" si="18"/>
        <v>-9.5470897896763503E-3</v>
      </c>
    </row>
    <row r="76" spans="1:18" x14ac:dyDescent="0.2">
      <c r="A76" s="11">
        <v>45938</v>
      </c>
      <c r="B76" s="12">
        <v>19.399999999999999</v>
      </c>
      <c r="C76" s="12">
        <v>16.93</v>
      </c>
      <c r="D76" s="12">
        <v>422.78</v>
      </c>
      <c r="E76" s="12">
        <v>40.4</v>
      </c>
      <c r="F76" s="12">
        <v>797.29</v>
      </c>
      <c r="G76" s="12">
        <v>150.43</v>
      </c>
      <c r="H76" s="12">
        <v>12.6</v>
      </c>
      <c r="I76" s="12">
        <v>72.890770000000003</v>
      </c>
      <c r="J76">
        <f t="shared" si="10"/>
        <v>1.8907563025210017E-2</v>
      </c>
      <c r="K76">
        <f t="shared" si="11"/>
        <v>1.4988009592326046E-2</v>
      </c>
      <c r="L76">
        <f t="shared" si="12"/>
        <v>-8.2716895516754541E-4</v>
      </c>
      <c r="M76">
        <f t="shared" si="13"/>
        <v>1.5075376884422065E-2</v>
      </c>
      <c r="N76">
        <f t="shared" si="14"/>
        <v>5.058637501647123E-2</v>
      </c>
      <c r="O76">
        <f t="shared" si="15"/>
        <v>-3.0734536082474118E-2</v>
      </c>
      <c r="P76">
        <f t="shared" si="16"/>
        <v>1.2861736334405238E-2</v>
      </c>
      <c r="Q76">
        <f t="shared" si="17"/>
        <v>-1.0625651522390478E-2</v>
      </c>
      <c r="R76" s="15">
        <f t="shared" si="18"/>
        <v>1.2075556499120779E-2</v>
      </c>
    </row>
    <row r="77" spans="1:18" x14ac:dyDescent="0.2">
      <c r="A77" s="13">
        <v>45937</v>
      </c>
      <c r="B77" s="14">
        <v>19.04</v>
      </c>
      <c r="C77" s="14">
        <v>16.68</v>
      </c>
      <c r="D77" s="14">
        <v>423.13</v>
      </c>
      <c r="E77" s="14">
        <v>39.799999999999997</v>
      </c>
      <c r="F77" s="14">
        <v>758.9</v>
      </c>
      <c r="G77" s="14">
        <v>155.19999999999999</v>
      </c>
      <c r="H77" s="14">
        <v>12.44</v>
      </c>
      <c r="I77" s="14">
        <v>73.673599999999993</v>
      </c>
      <c r="J77">
        <f t="shared" si="10"/>
        <v>-6.7814293166407191E-3</v>
      </c>
      <c r="K77">
        <f t="shared" si="11"/>
        <v>1.2750455373406355E-2</v>
      </c>
      <c r="L77">
        <f t="shared" si="12"/>
        <v>1.1933802075859701E-2</v>
      </c>
      <c r="M77">
        <f t="shared" si="13"/>
        <v>-3.0686799805163312E-2</v>
      </c>
      <c r="N77">
        <f t="shared" si="14"/>
        <v>-2.9378285392712367E-2</v>
      </c>
      <c r="O77">
        <f t="shared" si="15"/>
        <v>-4.7794343211240098E-2</v>
      </c>
      <c r="P77">
        <f t="shared" si="16"/>
        <v>-1.9700551615445261E-2</v>
      </c>
      <c r="Q77">
        <f t="shared" si="17"/>
        <v>2.1297106262316845E-3</v>
      </c>
      <c r="R77" s="15">
        <f t="shared" si="18"/>
        <v>-1.6509084894188463E-2</v>
      </c>
    </row>
    <row r="78" spans="1:18" x14ac:dyDescent="0.2">
      <c r="A78" s="11">
        <v>45936</v>
      </c>
      <c r="B78" s="12">
        <v>19.170000000000002</v>
      </c>
      <c r="C78" s="12">
        <v>16.47</v>
      </c>
      <c r="D78" s="12">
        <v>418.14</v>
      </c>
      <c r="E78" s="12">
        <v>41.06</v>
      </c>
      <c r="F78" s="12">
        <v>781.87</v>
      </c>
      <c r="G78" s="12">
        <v>162.99</v>
      </c>
      <c r="H78" s="12">
        <v>12.69</v>
      </c>
      <c r="I78" s="12">
        <v>73.517030000000005</v>
      </c>
      <c r="J78">
        <f t="shared" si="10"/>
        <v>-4.6728971962616273E-3</v>
      </c>
      <c r="K78">
        <f t="shared" si="11"/>
        <v>-1.1404561824729931E-2</v>
      </c>
      <c r="L78">
        <f t="shared" si="12"/>
        <v>-1.041321531689321E-2</v>
      </c>
      <c r="M78">
        <f t="shared" si="13"/>
        <v>2.44140625E-3</v>
      </c>
      <c r="N78">
        <f t="shared" si="14"/>
        <v>-2.0335797519107857E-2</v>
      </c>
      <c r="O78">
        <f t="shared" si="15"/>
        <v>3.0603857097692089E-2</v>
      </c>
      <c r="P78">
        <f t="shared" si="16"/>
        <v>-2.3584905660378741E-3</v>
      </c>
      <c r="Q78">
        <f t="shared" si="17"/>
        <v>-3.4488136834065486E-3</v>
      </c>
      <c r="R78" s="15">
        <f t="shared" si="18"/>
        <v>-3.3210188281831265E-3</v>
      </c>
    </row>
    <row r="79" spans="1:18" x14ac:dyDescent="0.2">
      <c r="A79" s="13">
        <v>45933</v>
      </c>
      <c r="B79" s="14">
        <v>19.260000000000002</v>
      </c>
      <c r="C79" s="14">
        <v>16.66</v>
      </c>
      <c r="D79" s="14">
        <v>422.54</v>
      </c>
      <c r="E79" s="14">
        <v>40.96</v>
      </c>
      <c r="F79" s="14">
        <v>798.1</v>
      </c>
      <c r="G79" s="14">
        <v>158.15</v>
      </c>
      <c r="H79" s="14">
        <v>12.72</v>
      </c>
      <c r="I79" s="14">
        <v>73.771454000000006</v>
      </c>
      <c r="J79">
        <f t="shared" si="10"/>
        <v>-7.7279752704790816E-3</v>
      </c>
      <c r="K79">
        <f t="shared" si="11"/>
        <v>6.006006006007425E-4</v>
      </c>
      <c r="L79">
        <f t="shared" si="12"/>
        <v>-1.5264862849285632E-2</v>
      </c>
      <c r="M79">
        <f t="shared" si="13"/>
        <v>-1.6566626650660221E-2</v>
      </c>
      <c r="N79">
        <f t="shared" si="14"/>
        <v>-2.287700173765117E-3</v>
      </c>
      <c r="O79">
        <f t="shared" si="15"/>
        <v>-1.8494383417116511E-2</v>
      </c>
      <c r="P79">
        <f t="shared" si="16"/>
        <v>-1.0116731517509692E-2</v>
      </c>
      <c r="Q79">
        <f t="shared" si="17"/>
        <v>2.5853929734354075E-2</v>
      </c>
      <c r="R79" s="15">
        <f t="shared" si="18"/>
        <v>-6.5961125901612492E-3</v>
      </c>
    </row>
    <row r="80" spans="1:18" x14ac:dyDescent="0.2">
      <c r="A80" s="11">
        <v>45932</v>
      </c>
      <c r="B80" s="12">
        <v>19.41</v>
      </c>
      <c r="C80" s="12">
        <v>16.649999999999999</v>
      </c>
      <c r="D80" s="12">
        <v>429.09</v>
      </c>
      <c r="E80" s="12">
        <v>41.65</v>
      </c>
      <c r="F80" s="12">
        <v>799.93</v>
      </c>
      <c r="G80" s="12">
        <v>161.13</v>
      </c>
      <c r="H80" s="12">
        <v>12.85</v>
      </c>
      <c r="I80" s="12">
        <v>71.912239999999997</v>
      </c>
      <c r="J80">
        <f t="shared" si="10"/>
        <v>2.2116903633491392E-2</v>
      </c>
      <c r="K80">
        <f t="shared" si="11"/>
        <v>2.1472392638036686E-2</v>
      </c>
      <c r="L80">
        <f t="shared" si="12"/>
        <v>6.5296984678520076E-4</v>
      </c>
      <c r="M80">
        <f t="shared" si="13"/>
        <v>-3.8772213247172838E-2</v>
      </c>
      <c r="N80">
        <f t="shared" si="14"/>
        <v>-2.7053983293854333E-3</v>
      </c>
      <c r="O80">
        <f t="shared" si="15"/>
        <v>4.3632737019259071E-3</v>
      </c>
      <c r="P80">
        <f t="shared" si="16"/>
        <v>1.2608353033884967E-2</v>
      </c>
      <c r="Q80">
        <f t="shared" si="17"/>
        <v>-8.0982783848022599E-3</v>
      </c>
      <c r="R80" s="15">
        <f t="shared" si="18"/>
        <v>2.2584550843069671E-3</v>
      </c>
    </row>
    <row r="81" spans="1:18" x14ac:dyDescent="0.2">
      <c r="A81" s="13">
        <v>45931</v>
      </c>
      <c r="B81" s="14">
        <v>18.989999999999998</v>
      </c>
      <c r="C81" s="14">
        <v>16.3</v>
      </c>
      <c r="D81" s="14">
        <v>428.81</v>
      </c>
      <c r="E81" s="14">
        <v>43.33</v>
      </c>
      <c r="F81" s="14">
        <v>802.1</v>
      </c>
      <c r="G81" s="14">
        <v>160.43</v>
      </c>
      <c r="H81" s="14">
        <v>12.69</v>
      </c>
      <c r="I81" s="14">
        <v>72.499359999999996</v>
      </c>
      <c r="J81">
        <f t="shared" si="10"/>
        <v>-9.3896713615024829E-3</v>
      </c>
      <c r="K81">
        <f t="shared" si="11"/>
        <v>-6.0975609756096505E-3</v>
      </c>
      <c r="L81">
        <f t="shared" si="12"/>
        <v>-9.4479094479094083E-3</v>
      </c>
      <c r="M81">
        <f t="shared" si="13"/>
        <v>9.7879282218598096E-3</v>
      </c>
      <c r="N81">
        <f t="shared" si="14"/>
        <v>-2.0036652412950495E-2</v>
      </c>
      <c r="O81">
        <f t="shared" si="15"/>
        <v>-2.693030872808877E-2</v>
      </c>
      <c r="P81">
        <f t="shared" si="16"/>
        <v>-3.2036613272311221E-2</v>
      </c>
      <c r="Q81">
        <f t="shared" si="17"/>
        <v>-1.1869864701983146E-2</v>
      </c>
      <c r="R81" s="15">
        <f t="shared" si="18"/>
        <v>-1.6048494671122598E-2</v>
      </c>
    </row>
    <row r="82" spans="1:18" x14ac:dyDescent="0.2">
      <c r="A82" s="11">
        <v>45930</v>
      </c>
      <c r="B82" s="12">
        <v>19.170000000000002</v>
      </c>
      <c r="C82" s="12">
        <v>16.399999999999999</v>
      </c>
      <c r="D82" s="12">
        <v>432.9</v>
      </c>
      <c r="E82" s="12">
        <v>42.91</v>
      </c>
      <c r="F82" s="12">
        <v>818.5</v>
      </c>
      <c r="G82" s="12">
        <v>164.87</v>
      </c>
      <c r="H82" s="12">
        <v>13.11</v>
      </c>
      <c r="I82" s="12">
        <v>73.370255</v>
      </c>
      <c r="J82">
        <f t="shared" si="10"/>
        <v>2.090956612650352E-3</v>
      </c>
      <c r="K82">
        <f t="shared" si="11"/>
        <v>-1.0259505129752711E-2</v>
      </c>
      <c r="L82">
        <f t="shared" si="12"/>
        <v>-2.9459241323648189E-2</v>
      </c>
      <c r="M82">
        <f t="shared" si="13"/>
        <v>1.0836277974086928E-2</v>
      </c>
      <c r="N82">
        <f t="shared" si="14"/>
        <v>2.0968204667639601E-2</v>
      </c>
      <c r="O82">
        <f t="shared" si="15"/>
        <v>4.8924799592823476E-2</v>
      </c>
      <c r="P82">
        <f t="shared" si="16"/>
        <v>4.1302621127879302E-2</v>
      </c>
      <c r="Q82">
        <f t="shared" si="17"/>
        <v>2.7545533189521354E-2</v>
      </c>
      <c r="R82" s="15">
        <f t="shared" si="18"/>
        <v>1.6956770193670062E-2</v>
      </c>
    </row>
    <row r="83" spans="1:18" x14ac:dyDescent="0.2">
      <c r="A83" s="13">
        <v>45929</v>
      </c>
      <c r="B83" s="14">
        <v>19.13</v>
      </c>
      <c r="C83" s="14">
        <v>16.57</v>
      </c>
      <c r="D83" s="14">
        <v>446.04</v>
      </c>
      <c r="E83" s="14">
        <v>42.45</v>
      </c>
      <c r="F83" s="14">
        <v>801.69</v>
      </c>
      <c r="G83" s="14">
        <v>157.18</v>
      </c>
      <c r="H83" s="14">
        <v>12.59</v>
      </c>
      <c r="I83" s="14">
        <v>71.403409999999994</v>
      </c>
      <c r="J83">
        <f t="shared" si="10"/>
        <v>0</v>
      </c>
      <c r="K83">
        <f t="shared" si="11"/>
        <v>1.2084592145014117E-3</v>
      </c>
      <c r="L83">
        <f t="shared" si="12"/>
        <v>-2.1756294411790389E-2</v>
      </c>
      <c r="M83">
        <f t="shared" si="13"/>
        <v>7.117437722420128E-3</v>
      </c>
      <c r="N83">
        <f t="shared" si="14"/>
        <v>-5.1128677976196579E-3</v>
      </c>
      <c r="O83">
        <f t="shared" si="15"/>
        <v>4.4092274266727127E-3</v>
      </c>
      <c r="P83">
        <f t="shared" si="16"/>
        <v>8.8141025641024218E-3</v>
      </c>
      <c r="Q83">
        <f t="shared" si="17"/>
        <v>1.2628462236860205E-2</v>
      </c>
      <c r="R83" s="15">
        <f t="shared" si="18"/>
        <v>2.1500859627839974E-4</v>
      </c>
    </row>
    <row r="84" spans="1:18" x14ac:dyDescent="0.2">
      <c r="A84" s="11">
        <v>45926</v>
      </c>
      <c r="B84" s="12">
        <v>19.13</v>
      </c>
      <c r="C84" s="12">
        <v>16.55</v>
      </c>
      <c r="D84" s="12">
        <v>455.96</v>
      </c>
      <c r="E84" s="12">
        <v>42.15</v>
      </c>
      <c r="F84" s="12">
        <v>805.81</v>
      </c>
      <c r="G84" s="12">
        <v>156.49</v>
      </c>
      <c r="H84" s="12">
        <v>12.48</v>
      </c>
      <c r="I84" s="12">
        <v>70.51294</v>
      </c>
      <c r="J84">
        <f t="shared" si="10"/>
        <v>1.0031678986272219E-2</v>
      </c>
      <c r="K84">
        <f t="shared" si="11"/>
        <v>-6.602641056422498E-3</v>
      </c>
      <c r="L84">
        <f t="shared" si="12"/>
        <v>-5.1275337653553521E-3</v>
      </c>
      <c r="M84">
        <f t="shared" si="13"/>
        <v>0</v>
      </c>
      <c r="N84">
        <f t="shared" si="14"/>
        <v>4.8759196907344204E-3</v>
      </c>
      <c r="O84">
        <f t="shared" si="15"/>
        <v>-1.3490512513395836E-2</v>
      </c>
      <c r="P84">
        <f t="shared" si="16"/>
        <v>2.4096385542169418E-3</v>
      </c>
      <c r="Q84">
        <f t="shared" si="17"/>
        <v>1.0800883882785994E-2</v>
      </c>
      <c r="R84" s="15">
        <f t="shared" si="18"/>
        <v>-1.3007960112876868E-4</v>
      </c>
    </row>
    <row r="85" spans="1:18" x14ac:dyDescent="0.2">
      <c r="A85" s="13">
        <v>45925</v>
      </c>
      <c r="B85" s="14">
        <v>18.940000000000001</v>
      </c>
      <c r="C85" s="14">
        <v>16.66</v>
      </c>
      <c r="D85" s="14">
        <v>458.31</v>
      </c>
      <c r="E85" s="14">
        <v>42.15</v>
      </c>
      <c r="F85" s="14">
        <v>801.9</v>
      </c>
      <c r="G85" s="14">
        <v>158.63</v>
      </c>
      <c r="H85" s="14">
        <v>12.45</v>
      </c>
      <c r="I85" s="14">
        <v>69.759476000000006</v>
      </c>
      <c r="J85">
        <f t="shared" si="10"/>
        <v>1.5864621893177944E-3</v>
      </c>
      <c r="K85">
        <f t="shared" si="11"/>
        <v>7.8644888082273212E-3</v>
      </c>
      <c r="L85">
        <f t="shared" si="12"/>
        <v>1.1386957960940247E-2</v>
      </c>
      <c r="M85">
        <f t="shared" si="13"/>
        <v>-4.2523033309709302E-3</v>
      </c>
      <c r="N85">
        <f t="shared" si="14"/>
        <v>2.2792495185133266E-2</v>
      </c>
      <c r="O85">
        <f t="shared" si="15"/>
        <v>-1.3188180404354655E-2</v>
      </c>
      <c r="P85">
        <f t="shared" si="16"/>
        <v>0</v>
      </c>
      <c r="Q85">
        <f t="shared" si="17"/>
        <v>-7.9321088256590899E-3</v>
      </c>
      <c r="R85" s="15">
        <f t="shared" si="18"/>
        <v>4.2812484257914807E-3</v>
      </c>
    </row>
    <row r="86" spans="1:18" x14ac:dyDescent="0.2">
      <c r="A86" s="11">
        <v>45924</v>
      </c>
      <c r="B86" s="12">
        <v>18.91</v>
      </c>
      <c r="C86" s="12">
        <v>16.53</v>
      </c>
      <c r="D86" s="12">
        <v>453.15</v>
      </c>
      <c r="E86" s="12">
        <v>42.33</v>
      </c>
      <c r="F86" s="12">
        <v>784.03</v>
      </c>
      <c r="G86" s="12">
        <v>160.75</v>
      </c>
      <c r="H86" s="12">
        <v>12.45</v>
      </c>
      <c r="I86" s="12">
        <v>70.317239999999998</v>
      </c>
      <c r="J86">
        <f t="shared" si="10"/>
        <v>-3.0753459764223501E-2</v>
      </c>
      <c r="K86">
        <f t="shared" si="11"/>
        <v>-1.4898688915375491E-2</v>
      </c>
      <c r="L86">
        <f t="shared" si="12"/>
        <v>-3.0653717806109482E-2</v>
      </c>
      <c r="M86">
        <f t="shared" si="13"/>
        <v>1.3406751256882732E-2</v>
      </c>
      <c r="N86">
        <f t="shared" si="14"/>
        <v>1.0816873807436345E-2</v>
      </c>
      <c r="O86">
        <f t="shared" si="15"/>
        <v>1.8888255054826608E-2</v>
      </c>
      <c r="P86">
        <f t="shared" si="16"/>
        <v>-2.2762951334379999E-2</v>
      </c>
      <c r="Q86">
        <f t="shared" si="17"/>
        <v>1.3924555648081594E-4</v>
      </c>
      <c r="R86" s="15">
        <f t="shared" si="18"/>
        <v>-5.5136339605316529E-3</v>
      </c>
    </row>
    <row r="87" spans="1:18" x14ac:dyDescent="0.2">
      <c r="A87" s="13">
        <v>45923</v>
      </c>
      <c r="B87" s="14">
        <v>19.510000000000002</v>
      </c>
      <c r="C87" s="14">
        <v>16.78</v>
      </c>
      <c r="D87" s="14">
        <v>467.48</v>
      </c>
      <c r="E87" s="14">
        <v>41.77</v>
      </c>
      <c r="F87" s="14">
        <v>775.64</v>
      </c>
      <c r="G87" s="14">
        <v>157.77000000000001</v>
      </c>
      <c r="H87" s="14">
        <v>12.74</v>
      </c>
      <c r="I87" s="14">
        <v>70.307450000000003</v>
      </c>
      <c r="J87">
        <f t="shared" si="10"/>
        <v>3.6112586298460148E-2</v>
      </c>
      <c r="K87">
        <f t="shared" si="11"/>
        <v>-8.2742316784870651E-3</v>
      </c>
      <c r="L87">
        <f t="shared" si="12"/>
        <v>3.637842117651946E-4</v>
      </c>
      <c r="M87">
        <f t="shared" si="13"/>
        <v>1.2851600387972839E-2</v>
      </c>
      <c r="N87">
        <f t="shared" si="14"/>
        <v>-7.6761680569059632E-3</v>
      </c>
      <c r="O87">
        <f t="shared" si="15"/>
        <v>1.1022108298622157E-2</v>
      </c>
      <c r="P87">
        <f t="shared" si="16"/>
        <v>3.1496062992126816E-3</v>
      </c>
      <c r="Q87">
        <f t="shared" si="17"/>
        <v>9.8383453160530987E-3</v>
      </c>
      <c r="R87" s="15">
        <f t="shared" si="18"/>
        <v>4.4327401255798678E-3</v>
      </c>
    </row>
    <row r="88" spans="1:18" x14ac:dyDescent="0.2">
      <c r="A88" s="11">
        <v>45922</v>
      </c>
      <c r="B88" s="12">
        <v>18.829999999999998</v>
      </c>
      <c r="C88" s="12">
        <v>16.920000000000002</v>
      </c>
      <c r="D88" s="12">
        <v>467.31</v>
      </c>
      <c r="E88" s="12">
        <v>41.24</v>
      </c>
      <c r="F88" s="12">
        <v>781.64</v>
      </c>
      <c r="G88" s="12">
        <v>156.05000000000001</v>
      </c>
      <c r="H88" s="12">
        <v>12.7</v>
      </c>
      <c r="I88" s="12">
        <v>69.622479999999996</v>
      </c>
      <c r="J88">
        <f t="shared" si="10"/>
        <v>2.2258414766557877E-2</v>
      </c>
      <c r="K88">
        <f t="shared" si="11"/>
        <v>1.8050541516245522E-2</v>
      </c>
      <c r="L88">
        <f t="shared" si="12"/>
        <v>1.2435816885846052E-2</v>
      </c>
      <c r="M88">
        <f t="shared" si="13"/>
        <v>1.3018914271677673E-2</v>
      </c>
      <c r="N88">
        <f t="shared" si="14"/>
        <v>5.9448616118626063E-2</v>
      </c>
      <c r="O88">
        <f t="shared" si="15"/>
        <v>1.7739516076436423E-2</v>
      </c>
      <c r="P88">
        <f t="shared" si="16"/>
        <v>1.8444266238973439E-2</v>
      </c>
      <c r="Q88">
        <f t="shared" si="17"/>
        <v>-2.9066580203397918E-2</v>
      </c>
      <c r="R88" s="15">
        <f t="shared" si="18"/>
        <v>2.2208173538830381E-2</v>
      </c>
    </row>
    <row r="89" spans="1:18" x14ac:dyDescent="0.2">
      <c r="A89" s="13">
        <v>45919</v>
      </c>
      <c r="B89" s="14">
        <v>18.420000000000002</v>
      </c>
      <c r="C89" s="14">
        <v>16.62</v>
      </c>
      <c r="D89" s="14">
        <v>461.57</v>
      </c>
      <c r="E89" s="14">
        <v>40.71</v>
      </c>
      <c r="F89" s="14">
        <v>737.78</v>
      </c>
      <c r="G89" s="14">
        <v>153.33000000000001</v>
      </c>
      <c r="H89" s="14">
        <v>12.47</v>
      </c>
      <c r="I89" s="14">
        <v>71.70675</v>
      </c>
      <c r="J89">
        <f t="shared" si="10"/>
        <v>-1.7075773745997669E-2</v>
      </c>
      <c r="K89">
        <f t="shared" si="11"/>
        <v>-3.0903790087463467E-2</v>
      </c>
      <c r="L89">
        <f t="shared" si="12"/>
        <v>-1.8813251448837054E-3</v>
      </c>
      <c r="M89">
        <f t="shared" si="13"/>
        <v>-4.8387096774193505E-2</v>
      </c>
      <c r="N89">
        <f t="shared" si="14"/>
        <v>3.3522448693703133E-2</v>
      </c>
      <c r="O89">
        <f t="shared" si="15"/>
        <v>6.6307773109244295E-3</v>
      </c>
      <c r="P89">
        <f t="shared" si="16"/>
        <v>1.547231270358318E-2</v>
      </c>
      <c r="Q89">
        <f t="shared" si="17"/>
        <v>3.3131288972901851E-2</v>
      </c>
      <c r="R89" s="15">
        <f t="shared" si="18"/>
        <v>3.9027427902841119E-3</v>
      </c>
    </row>
    <row r="90" spans="1:18" x14ac:dyDescent="0.2">
      <c r="A90" s="11">
        <v>45918</v>
      </c>
      <c r="B90" s="12">
        <v>18.739999999999998</v>
      </c>
      <c r="C90" s="12">
        <v>17.149999999999999</v>
      </c>
      <c r="D90" s="12">
        <v>462.44</v>
      </c>
      <c r="E90" s="12">
        <v>42.78</v>
      </c>
      <c r="F90" s="12">
        <v>713.85</v>
      </c>
      <c r="G90" s="12">
        <v>152.32</v>
      </c>
      <c r="H90" s="12">
        <v>12.28</v>
      </c>
      <c r="I90" s="12">
        <v>69.407200000000003</v>
      </c>
      <c r="J90">
        <f t="shared" si="10"/>
        <v>0</v>
      </c>
      <c r="K90">
        <f t="shared" si="11"/>
        <v>-8.0971659919029104E-3</v>
      </c>
      <c r="L90">
        <f t="shared" si="12"/>
        <v>1.0444434733207997E-2</v>
      </c>
      <c r="M90">
        <f t="shared" si="13"/>
        <v>-5.5788005578800703E-3</v>
      </c>
      <c r="N90">
        <f t="shared" si="14"/>
        <v>-3.1450551537929194E-2</v>
      </c>
      <c r="O90">
        <f t="shared" si="15"/>
        <v>4.484304932735439E-3</v>
      </c>
      <c r="P90">
        <f t="shared" si="16"/>
        <v>9.8684210526314153E-3</v>
      </c>
      <c r="Q90">
        <f t="shared" si="17"/>
        <v>-1.2254599548501943E-2</v>
      </c>
      <c r="R90" s="15">
        <f t="shared" si="18"/>
        <v>-5.4189976586485507E-3</v>
      </c>
    </row>
    <row r="91" spans="1:18" x14ac:dyDescent="0.2">
      <c r="A91" s="13">
        <v>45917</v>
      </c>
      <c r="B91" s="14">
        <v>18.739999999999998</v>
      </c>
      <c r="C91" s="14">
        <v>17.29</v>
      </c>
      <c r="D91" s="14">
        <v>457.66</v>
      </c>
      <c r="E91" s="14">
        <v>43.02</v>
      </c>
      <c r="F91" s="14">
        <v>737.03</v>
      </c>
      <c r="G91" s="14">
        <v>151.63999999999999</v>
      </c>
      <c r="H91" s="14">
        <v>12.16</v>
      </c>
      <c r="I91" s="14">
        <v>70.26831</v>
      </c>
      <c r="J91">
        <f t="shared" si="10"/>
        <v>-1.5982951518380695E-3</v>
      </c>
      <c r="K91">
        <f t="shared" si="11"/>
        <v>-5.7504312823462023E-3</v>
      </c>
      <c r="L91">
        <f t="shared" si="12"/>
        <v>-6.7495713696636983E-3</v>
      </c>
      <c r="M91">
        <f t="shared" si="13"/>
        <v>-2.3239600278868178E-4</v>
      </c>
      <c r="N91">
        <f t="shared" si="14"/>
        <v>-4.695218144671176E-2</v>
      </c>
      <c r="O91">
        <f t="shared" si="15"/>
        <v>-2.7699410105155309E-2</v>
      </c>
      <c r="P91">
        <f t="shared" si="16"/>
        <v>6.6666666666666652E-2</v>
      </c>
      <c r="Q91">
        <f t="shared" si="17"/>
        <v>-2.2232199756677673E-3</v>
      </c>
      <c r="R91" s="15">
        <f t="shared" si="18"/>
        <v>-4.1736750410670542E-3</v>
      </c>
    </row>
    <row r="92" spans="1:18" x14ac:dyDescent="0.2">
      <c r="A92" s="11">
        <v>45915</v>
      </c>
      <c r="B92" s="12">
        <v>18.77</v>
      </c>
      <c r="C92" s="12">
        <v>17.39</v>
      </c>
      <c r="D92" s="12">
        <v>460.77</v>
      </c>
      <c r="E92" s="12">
        <v>43.03</v>
      </c>
      <c r="F92" s="12">
        <v>773.34</v>
      </c>
      <c r="G92" s="12">
        <v>155.96</v>
      </c>
      <c r="H92" s="12">
        <v>11.4</v>
      </c>
      <c r="I92" s="12">
        <v>70.424880000000002</v>
      </c>
      <c r="J92">
        <f t="shared" si="10"/>
        <v>2.6709401709401615E-3</v>
      </c>
      <c r="K92">
        <f t="shared" si="11"/>
        <v>7.5318655851679406E-3</v>
      </c>
      <c r="L92">
        <f t="shared" si="12"/>
        <v>-2.1595107657026436E-2</v>
      </c>
      <c r="M92">
        <f t="shared" si="13"/>
        <v>2.3293733985558784E-3</v>
      </c>
      <c r="N92">
        <f t="shared" si="14"/>
        <v>-1.598167705814979E-2</v>
      </c>
      <c r="O92">
        <f t="shared" si="15"/>
        <v>1.8414522659004895E-2</v>
      </c>
      <c r="P92">
        <f t="shared" si="16"/>
        <v>9.7431355181578638E-3</v>
      </c>
      <c r="Q92">
        <f t="shared" si="17"/>
        <v>4.1707199549056995E-4</v>
      </c>
      <c r="R92" s="15">
        <f t="shared" si="18"/>
        <v>-4.2800909715414419E-4</v>
      </c>
    </row>
    <row r="93" spans="1:18" x14ac:dyDescent="0.2">
      <c r="A93" s="13">
        <v>45912</v>
      </c>
      <c r="B93" s="14">
        <v>18.72</v>
      </c>
      <c r="C93" s="14">
        <v>17.260000000000002</v>
      </c>
      <c r="D93" s="14">
        <v>470.94</v>
      </c>
      <c r="E93" s="14">
        <v>42.93</v>
      </c>
      <c r="F93" s="14">
        <v>785.9</v>
      </c>
      <c r="G93" s="14">
        <v>153.13999999999999</v>
      </c>
      <c r="H93" s="14">
        <v>11.29</v>
      </c>
      <c r="I93" s="14">
        <v>70.395520000000005</v>
      </c>
      <c r="J93">
        <f t="shared" si="10"/>
        <v>5.3705692803436289E-3</v>
      </c>
      <c r="K93">
        <f t="shared" si="11"/>
        <v>-1.0321100917431214E-2</v>
      </c>
      <c r="L93">
        <f t="shared" si="12"/>
        <v>-8.5473684210526368E-3</v>
      </c>
      <c r="M93">
        <f t="shared" si="13"/>
        <v>-9.3088201070512522E-4</v>
      </c>
      <c r="N93">
        <f t="shared" si="14"/>
        <v>-1.5828887720089169E-2</v>
      </c>
      <c r="O93">
        <f t="shared" si="15"/>
        <v>1.896333754740831E-2</v>
      </c>
      <c r="P93">
        <f t="shared" si="16"/>
        <v>-2.3356401384083125E-2</v>
      </c>
      <c r="Q93">
        <f t="shared" si="17"/>
        <v>2.7813480475291641E-4</v>
      </c>
      <c r="R93" s="15">
        <f t="shared" si="18"/>
        <v>-6.4326757654751812E-3</v>
      </c>
    </row>
    <row r="94" spans="1:18" x14ac:dyDescent="0.2">
      <c r="A94" s="11">
        <v>45911</v>
      </c>
      <c r="B94" s="12">
        <v>18.62</v>
      </c>
      <c r="C94" s="12">
        <v>17.440000000000001</v>
      </c>
      <c r="D94" s="12">
        <v>475</v>
      </c>
      <c r="E94" s="12">
        <v>42.97</v>
      </c>
      <c r="F94" s="12">
        <v>798.54</v>
      </c>
      <c r="G94" s="12">
        <v>150.29</v>
      </c>
      <c r="H94" s="12">
        <v>11.56</v>
      </c>
      <c r="I94" s="12">
        <v>70.375945999999999</v>
      </c>
      <c r="J94">
        <f t="shared" si="10"/>
        <v>1.1956521739130643E-2</v>
      </c>
      <c r="K94">
        <f t="shared" si="11"/>
        <v>2.5279247501469815E-2</v>
      </c>
      <c r="L94">
        <f t="shared" si="12"/>
        <v>3.5219248539795966E-2</v>
      </c>
      <c r="M94">
        <f t="shared" si="13"/>
        <v>9.396288466055891E-3</v>
      </c>
      <c r="N94">
        <f t="shared" si="14"/>
        <v>2.7708781096768442E-2</v>
      </c>
      <c r="O94">
        <f t="shared" si="15"/>
        <v>1.7466657639970018E-2</v>
      </c>
      <c r="P94">
        <f t="shared" si="16"/>
        <v>1.0489510489510634E-2</v>
      </c>
      <c r="Q94">
        <f t="shared" si="17"/>
        <v>2.6255618719554841E-2</v>
      </c>
      <c r="R94" s="15">
        <f t="shared" si="18"/>
        <v>2.0957057131711043E-2</v>
      </c>
    </row>
    <row r="95" spans="1:18" x14ac:dyDescent="0.2">
      <c r="A95" s="13">
        <v>45910</v>
      </c>
      <c r="B95" s="14">
        <v>18.399999999999999</v>
      </c>
      <c r="C95" s="14">
        <v>17.010000000000002</v>
      </c>
      <c r="D95" s="14">
        <v>458.84</v>
      </c>
      <c r="E95" s="14">
        <v>42.57</v>
      </c>
      <c r="F95" s="14">
        <v>777.01</v>
      </c>
      <c r="G95" s="14">
        <v>147.71</v>
      </c>
      <c r="H95" s="14">
        <v>11.44</v>
      </c>
      <c r="I95" s="14">
        <v>68.575455000000005</v>
      </c>
      <c r="J95">
        <f t="shared" si="10"/>
        <v>-1.0857763300762269E-3</v>
      </c>
      <c r="K95">
        <f t="shared" si="11"/>
        <v>-2.7999999999999914E-2</v>
      </c>
      <c r="L95">
        <f t="shared" si="12"/>
        <v>-2.2871502193449467E-2</v>
      </c>
      <c r="M95">
        <f t="shared" si="13"/>
        <v>-2.8109627547434624E-3</v>
      </c>
      <c r="N95">
        <f t="shared" si="14"/>
        <v>4.9162840939778407E-2</v>
      </c>
      <c r="O95">
        <f t="shared" si="15"/>
        <v>7.434183603874045E-3</v>
      </c>
      <c r="P95">
        <f t="shared" si="16"/>
        <v>2.877697841726623E-2</v>
      </c>
      <c r="Q95">
        <f t="shared" si="17"/>
        <v>-1.490008502760054E-2</v>
      </c>
      <c r="R95" s="15">
        <f t="shared" si="18"/>
        <v>8.9006328130761102E-3</v>
      </c>
    </row>
    <row r="96" spans="1:18" x14ac:dyDescent="0.2">
      <c r="A96" s="11">
        <v>45909</v>
      </c>
      <c r="B96" s="12">
        <v>18.420000000000002</v>
      </c>
      <c r="C96" s="12">
        <v>17.5</v>
      </c>
      <c r="D96" s="12">
        <v>469.58</v>
      </c>
      <c r="E96" s="12">
        <v>42.69</v>
      </c>
      <c r="F96" s="12">
        <v>740.6</v>
      </c>
      <c r="G96" s="12">
        <v>146.62</v>
      </c>
      <c r="H96" s="12">
        <v>11.12</v>
      </c>
      <c r="I96" s="12">
        <v>69.612690000000001</v>
      </c>
      <c r="J96">
        <f t="shared" si="10"/>
        <v>3.814713896457711E-3</v>
      </c>
      <c r="K96">
        <f t="shared" si="11"/>
        <v>-7.3737946681792232E-3</v>
      </c>
      <c r="L96">
        <f t="shared" si="12"/>
        <v>2.027185626186867E-3</v>
      </c>
      <c r="M96">
        <f t="shared" si="13"/>
        <v>2.3479690068088921E-3</v>
      </c>
      <c r="N96">
        <f t="shared" si="14"/>
        <v>-2.9214965601733756E-3</v>
      </c>
      <c r="O96">
        <f t="shared" si="15"/>
        <v>-6.1682369687521277E-3</v>
      </c>
      <c r="P96">
        <f t="shared" si="16"/>
        <v>-6.2555853440572351E-3</v>
      </c>
      <c r="Q96">
        <f t="shared" si="17"/>
        <v>-4.3387754798468459E-3</v>
      </c>
      <c r="R96" s="15">
        <f t="shared" si="18"/>
        <v>-2.938979816167058E-3</v>
      </c>
    </row>
    <row r="97" spans="1:18" x14ac:dyDescent="0.2">
      <c r="A97" s="13">
        <v>45908</v>
      </c>
      <c r="B97" s="14">
        <v>18.350000000000001</v>
      </c>
      <c r="C97" s="14">
        <v>17.63</v>
      </c>
      <c r="D97" s="14">
        <v>468.63</v>
      </c>
      <c r="E97" s="14">
        <v>42.59</v>
      </c>
      <c r="F97" s="14">
        <v>742.77</v>
      </c>
      <c r="G97" s="14">
        <v>147.53</v>
      </c>
      <c r="H97" s="14">
        <v>11.19</v>
      </c>
      <c r="I97" s="14">
        <v>69.916039999999995</v>
      </c>
      <c r="J97">
        <f t="shared" si="10"/>
        <v>2.732240437158584E-3</v>
      </c>
      <c r="K97">
        <f t="shared" si="11"/>
        <v>2.2740193291641564E-3</v>
      </c>
      <c r="L97">
        <f t="shared" si="12"/>
        <v>4.8028474023886769E-3</v>
      </c>
      <c r="M97">
        <f t="shared" si="13"/>
        <v>4.7180938900683866E-3</v>
      </c>
      <c r="N97">
        <f t="shared" si="14"/>
        <v>3.0079880179730401E-2</v>
      </c>
      <c r="O97">
        <f t="shared" si="15"/>
        <v>1.0548667716966831E-2</v>
      </c>
      <c r="P97">
        <f t="shared" si="16"/>
        <v>-2.6956521739130435E-2</v>
      </c>
      <c r="Q97">
        <f t="shared" si="17"/>
        <v>-1.9555185550148568E-3</v>
      </c>
      <c r="R97" s="15">
        <f t="shared" si="18"/>
        <v>4.5242296376389185E-3</v>
      </c>
    </row>
    <row r="98" spans="1:18" x14ac:dyDescent="0.2">
      <c r="A98" s="11">
        <v>45905</v>
      </c>
      <c r="B98" s="12">
        <v>18.3</v>
      </c>
      <c r="C98" s="12">
        <v>17.59</v>
      </c>
      <c r="D98" s="12">
        <v>466.39</v>
      </c>
      <c r="E98" s="12">
        <v>42.39</v>
      </c>
      <c r="F98" s="12">
        <v>721.08</v>
      </c>
      <c r="G98" s="12">
        <v>145.99</v>
      </c>
      <c r="H98" s="12">
        <v>11.5</v>
      </c>
      <c r="I98" s="12">
        <v>70.053030000000007</v>
      </c>
      <c r="J98">
        <f t="shared" si="10"/>
        <v>1.6420361247948545E-3</v>
      </c>
      <c r="K98">
        <f t="shared" si="11"/>
        <v>1.5588914549653499E-2</v>
      </c>
      <c r="L98">
        <f t="shared" si="12"/>
        <v>9.7425794020220557E-3</v>
      </c>
      <c r="M98">
        <f t="shared" si="13"/>
        <v>8.8053307948594561E-3</v>
      </c>
      <c r="N98">
        <f t="shared" si="14"/>
        <v>4.1120415824429601E-2</v>
      </c>
      <c r="O98">
        <f t="shared" si="15"/>
        <v>-8.2129902128535992E-4</v>
      </c>
      <c r="P98">
        <f t="shared" si="16"/>
        <v>6.1242344706911034E-3</v>
      </c>
      <c r="Q98">
        <f t="shared" si="17"/>
        <v>1.7626179098818806E-2</v>
      </c>
      <c r="R98" s="15">
        <f t="shared" si="18"/>
        <v>1.477925243829873E-2</v>
      </c>
    </row>
    <row r="99" spans="1:18" x14ac:dyDescent="0.2">
      <c r="A99" s="13">
        <v>45904</v>
      </c>
      <c r="B99" s="14">
        <v>18.27</v>
      </c>
      <c r="C99" s="14">
        <v>17.32</v>
      </c>
      <c r="D99" s="14">
        <v>461.89</v>
      </c>
      <c r="E99" s="14">
        <v>42.02</v>
      </c>
      <c r="F99" s="14">
        <v>692.6</v>
      </c>
      <c r="G99" s="14">
        <v>146.11000000000001</v>
      </c>
      <c r="H99" s="14">
        <v>11.43</v>
      </c>
      <c r="I99" s="14">
        <v>68.839650000000006</v>
      </c>
      <c r="J99">
        <f t="shared" si="10"/>
        <v>5.4764512595828485E-4</v>
      </c>
      <c r="K99">
        <f t="shared" si="11"/>
        <v>1.0501750291715295E-2</v>
      </c>
      <c r="L99">
        <f t="shared" si="12"/>
        <v>2.0503303064448364E-2</v>
      </c>
      <c r="M99">
        <f t="shared" si="13"/>
        <v>2.8639618138426304E-3</v>
      </c>
      <c r="N99">
        <f t="shared" si="14"/>
        <v>-4.0082049007650444E-2</v>
      </c>
      <c r="O99">
        <f t="shared" si="15"/>
        <v>-2.2806313536650635E-2</v>
      </c>
      <c r="P99">
        <f t="shared" si="16"/>
        <v>-6.0869565217391841E-3</v>
      </c>
      <c r="Q99">
        <f t="shared" si="17"/>
        <v>9.180836244565338E-3</v>
      </c>
      <c r="R99" s="15">
        <f t="shared" si="18"/>
        <v>-7.9932728227231301E-3</v>
      </c>
    </row>
    <row r="100" spans="1:18" x14ac:dyDescent="0.2">
      <c r="A100" s="11">
        <v>45903</v>
      </c>
      <c r="B100" s="12">
        <v>18.260000000000002</v>
      </c>
      <c r="C100" s="12">
        <v>17.14</v>
      </c>
      <c r="D100" s="12">
        <v>452.61</v>
      </c>
      <c r="E100" s="12">
        <v>41.9</v>
      </c>
      <c r="F100" s="12">
        <v>721.52</v>
      </c>
      <c r="G100" s="12">
        <v>149.52000000000001</v>
      </c>
      <c r="H100" s="12">
        <v>11.5</v>
      </c>
      <c r="I100" s="12">
        <v>68.213393999999994</v>
      </c>
      <c r="J100">
        <f t="shared" si="10"/>
        <v>-2.24839400428265E-2</v>
      </c>
      <c r="K100">
        <f t="shared" si="11"/>
        <v>-1.7472335468842193E-3</v>
      </c>
      <c r="L100">
        <f t="shared" si="12"/>
        <v>-4.8153034300791875E-3</v>
      </c>
      <c r="M100">
        <f t="shared" si="13"/>
        <v>2.1525950729490706E-3</v>
      </c>
      <c r="N100">
        <f t="shared" si="14"/>
        <v>9.61518010421889E-2</v>
      </c>
      <c r="O100">
        <f t="shared" si="15"/>
        <v>-1.3358268768366433E-3</v>
      </c>
      <c r="P100">
        <f t="shared" si="16"/>
        <v>7.0052539404552583E-3</v>
      </c>
      <c r="Q100">
        <f t="shared" si="17"/>
        <v>-5.2797462299012388E-3</v>
      </c>
      <c r="R100" s="15">
        <f t="shared" si="18"/>
        <v>1.8398362178960365E-2</v>
      </c>
    </row>
    <row r="101" spans="1:18" x14ac:dyDescent="0.2">
      <c r="A101" s="13">
        <v>45902</v>
      </c>
      <c r="B101" s="14">
        <v>18.68</v>
      </c>
      <c r="C101" s="14">
        <v>17.170000000000002</v>
      </c>
      <c r="D101" s="14">
        <v>454.8</v>
      </c>
      <c r="E101" s="14">
        <v>41.81</v>
      </c>
      <c r="F101" s="14">
        <v>658.23</v>
      </c>
      <c r="G101" s="14">
        <v>149.72</v>
      </c>
      <c r="H101" s="14">
        <v>11.42</v>
      </c>
      <c r="I101" s="14">
        <v>68.575455000000005</v>
      </c>
      <c r="J101">
        <f t="shared" si="10"/>
        <v>1.6322089227421177E-2</v>
      </c>
      <c r="K101">
        <f t="shared" si="11"/>
        <v>2.8759736369083244E-2</v>
      </c>
      <c r="L101">
        <f t="shared" si="12"/>
        <v>-6.5919578114703725E-4</v>
      </c>
      <c r="M101">
        <f t="shared" si="13"/>
        <v>-4.0495474035253665E-3</v>
      </c>
      <c r="N101">
        <f t="shared" si="14"/>
        <v>7.2559882678833176E-2</v>
      </c>
      <c r="O101">
        <f t="shared" si="15"/>
        <v>2.3586518082997054E-2</v>
      </c>
      <c r="P101">
        <f t="shared" si="16"/>
        <v>0</v>
      </c>
      <c r="Q101">
        <f t="shared" si="17"/>
        <v>1.067223000639772E-2</v>
      </c>
      <c r="R101" s="15">
        <f t="shared" si="18"/>
        <v>2.3419241673424296E-2</v>
      </c>
    </row>
    <row r="102" spans="1:18" x14ac:dyDescent="0.2">
      <c r="A102" s="11">
        <v>45901</v>
      </c>
      <c r="B102" s="12">
        <v>18.38</v>
      </c>
      <c r="C102" s="12">
        <v>16.690000000000001</v>
      </c>
      <c r="D102" s="12">
        <v>455.1</v>
      </c>
      <c r="E102" s="12">
        <v>41.98</v>
      </c>
      <c r="F102" s="12">
        <v>613.70000000000005</v>
      </c>
      <c r="G102" s="12">
        <v>146.27000000000001</v>
      </c>
      <c r="H102" s="12">
        <v>11.42</v>
      </c>
      <c r="I102" s="12">
        <v>67.851330000000004</v>
      </c>
      <c r="J102">
        <f t="shared" si="10"/>
        <v>-1.076426264800856E-2</v>
      </c>
      <c r="K102">
        <f t="shared" si="11"/>
        <v>-1.1841326228537508E-2</v>
      </c>
      <c r="L102">
        <f t="shared" si="12"/>
        <v>1.3901884774762729E-2</v>
      </c>
      <c r="M102">
        <f t="shared" si="13"/>
        <v>-1.6646848989299023E-3</v>
      </c>
      <c r="N102">
        <f t="shared" si="14"/>
        <v>8.5787536155665922E-3</v>
      </c>
      <c r="O102">
        <f t="shared" si="15"/>
        <v>7.1610548784688532E-3</v>
      </c>
      <c r="P102">
        <f t="shared" si="16"/>
        <v>-5.2264808362370019E-3</v>
      </c>
      <c r="Q102">
        <f t="shared" si="17"/>
        <v>7.4093991458941133E-3</v>
      </c>
      <c r="R102" s="15">
        <f t="shared" si="18"/>
        <v>1.863053766853888E-3</v>
      </c>
    </row>
    <row r="103" spans="1:18" x14ac:dyDescent="0.2">
      <c r="A103" s="13">
        <v>45898</v>
      </c>
      <c r="B103" s="14">
        <v>18.579999999999998</v>
      </c>
      <c r="C103" s="14">
        <v>16.89</v>
      </c>
      <c r="D103" s="14">
        <v>448.86</v>
      </c>
      <c r="E103" s="14">
        <v>42.05</v>
      </c>
      <c r="F103" s="14">
        <v>608.48</v>
      </c>
      <c r="G103" s="14">
        <v>145.22999999999999</v>
      </c>
      <c r="H103" s="14">
        <v>11.48</v>
      </c>
      <c r="I103" s="14">
        <v>67.352289999999996</v>
      </c>
      <c r="J103">
        <f t="shared" si="10"/>
        <v>-1.2227538543328031E-2</v>
      </c>
      <c r="K103">
        <f t="shared" si="11"/>
        <v>-1.1827321111768097E-3</v>
      </c>
      <c r="L103">
        <f t="shared" si="12"/>
        <v>-1.8477619120509048E-2</v>
      </c>
      <c r="M103">
        <f t="shared" si="13"/>
        <v>9.6038415366146435E-3</v>
      </c>
      <c r="N103">
        <f t="shared" si="14"/>
        <v>-1.5165493242696448E-2</v>
      </c>
      <c r="O103">
        <f t="shared" si="15"/>
        <v>-4.8176187198911702E-4</v>
      </c>
      <c r="P103">
        <f t="shared" si="16"/>
        <v>0</v>
      </c>
      <c r="Q103">
        <f t="shared" si="17"/>
        <v>-1.6573710368246064E-2</v>
      </c>
      <c r="R103" s="15">
        <f t="shared" si="18"/>
        <v>-7.0393692443658749E-3</v>
      </c>
    </row>
    <row r="104" spans="1:18" x14ac:dyDescent="0.2">
      <c r="A104" s="11">
        <v>45897</v>
      </c>
      <c r="B104" s="12">
        <v>18.809999999999999</v>
      </c>
      <c r="C104" s="12">
        <v>16.91</v>
      </c>
      <c r="D104" s="12">
        <v>457.31</v>
      </c>
      <c r="E104" s="12">
        <v>41.65</v>
      </c>
      <c r="F104" s="12">
        <v>617.85</v>
      </c>
      <c r="G104" s="12">
        <v>145.30000000000001</v>
      </c>
      <c r="H104" s="12">
        <v>11.48</v>
      </c>
      <c r="I104" s="12">
        <v>68.487380000000002</v>
      </c>
      <c r="J104">
        <f t="shared" si="10"/>
        <v>1.0746910263299325E-2</v>
      </c>
      <c r="K104">
        <f t="shared" si="11"/>
        <v>1.7448856799037182E-2</v>
      </c>
      <c r="L104">
        <f t="shared" si="12"/>
        <v>8.3568530605044877E-3</v>
      </c>
      <c r="M104">
        <f t="shared" si="13"/>
        <v>9.452253999030491E-3</v>
      </c>
      <c r="N104">
        <f t="shared" si="14"/>
        <v>8.2750644025024966E-2</v>
      </c>
      <c r="O104">
        <f t="shared" si="15"/>
        <v>2.5529565997377546E-3</v>
      </c>
      <c r="P104">
        <f t="shared" si="16"/>
        <v>9.674582233949014E-3</v>
      </c>
      <c r="Q104">
        <f t="shared" si="17"/>
        <v>6.7606512486795278E-3</v>
      </c>
      <c r="R104" s="15">
        <f t="shared" si="18"/>
        <v>2.4553232545015541E-2</v>
      </c>
    </row>
    <row r="105" spans="1:18" x14ac:dyDescent="0.2">
      <c r="A105" s="13">
        <v>45896</v>
      </c>
      <c r="B105" s="14">
        <v>18.61</v>
      </c>
      <c r="C105" s="14">
        <v>16.62</v>
      </c>
      <c r="D105" s="14">
        <v>453.52</v>
      </c>
      <c r="E105" s="14">
        <v>41.26</v>
      </c>
      <c r="F105" s="14">
        <v>570.63</v>
      </c>
      <c r="G105" s="14">
        <v>144.93</v>
      </c>
      <c r="H105" s="14">
        <v>11.37</v>
      </c>
      <c r="I105" s="14">
        <v>68.027469999999994</v>
      </c>
      <c r="J105">
        <f t="shared" si="10"/>
        <v>-2.1447721179623791E-3</v>
      </c>
      <c r="K105">
        <f t="shared" si="11"/>
        <v>-4.1941282204913666E-3</v>
      </c>
      <c r="L105">
        <f t="shared" si="12"/>
        <v>9.3025326033737699E-3</v>
      </c>
      <c r="M105">
        <f t="shared" si="13"/>
        <v>-1.8320247442303206E-2</v>
      </c>
      <c r="N105">
        <f t="shared" si="14"/>
        <v>6.7735718428980407E-2</v>
      </c>
      <c r="O105">
        <f t="shared" si="15"/>
        <v>3.8924731182795824E-2</v>
      </c>
      <c r="P105">
        <f t="shared" si="16"/>
        <v>6.1946902654865799E-3</v>
      </c>
      <c r="Q105">
        <f t="shared" si="17"/>
        <v>-2.8686730814952988E-3</v>
      </c>
      <c r="R105" s="15">
        <f t="shared" si="18"/>
        <v>1.933211250319692E-2</v>
      </c>
    </row>
    <row r="106" spans="1:18" x14ac:dyDescent="0.2">
      <c r="A106" s="11">
        <v>45895</v>
      </c>
      <c r="B106" s="12">
        <v>18.649999999999999</v>
      </c>
      <c r="C106" s="12">
        <v>16.690000000000001</v>
      </c>
      <c r="D106" s="12">
        <v>449.34</v>
      </c>
      <c r="E106" s="12">
        <v>42.03</v>
      </c>
      <c r="F106" s="12">
        <v>534.42999999999995</v>
      </c>
      <c r="G106" s="12">
        <v>139.5</v>
      </c>
      <c r="H106" s="12">
        <v>11.3</v>
      </c>
      <c r="I106" s="12">
        <v>68.223179999999999</v>
      </c>
      <c r="J106">
        <f t="shared" si="10"/>
        <v>-3.739316239316226E-3</v>
      </c>
      <c r="K106">
        <f t="shared" si="11"/>
        <v>7.2420036210019134E-3</v>
      </c>
      <c r="L106">
        <f t="shared" si="12"/>
        <v>-1.3805061124157803E-2</v>
      </c>
      <c r="M106">
        <f t="shared" si="13"/>
        <v>1.6444981862152375E-2</v>
      </c>
      <c r="N106">
        <f t="shared" si="14"/>
        <v>6.4405566750154186E-3</v>
      </c>
      <c r="O106">
        <f t="shared" si="15"/>
        <v>-2.5565800502933778E-2</v>
      </c>
      <c r="P106">
        <f t="shared" si="16"/>
        <v>6.2333036509349959E-3</v>
      </c>
      <c r="Q106">
        <f t="shared" si="17"/>
        <v>-3.5551325235188336E-2</v>
      </c>
      <c r="R106" s="15">
        <f t="shared" si="18"/>
        <v>-3.6902234349539195E-3</v>
      </c>
    </row>
    <row r="107" spans="1:18" x14ac:dyDescent="0.2">
      <c r="A107" s="13">
        <v>45894</v>
      </c>
      <c r="B107" s="14">
        <v>18.72</v>
      </c>
      <c r="C107" s="14">
        <v>16.57</v>
      </c>
      <c r="D107" s="14">
        <v>455.63</v>
      </c>
      <c r="E107" s="14">
        <v>41.35</v>
      </c>
      <c r="F107" s="14">
        <v>531.01</v>
      </c>
      <c r="G107" s="14">
        <v>143.16</v>
      </c>
      <c r="H107" s="14">
        <v>11.23</v>
      </c>
      <c r="I107" s="14">
        <v>70.738010000000003</v>
      </c>
      <c r="J107">
        <f t="shared" si="10"/>
        <v>-3.1948881789138905E-3</v>
      </c>
      <c r="K107">
        <f t="shared" si="11"/>
        <v>5.4611650485436591E-3</v>
      </c>
      <c r="L107">
        <f t="shared" si="12"/>
        <v>-7.4501688269251742E-3</v>
      </c>
      <c r="M107">
        <f t="shared" si="13"/>
        <v>-1.1002152595072978E-2</v>
      </c>
      <c r="N107">
        <f t="shared" si="14"/>
        <v>-6.5090320081693021E-2</v>
      </c>
      <c r="O107">
        <f t="shared" si="15"/>
        <v>-1.5541191032870216E-2</v>
      </c>
      <c r="P107">
        <f t="shared" si="16"/>
        <v>1.9981834695731227E-2</v>
      </c>
      <c r="Q107">
        <f t="shared" si="17"/>
        <v>2.4961922071400355E-3</v>
      </c>
      <c r="R107" s="15">
        <f t="shared" si="18"/>
        <v>-1.3787203578672752E-2</v>
      </c>
    </row>
    <row r="108" spans="1:18" x14ac:dyDescent="0.2">
      <c r="A108" s="11">
        <v>45891</v>
      </c>
      <c r="B108" s="12">
        <v>18.78</v>
      </c>
      <c r="C108" s="12">
        <v>16.48</v>
      </c>
      <c r="D108" s="12">
        <v>459.05</v>
      </c>
      <c r="E108" s="12">
        <v>41.81</v>
      </c>
      <c r="F108" s="12">
        <v>567.98</v>
      </c>
      <c r="G108" s="12">
        <v>145.41999999999999</v>
      </c>
      <c r="H108" s="12">
        <v>11.01</v>
      </c>
      <c r="I108" s="12">
        <v>70.561874000000003</v>
      </c>
      <c r="J108">
        <f t="shared" si="10"/>
        <v>3.357182168409456E-2</v>
      </c>
      <c r="K108">
        <f t="shared" si="11"/>
        <v>6.1050061050060833E-3</v>
      </c>
      <c r="L108">
        <f t="shared" si="12"/>
        <v>-1.3092832265554355E-2</v>
      </c>
      <c r="M108">
        <f t="shared" si="13"/>
        <v>4.7858339315642873E-4</v>
      </c>
      <c r="N108">
        <f t="shared" si="14"/>
        <v>3.1959156234669939E-2</v>
      </c>
      <c r="O108">
        <f t="shared" si="15"/>
        <v>1.3309177060832011E-2</v>
      </c>
      <c r="P108">
        <f t="shared" si="16"/>
        <v>-8.1081081081081363E-3</v>
      </c>
      <c r="Q108">
        <f t="shared" si="17"/>
        <v>2.1243411881307406E-2</v>
      </c>
      <c r="R108" s="15">
        <f t="shared" si="18"/>
        <v>1.0725031209719167E-2</v>
      </c>
    </row>
    <row r="109" spans="1:18" x14ac:dyDescent="0.2">
      <c r="A109" s="13">
        <v>45890</v>
      </c>
      <c r="B109" s="14">
        <v>18.170000000000002</v>
      </c>
      <c r="C109" s="14">
        <v>16.38</v>
      </c>
      <c r="D109" s="14">
        <v>465.14</v>
      </c>
      <c r="E109" s="14">
        <v>41.79</v>
      </c>
      <c r="F109" s="14">
        <v>550.39</v>
      </c>
      <c r="G109" s="14">
        <v>143.51</v>
      </c>
      <c r="H109" s="14">
        <v>11.1</v>
      </c>
      <c r="I109" s="14">
        <v>69.094080000000005</v>
      </c>
      <c r="J109">
        <f t="shared" si="10"/>
        <v>1.7357222844345044E-2</v>
      </c>
      <c r="K109">
        <f t="shared" si="11"/>
        <v>1.1735639283508181E-2</v>
      </c>
      <c r="L109">
        <f t="shared" si="12"/>
        <v>-1.0045545481632834E-2</v>
      </c>
      <c r="M109">
        <f t="shared" si="13"/>
        <v>9.5808383233531025E-4</v>
      </c>
      <c r="N109">
        <f t="shared" si="14"/>
        <v>2.7920962199312616E-2</v>
      </c>
      <c r="O109">
        <f t="shared" si="15"/>
        <v>1.0918568610876145E-2</v>
      </c>
      <c r="P109">
        <f t="shared" si="16"/>
        <v>-8.9285714285713969E-3</v>
      </c>
      <c r="Q109">
        <f t="shared" si="17"/>
        <v>7.8505301077018697E-3</v>
      </c>
      <c r="R109" s="15">
        <f t="shared" si="18"/>
        <v>8.0624471689850624E-3</v>
      </c>
    </row>
    <row r="110" spans="1:18" x14ac:dyDescent="0.2">
      <c r="A110" s="11">
        <v>45889</v>
      </c>
      <c r="B110" s="12">
        <v>17.86</v>
      </c>
      <c r="C110" s="12">
        <v>16.190000000000001</v>
      </c>
      <c r="D110" s="12">
        <v>469.86</v>
      </c>
      <c r="E110" s="12">
        <v>41.75</v>
      </c>
      <c r="F110" s="12">
        <v>535.44000000000005</v>
      </c>
      <c r="G110" s="12">
        <v>141.96</v>
      </c>
      <c r="H110" s="12">
        <v>11.2</v>
      </c>
      <c r="I110" s="12">
        <v>68.555880000000002</v>
      </c>
      <c r="J110">
        <f t="shared" si="10"/>
        <v>-1.676914477361735E-3</v>
      </c>
      <c r="K110">
        <f t="shared" si="11"/>
        <v>-1.2338062924120985E-3</v>
      </c>
      <c r="L110">
        <f t="shared" si="12"/>
        <v>-8.6086846436257414E-3</v>
      </c>
      <c r="M110">
        <f t="shared" si="13"/>
        <v>-1.0429011614126571E-2</v>
      </c>
      <c r="N110">
        <f t="shared" si="14"/>
        <v>1.5283097576699989E-2</v>
      </c>
      <c r="O110">
        <f t="shared" si="15"/>
        <v>-2.3192072527934426E-3</v>
      </c>
      <c r="P110">
        <f t="shared" si="16"/>
        <v>-1.3215859030836996E-2</v>
      </c>
      <c r="Q110">
        <f t="shared" si="17"/>
        <v>-1.9942389945273309E-3</v>
      </c>
      <c r="R110" s="15">
        <f t="shared" si="18"/>
        <v>-1.7629987319493104E-3</v>
      </c>
    </row>
    <row r="111" spans="1:18" x14ac:dyDescent="0.2">
      <c r="A111" s="13">
        <v>45888</v>
      </c>
      <c r="B111" s="14">
        <v>17.89</v>
      </c>
      <c r="C111" s="14">
        <v>16.21</v>
      </c>
      <c r="D111" s="14">
        <v>473.94</v>
      </c>
      <c r="E111" s="14">
        <v>42.19</v>
      </c>
      <c r="F111" s="14">
        <v>527.38</v>
      </c>
      <c r="G111" s="14">
        <v>142.29</v>
      </c>
      <c r="H111" s="14">
        <v>11.35</v>
      </c>
      <c r="I111" s="14">
        <v>68.692869999999999</v>
      </c>
      <c r="J111">
        <f t="shared" si="10"/>
        <v>5.5928411633110464E-4</v>
      </c>
      <c r="K111">
        <f t="shared" si="11"/>
        <v>4.3370508054523249E-3</v>
      </c>
      <c r="L111">
        <f t="shared" si="12"/>
        <v>3.663624234980345E-3</v>
      </c>
      <c r="M111">
        <f t="shared" si="13"/>
        <v>-9.4719393795872353E-4</v>
      </c>
      <c r="N111">
        <f t="shared" si="14"/>
        <v>-8.2181476257640051E-3</v>
      </c>
      <c r="O111">
        <f t="shared" si="15"/>
        <v>-1.4407425365380755E-2</v>
      </c>
      <c r="P111">
        <f t="shared" si="16"/>
        <v>-4.3859649122807154E-3</v>
      </c>
      <c r="Q111">
        <f t="shared" si="17"/>
        <v>1.2835834688558201E-3</v>
      </c>
      <c r="R111" s="15">
        <f t="shared" si="18"/>
        <v>-3.5095721384554024E-3</v>
      </c>
    </row>
    <row r="112" spans="1:18" x14ac:dyDescent="0.2">
      <c r="A112" s="11">
        <v>45887</v>
      </c>
      <c r="B112" s="12">
        <v>17.88</v>
      </c>
      <c r="C112" s="12">
        <v>16.14</v>
      </c>
      <c r="D112" s="12">
        <v>472.21</v>
      </c>
      <c r="E112" s="12">
        <v>42.23</v>
      </c>
      <c r="F112" s="12">
        <v>531.75</v>
      </c>
      <c r="G112" s="12">
        <v>144.37</v>
      </c>
      <c r="H112" s="12">
        <v>11.4</v>
      </c>
      <c r="I112" s="12">
        <v>68.604810000000001</v>
      </c>
      <c r="J112">
        <f t="shared" si="10"/>
        <v>1.680672268907335E-3</v>
      </c>
      <c r="K112">
        <f t="shared" si="11"/>
        <v>8.1199250468455553E-3</v>
      </c>
      <c r="L112">
        <f t="shared" si="12"/>
        <v>9.5350080171030527E-3</v>
      </c>
      <c r="M112">
        <f t="shared" si="13"/>
        <v>4.5195052331112873E-3</v>
      </c>
      <c r="N112">
        <f t="shared" si="14"/>
        <v>1.7411269492011883E-2</v>
      </c>
      <c r="O112">
        <f t="shared" si="15"/>
        <v>-1.3143331488655319E-3</v>
      </c>
      <c r="P112">
        <f t="shared" si="16"/>
        <v>3.9197812215132188E-2</v>
      </c>
      <c r="Q112">
        <f t="shared" si="17"/>
        <v>-1.0723880885951442E-2</v>
      </c>
      <c r="R112" s="15">
        <f t="shared" si="18"/>
        <v>1.1856679527875658E-2</v>
      </c>
    </row>
    <row r="113" spans="1:18" x14ac:dyDescent="0.2">
      <c r="A113" s="13">
        <v>45884</v>
      </c>
      <c r="B113" s="14">
        <v>17.850000000000001</v>
      </c>
      <c r="C113" s="14">
        <v>16.010000000000002</v>
      </c>
      <c r="D113" s="14">
        <v>467.75</v>
      </c>
      <c r="E113" s="14">
        <v>42.04</v>
      </c>
      <c r="F113" s="14">
        <v>522.65</v>
      </c>
      <c r="G113" s="14">
        <v>144.56</v>
      </c>
      <c r="H113" s="14">
        <v>10.97</v>
      </c>
      <c r="I113" s="14">
        <v>69.348495</v>
      </c>
      <c r="J113">
        <f t="shared" si="10"/>
        <v>7.3363431151243219E-3</v>
      </c>
      <c r="K113">
        <f t="shared" si="11"/>
        <v>6.250000000000977E-4</v>
      </c>
      <c r="L113">
        <f t="shared" si="12"/>
        <v>1.4246064443384387E-2</v>
      </c>
      <c r="M113">
        <f t="shared" si="13"/>
        <v>-3.7914691943128354E-3</v>
      </c>
      <c r="N113">
        <f t="shared" si="14"/>
        <v>-4.8689479432107774E-2</v>
      </c>
      <c r="O113">
        <f t="shared" si="15"/>
        <v>-6.2219149671627338E-4</v>
      </c>
      <c r="P113">
        <f t="shared" si="16"/>
        <v>-1.8198362147406888E-3</v>
      </c>
      <c r="Q113">
        <f t="shared" si="17"/>
        <v>-1.127446948777866E-3</v>
      </c>
      <c r="R113" s="15">
        <f t="shared" si="18"/>
        <v>-8.6875124477631283E-3</v>
      </c>
    </row>
    <row r="114" spans="1:18" x14ac:dyDescent="0.2">
      <c r="A114" s="11">
        <v>45883</v>
      </c>
      <c r="B114" s="12">
        <v>17.72</v>
      </c>
      <c r="C114" s="12">
        <v>16</v>
      </c>
      <c r="D114" s="12">
        <v>461.18</v>
      </c>
      <c r="E114" s="12">
        <v>42.2</v>
      </c>
      <c r="F114" s="12">
        <v>549.4</v>
      </c>
      <c r="G114" s="12">
        <v>144.65</v>
      </c>
      <c r="H114" s="12">
        <v>10.99</v>
      </c>
      <c r="I114" s="12">
        <v>69.426770000000005</v>
      </c>
      <c r="J114">
        <f t="shared" si="10"/>
        <v>1.6958733747878263E-3</v>
      </c>
      <c r="K114">
        <f t="shared" si="11"/>
        <v>-1.1124845488257096E-2</v>
      </c>
      <c r="L114">
        <f t="shared" si="12"/>
        <v>9.8095029559885916E-3</v>
      </c>
      <c r="M114">
        <f t="shared" si="13"/>
        <v>-8.4586466165413876E-3</v>
      </c>
      <c r="N114">
        <f t="shared" si="14"/>
        <v>-3.0835450183460344E-2</v>
      </c>
      <c r="O114">
        <f t="shared" si="15"/>
        <v>-4.26791491705103E-3</v>
      </c>
      <c r="P114">
        <f t="shared" si="16"/>
        <v>-6.3291139240506666E-3</v>
      </c>
      <c r="Q114">
        <f t="shared" si="17"/>
        <v>-2.5305696651598542E-3</v>
      </c>
      <c r="R114" s="15">
        <f t="shared" si="18"/>
        <v>-9.0235485417105681E-3</v>
      </c>
    </row>
    <row r="115" spans="1:18" x14ac:dyDescent="0.2">
      <c r="A115" s="13">
        <v>45882</v>
      </c>
      <c r="B115" s="14">
        <v>17.690000000000001</v>
      </c>
      <c r="C115" s="14">
        <v>16.18</v>
      </c>
      <c r="D115" s="14">
        <v>456.7</v>
      </c>
      <c r="E115" s="14">
        <v>42.56</v>
      </c>
      <c r="F115" s="14">
        <v>566.88</v>
      </c>
      <c r="G115" s="14">
        <v>145.27000000000001</v>
      </c>
      <c r="H115" s="14">
        <v>11.06</v>
      </c>
      <c r="I115" s="14">
        <v>69.602905000000007</v>
      </c>
      <c r="J115">
        <f t="shared" si="10"/>
        <v>-1.1293054771315258E-3</v>
      </c>
      <c r="K115">
        <f t="shared" si="11"/>
        <v>-1.2345679012345512E-3</v>
      </c>
      <c r="L115">
        <f t="shared" si="12"/>
        <v>-1.4989755203278277E-2</v>
      </c>
      <c r="M115">
        <f t="shared" si="13"/>
        <v>-4.6772684752103277E-3</v>
      </c>
      <c r="N115">
        <f t="shared" si="14"/>
        <v>-3.2793038730592139E-2</v>
      </c>
      <c r="O115">
        <f t="shared" si="15"/>
        <v>1.723900151703317E-3</v>
      </c>
      <c r="P115">
        <f t="shared" si="16"/>
        <v>-1.8050541516244634E-3</v>
      </c>
      <c r="Q115">
        <f t="shared" si="17"/>
        <v>2.0077317461045796E-2</v>
      </c>
      <c r="R115" s="15">
        <f t="shared" si="18"/>
        <v>-7.7917376155470256E-3</v>
      </c>
    </row>
    <row r="116" spans="1:18" x14ac:dyDescent="0.2">
      <c r="A116" s="11">
        <v>45881</v>
      </c>
      <c r="B116" s="12">
        <v>17.71</v>
      </c>
      <c r="C116" s="12">
        <v>16.2</v>
      </c>
      <c r="D116" s="12">
        <v>463.65</v>
      </c>
      <c r="E116" s="12">
        <v>42.76</v>
      </c>
      <c r="F116" s="12">
        <v>586.1</v>
      </c>
      <c r="G116" s="12">
        <v>145.02000000000001</v>
      </c>
      <c r="H116" s="12">
        <v>11.08</v>
      </c>
      <c r="I116" s="12">
        <v>68.232969999999995</v>
      </c>
      <c r="J116">
        <f t="shared" si="10"/>
        <v>-3.3764772087787609E-3</v>
      </c>
      <c r="K116">
        <f t="shared" si="11"/>
        <v>0</v>
      </c>
      <c r="L116">
        <f t="shared" si="12"/>
        <v>1.5729401713146407E-2</v>
      </c>
      <c r="M116">
        <f t="shared" si="13"/>
        <v>8.4905660377359027E-3</v>
      </c>
      <c r="N116">
        <f t="shared" si="14"/>
        <v>8.8474249518037951E-3</v>
      </c>
      <c r="O116">
        <f t="shared" si="15"/>
        <v>9.3965337231156632E-3</v>
      </c>
      <c r="P116">
        <f t="shared" si="16"/>
        <v>5.4234062797335891E-2</v>
      </c>
      <c r="Q116">
        <f t="shared" si="17"/>
        <v>-8.9538854637017939E-3</v>
      </c>
      <c r="R116" s="15">
        <f t="shared" si="18"/>
        <v>1.4058514771837448E-2</v>
      </c>
    </row>
    <row r="117" spans="1:18" x14ac:dyDescent="0.2">
      <c r="A117" s="13">
        <v>45880</v>
      </c>
      <c r="B117" s="14">
        <v>17.77</v>
      </c>
      <c r="C117" s="14">
        <v>16.2</v>
      </c>
      <c r="D117" s="14">
        <v>456.47</v>
      </c>
      <c r="E117" s="14">
        <v>42.4</v>
      </c>
      <c r="F117" s="14">
        <v>580.96</v>
      </c>
      <c r="G117" s="14">
        <v>143.66999999999999</v>
      </c>
      <c r="H117" s="14">
        <v>10.51</v>
      </c>
      <c r="I117" s="14">
        <v>68.849440000000001</v>
      </c>
      <c r="J117">
        <f t="shared" si="10"/>
        <v>3.3879164313945775E-3</v>
      </c>
      <c r="K117">
        <f t="shared" si="11"/>
        <v>1.1235955056179803E-2</v>
      </c>
      <c r="L117">
        <f t="shared" si="12"/>
        <v>1.8792545474835443E-2</v>
      </c>
      <c r="M117">
        <f t="shared" si="13"/>
        <v>1.7274472168905985E-2</v>
      </c>
      <c r="N117">
        <f t="shared" si="14"/>
        <v>-3.3281866529421E-3</v>
      </c>
      <c r="O117">
        <f t="shared" si="15"/>
        <v>2.1623883928569843E-3</v>
      </c>
      <c r="P117">
        <f t="shared" si="16"/>
        <v>7.6701821668265779E-3</v>
      </c>
      <c r="Q117">
        <f t="shared" si="17"/>
        <v>-1.152015510286597E-2</v>
      </c>
      <c r="R117" s="15">
        <f t="shared" si="18"/>
        <v>5.3029300608865137E-3</v>
      </c>
    </row>
    <row r="118" spans="1:18" x14ac:dyDescent="0.2">
      <c r="A118" s="11">
        <v>45877</v>
      </c>
      <c r="B118" s="12">
        <v>17.71</v>
      </c>
      <c r="C118" s="12">
        <v>16.02</v>
      </c>
      <c r="D118" s="12">
        <v>448.05</v>
      </c>
      <c r="E118" s="12">
        <v>41.68</v>
      </c>
      <c r="F118" s="12">
        <v>582.9</v>
      </c>
      <c r="G118" s="12">
        <v>143.36000000000001</v>
      </c>
      <c r="H118" s="12">
        <v>10.43</v>
      </c>
      <c r="I118" s="12">
        <v>69.651840000000007</v>
      </c>
      <c r="J118">
        <f t="shared" si="10"/>
        <v>1.1305822498586249E-3</v>
      </c>
      <c r="K118">
        <f t="shared" si="11"/>
        <v>-1.2468827930174342E-3</v>
      </c>
      <c r="L118">
        <f t="shared" si="12"/>
        <v>-6.5630473825413205E-3</v>
      </c>
      <c r="M118">
        <f t="shared" si="13"/>
        <v>-2.5485153144727657E-2</v>
      </c>
      <c r="N118">
        <f t="shared" si="14"/>
        <v>9.9977474745724937E-3</v>
      </c>
      <c r="O118">
        <f t="shared" si="15"/>
        <v>2.6577143656456581E-3</v>
      </c>
      <c r="P118">
        <f t="shared" si="16"/>
        <v>-3.5152636447733698E-2</v>
      </c>
      <c r="Q118">
        <f t="shared" si="17"/>
        <v>6.7893245279779801E-3</v>
      </c>
      <c r="R118" s="15">
        <f t="shared" si="18"/>
        <v>-6.0891352491995506E-3</v>
      </c>
    </row>
    <row r="119" spans="1:18" x14ac:dyDescent="0.2">
      <c r="A119" s="13">
        <v>45876</v>
      </c>
      <c r="B119" s="14">
        <v>17.690000000000001</v>
      </c>
      <c r="C119" s="14">
        <v>16.04</v>
      </c>
      <c r="D119" s="14">
        <v>451.01</v>
      </c>
      <c r="E119" s="14">
        <v>42.77</v>
      </c>
      <c r="F119" s="14">
        <v>577.13</v>
      </c>
      <c r="G119" s="14">
        <v>142.97999999999999</v>
      </c>
      <c r="H119" s="14">
        <v>10.81</v>
      </c>
      <c r="I119" s="14">
        <v>69.182140000000004</v>
      </c>
      <c r="J119">
        <f t="shared" si="10"/>
        <v>5.1099227569815886E-2</v>
      </c>
      <c r="K119">
        <f t="shared" si="11"/>
        <v>2.754644458680322E-2</v>
      </c>
      <c r="L119">
        <f t="shared" si="12"/>
        <v>1.1074495034411713E-2</v>
      </c>
      <c r="M119">
        <f t="shared" si="13"/>
        <v>8.9643783911299568E-3</v>
      </c>
      <c r="N119">
        <f t="shared" si="14"/>
        <v>5.2484726907996659E-2</v>
      </c>
      <c r="O119">
        <f t="shared" si="15"/>
        <v>1.440227030862018E-2</v>
      </c>
      <c r="P119">
        <f t="shared" si="16"/>
        <v>-2.7675276752766598E-3</v>
      </c>
      <c r="Q119">
        <f t="shared" si="17"/>
        <v>-1.4496819037155828E-2</v>
      </c>
      <c r="R119" s="15">
        <f t="shared" si="18"/>
        <v>2.066166583558135E-2</v>
      </c>
    </row>
    <row r="120" spans="1:18" x14ac:dyDescent="0.2">
      <c r="A120" s="11">
        <v>45875</v>
      </c>
      <c r="B120" s="12">
        <v>16.829999999999998</v>
      </c>
      <c r="C120" s="12">
        <v>15.61</v>
      </c>
      <c r="D120" s="12">
        <v>446.07</v>
      </c>
      <c r="E120" s="12">
        <v>42.39</v>
      </c>
      <c r="F120" s="12">
        <v>548.35</v>
      </c>
      <c r="G120" s="12">
        <v>140.94999999999999</v>
      </c>
      <c r="H120" s="12">
        <v>10.84</v>
      </c>
      <c r="I120" s="12">
        <v>70.199814000000003</v>
      </c>
      <c r="J120">
        <f t="shared" si="10"/>
        <v>-8.2498526812021522E-3</v>
      </c>
      <c r="K120">
        <f t="shared" si="11"/>
        <v>1.2828736369467908E-3</v>
      </c>
      <c r="L120">
        <f t="shared" si="12"/>
        <v>2.4623865855059046E-2</v>
      </c>
      <c r="M120">
        <f t="shared" si="13"/>
        <v>2.3665781212267589E-2</v>
      </c>
      <c r="N120">
        <f t="shared" si="14"/>
        <v>6.8762547020874365E-2</v>
      </c>
      <c r="O120">
        <f t="shared" si="15"/>
        <v>-8.2324795947088525E-3</v>
      </c>
      <c r="P120">
        <f t="shared" si="16"/>
        <v>2.457466918714557E-2</v>
      </c>
      <c r="Q120">
        <f t="shared" si="17"/>
        <v>7.3012892055759337E-3</v>
      </c>
      <c r="R120" s="15">
        <f t="shared" si="18"/>
        <v>2.2615296726664343E-2</v>
      </c>
    </row>
    <row r="121" spans="1:18" x14ac:dyDescent="0.2">
      <c r="A121" s="13">
        <v>45874</v>
      </c>
      <c r="B121" s="14">
        <v>16.97</v>
      </c>
      <c r="C121" s="14">
        <v>15.59</v>
      </c>
      <c r="D121" s="14">
        <v>435.35</v>
      </c>
      <c r="E121" s="14">
        <v>41.41</v>
      </c>
      <c r="F121" s="14">
        <v>513.07000000000005</v>
      </c>
      <c r="G121" s="14">
        <v>142.12</v>
      </c>
      <c r="H121" s="14">
        <v>10.58</v>
      </c>
      <c r="I121" s="14">
        <v>69.690979999999996</v>
      </c>
      <c r="J121">
        <f t="shared" si="10"/>
        <v>0</v>
      </c>
      <c r="K121">
        <f t="shared" si="11"/>
        <v>9.061488673139273E-3</v>
      </c>
      <c r="L121">
        <f t="shared" si="12"/>
        <v>9.3668127333008666E-3</v>
      </c>
      <c r="M121">
        <f t="shared" si="13"/>
        <v>2.9062727052553416E-3</v>
      </c>
      <c r="N121">
        <f t="shared" si="14"/>
        <v>2.7846224733056868E-2</v>
      </c>
      <c r="O121">
        <f t="shared" si="15"/>
        <v>-1.8962005758830225E-3</v>
      </c>
      <c r="P121">
        <f t="shared" si="16"/>
        <v>-9.442870632672129E-4</v>
      </c>
      <c r="Q121">
        <f t="shared" si="17"/>
        <v>2.3926772425828524E-3</v>
      </c>
      <c r="R121" s="15">
        <f t="shared" si="18"/>
        <v>7.9954703174839256E-3</v>
      </c>
    </row>
    <row r="122" spans="1:18" x14ac:dyDescent="0.2">
      <c r="A122" s="11">
        <v>45873</v>
      </c>
      <c r="B122" s="12">
        <v>16.97</v>
      </c>
      <c r="C122" s="12">
        <v>15.45</v>
      </c>
      <c r="D122" s="12">
        <v>431.31</v>
      </c>
      <c r="E122" s="12">
        <v>41.29</v>
      </c>
      <c r="F122" s="12">
        <v>499.17</v>
      </c>
      <c r="G122" s="12">
        <v>142.38999999999999</v>
      </c>
      <c r="H122" s="12">
        <v>10.59</v>
      </c>
      <c r="I122" s="12">
        <v>69.524630000000002</v>
      </c>
      <c r="J122">
        <f t="shared" si="10"/>
        <v>2.9550827423165948E-3</v>
      </c>
      <c r="K122">
        <f t="shared" si="11"/>
        <v>-2.2770398481973486E-2</v>
      </c>
      <c r="L122">
        <f t="shared" si="12"/>
        <v>1.2070846584182338E-3</v>
      </c>
      <c r="M122">
        <f t="shared" si="13"/>
        <v>2.9147437454457581E-3</v>
      </c>
      <c r="N122">
        <f t="shared" si="14"/>
        <v>1.3357965041921327E-2</v>
      </c>
      <c r="O122">
        <f t="shared" si="15"/>
        <v>-8.7713191785591116E-3</v>
      </c>
      <c r="P122">
        <f t="shared" si="16"/>
        <v>-1.7625231910946115E-2</v>
      </c>
      <c r="Q122">
        <f t="shared" si="17"/>
        <v>4.5242481379539345E-3</v>
      </c>
      <c r="R122" s="15">
        <f t="shared" si="18"/>
        <v>-2.918321717550772E-3</v>
      </c>
    </row>
    <row r="123" spans="1:18" x14ac:dyDescent="0.2">
      <c r="A123" s="13">
        <v>45870</v>
      </c>
      <c r="B123" s="14">
        <v>16.920000000000002</v>
      </c>
      <c r="C123" s="14">
        <v>15.81</v>
      </c>
      <c r="D123" s="14">
        <v>430.79</v>
      </c>
      <c r="E123" s="14">
        <v>41.17</v>
      </c>
      <c r="F123" s="14">
        <v>492.59</v>
      </c>
      <c r="G123" s="14">
        <v>143.65</v>
      </c>
      <c r="H123" s="14">
        <v>10.78</v>
      </c>
      <c r="I123" s="14">
        <v>69.211500000000001</v>
      </c>
      <c r="J123">
        <f t="shared" si="10"/>
        <v>-6.4591896652964609E-3</v>
      </c>
      <c r="K123">
        <f t="shared" si="11"/>
        <v>-4.0072859744990752E-2</v>
      </c>
      <c r="L123">
        <f t="shared" si="12"/>
        <v>-5.9992154872053893E-3</v>
      </c>
      <c r="M123">
        <f t="shared" si="13"/>
        <v>8.0803134182174663E-3</v>
      </c>
      <c r="N123">
        <f t="shared" si="14"/>
        <v>-9.3715434891905591E-3</v>
      </c>
      <c r="O123">
        <f t="shared" si="15"/>
        <v>-2.2257010618023321E-2</v>
      </c>
      <c r="P123">
        <f t="shared" si="16"/>
        <v>-2.3550724637681153E-2</v>
      </c>
      <c r="Q123">
        <f t="shared" si="17"/>
        <v>-2.5384061949713654E-3</v>
      </c>
      <c r="R123" s="15">
        <f t="shared" si="18"/>
        <v>-1.4208128699254563E-2</v>
      </c>
    </row>
    <row r="124" spans="1:18" x14ac:dyDescent="0.2">
      <c r="A124" s="11">
        <v>45869</v>
      </c>
      <c r="B124" s="12">
        <v>17.03</v>
      </c>
      <c r="C124" s="12">
        <v>16.47</v>
      </c>
      <c r="D124" s="12">
        <v>433.39</v>
      </c>
      <c r="E124" s="12">
        <v>40.840000000000003</v>
      </c>
      <c r="F124" s="12">
        <v>497.25</v>
      </c>
      <c r="G124" s="12">
        <v>146.91999999999999</v>
      </c>
      <c r="H124" s="12">
        <v>11.04</v>
      </c>
      <c r="I124" s="12">
        <v>69.387634000000006</v>
      </c>
      <c r="J124">
        <f t="shared" si="10"/>
        <v>-4.6756282875510813E-3</v>
      </c>
      <c r="K124">
        <f t="shared" si="11"/>
        <v>2.5529265255292755E-2</v>
      </c>
      <c r="L124">
        <f t="shared" si="12"/>
        <v>8.3058024289237586E-3</v>
      </c>
      <c r="M124">
        <f t="shared" si="13"/>
        <v>-3.1730534537465216E-3</v>
      </c>
      <c r="N124">
        <f t="shared" si="14"/>
        <v>-1.6320474777448024E-2</v>
      </c>
      <c r="O124">
        <f t="shared" si="15"/>
        <v>-6.0884859964822624E-3</v>
      </c>
      <c r="P124">
        <f t="shared" si="16"/>
        <v>1.8450184501844991E-2</v>
      </c>
      <c r="Q124">
        <f t="shared" si="17"/>
        <v>4.1874888586608039E-2</v>
      </c>
      <c r="R124" s="15">
        <f t="shared" si="18"/>
        <v>5.3521251051824705E-3</v>
      </c>
    </row>
    <row r="125" spans="1:18" x14ac:dyDescent="0.2">
      <c r="A125" s="13">
        <v>45868</v>
      </c>
      <c r="B125" s="14">
        <v>17.11</v>
      </c>
      <c r="C125" s="14">
        <v>16.059999999999999</v>
      </c>
      <c r="D125" s="14">
        <v>429.82</v>
      </c>
      <c r="E125" s="14">
        <v>40.97</v>
      </c>
      <c r="F125" s="14">
        <v>505.5</v>
      </c>
      <c r="G125" s="14">
        <v>147.82</v>
      </c>
      <c r="H125" s="14">
        <v>10.84</v>
      </c>
      <c r="I125" s="14">
        <v>66.598815999999999</v>
      </c>
      <c r="J125">
        <f t="shared" si="10"/>
        <v>1.170275014628519E-3</v>
      </c>
      <c r="K125">
        <f t="shared" si="11"/>
        <v>-4.9566294919456411E-3</v>
      </c>
      <c r="L125">
        <f t="shared" si="12"/>
        <v>8.4700030501396739E-3</v>
      </c>
      <c r="M125">
        <f t="shared" si="13"/>
        <v>8.6164451009356213E-3</v>
      </c>
      <c r="N125">
        <f t="shared" si="14"/>
        <v>-9.9494692310705402E-3</v>
      </c>
      <c r="O125">
        <f t="shared" si="15"/>
        <v>-5.3159275957205265E-3</v>
      </c>
      <c r="P125">
        <f t="shared" si="16"/>
        <v>5.6530214424951319E-2</v>
      </c>
      <c r="Q125">
        <f t="shared" si="17"/>
        <v>-2.4917031970634884E-3</v>
      </c>
      <c r="R125" s="15">
        <f t="shared" si="18"/>
        <v>7.9174549767081874E-3</v>
      </c>
    </row>
    <row r="126" spans="1:18" x14ac:dyDescent="0.2">
      <c r="A126" s="11">
        <v>45867</v>
      </c>
      <c r="B126" s="12">
        <v>17.09</v>
      </c>
      <c r="C126" s="12">
        <v>16.14</v>
      </c>
      <c r="D126" s="12">
        <v>426.21</v>
      </c>
      <c r="E126" s="12">
        <v>40.619999999999997</v>
      </c>
      <c r="F126" s="12">
        <v>510.58</v>
      </c>
      <c r="G126" s="12">
        <v>148.61000000000001</v>
      </c>
      <c r="H126" s="12">
        <v>10.26</v>
      </c>
      <c r="I126" s="12">
        <v>66.765174999999999</v>
      </c>
      <c r="J126">
        <f t="shared" si="10"/>
        <v>4.703115814226777E-3</v>
      </c>
      <c r="K126">
        <f t="shared" si="11"/>
        <v>2.6064844246662444E-2</v>
      </c>
      <c r="L126">
        <f t="shared" si="12"/>
        <v>2.3337895267593334E-2</v>
      </c>
      <c r="M126">
        <f t="shared" si="13"/>
        <v>8.941877794336861E-3</v>
      </c>
      <c r="N126">
        <f t="shared" si="14"/>
        <v>3.6365065948538167E-3</v>
      </c>
      <c r="O126">
        <f t="shared" si="15"/>
        <v>3.0725482036343399E-2</v>
      </c>
      <c r="P126">
        <f t="shared" si="16"/>
        <v>0</v>
      </c>
      <c r="Q126">
        <f t="shared" si="17"/>
        <v>2.0338011965271408E-2</v>
      </c>
      <c r="R126" s="15">
        <f t="shared" si="18"/>
        <v>1.354097339310162E-2</v>
      </c>
    </row>
    <row r="127" spans="1:18" x14ac:dyDescent="0.2">
      <c r="A127" s="13">
        <v>45866</v>
      </c>
      <c r="B127" s="14">
        <v>17.010000000000002</v>
      </c>
      <c r="C127" s="14">
        <v>15.73</v>
      </c>
      <c r="D127" s="14">
        <v>416.49</v>
      </c>
      <c r="E127" s="14">
        <v>40.26</v>
      </c>
      <c r="F127" s="14">
        <v>508.73</v>
      </c>
      <c r="G127" s="14">
        <v>144.18</v>
      </c>
      <c r="H127" s="14">
        <v>10.26</v>
      </c>
      <c r="I127" s="14">
        <v>65.434370000000001</v>
      </c>
      <c r="J127">
        <f t="shared" si="10"/>
        <v>-5.8445353594388516E-3</v>
      </c>
      <c r="K127">
        <f t="shared" si="11"/>
        <v>1.5493867010974771E-2</v>
      </c>
      <c r="L127">
        <f t="shared" si="12"/>
        <v>-1.6778925669358458E-3</v>
      </c>
      <c r="M127">
        <f t="shared" si="13"/>
        <v>6.7516879219804427E-3</v>
      </c>
      <c r="N127">
        <f t="shared" si="14"/>
        <v>4.7198568310102829E-4</v>
      </c>
      <c r="O127">
        <f t="shared" si="15"/>
        <v>4.3187517414322585E-3</v>
      </c>
      <c r="P127">
        <f t="shared" si="16"/>
        <v>2.1912350597609542E-2</v>
      </c>
      <c r="Q127">
        <f t="shared" si="17"/>
        <v>-1.3425741159080351E-2</v>
      </c>
      <c r="R127" s="15">
        <f t="shared" si="18"/>
        <v>4.9978498935169813E-3</v>
      </c>
    </row>
    <row r="128" spans="1:18" x14ac:dyDescent="0.2">
      <c r="A128" s="11">
        <v>45863</v>
      </c>
      <c r="B128" s="12">
        <v>17.11</v>
      </c>
      <c r="C128" s="12">
        <v>15.49</v>
      </c>
      <c r="D128" s="12">
        <v>417.19</v>
      </c>
      <c r="E128" s="12">
        <v>39.99</v>
      </c>
      <c r="F128" s="12">
        <v>508.49</v>
      </c>
      <c r="G128" s="12">
        <v>143.56</v>
      </c>
      <c r="H128" s="12">
        <v>10.039999999999999</v>
      </c>
      <c r="I128" s="12">
        <v>66.324830000000006</v>
      </c>
      <c r="J128">
        <f t="shared" si="10"/>
        <v>7.0629782224838067E-3</v>
      </c>
      <c r="K128">
        <f t="shared" si="11"/>
        <v>1.6404199475065662E-2</v>
      </c>
      <c r="L128">
        <f t="shared" si="12"/>
        <v>5.7618129218899305E-3</v>
      </c>
      <c r="M128">
        <f t="shared" si="13"/>
        <v>4.77386934673385E-3</v>
      </c>
      <c r="N128">
        <f t="shared" si="14"/>
        <v>-3.4688198173480345E-3</v>
      </c>
      <c r="O128">
        <f t="shared" si="15"/>
        <v>2.7410005009661509E-2</v>
      </c>
      <c r="P128">
        <f t="shared" si="16"/>
        <v>1.9289340101522834E-2</v>
      </c>
      <c r="Q128">
        <f t="shared" si="17"/>
        <v>8.9310977015937265E-3</v>
      </c>
      <c r="R128" s="15">
        <f t="shared" si="18"/>
        <v>1.0593190164984671E-2</v>
      </c>
    </row>
    <row r="129" spans="1:18" x14ac:dyDescent="0.2">
      <c r="A129" s="13">
        <v>45862</v>
      </c>
      <c r="B129" s="14">
        <v>16.989999999999998</v>
      </c>
      <c r="C129" s="14">
        <v>15.24</v>
      </c>
      <c r="D129" s="14">
        <v>414.8</v>
      </c>
      <c r="E129" s="14">
        <v>39.799999999999997</v>
      </c>
      <c r="F129" s="14">
        <v>510.26</v>
      </c>
      <c r="G129" s="14">
        <v>139.72999999999999</v>
      </c>
      <c r="H129" s="14">
        <v>9.85</v>
      </c>
      <c r="I129" s="14">
        <v>65.737719999999996</v>
      </c>
      <c r="J129">
        <f t="shared" si="10"/>
        <v>2.5966183574879231E-2</v>
      </c>
      <c r="K129">
        <f t="shared" si="11"/>
        <v>3.3220338983050768E-2</v>
      </c>
      <c r="L129">
        <f t="shared" si="12"/>
        <v>3.5807606696991456E-3</v>
      </c>
      <c r="M129">
        <f t="shared" si="13"/>
        <v>-1.363073110285018E-2</v>
      </c>
      <c r="N129">
        <f t="shared" si="14"/>
        <v>8.5983672985312509E-3</v>
      </c>
      <c r="O129">
        <f t="shared" si="15"/>
        <v>-1.7300794711301859E-2</v>
      </c>
      <c r="P129">
        <f t="shared" si="16"/>
        <v>-1.4014014014014031E-2</v>
      </c>
      <c r="Q129">
        <f t="shared" si="17"/>
        <v>-2.8488702205646588E-2</v>
      </c>
      <c r="R129" s="15">
        <f t="shared" si="18"/>
        <v>-3.4347523049150586E-4</v>
      </c>
    </row>
    <row r="130" spans="1:18" x14ac:dyDescent="0.2">
      <c r="A130" s="11">
        <v>45861</v>
      </c>
      <c r="B130" s="12">
        <v>16.559999999999999</v>
      </c>
      <c r="C130" s="12">
        <v>14.75</v>
      </c>
      <c r="D130" s="12">
        <v>413.32</v>
      </c>
      <c r="E130" s="12">
        <v>40.35</v>
      </c>
      <c r="F130" s="12">
        <v>505.91</v>
      </c>
      <c r="G130" s="12">
        <v>142.19</v>
      </c>
      <c r="H130" s="12">
        <v>9.99</v>
      </c>
      <c r="I130" s="12">
        <v>67.665419999999997</v>
      </c>
      <c r="J130">
        <f t="shared" si="10"/>
        <v>4.2821158690176109E-2</v>
      </c>
      <c r="K130">
        <f t="shared" si="11"/>
        <v>4.7683923705721387E-3</v>
      </c>
      <c r="L130">
        <f t="shared" si="12"/>
        <v>8.4173030473075894E-3</v>
      </c>
      <c r="M130">
        <f t="shared" si="13"/>
        <v>4.0753159659530525E-2</v>
      </c>
      <c r="N130">
        <f t="shared" si="14"/>
        <v>-9.0105972458912609E-3</v>
      </c>
      <c r="O130">
        <f t="shared" si="15"/>
        <v>1.0805431150920697E-2</v>
      </c>
      <c r="P130">
        <f t="shared" si="16"/>
        <v>6.616862326574191E-2</v>
      </c>
      <c r="Q130">
        <f t="shared" si="17"/>
        <v>1.7383194173032912E-3</v>
      </c>
      <c r="R130" s="15">
        <f t="shared" si="18"/>
        <v>1.9636343039063801E-2</v>
      </c>
    </row>
    <row r="131" spans="1:18" x14ac:dyDescent="0.2">
      <c r="A131" s="13">
        <v>45860</v>
      </c>
      <c r="B131" s="14">
        <v>15.88</v>
      </c>
      <c r="C131" s="14">
        <v>14.68</v>
      </c>
      <c r="D131" s="14">
        <v>409.87</v>
      </c>
      <c r="E131" s="14">
        <v>38.770000000000003</v>
      </c>
      <c r="F131" s="14">
        <v>510.51</v>
      </c>
      <c r="G131" s="14">
        <v>140.66999999999999</v>
      </c>
      <c r="H131" s="14">
        <v>9.3699999999999992</v>
      </c>
      <c r="I131" s="14">
        <v>67.548000000000002</v>
      </c>
      <c r="J131">
        <f t="shared" ref="J131:J194" si="19">B131/B132-1</f>
        <v>-8.1199250468457773E-3</v>
      </c>
      <c r="K131">
        <f t="shared" ref="K131:K194" si="20">C131/C132-1</f>
        <v>2.2996515679442497E-2</v>
      </c>
      <c r="L131">
        <f t="shared" ref="L131:L194" si="21">D131/D132-1</f>
        <v>-3.5985605757696937E-2</v>
      </c>
      <c r="M131">
        <f t="shared" ref="M131:M194" si="22">E131/E132-1</f>
        <v>-1.6987829614604322E-2</v>
      </c>
      <c r="N131">
        <f t="shared" ref="N131:N194" si="23">F131/F132-1</f>
        <v>5.6139936177757033E-3</v>
      </c>
      <c r="O131">
        <f t="shared" ref="O131:O194" si="24">G131/G132-1</f>
        <v>7.0876288659791342E-3</v>
      </c>
      <c r="P131">
        <f t="shared" ref="P131:P194" si="25">H131/H132-1</f>
        <v>0.11680572109654341</v>
      </c>
      <c r="Q131">
        <f t="shared" ref="Q131:Q194" si="26">I131/I132-1</f>
        <v>5.3889251233218971E-3</v>
      </c>
      <c r="R131" s="15">
        <f t="shared" ref="R131:R194" si="27">SUMPRODUCT($T$2:$AA$2,J131:Q131)</f>
        <v>1.8492138662001098E-2</v>
      </c>
    </row>
    <row r="132" spans="1:18" x14ac:dyDescent="0.2">
      <c r="A132" s="11">
        <v>45859</v>
      </c>
      <c r="B132" s="12">
        <v>16.010000000000002</v>
      </c>
      <c r="C132" s="12">
        <v>14.35</v>
      </c>
      <c r="D132" s="12">
        <v>425.17</v>
      </c>
      <c r="E132" s="12">
        <v>39.44</v>
      </c>
      <c r="F132" s="12">
        <v>507.66</v>
      </c>
      <c r="G132" s="12">
        <v>139.68</v>
      </c>
      <c r="H132" s="12">
        <v>8.39</v>
      </c>
      <c r="I132" s="12">
        <v>67.185940000000002</v>
      </c>
      <c r="J132">
        <f t="shared" si="19"/>
        <v>-1.2476606363068798E-3</v>
      </c>
      <c r="K132">
        <f t="shared" si="20"/>
        <v>8.4328882642303871E-3</v>
      </c>
      <c r="L132">
        <f t="shared" si="21"/>
        <v>1.2245378547039998E-3</v>
      </c>
      <c r="M132">
        <f t="shared" si="22"/>
        <v>5.0735667174017784E-4</v>
      </c>
      <c r="N132">
        <f t="shared" si="23"/>
        <v>4.6903758237843984E-3</v>
      </c>
      <c r="O132">
        <f t="shared" si="24"/>
        <v>-8.5178875638840523E-3</v>
      </c>
      <c r="P132">
        <f t="shared" si="25"/>
        <v>-1.7564402810304247E-2</v>
      </c>
      <c r="Q132">
        <f t="shared" si="26"/>
        <v>-3.7723706949918112E-3</v>
      </c>
      <c r="R132" s="15">
        <f t="shared" si="27"/>
        <v>-2.4748519681182229E-3</v>
      </c>
    </row>
    <row r="133" spans="1:18" x14ac:dyDescent="0.2">
      <c r="A133" s="13">
        <v>45856</v>
      </c>
      <c r="B133" s="14">
        <v>16.03</v>
      </c>
      <c r="C133" s="14">
        <v>14.23</v>
      </c>
      <c r="D133" s="14">
        <v>424.65</v>
      </c>
      <c r="E133" s="14">
        <v>39.42</v>
      </c>
      <c r="F133" s="14">
        <v>505.29</v>
      </c>
      <c r="G133" s="14">
        <v>140.88</v>
      </c>
      <c r="H133" s="14">
        <v>8.5399999999999991</v>
      </c>
      <c r="I133" s="14">
        <v>67.440349999999995</v>
      </c>
      <c r="J133">
        <f t="shared" si="19"/>
        <v>-1.5960712093308627E-2</v>
      </c>
      <c r="K133">
        <f t="shared" si="20"/>
        <v>-2.1993127147766356E-2</v>
      </c>
      <c r="L133">
        <f t="shared" si="21"/>
        <v>-1.4733178654292356E-2</v>
      </c>
      <c r="M133">
        <f t="shared" si="22"/>
        <v>-2.0134228187919323E-2</v>
      </c>
      <c r="N133">
        <f t="shared" si="23"/>
        <v>-7.9514666038401627E-3</v>
      </c>
      <c r="O133">
        <f t="shared" si="24"/>
        <v>-3.8886614817847054E-2</v>
      </c>
      <c r="P133">
        <f t="shared" si="25"/>
        <v>-3.3936651583710509E-2</v>
      </c>
      <c r="Q133">
        <f t="shared" si="26"/>
        <v>-2.4606287201840438E-3</v>
      </c>
      <c r="R133" s="15">
        <f t="shared" si="27"/>
        <v>-2.0356178057297343E-2</v>
      </c>
    </row>
    <row r="134" spans="1:18" x14ac:dyDescent="0.2">
      <c r="A134" s="11">
        <v>45855</v>
      </c>
      <c r="B134" s="12">
        <v>16.29</v>
      </c>
      <c r="C134" s="12">
        <v>14.55</v>
      </c>
      <c r="D134" s="12">
        <v>431</v>
      </c>
      <c r="E134" s="12">
        <v>40.229999999999997</v>
      </c>
      <c r="F134" s="12">
        <v>509.34</v>
      </c>
      <c r="G134" s="12">
        <v>146.58000000000001</v>
      </c>
      <c r="H134" s="12">
        <v>8.84</v>
      </c>
      <c r="I134" s="12">
        <v>67.606705000000005</v>
      </c>
      <c r="J134">
        <f t="shared" si="19"/>
        <v>-7.3126142595978383E-3</v>
      </c>
      <c r="K134">
        <f t="shared" si="20"/>
        <v>5.5112400290065366E-2</v>
      </c>
      <c r="L134">
        <f t="shared" si="21"/>
        <v>3.7728818296147715E-3</v>
      </c>
      <c r="M134">
        <f t="shared" si="22"/>
        <v>-1.1790714812085601E-2</v>
      </c>
      <c r="N134">
        <f t="shared" si="23"/>
        <v>-7.269963162921389E-3</v>
      </c>
      <c r="O134">
        <f t="shared" si="24"/>
        <v>1.9474196689386547E-2</v>
      </c>
      <c r="P134">
        <f t="shared" si="25"/>
        <v>9.1324200913243114E-3</v>
      </c>
      <c r="Q134">
        <f t="shared" si="26"/>
        <v>7.7305089070964783E-3</v>
      </c>
      <c r="R134" s="15">
        <f t="shared" si="27"/>
        <v>8.2395837779989066E-3</v>
      </c>
    </row>
    <row r="135" spans="1:18" x14ac:dyDescent="0.2">
      <c r="A135" s="13">
        <v>45854</v>
      </c>
      <c r="B135" s="14">
        <v>16.41</v>
      </c>
      <c r="C135" s="14">
        <v>13.79</v>
      </c>
      <c r="D135" s="14">
        <v>429.38</v>
      </c>
      <c r="E135" s="14">
        <v>40.71</v>
      </c>
      <c r="F135" s="14">
        <v>513.07000000000005</v>
      </c>
      <c r="G135" s="14">
        <v>143.78</v>
      </c>
      <c r="H135" s="14">
        <v>8.76</v>
      </c>
      <c r="I135" s="14">
        <v>67.088080000000005</v>
      </c>
      <c r="J135">
        <f t="shared" si="19"/>
        <v>6.1312078479460741E-3</v>
      </c>
      <c r="K135">
        <f t="shared" si="20"/>
        <v>5.8351568198393711E-3</v>
      </c>
      <c r="L135">
        <f t="shared" si="21"/>
        <v>-3.3887289945222498E-3</v>
      </c>
      <c r="M135">
        <f t="shared" si="22"/>
        <v>1.2938541925852309E-2</v>
      </c>
      <c r="N135">
        <f t="shared" si="23"/>
        <v>1.9654994236655066E-2</v>
      </c>
      <c r="O135">
        <f t="shared" si="24"/>
        <v>-2.2901800883452283E-2</v>
      </c>
      <c r="P135">
        <f t="shared" si="25"/>
        <v>-1.3513513513513598E-2</v>
      </c>
      <c r="Q135">
        <f t="shared" si="26"/>
        <v>-7.5276206355188169E-3</v>
      </c>
      <c r="R135" s="15">
        <f t="shared" si="27"/>
        <v>-8.8025110122518456E-5</v>
      </c>
    </row>
    <row r="136" spans="1:18" x14ac:dyDescent="0.2">
      <c r="A136" s="11">
        <v>45853</v>
      </c>
      <c r="B136" s="12">
        <v>16.309999999999999</v>
      </c>
      <c r="C136" s="12">
        <v>13.71</v>
      </c>
      <c r="D136" s="12">
        <v>430.84</v>
      </c>
      <c r="E136" s="12">
        <v>40.19</v>
      </c>
      <c r="F136" s="12">
        <v>503.18</v>
      </c>
      <c r="G136" s="12">
        <v>147.15</v>
      </c>
      <c r="H136" s="12">
        <v>8.8800000000000008</v>
      </c>
      <c r="I136" s="12">
        <v>67.596924000000001</v>
      </c>
      <c r="J136">
        <f t="shared" si="19"/>
        <v>1.2277470841006721E-3</v>
      </c>
      <c r="K136">
        <f t="shared" si="20"/>
        <v>-8.6767895878524515E-3</v>
      </c>
      <c r="L136">
        <f t="shared" si="21"/>
        <v>6.2123406044185536E-3</v>
      </c>
      <c r="M136">
        <f t="shared" si="22"/>
        <v>2.494387627837158E-3</v>
      </c>
      <c r="N136">
        <f t="shared" si="23"/>
        <v>-2.8778783609025527E-2</v>
      </c>
      <c r="O136">
        <f t="shared" si="24"/>
        <v>2.3082806090523489E-2</v>
      </c>
      <c r="P136">
        <f t="shared" si="25"/>
        <v>-2.8446389496717739E-2</v>
      </c>
      <c r="Q136">
        <f t="shared" si="26"/>
        <v>-7.7563807764308157E-3</v>
      </c>
      <c r="R136" s="15">
        <f t="shared" si="27"/>
        <v>-8.1545997106786984E-3</v>
      </c>
    </row>
    <row r="137" spans="1:18" x14ac:dyDescent="0.2">
      <c r="A137" s="13">
        <v>45852</v>
      </c>
      <c r="B137" s="14">
        <v>16.29</v>
      </c>
      <c r="C137" s="14">
        <v>13.83</v>
      </c>
      <c r="D137" s="14">
        <v>428.18</v>
      </c>
      <c r="E137" s="14">
        <v>40.090000000000003</v>
      </c>
      <c r="F137" s="14">
        <v>518.09</v>
      </c>
      <c r="G137" s="14">
        <v>143.83000000000001</v>
      </c>
      <c r="H137" s="14">
        <v>9.14</v>
      </c>
      <c r="I137" s="14">
        <v>68.125330000000005</v>
      </c>
      <c r="J137">
        <f t="shared" si="19"/>
        <v>-4.8869883934026248E-3</v>
      </c>
      <c r="K137">
        <f t="shared" si="20"/>
        <v>7.2833211944647314E-3</v>
      </c>
      <c r="L137">
        <f t="shared" si="21"/>
        <v>-2.5856647021826884E-3</v>
      </c>
      <c r="M137">
        <f t="shared" si="22"/>
        <v>-4.9640109208238803E-3</v>
      </c>
      <c r="N137">
        <f t="shared" si="23"/>
        <v>7.9179798451423089E-3</v>
      </c>
      <c r="O137">
        <f t="shared" si="24"/>
        <v>2.7888168444538675E-3</v>
      </c>
      <c r="P137">
        <f t="shared" si="25"/>
        <v>-1.0928961748634114E-3</v>
      </c>
      <c r="Q137">
        <f t="shared" si="26"/>
        <v>1.902809796503524E-2</v>
      </c>
      <c r="R137" s="15">
        <f t="shared" si="27"/>
        <v>3.0428311259623041E-3</v>
      </c>
    </row>
    <row r="138" spans="1:18" x14ac:dyDescent="0.2">
      <c r="A138" s="11">
        <v>45849</v>
      </c>
      <c r="B138" s="12">
        <v>16.37</v>
      </c>
      <c r="C138" s="12">
        <v>13.73</v>
      </c>
      <c r="D138" s="12">
        <v>429.29</v>
      </c>
      <c r="E138" s="12">
        <v>40.29</v>
      </c>
      <c r="F138" s="12">
        <v>514.02</v>
      </c>
      <c r="G138" s="12">
        <v>143.43</v>
      </c>
      <c r="H138" s="12">
        <v>9.15</v>
      </c>
      <c r="I138" s="12">
        <v>66.85324</v>
      </c>
      <c r="J138">
        <f t="shared" si="19"/>
        <v>-3.0450669914738882E-3</v>
      </c>
      <c r="K138">
        <f t="shared" si="20"/>
        <v>-3.6284470246733536E-3</v>
      </c>
      <c r="L138">
        <f t="shared" si="21"/>
        <v>-8.3391083391082255E-3</v>
      </c>
      <c r="M138">
        <f t="shared" si="22"/>
        <v>-1.539589442815259E-2</v>
      </c>
      <c r="N138">
        <f t="shared" si="23"/>
        <v>1.7438292987074666E-2</v>
      </c>
      <c r="O138">
        <f t="shared" si="24"/>
        <v>-8.7082728592161596E-3</v>
      </c>
      <c r="P138">
        <f t="shared" si="25"/>
        <v>1.7797552836485098E-2</v>
      </c>
      <c r="Q138">
        <f t="shared" si="26"/>
        <v>-1.157400357146765E-2</v>
      </c>
      <c r="R138" s="15">
        <f t="shared" si="27"/>
        <v>1.5134889922217725E-3</v>
      </c>
    </row>
    <row r="139" spans="1:18" x14ac:dyDescent="0.2">
      <c r="A139" s="13">
        <v>45848</v>
      </c>
      <c r="B139" s="14">
        <v>16.420000000000002</v>
      </c>
      <c r="C139" s="14">
        <v>13.78</v>
      </c>
      <c r="D139" s="14">
        <v>432.9</v>
      </c>
      <c r="E139" s="14">
        <v>40.92</v>
      </c>
      <c r="F139" s="14">
        <v>505.21</v>
      </c>
      <c r="G139" s="14">
        <v>144.69</v>
      </c>
      <c r="H139" s="14">
        <v>8.99</v>
      </c>
      <c r="I139" s="14">
        <v>67.636060000000001</v>
      </c>
      <c r="J139">
        <f t="shared" si="19"/>
        <v>-1.8237082066867583E-3</v>
      </c>
      <c r="K139">
        <f t="shared" si="20"/>
        <v>5.1057622173595885E-3</v>
      </c>
      <c r="L139">
        <f t="shared" si="21"/>
        <v>1.6388054094665483E-2</v>
      </c>
      <c r="M139">
        <f t="shared" si="22"/>
        <v>-8.4807366125515538E-3</v>
      </c>
      <c r="N139">
        <f t="shared" si="23"/>
        <v>1.0521052105210593E-2</v>
      </c>
      <c r="O139">
        <f t="shared" si="24"/>
        <v>-6.7275348390196665E-3</v>
      </c>
      <c r="P139">
        <f t="shared" si="25"/>
        <v>5.3927315357561678E-2</v>
      </c>
      <c r="Q139">
        <f t="shared" si="26"/>
        <v>-3.3692162449753038E-2</v>
      </c>
      <c r="R139" s="15">
        <f t="shared" si="27"/>
        <v>9.3588740630415473E-3</v>
      </c>
    </row>
    <row r="140" spans="1:18" x14ac:dyDescent="0.2">
      <c r="A140" s="11">
        <v>45847</v>
      </c>
      <c r="B140" s="12">
        <v>16.45</v>
      </c>
      <c r="C140" s="12">
        <v>13.71</v>
      </c>
      <c r="D140" s="12">
        <v>425.92</v>
      </c>
      <c r="E140" s="12">
        <v>41.27</v>
      </c>
      <c r="F140" s="12">
        <v>499.95</v>
      </c>
      <c r="G140" s="12">
        <v>145.66999999999999</v>
      </c>
      <c r="H140" s="12">
        <v>8.5299999999999994</v>
      </c>
      <c r="I140" s="12">
        <v>69.994320000000002</v>
      </c>
      <c r="J140">
        <f t="shared" si="19"/>
        <v>-7.8407720144751947E-3</v>
      </c>
      <c r="K140">
        <f t="shared" si="20"/>
        <v>2.5430067314884175E-2</v>
      </c>
      <c r="L140">
        <f t="shared" si="21"/>
        <v>-1.2662383341930372E-3</v>
      </c>
      <c r="M140">
        <f t="shared" si="22"/>
        <v>2.9433774008480906E-2</v>
      </c>
      <c r="N140">
        <f t="shared" si="23"/>
        <v>-3.0112072747576768E-3</v>
      </c>
      <c r="O140">
        <f t="shared" si="24"/>
        <v>-8.0133872189947164E-2</v>
      </c>
      <c r="P140">
        <f t="shared" si="25"/>
        <v>3.5194174757281482E-2</v>
      </c>
      <c r="Q140">
        <f t="shared" si="26"/>
        <v>-5.5609989723058861E-3</v>
      </c>
      <c r="R140" s="15">
        <f t="shared" si="27"/>
        <v>-1.6458291391989754E-3</v>
      </c>
    </row>
    <row r="141" spans="1:18" x14ac:dyDescent="0.2">
      <c r="A141" s="13">
        <v>45846</v>
      </c>
      <c r="B141" s="14">
        <v>16.579999999999998</v>
      </c>
      <c r="C141" s="14">
        <v>13.37</v>
      </c>
      <c r="D141" s="14">
        <v>426.46</v>
      </c>
      <c r="E141" s="14">
        <v>40.090000000000003</v>
      </c>
      <c r="F141" s="14">
        <v>501.46</v>
      </c>
      <c r="G141" s="14">
        <v>158.36000000000001</v>
      </c>
      <c r="H141" s="14">
        <v>8.24</v>
      </c>
      <c r="I141" s="14">
        <v>70.385734999999997</v>
      </c>
      <c r="J141">
        <f t="shared" si="19"/>
        <v>-1.3682331945270687E-2</v>
      </c>
      <c r="K141">
        <f t="shared" si="20"/>
        <v>5.2631578947366364E-3</v>
      </c>
      <c r="L141">
        <f t="shared" si="21"/>
        <v>-2.8992284311433192E-3</v>
      </c>
      <c r="M141">
        <f t="shared" si="22"/>
        <v>-2.4574209245742051E-2</v>
      </c>
      <c r="N141">
        <f t="shared" si="23"/>
        <v>8.1219090507016478E-3</v>
      </c>
      <c r="O141">
        <f t="shared" si="24"/>
        <v>4.2488426659903489E-3</v>
      </c>
      <c r="P141">
        <f t="shared" si="25"/>
        <v>-5.7208237986270061E-2</v>
      </c>
      <c r="Q141">
        <f t="shared" si="26"/>
        <v>-1.2496133314792157E-3</v>
      </c>
      <c r="R141" s="15">
        <f t="shared" si="27"/>
        <v>-1.0600156081352861E-2</v>
      </c>
    </row>
    <row r="142" spans="1:18" x14ac:dyDescent="0.2">
      <c r="A142" s="11">
        <v>45845</v>
      </c>
      <c r="B142" s="12">
        <v>16.809999999999999</v>
      </c>
      <c r="C142" s="12">
        <v>13.3</v>
      </c>
      <c r="D142" s="12">
        <v>427.7</v>
      </c>
      <c r="E142" s="12">
        <v>41.1</v>
      </c>
      <c r="F142" s="12">
        <v>497.42</v>
      </c>
      <c r="G142" s="12">
        <v>157.69</v>
      </c>
      <c r="H142" s="12">
        <v>8.74</v>
      </c>
      <c r="I142" s="12">
        <v>70.473799999999997</v>
      </c>
      <c r="J142">
        <f t="shared" si="19"/>
        <v>-1.059446733372571E-2</v>
      </c>
      <c r="K142">
        <f t="shared" si="20"/>
        <v>-1.4084507042253502E-2</v>
      </c>
      <c r="L142">
        <f t="shared" si="21"/>
        <v>-1.7684887459807008E-2</v>
      </c>
      <c r="M142">
        <f t="shared" si="22"/>
        <v>1.2180267965895553E-3</v>
      </c>
      <c r="N142">
        <f t="shared" si="23"/>
        <v>-1.4931875792141835E-2</v>
      </c>
      <c r="O142">
        <f t="shared" si="24"/>
        <v>-8.1766148814391704E-3</v>
      </c>
      <c r="P142">
        <f t="shared" si="25"/>
        <v>-3.532008830022082E-2</v>
      </c>
      <c r="Q142">
        <f t="shared" si="26"/>
        <v>1.0665118602979584E-2</v>
      </c>
      <c r="R142" s="15">
        <f t="shared" si="27"/>
        <v>-1.3841042767380166E-2</v>
      </c>
    </row>
    <row r="143" spans="1:18" x14ac:dyDescent="0.2">
      <c r="A143" s="13">
        <v>45842</v>
      </c>
      <c r="B143" s="14">
        <v>16.989999999999998</v>
      </c>
      <c r="C143" s="14">
        <v>13.49</v>
      </c>
      <c r="D143" s="14">
        <v>435.4</v>
      </c>
      <c r="E143" s="14">
        <v>41.05</v>
      </c>
      <c r="F143" s="14">
        <v>504.96</v>
      </c>
      <c r="G143" s="14">
        <v>158.99</v>
      </c>
      <c r="H143" s="14">
        <v>9.06</v>
      </c>
      <c r="I143" s="14">
        <v>69.730119999999999</v>
      </c>
      <c r="J143">
        <f t="shared" si="19"/>
        <v>8.3086053412462224E-3</v>
      </c>
      <c r="K143">
        <f t="shared" si="20"/>
        <v>2.9739776951673846E-3</v>
      </c>
      <c r="L143">
        <f t="shared" si="21"/>
        <v>6.100378962935471E-3</v>
      </c>
      <c r="M143">
        <f t="shared" si="22"/>
        <v>-6.2938755749214481E-3</v>
      </c>
      <c r="N143">
        <f t="shared" si="23"/>
        <v>-9.8919795829544022E-4</v>
      </c>
      <c r="O143">
        <f t="shared" si="24"/>
        <v>-8.4196083322938264E-3</v>
      </c>
      <c r="P143">
        <f t="shared" si="25"/>
        <v>6.6666666666668206E-3</v>
      </c>
      <c r="Q143">
        <f t="shared" si="26"/>
        <v>-1.0002745807248803E-2</v>
      </c>
      <c r="R143" s="15">
        <f t="shared" si="27"/>
        <v>1.0405957856771347E-4</v>
      </c>
    </row>
    <row r="144" spans="1:18" x14ac:dyDescent="0.2">
      <c r="A144" s="11">
        <v>45841</v>
      </c>
      <c r="B144" s="12">
        <v>16.850000000000001</v>
      </c>
      <c r="C144" s="12">
        <v>13.45</v>
      </c>
      <c r="D144" s="12">
        <v>432.76</v>
      </c>
      <c r="E144" s="12">
        <v>41.31</v>
      </c>
      <c r="F144" s="12">
        <v>505.46</v>
      </c>
      <c r="G144" s="12">
        <v>160.34</v>
      </c>
      <c r="H144" s="12">
        <v>9</v>
      </c>
      <c r="I144" s="12">
        <v>70.434659999999994</v>
      </c>
      <c r="J144">
        <f t="shared" si="19"/>
        <v>-8.2401412595642931E-3</v>
      </c>
      <c r="K144">
        <f t="shared" si="20"/>
        <v>-3.7037037037037646E-3</v>
      </c>
      <c r="L144">
        <f t="shared" si="21"/>
        <v>-1.9640713136850674E-2</v>
      </c>
      <c r="M144">
        <f t="shared" si="22"/>
        <v>-1.0064701653486607E-2</v>
      </c>
      <c r="N144">
        <f t="shared" si="23"/>
        <v>-6.8377411875663041E-3</v>
      </c>
      <c r="O144">
        <f t="shared" si="24"/>
        <v>-1.9917838914477182E-3</v>
      </c>
      <c r="P144">
        <f t="shared" si="25"/>
        <v>-2.2172949002217113E-3</v>
      </c>
      <c r="Q144">
        <f t="shared" si="26"/>
        <v>-5.5263549142287038E-3</v>
      </c>
      <c r="R144" s="15">
        <f t="shared" si="27"/>
        <v>-6.8631513537760255E-3</v>
      </c>
    </row>
    <row r="145" spans="1:18" x14ac:dyDescent="0.2">
      <c r="A145" s="13">
        <v>45840</v>
      </c>
      <c r="B145" s="14">
        <v>16.989999999999998</v>
      </c>
      <c r="C145" s="14">
        <v>13.5</v>
      </c>
      <c r="D145" s="14">
        <v>441.43</v>
      </c>
      <c r="E145" s="14">
        <v>41.73</v>
      </c>
      <c r="F145" s="14">
        <v>508.94</v>
      </c>
      <c r="G145" s="14">
        <v>160.66</v>
      </c>
      <c r="H145" s="14">
        <v>9.02</v>
      </c>
      <c r="I145" s="14">
        <v>70.826070000000001</v>
      </c>
      <c r="J145">
        <f t="shared" si="19"/>
        <v>9.5068330362448883E-3</v>
      </c>
      <c r="K145">
        <f t="shared" si="20"/>
        <v>1.5801354401805856E-2</v>
      </c>
      <c r="L145">
        <f t="shared" si="21"/>
        <v>9.0751154391259803E-3</v>
      </c>
      <c r="M145">
        <f t="shared" si="22"/>
        <v>-1.9134178426215565E-3</v>
      </c>
      <c r="N145">
        <f t="shared" si="23"/>
        <v>-1.6408016543300485E-2</v>
      </c>
      <c r="O145">
        <f t="shared" si="24"/>
        <v>1.5871008536199716E-2</v>
      </c>
      <c r="P145">
        <f t="shared" si="25"/>
        <v>0</v>
      </c>
      <c r="Q145">
        <f t="shared" si="26"/>
        <v>2.376234675596911E-2</v>
      </c>
      <c r="R145" s="15">
        <f t="shared" si="27"/>
        <v>4.0927473354098005E-3</v>
      </c>
    </row>
    <row r="146" spans="1:18" x14ac:dyDescent="0.2">
      <c r="A146" s="11">
        <v>45839</v>
      </c>
      <c r="B146" s="12">
        <v>16.829999999999998</v>
      </c>
      <c r="C146" s="12">
        <v>13.29</v>
      </c>
      <c r="D146" s="12">
        <v>437.46</v>
      </c>
      <c r="E146" s="12">
        <v>41.81</v>
      </c>
      <c r="F146" s="12">
        <v>517.42999999999995</v>
      </c>
      <c r="G146" s="12">
        <v>158.15</v>
      </c>
      <c r="H146" s="12">
        <v>9.02</v>
      </c>
      <c r="I146" s="12">
        <v>69.182140000000004</v>
      </c>
      <c r="J146">
        <f t="shared" si="19"/>
        <v>2.9797377830749205E-3</v>
      </c>
      <c r="K146">
        <f t="shared" si="20"/>
        <v>2.6254826254826336E-2</v>
      </c>
      <c r="L146">
        <f t="shared" si="21"/>
        <v>1.5624637243748962E-2</v>
      </c>
      <c r="M146">
        <f t="shared" si="22"/>
        <v>1.6780155642023509E-2</v>
      </c>
      <c r="N146">
        <f t="shared" si="23"/>
        <v>-8.2798275035937952E-3</v>
      </c>
      <c r="O146">
        <f t="shared" si="24"/>
        <v>1.9533264569365549E-2</v>
      </c>
      <c r="P146">
        <f t="shared" si="25"/>
        <v>1.5765765765765716E-2</v>
      </c>
      <c r="Q146">
        <f t="shared" si="26"/>
        <v>-3.1020607900162922E-3</v>
      </c>
      <c r="R146" s="15">
        <f t="shared" si="27"/>
        <v>9.9394889686442289E-3</v>
      </c>
    </row>
    <row r="147" spans="1:18" x14ac:dyDescent="0.2">
      <c r="A147" s="13">
        <v>45838</v>
      </c>
      <c r="B147" s="14">
        <v>16.78</v>
      </c>
      <c r="C147" s="14">
        <v>12.95</v>
      </c>
      <c r="D147" s="14">
        <v>430.73</v>
      </c>
      <c r="E147" s="14">
        <v>41.12</v>
      </c>
      <c r="F147" s="14">
        <v>521.75</v>
      </c>
      <c r="G147" s="14">
        <v>155.12</v>
      </c>
      <c r="H147" s="14">
        <v>8.8800000000000008</v>
      </c>
      <c r="I147" s="14">
        <v>69.397414999999995</v>
      </c>
      <c r="J147">
        <f t="shared" si="19"/>
        <v>2.0681265206812682E-2</v>
      </c>
      <c r="K147">
        <f t="shared" si="20"/>
        <v>5.4347826086955653E-3</v>
      </c>
      <c r="L147">
        <f t="shared" si="21"/>
        <v>8.4755683547563798E-3</v>
      </c>
      <c r="M147">
        <f t="shared" si="22"/>
        <v>-2.4260067928190132E-3</v>
      </c>
      <c r="N147">
        <f t="shared" si="23"/>
        <v>5.2403332190330332E-2</v>
      </c>
      <c r="O147">
        <f t="shared" si="24"/>
        <v>-2.1077874542471342E-2</v>
      </c>
      <c r="P147">
        <f t="shared" si="25"/>
        <v>2.2573363431153126E-3</v>
      </c>
      <c r="Q147">
        <f t="shared" si="26"/>
        <v>-1.3218459531136206E-2</v>
      </c>
      <c r="R147" s="15">
        <f t="shared" si="27"/>
        <v>1.0431122634580669E-2</v>
      </c>
    </row>
    <row r="148" spans="1:18" x14ac:dyDescent="0.2">
      <c r="A148" s="11">
        <v>45835</v>
      </c>
      <c r="B148" s="12">
        <v>16.440000000000001</v>
      </c>
      <c r="C148" s="12">
        <v>12.88</v>
      </c>
      <c r="D148" s="12">
        <v>427.11</v>
      </c>
      <c r="E148" s="12">
        <v>41.22</v>
      </c>
      <c r="F148" s="12">
        <v>495.77</v>
      </c>
      <c r="G148" s="12">
        <v>158.46</v>
      </c>
      <c r="H148" s="12">
        <v>8.86</v>
      </c>
      <c r="I148" s="12">
        <v>70.327029999999993</v>
      </c>
      <c r="J148">
        <f t="shared" si="19"/>
        <v>-7.8455039227518508E-3</v>
      </c>
      <c r="K148">
        <f t="shared" si="20"/>
        <v>-6.9390902081727379E-3</v>
      </c>
      <c r="L148">
        <f t="shared" si="21"/>
        <v>3.1708004509582999E-3</v>
      </c>
      <c r="M148">
        <f t="shared" si="22"/>
        <v>-3.8936815108416956E-2</v>
      </c>
      <c r="N148">
        <f t="shared" si="23"/>
        <v>-7.1892021787889338E-3</v>
      </c>
      <c r="O148">
        <f t="shared" si="24"/>
        <v>6.0313630880579616E-3</v>
      </c>
      <c r="P148">
        <f t="shared" si="25"/>
        <v>3.5046728971962482E-2</v>
      </c>
      <c r="Q148">
        <f t="shared" si="26"/>
        <v>2.4226983993829387E-2</v>
      </c>
      <c r="R148" s="15">
        <f t="shared" si="27"/>
        <v>2.7160034771607326E-3</v>
      </c>
    </row>
    <row r="149" spans="1:18" x14ac:dyDescent="0.2">
      <c r="A149" s="13">
        <v>45834</v>
      </c>
      <c r="B149" s="14">
        <v>16.57</v>
      </c>
      <c r="C149" s="14">
        <v>12.97</v>
      </c>
      <c r="D149" s="14">
        <v>425.76</v>
      </c>
      <c r="E149" s="14">
        <v>42.89</v>
      </c>
      <c r="F149" s="14">
        <v>499.36</v>
      </c>
      <c r="G149" s="14">
        <v>157.51</v>
      </c>
      <c r="H149" s="14">
        <v>8.56</v>
      </c>
      <c r="I149" s="14">
        <v>68.663520000000005</v>
      </c>
      <c r="J149">
        <f t="shared" si="19"/>
        <v>9.7501523461305251E-3</v>
      </c>
      <c r="K149">
        <f t="shared" si="20"/>
        <v>1.2490241998438734E-2</v>
      </c>
      <c r="L149">
        <f t="shared" si="21"/>
        <v>5.1703378426233293E-3</v>
      </c>
      <c r="M149">
        <f t="shared" si="22"/>
        <v>3.4491075735648913E-2</v>
      </c>
      <c r="N149">
        <f t="shared" si="23"/>
        <v>2.7976202729687039E-2</v>
      </c>
      <c r="O149">
        <f t="shared" si="24"/>
        <v>-1.9972623195619765E-2</v>
      </c>
      <c r="P149">
        <f t="shared" si="25"/>
        <v>3.0084235860409203E-2</v>
      </c>
      <c r="Q149">
        <f t="shared" si="26"/>
        <v>1.357785179334603E-2</v>
      </c>
      <c r="R149" s="15">
        <f t="shared" si="27"/>
        <v>1.515795973042666E-2</v>
      </c>
    </row>
    <row r="150" spans="1:18" x14ac:dyDescent="0.2">
      <c r="A150" s="11">
        <v>45833</v>
      </c>
      <c r="B150" s="12">
        <v>16.41</v>
      </c>
      <c r="C150" s="12">
        <v>12.81</v>
      </c>
      <c r="D150" s="12">
        <v>423.57</v>
      </c>
      <c r="E150" s="12">
        <v>41.46</v>
      </c>
      <c r="F150" s="12">
        <v>485.77</v>
      </c>
      <c r="G150" s="12">
        <v>160.72</v>
      </c>
      <c r="H150" s="12">
        <v>8.31</v>
      </c>
      <c r="I150" s="12">
        <v>67.743706000000003</v>
      </c>
      <c r="J150">
        <f t="shared" si="19"/>
        <v>2.4434941967013124E-3</v>
      </c>
      <c r="K150">
        <f t="shared" si="20"/>
        <v>-2.8809704321455576E-2</v>
      </c>
      <c r="L150">
        <f t="shared" si="21"/>
        <v>1.4441730133639918E-2</v>
      </c>
      <c r="M150">
        <f t="shared" si="22"/>
        <v>2.4177949709864865E-3</v>
      </c>
      <c r="N150">
        <f t="shared" si="23"/>
        <v>8.930982200344717E-3</v>
      </c>
      <c r="O150">
        <f t="shared" si="24"/>
        <v>3.6218308979643066E-3</v>
      </c>
      <c r="P150">
        <f t="shared" si="25"/>
        <v>-2.0047169811320709E-2</v>
      </c>
      <c r="Q150">
        <f t="shared" si="26"/>
        <v>-1.5861737713911417E-3</v>
      </c>
      <c r="R150" s="15">
        <f t="shared" si="27"/>
        <v>-2.175328958046853E-3</v>
      </c>
    </row>
    <row r="151" spans="1:18" x14ac:dyDescent="0.2">
      <c r="A151" s="13">
        <v>45832</v>
      </c>
      <c r="B151" s="14">
        <v>16.37</v>
      </c>
      <c r="C151" s="14">
        <v>13.19</v>
      </c>
      <c r="D151" s="14">
        <v>417.54</v>
      </c>
      <c r="E151" s="14">
        <v>41.36</v>
      </c>
      <c r="F151" s="14">
        <v>481.47</v>
      </c>
      <c r="G151" s="14">
        <v>160.13999999999999</v>
      </c>
      <c r="H151" s="14">
        <v>8.48</v>
      </c>
      <c r="I151" s="14">
        <v>67.851330000000004</v>
      </c>
      <c r="J151">
        <f t="shared" si="19"/>
        <v>8.0049261083745549E-3</v>
      </c>
      <c r="K151">
        <f t="shared" si="20"/>
        <v>1.7746913580246826E-2</v>
      </c>
      <c r="L151">
        <f t="shared" si="21"/>
        <v>2.6414369416962735E-3</v>
      </c>
      <c r="M151">
        <f t="shared" si="22"/>
        <v>1.8468357547402059E-2</v>
      </c>
      <c r="N151">
        <f t="shared" si="23"/>
        <v>1.7477061356969692E-3</v>
      </c>
      <c r="O151">
        <f t="shared" si="24"/>
        <v>9.3917428301291128E-3</v>
      </c>
      <c r="P151">
        <f t="shared" si="25"/>
        <v>1.9230769230769162E-2</v>
      </c>
      <c r="Q151">
        <f t="shared" si="26"/>
        <v>1.1524293251319762E-2</v>
      </c>
      <c r="R151" s="15">
        <f t="shared" si="27"/>
        <v>1.044471570881763E-2</v>
      </c>
    </row>
    <row r="152" spans="1:18" x14ac:dyDescent="0.2">
      <c r="A152" s="11">
        <v>45831</v>
      </c>
      <c r="B152" s="12">
        <v>16.239999999999998</v>
      </c>
      <c r="C152" s="12">
        <v>12.96</v>
      </c>
      <c r="D152" s="12">
        <v>416.44</v>
      </c>
      <c r="E152" s="12">
        <v>40.61</v>
      </c>
      <c r="F152" s="12">
        <v>480.63</v>
      </c>
      <c r="G152" s="12">
        <v>158.65</v>
      </c>
      <c r="H152" s="12">
        <v>8.32</v>
      </c>
      <c r="I152" s="12">
        <v>67.078299999999999</v>
      </c>
      <c r="J152">
        <f t="shared" si="19"/>
        <v>3.0883261272389717E-3</v>
      </c>
      <c r="K152">
        <f t="shared" si="20"/>
        <v>-2.3094688221708681E-3</v>
      </c>
      <c r="L152">
        <f t="shared" si="21"/>
        <v>6.3555738140692597E-3</v>
      </c>
      <c r="M152">
        <f t="shared" si="22"/>
        <v>1.2718204488777918E-2</v>
      </c>
      <c r="N152">
        <f t="shared" si="23"/>
        <v>-1.2207904309760154E-2</v>
      </c>
      <c r="O152">
        <f t="shared" si="24"/>
        <v>5.8965254882070717E-3</v>
      </c>
      <c r="P152">
        <f t="shared" si="25"/>
        <v>3.6114570361145848E-2</v>
      </c>
      <c r="Q152">
        <f t="shared" si="26"/>
        <v>4.3788910011111071E-4</v>
      </c>
      <c r="R152" s="15">
        <f t="shared" si="27"/>
        <v>6.336693534121687E-3</v>
      </c>
    </row>
    <row r="153" spans="1:18" x14ac:dyDescent="0.2">
      <c r="A153" s="13">
        <v>45828</v>
      </c>
      <c r="B153" s="14">
        <v>16.190000000000001</v>
      </c>
      <c r="C153" s="14">
        <v>12.99</v>
      </c>
      <c r="D153" s="14">
        <v>413.81</v>
      </c>
      <c r="E153" s="14">
        <v>40.1</v>
      </c>
      <c r="F153" s="14">
        <v>486.57</v>
      </c>
      <c r="G153" s="14">
        <v>157.72</v>
      </c>
      <c r="H153" s="14">
        <v>8.0299999999999994</v>
      </c>
      <c r="I153" s="14">
        <v>67.048940000000002</v>
      </c>
      <c r="J153">
        <f t="shared" si="19"/>
        <v>3.0978934324659146E-3</v>
      </c>
      <c r="K153">
        <f t="shared" si="20"/>
        <v>3.8639876352395408E-3</v>
      </c>
      <c r="L153">
        <f t="shared" si="21"/>
        <v>1.5708990942784773E-2</v>
      </c>
      <c r="M153">
        <f t="shared" si="22"/>
        <v>4.1287977148792621E-2</v>
      </c>
      <c r="N153">
        <f t="shared" si="23"/>
        <v>-8.0122324159022096E-3</v>
      </c>
      <c r="O153">
        <f t="shared" si="24"/>
        <v>-7.8631188274517205E-3</v>
      </c>
      <c r="P153">
        <f t="shared" si="25"/>
        <v>5.0062578222778154E-3</v>
      </c>
      <c r="Q153">
        <f t="shared" si="26"/>
        <v>-2.2539302559322572E-2</v>
      </c>
      <c r="R153" s="15">
        <f t="shared" si="27"/>
        <v>2.5383811528578489E-3</v>
      </c>
    </row>
    <row r="154" spans="1:18" x14ac:dyDescent="0.2">
      <c r="A154" s="11">
        <v>45827</v>
      </c>
      <c r="B154" s="12">
        <v>16.14</v>
      </c>
      <c r="C154" s="12">
        <v>12.94</v>
      </c>
      <c r="D154" s="12">
        <v>407.41</v>
      </c>
      <c r="E154" s="12">
        <v>38.51</v>
      </c>
      <c r="F154" s="12">
        <v>490.5</v>
      </c>
      <c r="G154" s="12">
        <v>158.97</v>
      </c>
      <c r="H154" s="12">
        <v>7.99</v>
      </c>
      <c r="I154" s="12">
        <v>68.595023999999995</v>
      </c>
      <c r="J154">
        <f t="shared" si="19"/>
        <v>-1.46520146520146E-2</v>
      </c>
      <c r="K154">
        <f t="shared" si="20"/>
        <v>-9.1883614088821286E-3</v>
      </c>
      <c r="L154">
        <f t="shared" si="21"/>
        <v>-4.2086948343561081E-2</v>
      </c>
      <c r="M154">
        <f t="shared" si="22"/>
        <v>-2.9241240231913324E-2</v>
      </c>
      <c r="N154">
        <f t="shared" si="23"/>
        <v>-2.1700107702740445E-2</v>
      </c>
      <c r="O154">
        <f t="shared" si="24"/>
        <v>2.4423250418868392E-2</v>
      </c>
      <c r="P154">
        <f t="shared" si="25"/>
        <v>-2.3227383863080653E-2</v>
      </c>
      <c r="Q154">
        <f t="shared" si="26"/>
        <v>9.0686547447687005E-3</v>
      </c>
      <c r="R154" s="15">
        <f t="shared" si="27"/>
        <v>-1.4225956785313864E-2</v>
      </c>
    </row>
    <row r="155" spans="1:18" x14ac:dyDescent="0.2">
      <c r="A155" s="13">
        <v>45826</v>
      </c>
      <c r="B155" s="14">
        <v>16.38</v>
      </c>
      <c r="C155" s="14">
        <v>13.06</v>
      </c>
      <c r="D155" s="14">
        <v>425.31</v>
      </c>
      <c r="E155" s="14">
        <v>39.67</v>
      </c>
      <c r="F155" s="14">
        <v>501.38</v>
      </c>
      <c r="G155" s="14">
        <v>155.18</v>
      </c>
      <c r="H155" s="14">
        <v>8.18</v>
      </c>
      <c r="I155" s="14">
        <v>67.978549999999998</v>
      </c>
      <c r="J155">
        <f t="shared" si="19"/>
        <v>1.8348623853210455E-3</v>
      </c>
      <c r="K155">
        <f t="shared" si="20"/>
        <v>7.7160493827159726E-3</v>
      </c>
      <c r="L155">
        <f t="shared" si="21"/>
        <v>1.7665347654041152E-3</v>
      </c>
      <c r="M155">
        <f t="shared" si="22"/>
        <v>1.3541134389371434E-2</v>
      </c>
      <c r="N155">
        <f t="shared" si="23"/>
        <v>-7.6792146617582491E-3</v>
      </c>
      <c r="O155">
        <f t="shared" si="24"/>
        <v>-1.560517635117975E-2</v>
      </c>
      <c r="P155">
        <f t="shared" si="25"/>
        <v>-2.9655990510083052E-2</v>
      </c>
      <c r="Q155">
        <f t="shared" si="26"/>
        <v>1.9219397427278295E-2</v>
      </c>
      <c r="R155" s="15">
        <f t="shared" si="27"/>
        <v>-4.875085670849889E-3</v>
      </c>
    </row>
    <row r="156" spans="1:18" x14ac:dyDescent="0.2">
      <c r="A156" s="11">
        <v>45825</v>
      </c>
      <c r="B156" s="12">
        <v>16.350000000000001</v>
      </c>
      <c r="C156" s="12">
        <v>12.96</v>
      </c>
      <c r="D156" s="12">
        <v>424.56</v>
      </c>
      <c r="E156" s="12">
        <v>39.14</v>
      </c>
      <c r="F156" s="12">
        <v>505.26</v>
      </c>
      <c r="G156" s="12">
        <v>157.63999999999999</v>
      </c>
      <c r="H156" s="12">
        <v>8.43</v>
      </c>
      <c r="I156" s="12">
        <v>66.696680000000001</v>
      </c>
      <c r="J156">
        <f t="shared" si="19"/>
        <v>-7.2859744990890762E-3</v>
      </c>
      <c r="K156">
        <f t="shared" si="20"/>
        <v>-5.372217958557024E-3</v>
      </c>
      <c r="L156">
        <f t="shared" si="21"/>
        <v>-1.4804845222072704E-2</v>
      </c>
      <c r="M156">
        <f t="shared" si="22"/>
        <v>1.0064516129032253E-2</v>
      </c>
      <c r="N156">
        <f t="shared" si="23"/>
        <v>1.5618404390038032E-2</v>
      </c>
      <c r="O156">
        <f t="shared" si="24"/>
        <v>-7.6064908722117686E-4</v>
      </c>
      <c r="P156">
        <f t="shared" si="25"/>
        <v>-3.436426116838498E-2</v>
      </c>
      <c r="Q156">
        <f t="shared" si="26"/>
        <v>-1.574001551725468E-2</v>
      </c>
      <c r="R156" s="15">
        <f t="shared" si="27"/>
        <v>-5.9723485007130211E-3</v>
      </c>
    </row>
    <row r="157" spans="1:18" x14ac:dyDescent="0.2">
      <c r="A157" s="13">
        <v>45824</v>
      </c>
      <c r="B157" s="14">
        <v>16.47</v>
      </c>
      <c r="C157" s="14">
        <v>13.03</v>
      </c>
      <c r="D157" s="14">
        <v>430.94</v>
      </c>
      <c r="E157" s="14">
        <v>38.75</v>
      </c>
      <c r="F157" s="14">
        <v>497.49</v>
      </c>
      <c r="G157" s="14">
        <v>157.76</v>
      </c>
      <c r="H157" s="14">
        <v>8.73</v>
      </c>
      <c r="I157" s="14">
        <v>67.763274999999993</v>
      </c>
      <c r="J157">
        <f t="shared" si="19"/>
        <v>3.6563071297988081E-3</v>
      </c>
      <c r="K157">
        <f t="shared" si="20"/>
        <v>1.3219284603421366E-2</v>
      </c>
      <c r="L157">
        <f t="shared" si="21"/>
        <v>-1.0084303861438437E-2</v>
      </c>
      <c r="M157">
        <f t="shared" si="22"/>
        <v>-1.1731701096658997E-2</v>
      </c>
      <c r="N157">
        <f t="shared" si="23"/>
        <v>-5.9422975119110544E-2</v>
      </c>
      <c r="O157">
        <f t="shared" si="24"/>
        <v>-1.1590752459119225E-2</v>
      </c>
      <c r="P157">
        <f t="shared" si="25"/>
        <v>1.985981308411211E-2</v>
      </c>
      <c r="Q157">
        <f t="shared" si="26"/>
        <v>-6.1710772097942623E-3</v>
      </c>
      <c r="R157" s="15">
        <f t="shared" si="27"/>
        <v>-1.1738391757086054E-2</v>
      </c>
    </row>
    <row r="158" spans="1:18" x14ac:dyDescent="0.2">
      <c r="A158" s="11">
        <v>45821</v>
      </c>
      <c r="B158" s="12">
        <v>16.41</v>
      </c>
      <c r="C158" s="12">
        <v>12.86</v>
      </c>
      <c r="D158" s="12">
        <v>435.33</v>
      </c>
      <c r="E158" s="12">
        <v>39.21</v>
      </c>
      <c r="F158" s="12">
        <v>528.91999999999996</v>
      </c>
      <c r="G158" s="12">
        <v>159.61000000000001</v>
      </c>
      <c r="H158" s="12">
        <v>8.56</v>
      </c>
      <c r="I158" s="12">
        <v>68.184044</v>
      </c>
      <c r="J158">
        <f t="shared" si="19"/>
        <v>3.0562347188265448E-3</v>
      </c>
      <c r="K158">
        <f t="shared" si="20"/>
        <v>-3.308270676691738E-2</v>
      </c>
      <c r="L158">
        <f t="shared" si="21"/>
        <v>-1.2386850881372147E-2</v>
      </c>
      <c r="M158">
        <f t="shared" si="22"/>
        <v>-2.8974739970282326E-2</v>
      </c>
      <c r="N158">
        <f t="shared" si="23"/>
        <v>3.071166887520449E-2</v>
      </c>
      <c r="O158">
        <f t="shared" si="24"/>
        <v>8.1514923501391223E-4</v>
      </c>
      <c r="P158">
        <f t="shared" si="25"/>
        <v>-4.0358744394618729E-2</v>
      </c>
      <c r="Q158">
        <f t="shared" si="26"/>
        <v>-7.4072607535541346E-3</v>
      </c>
      <c r="R158" s="15">
        <f t="shared" si="27"/>
        <v>-8.37874372061948E-3</v>
      </c>
    </row>
    <row r="159" spans="1:18" x14ac:dyDescent="0.2">
      <c r="A159" s="13">
        <v>45820</v>
      </c>
      <c r="B159" s="14">
        <v>16.36</v>
      </c>
      <c r="C159" s="14">
        <v>13.3</v>
      </c>
      <c r="D159" s="14">
        <v>440.79</v>
      </c>
      <c r="E159" s="14">
        <v>40.380000000000003</v>
      </c>
      <c r="F159" s="14">
        <v>513.16</v>
      </c>
      <c r="G159" s="14">
        <v>159.47999999999999</v>
      </c>
      <c r="H159" s="14">
        <v>8.92</v>
      </c>
      <c r="I159" s="14">
        <v>68.692869999999999</v>
      </c>
      <c r="J159">
        <f t="shared" si="19"/>
        <v>1.3630731102850069E-2</v>
      </c>
      <c r="K159">
        <f t="shared" si="20"/>
        <v>6.0514372163389396E-3</v>
      </c>
      <c r="L159">
        <f t="shared" si="21"/>
        <v>-1.5610344365536544E-2</v>
      </c>
      <c r="M159">
        <f t="shared" si="22"/>
        <v>-7.862407862407883E-3</v>
      </c>
      <c r="N159">
        <f t="shared" si="23"/>
        <v>1.8700123079366193E-2</v>
      </c>
      <c r="O159">
        <f t="shared" si="24"/>
        <v>2.5774816118688815E-3</v>
      </c>
      <c r="P159">
        <f t="shared" si="25"/>
        <v>5.636978579481422E-3</v>
      </c>
      <c r="Q159">
        <f t="shared" si="26"/>
        <v>-1.9142135773386082E-2</v>
      </c>
      <c r="R159" s="15">
        <f t="shared" si="27"/>
        <v>2.8900473195136935E-3</v>
      </c>
    </row>
    <row r="160" spans="1:18" x14ac:dyDescent="0.2">
      <c r="A160" s="11">
        <v>45819</v>
      </c>
      <c r="B160" s="12">
        <v>16.14</v>
      </c>
      <c r="C160" s="12">
        <v>13.22</v>
      </c>
      <c r="D160" s="12">
        <v>447.78</v>
      </c>
      <c r="E160" s="12">
        <v>40.700000000000003</v>
      </c>
      <c r="F160" s="12">
        <v>503.74</v>
      </c>
      <c r="G160" s="12">
        <v>159.07</v>
      </c>
      <c r="H160" s="12">
        <v>8.8699999999999992</v>
      </c>
      <c r="I160" s="12">
        <v>70.033460000000005</v>
      </c>
      <c r="J160">
        <f t="shared" si="19"/>
        <v>-3.7037037037036535E-3</v>
      </c>
      <c r="K160">
        <f t="shared" si="20"/>
        <v>-3.7678975131875125E-3</v>
      </c>
      <c r="L160">
        <f t="shared" si="21"/>
        <v>-5.3091054490527201E-3</v>
      </c>
      <c r="M160">
        <f t="shared" si="22"/>
        <v>-1.3811485340440965E-2</v>
      </c>
      <c r="N160">
        <f t="shared" si="23"/>
        <v>4.8473000738067373E-3</v>
      </c>
      <c r="O160">
        <f t="shared" si="24"/>
        <v>-6.8677030654928917E-3</v>
      </c>
      <c r="P160">
        <f t="shared" si="25"/>
        <v>-5.1336898395721975E-2</v>
      </c>
      <c r="Q160">
        <f t="shared" si="26"/>
        <v>4.192745180881019E-2</v>
      </c>
      <c r="R160" s="15">
        <f t="shared" si="27"/>
        <v>-7.9075133535104446E-3</v>
      </c>
    </row>
    <row r="161" spans="1:18" x14ac:dyDescent="0.2">
      <c r="A161" s="13">
        <v>45818</v>
      </c>
      <c r="B161" s="14">
        <v>16.2</v>
      </c>
      <c r="C161" s="14">
        <v>13.27</v>
      </c>
      <c r="D161" s="14">
        <v>450.17</v>
      </c>
      <c r="E161" s="14">
        <v>41.27</v>
      </c>
      <c r="F161" s="14">
        <v>501.31</v>
      </c>
      <c r="G161" s="14">
        <v>160.16999999999999</v>
      </c>
      <c r="H161" s="14">
        <v>9.35</v>
      </c>
      <c r="I161" s="14">
        <v>67.215294</v>
      </c>
      <c r="J161">
        <f t="shared" si="19"/>
        <v>1.4402003757044479E-2</v>
      </c>
      <c r="K161">
        <f t="shared" si="20"/>
        <v>2.7089783281733615E-2</v>
      </c>
      <c r="L161">
        <f t="shared" si="21"/>
        <v>-2.8353084505481352E-3</v>
      </c>
      <c r="M161">
        <f t="shared" si="22"/>
        <v>-1.2206797510770695E-2</v>
      </c>
      <c r="N161">
        <f t="shared" si="23"/>
        <v>-7.6213476918204348E-3</v>
      </c>
      <c r="O161">
        <f t="shared" si="24"/>
        <v>1.4440433212996373E-2</v>
      </c>
      <c r="P161">
        <f t="shared" si="25"/>
        <v>-8.4835630965005571E-3</v>
      </c>
      <c r="Q161">
        <f t="shared" si="26"/>
        <v>-9.5168780002452547E-3</v>
      </c>
      <c r="R161" s="15">
        <f t="shared" si="27"/>
        <v>9.108093396316036E-4</v>
      </c>
    </row>
    <row r="162" spans="1:18" x14ac:dyDescent="0.2">
      <c r="A162" s="11">
        <v>45817</v>
      </c>
      <c r="B162" s="12">
        <v>15.97</v>
      </c>
      <c r="C162" s="12">
        <v>12.92</v>
      </c>
      <c r="D162" s="12">
        <v>451.45</v>
      </c>
      <c r="E162" s="12">
        <v>41.78</v>
      </c>
      <c r="F162" s="12">
        <v>505.16</v>
      </c>
      <c r="G162" s="12">
        <v>157.88999999999999</v>
      </c>
      <c r="H162" s="12">
        <v>9.43</v>
      </c>
      <c r="I162" s="12">
        <v>67.86112</v>
      </c>
      <c r="J162">
        <f t="shared" si="19"/>
        <v>-1.4197530864197394E-2</v>
      </c>
      <c r="K162">
        <f t="shared" si="20"/>
        <v>7.7459333849727585E-4</v>
      </c>
      <c r="L162">
        <f t="shared" si="21"/>
        <v>-1.4387389747620327E-2</v>
      </c>
      <c r="M162">
        <f t="shared" si="22"/>
        <v>-1.6478342749529085E-2</v>
      </c>
      <c r="N162">
        <f t="shared" si="23"/>
        <v>2.9090612777053604E-2</v>
      </c>
      <c r="O162">
        <f t="shared" si="24"/>
        <v>4.9007128309570547E-3</v>
      </c>
      <c r="P162">
        <f t="shared" si="25"/>
        <v>1.1802575107296098E-2</v>
      </c>
      <c r="Q162">
        <f t="shared" si="26"/>
        <v>-9.9929828246975161E-3</v>
      </c>
      <c r="R162" s="15">
        <f t="shared" si="27"/>
        <v>3.7419928027066316E-3</v>
      </c>
    </row>
    <row r="163" spans="1:18" x14ac:dyDescent="0.2">
      <c r="A163" s="13">
        <v>45814</v>
      </c>
      <c r="B163" s="14">
        <v>16.2</v>
      </c>
      <c r="C163" s="14">
        <v>12.91</v>
      </c>
      <c r="D163" s="14">
        <v>458.04</v>
      </c>
      <c r="E163" s="14">
        <v>42.48</v>
      </c>
      <c r="F163" s="14">
        <v>490.88</v>
      </c>
      <c r="G163" s="14">
        <v>157.12</v>
      </c>
      <c r="H163" s="14">
        <v>9.32</v>
      </c>
      <c r="I163" s="14">
        <v>68.546099999999996</v>
      </c>
      <c r="J163">
        <f t="shared" si="19"/>
        <v>1.5037593984962294E-2</v>
      </c>
      <c r="K163">
        <f t="shared" si="20"/>
        <v>-1.2996941896024405E-2</v>
      </c>
      <c r="L163">
        <f t="shared" si="21"/>
        <v>1.8432462479155198E-2</v>
      </c>
      <c r="M163">
        <f t="shared" si="22"/>
        <v>3.9902080783353666E-2</v>
      </c>
      <c r="N163">
        <f t="shared" si="23"/>
        <v>5.3413163372604489E-2</v>
      </c>
      <c r="O163">
        <f t="shared" si="24"/>
        <v>-3.551496702181689E-3</v>
      </c>
      <c r="P163">
        <f t="shared" si="25"/>
        <v>8.6580086580085869E-3</v>
      </c>
      <c r="Q163">
        <f t="shared" si="26"/>
        <v>2.1137025913328999E-2</v>
      </c>
      <c r="R163" s="15">
        <f t="shared" si="27"/>
        <v>1.945880499310404E-2</v>
      </c>
    </row>
    <row r="164" spans="1:18" x14ac:dyDescent="0.2">
      <c r="A164" s="11">
        <v>45813</v>
      </c>
      <c r="B164" s="12">
        <v>15.96</v>
      </c>
      <c r="C164" s="12">
        <v>13.08</v>
      </c>
      <c r="D164" s="12">
        <v>449.75</v>
      </c>
      <c r="E164" s="12">
        <v>40.85</v>
      </c>
      <c r="F164" s="12">
        <v>465.99</v>
      </c>
      <c r="G164" s="12">
        <v>157.68</v>
      </c>
      <c r="H164" s="12">
        <v>9.24</v>
      </c>
      <c r="I164" s="12">
        <v>67.127229999999997</v>
      </c>
      <c r="J164">
        <f t="shared" si="19"/>
        <v>-7.4626865671639786E-3</v>
      </c>
      <c r="K164">
        <f t="shared" si="20"/>
        <v>3.0674846625766694E-3</v>
      </c>
      <c r="L164">
        <f t="shared" si="21"/>
        <v>1.0424389476758611E-2</v>
      </c>
      <c r="M164">
        <f t="shared" si="22"/>
        <v>7.3982737361284467E-3</v>
      </c>
      <c r="N164">
        <f t="shared" si="23"/>
        <v>0.10157912155453652</v>
      </c>
      <c r="O164">
        <f t="shared" si="24"/>
        <v>1.388888888888884E-2</v>
      </c>
      <c r="P164">
        <f t="shared" si="25"/>
        <v>3.2573289902280145E-3</v>
      </c>
      <c r="Q164">
        <f t="shared" si="26"/>
        <v>-1.2523362148795458E-2</v>
      </c>
      <c r="R164" s="15">
        <f t="shared" si="27"/>
        <v>2.4485116688305136E-2</v>
      </c>
    </row>
    <row r="165" spans="1:18" x14ac:dyDescent="0.2">
      <c r="A165" s="13">
        <v>45812</v>
      </c>
      <c r="B165" s="14">
        <v>16.079999999999998</v>
      </c>
      <c r="C165" s="14">
        <v>13.04</v>
      </c>
      <c r="D165" s="14">
        <v>445.11</v>
      </c>
      <c r="E165" s="14">
        <v>40.549999999999997</v>
      </c>
      <c r="F165" s="14">
        <v>423.02</v>
      </c>
      <c r="G165" s="14">
        <v>155.52000000000001</v>
      </c>
      <c r="H165" s="14">
        <v>9.2100000000000009</v>
      </c>
      <c r="I165" s="14">
        <v>67.978549999999998</v>
      </c>
      <c r="J165">
        <f t="shared" si="19"/>
        <v>-1.5911872705018482E-2</v>
      </c>
      <c r="K165">
        <f t="shared" si="20"/>
        <v>-4.5801526717557106E-3</v>
      </c>
      <c r="L165">
        <f t="shared" si="21"/>
        <v>1.1268885607179424E-2</v>
      </c>
      <c r="M165">
        <f t="shared" si="22"/>
        <v>4.4587565023532783E-3</v>
      </c>
      <c r="N165">
        <f t="shared" si="23"/>
        <v>4.2494599150106893E-3</v>
      </c>
      <c r="O165">
        <f t="shared" si="24"/>
        <v>-1.5135203596985503E-2</v>
      </c>
      <c r="P165">
        <f t="shared" si="25"/>
        <v>1.3201320132013361E-2</v>
      </c>
      <c r="Q165">
        <f t="shared" si="26"/>
        <v>-3.5004749842570959E-2</v>
      </c>
      <c r="R165" s="15">
        <f t="shared" si="27"/>
        <v>-1.8059097386104116E-3</v>
      </c>
    </row>
    <row r="166" spans="1:18" x14ac:dyDescent="0.2">
      <c r="A166" s="11">
        <v>45811</v>
      </c>
      <c r="B166" s="12">
        <v>16.34</v>
      </c>
      <c r="C166" s="12">
        <v>13.1</v>
      </c>
      <c r="D166" s="12">
        <v>440.15</v>
      </c>
      <c r="E166" s="12">
        <v>40.369999999999997</v>
      </c>
      <c r="F166" s="12">
        <v>421.23</v>
      </c>
      <c r="G166" s="12">
        <v>157.91</v>
      </c>
      <c r="H166" s="12">
        <v>9.09</v>
      </c>
      <c r="I166" s="12">
        <v>70.44444</v>
      </c>
      <c r="J166">
        <f t="shared" si="19"/>
        <v>6.1236987140245169E-4</v>
      </c>
      <c r="K166">
        <f t="shared" si="20"/>
        <v>2.2953328232593329E-3</v>
      </c>
      <c r="L166">
        <f t="shared" si="21"/>
        <v>-9.875376793989421E-3</v>
      </c>
      <c r="M166">
        <f t="shared" si="22"/>
        <v>-7.3764445537252143E-3</v>
      </c>
      <c r="N166">
        <f t="shared" si="23"/>
        <v>-1.5407224803261066E-3</v>
      </c>
      <c r="O166">
        <f t="shared" si="24"/>
        <v>2.725735102784288E-2</v>
      </c>
      <c r="P166">
        <f t="shared" si="25"/>
        <v>1.7917133258678719E-2</v>
      </c>
      <c r="Q166">
        <f t="shared" si="26"/>
        <v>-2.2176736565100441E-3</v>
      </c>
      <c r="R166" s="15">
        <f t="shared" si="27"/>
        <v>4.8135271596408237E-3</v>
      </c>
    </row>
    <row r="167" spans="1:18" x14ac:dyDescent="0.2">
      <c r="A167" s="13">
        <v>45810</v>
      </c>
      <c r="B167" s="14">
        <v>16.329999999999998</v>
      </c>
      <c r="C167" s="14">
        <v>13.07</v>
      </c>
      <c r="D167" s="14">
        <v>444.54</v>
      </c>
      <c r="E167" s="14">
        <v>40.67</v>
      </c>
      <c r="F167" s="14">
        <v>421.88</v>
      </c>
      <c r="G167" s="14">
        <v>153.72</v>
      </c>
      <c r="H167" s="14">
        <v>8.93</v>
      </c>
      <c r="I167" s="14">
        <v>70.601010000000002</v>
      </c>
      <c r="J167">
        <f t="shared" si="19"/>
        <v>-3.6607687614400586E-3</v>
      </c>
      <c r="K167">
        <f t="shared" si="20"/>
        <v>-1.5813253012048167E-2</v>
      </c>
      <c r="L167">
        <f t="shared" si="21"/>
        <v>-3.1394357985378152E-3</v>
      </c>
      <c r="M167">
        <f t="shared" si="22"/>
        <v>-3.0974505599237534E-2</v>
      </c>
      <c r="N167">
        <f t="shared" si="23"/>
        <v>2.9126213592232997E-2</v>
      </c>
      <c r="O167">
        <f t="shared" si="24"/>
        <v>1.9093078758949833E-2</v>
      </c>
      <c r="P167">
        <f t="shared" si="25"/>
        <v>-4.1845493562231773E-2</v>
      </c>
      <c r="Q167">
        <f t="shared" si="26"/>
        <v>-2.8282894458855568E-2</v>
      </c>
      <c r="R167" s="15">
        <f t="shared" si="27"/>
        <v>-5.7835867136623604E-3</v>
      </c>
    </row>
    <row r="168" spans="1:18" x14ac:dyDescent="0.2">
      <c r="A168" s="11">
        <v>45807</v>
      </c>
      <c r="B168" s="12">
        <v>16.39</v>
      </c>
      <c r="C168" s="12">
        <v>13.28</v>
      </c>
      <c r="D168" s="12">
        <v>445.94</v>
      </c>
      <c r="E168" s="12">
        <v>41.97</v>
      </c>
      <c r="F168" s="12">
        <v>409.94</v>
      </c>
      <c r="G168" s="12">
        <v>150.84</v>
      </c>
      <c r="H168" s="12">
        <v>9.32</v>
      </c>
      <c r="I168" s="12">
        <v>72.655929999999998</v>
      </c>
      <c r="J168">
        <f t="shared" si="19"/>
        <v>-1.9150209455415901E-2</v>
      </c>
      <c r="K168">
        <f t="shared" si="20"/>
        <v>-2.5678650036683903E-2</v>
      </c>
      <c r="L168">
        <f t="shared" si="21"/>
        <v>7.7056922694507257E-3</v>
      </c>
      <c r="M168">
        <f t="shared" si="22"/>
        <v>-6.8622811168953524E-3</v>
      </c>
      <c r="N168">
        <f t="shared" si="23"/>
        <v>2.8810922049892218E-2</v>
      </c>
      <c r="O168">
        <f t="shared" si="24"/>
        <v>-1.4954613726898658E-2</v>
      </c>
      <c r="P168">
        <f t="shared" si="25"/>
        <v>0</v>
      </c>
      <c r="Q168">
        <f t="shared" si="26"/>
        <v>2.4420530559995823E-2</v>
      </c>
      <c r="R168" s="15">
        <f t="shared" si="27"/>
        <v>1.860699664856223E-3</v>
      </c>
    </row>
    <row r="169" spans="1:18" x14ac:dyDescent="0.2">
      <c r="A169" s="13">
        <v>45806</v>
      </c>
      <c r="B169" s="14">
        <v>16.71</v>
      </c>
      <c r="C169" s="14">
        <v>13.63</v>
      </c>
      <c r="D169" s="14">
        <v>442.53</v>
      </c>
      <c r="E169" s="14">
        <v>42.26</v>
      </c>
      <c r="F169" s="14">
        <v>398.46</v>
      </c>
      <c r="G169" s="14">
        <v>153.13</v>
      </c>
      <c r="H169" s="14">
        <v>9.32</v>
      </c>
      <c r="I169" s="14">
        <v>70.923929999999999</v>
      </c>
      <c r="J169">
        <f t="shared" si="19"/>
        <v>-1.0071090047393261E-2</v>
      </c>
      <c r="K169">
        <f t="shared" si="20"/>
        <v>-1.3034033309196169E-2</v>
      </c>
      <c r="L169">
        <f t="shared" si="21"/>
        <v>-2.8167109829194681E-3</v>
      </c>
      <c r="M169">
        <f t="shared" si="22"/>
        <v>7.6299475441106157E-3</v>
      </c>
      <c r="N169">
        <f t="shared" si="23"/>
        <v>1.6738964021434155E-2</v>
      </c>
      <c r="O169">
        <f t="shared" si="24"/>
        <v>-1.238310222508876E-2</v>
      </c>
      <c r="P169">
        <f t="shared" si="25"/>
        <v>3.6707452725250223E-2</v>
      </c>
      <c r="Q169">
        <f t="shared" si="26"/>
        <v>1.0033554839134151E-2</v>
      </c>
      <c r="R169" s="15">
        <f t="shared" si="27"/>
        <v>6.9337585766285955E-3</v>
      </c>
    </row>
    <row r="170" spans="1:18" x14ac:dyDescent="0.2">
      <c r="A170" s="11">
        <v>45805</v>
      </c>
      <c r="B170" s="12">
        <v>16.88</v>
      </c>
      <c r="C170" s="12">
        <v>13.81</v>
      </c>
      <c r="D170" s="12">
        <v>443.78</v>
      </c>
      <c r="E170" s="12">
        <v>41.94</v>
      </c>
      <c r="F170" s="12">
        <v>391.9</v>
      </c>
      <c r="G170" s="12">
        <v>155.05000000000001</v>
      </c>
      <c r="H170" s="12">
        <v>8.99</v>
      </c>
      <c r="I170" s="12">
        <v>70.219380000000001</v>
      </c>
      <c r="J170">
        <f t="shared" si="19"/>
        <v>1.7804154302669684E-3</v>
      </c>
      <c r="K170">
        <f t="shared" si="20"/>
        <v>-5.0432276657060848E-3</v>
      </c>
      <c r="L170">
        <f t="shared" si="21"/>
        <v>2.7030779912057268E-2</v>
      </c>
      <c r="M170">
        <f t="shared" si="22"/>
        <v>-7.1479628305937126E-4</v>
      </c>
      <c r="N170">
        <f t="shared" si="23"/>
        <v>1.0025514806319302E-2</v>
      </c>
      <c r="O170">
        <f t="shared" si="24"/>
        <v>4.5167118337863243E-4</v>
      </c>
      <c r="P170">
        <f t="shared" si="25"/>
        <v>2.0431328036322416E-2</v>
      </c>
      <c r="Q170">
        <f t="shared" si="26"/>
        <v>4.1980195301221102E-3</v>
      </c>
      <c r="R170" s="15">
        <f t="shared" si="27"/>
        <v>8.7447995187498583E-3</v>
      </c>
    </row>
    <row r="171" spans="1:18" x14ac:dyDescent="0.2">
      <c r="A171" s="13">
        <v>45804</v>
      </c>
      <c r="B171" s="14">
        <v>16.850000000000001</v>
      </c>
      <c r="C171" s="14">
        <v>13.88</v>
      </c>
      <c r="D171" s="14">
        <v>432.1</v>
      </c>
      <c r="E171" s="14">
        <v>41.97</v>
      </c>
      <c r="F171" s="14">
        <v>388.01</v>
      </c>
      <c r="G171" s="14">
        <v>154.97999999999999</v>
      </c>
      <c r="H171" s="14">
        <v>8.81</v>
      </c>
      <c r="I171" s="14">
        <v>69.925830000000005</v>
      </c>
      <c r="J171">
        <f t="shared" si="19"/>
        <v>3.5735556879095132E-3</v>
      </c>
      <c r="K171">
        <f t="shared" si="20"/>
        <v>-4.3041606886655703E-3</v>
      </c>
      <c r="L171">
        <f t="shared" si="21"/>
        <v>-5.8851716326886128E-2</v>
      </c>
      <c r="M171">
        <f t="shared" si="22"/>
        <v>-3.0878859857482732E-3</v>
      </c>
      <c r="N171">
        <f t="shared" si="23"/>
        <v>-4.6400747130674103E-2</v>
      </c>
      <c r="O171">
        <f t="shared" si="24"/>
        <v>1.3802577353306589E-2</v>
      </c>
      <c r="P171">
        <f t="shared" si="25"/>
        <v>1.9675925925925819E-2</v>
      </c>
      <c r="Q171">
        <f t="shared" si="26"/>
        <v>2.5839794494709967E-2</v>
      </c>
      <c r="R171" s="15">
        <f t="shared" si="27"/>
        <v>-9.9273940196585794E-3</v>
      </c>
    </row>
    <row r="172" spans="1:18" x14ac:dyDescent="0.2">
      <c r="A172" s="11">
        <v>45803</v>
      </c>
      <c r="B172" s="12">
        <v>16.79</v>
      </c>
      <c r="C172" s="12">
        <v>13.94</v>
      </c>
      <c r="D172" s="12">
        <v>459.12</v>
      </c>
      <c r="E172" s="12">
        <v>42.1</v>
      </c>
      <c r="F172" s="12">
        <v>406.89</v>
      </c>
      <c r="G172" s="12">
        <v>152.87</v>
      </c>
      <c r="H172" s="12">
        <v>8.64</v>
      </c>
      <c r="I172" s="12">
        <v>68.164473999999998</v>
      </c>
      <c r="J172">
        <f t="shared" si="19"/>
        <v>-2.3767082590611111E-3</v>
      </c>
      <c r="K172">
        <f t="shared" si="20"/>
        <v>7.9537237888647194E-3</v>
      </c>
      <c r="L172">
        <f t="shared" si="21"/>
        <v>2.6654740608228922E-2</v>
      </c>
      <c r="M172">
        <f t="shared" si="22"/>
        <v>1.7153901908673719E-2</v>
      </c>
      <c r="N172">
        <f t="shared" si="23"/>
        <v>8.1266569212852247E-3</v>
      </c>
      <c r="O172">
        <f t="shared" si="24"/>
        <v>-1.8282729350310722E-3</v>
      </c>
      <c r="P172">
        <f t="shared" si="25"/>
        <v>1.1587485515642815E-3</v>
      </c>
      <c r="Q172">
        <f t="shared" si="26"/>
        <v>1.7528525128005956E-2</v>
      </c>
      <c r="R172" s="15">
        <f t="shared" si="27"/>
        <v>8.4771020073902865E-3</v>
      </c>
    </row>
    <row r="173" spans="1:18" x14ac:dyDescent="0.2">
      <c r="A173" s="13">
        <v>45800</v>
      </c>
      <c r="B173" s="14">
        <v>16.829999999999998</v>
      </c>
      <c r="C173" s="14">
        <v>13.83</v>
      </c>
      <c r="D173" s="14">
        <v>447.2</v>
      </c>
      <c r="E173" s="14">
        <v>41.39</v>
      </c>
      <c r="F173" s="14">
        <v>403.61</v>
      </c>
      <c r="G173" s="14">
        <v>153.15</v>
      </c>
      <c r="H173" s="14">
        <v>8.6300000000000008</v>
      </c>
      <c r="I173" s="14">
        <v>66.990234000000001</v>
      </c>
      <c r="J173">
        <f t="shared" si="19"/>
        <v>5.9453032104617165E-4</v>
      </c>
      <c r="K173">
        <f t="shared" si="20"/>
        <v>1.7660044150110465E-2</v>
      </c>
      <c r="L173">
        <f t="shared" si="21"/>
        <v>2.5405851600476925E-2</v>
      </c>
      <c r="M173">
        <f t="shared" si="22"/>
        <v>-1.4992860542598851E-2</v>
      </c>
      <c r="N173">
        <f t="shared" si="23"/>
        <v>-1.9288310789089547E-3</v>
      </c>
      <c r="O173">
        <f t="shared" si="24"/>
        <v>5.5810899540380543E-3</v>
      </c>
      <c r="P173">
        <f t="shared" si="25"/>
        <v>3.7259615384615419E-2</v>
      </c>
      <c r="Q173">
        <f t="shared" si="26"/>
        <v>-4.3794660918905493E-4</v>
      </c>
      <c r="R173" s="15">
        <f t="shared" si="27"/>
        <v>1.0364908979063125E-2</v>
      </c>
    </row>
    <row r="174" spans="1:18" x14ac:dyDescent="0.2">
      <c r="A174" s="11">
        <v>45799</v>
      </c>
      <c r="B174" s="12">
        <v>16.82</v>
      </c>
      <c r="C174" s="12">
        <v>13.59</v>
      </c>
      <c r="D174" s="12">
        <v>436.12</v>
      </c>
      <c r="E174" s="12">
        <v>42.02</v>
      </c>
      <c r="F174" s="12">
        <v>404.39</v>
      </c>
      <c r="G174" s="12">
        <v>152.30000000000001</v>
      </c>
      <c r="H174" s="12">
        <v>8.32</v>
      </c>
      <c r="I174" s="12">
        <v>67.019585000000006</v>
      </c>
      <c r="J174">
        <f t="shared" si="19"/>
        <v>-1.0005885815185245E-2</v>
      </c>
      <c r="K174">
        <f t="shared" si="20"/>
        <v>-3.665689149560114E-3</v>
      </c>
      <c r="L174">
        <f t="shared" si="21"/>
        <v>-1.2677714389205841E-2</v>
      </c>
      <c r="M174">
        <f t="shared" si="22"/>
        <v>4.7619047619051891E-4</v>
      </c>
      <c r="N174">
        <f t="shared" si="23"/>
        <v>-4.7799571452117995E-2</v>
      </c>
      <c r="O174">
        <f t="shared" si="24"/>
        <v>3.3599051320905016E-3</v>
      </c>
      <c r="P174">
        <f t="shared" si="25"/>
        <v>2.4096385542167198E-3</v>
      </c>
      <c r="Q174">
        <f t="shared" si="26"/>
        <v>-2.2269903028764415E-2</v>
      </c>
      <c r="R174" s="15">
        <f t="shared" si="27"/>
        <v>-1.3621642230050404E-2</v>
      </c>
    </row>
    <row r="175" spans="1:18" x14ac:dyDescent="0.2">
      <c r="A175" s="13">
        <v>45798</v>
      </c>
      <c r="B175" s="14">
        <v>16.989999999999998</v>
      </c>
      <c r="C175" s="14">
        <v>13.64</v>
      </c>
      <c r="D175" s="14">
        <v>441.72</v>
      </c>
      <c r="E175" s="14">
        <v>42</v>
      </c>
      <c r="F175" s="14">
        <v>424.69</v>
      </c>
      <c r="G175" s="14">
        <v>151.79</v>
      </c>
      <c r="H175" s="14">
        <v>8.3000000000000007</v>
      </c>
      <c r="I175" s="14">
        <v>68.546099999999996</v>
      </c>
      <c r="J175">
        <f t="shared" si="19"/>
        <v>5.3254437869822979E-3</v>
      </c>
      <c r="K175">
        <f t="shared" si="20"/>
        <v>7.3855243722305008E-3</v>
      </c>
      <c r="L175">
        <f t="shared" si="21"/>
        <v>8.6313193588163362E-3</v>
      </c>
      <c r="M175">
        <f t="shared" si="22"/>
        <v>1.9083969465647499E-3</v>
      </c>
      <c r="N175">
        <f t="shared" si="23"/>
        <v>3.8082667253305891E-2</v>
      </c>
      <c r="O175">
        <f t="shared" si="24"/>
        <v>-1.0946764840033874E-2</v>
      </c>
      <c r="P175">
        <f t="shared" si="25"/>
        <v>0</v>
      </c>
      <c r="Q175">
        <f t="shared" si="26"/>
        <v>2.7427350907762271E-2</v>
      </c>
      <c r="R175" s="15">
        <f t="shared" si="27"/>
        <v>1.1104958350363204E-2</v>
      </c>
    </row>
    <row r="176" spans="1:18" x14ac:dyDescent="0.2">
      <c r="A176" s="11">
        <v>45797</v>
      </c>
      <c r="B176" s="12">
        <v>16.899999999999999</v>
      </c>
      <c r="C176" s="12">
        <v>13.54</v>
      </c>
      <c r="D176" s="12">
        <v>437.94</v>
      </c>
      <c r="E176" s="12">
        <v>41.92</v>
      </c>
      <c r="F176" s="12">
        <v>409.11</v>
      </c>
      <c r="G176" s="12">
        <v>153.47</v>
      </c>
      <c r="H176" s="12">
        <v>8.3000000000000007</v>
      </c>
      <c r="I176" s="12">
        <v>66.716250000000002</v>
      </c>
      <c r="J176">
        <f t="shared" si="19"/>
        <v>1.1370436864152955E-2</v>
      </c>
      <c r="K176">
        <f t="shared" si="20"/>
        <v>1.3473053892215647E-2</v>
      </c>
      <c r="L176">
        <f t="shared" si="21"/>
        <v>-7.6588416568476037E-3</v>
      </c>
      <c r="M176">
        <f t="shared" si="22"/>
        <v>-1.08541764983483E-2</v>
      </c>
      <c r="N176">
        <f t="shared" si="23"/>
        <v>2.6650606037792679E-2</v>
      </c>
      <c r="O176">
        <f t="shared" si="24"/>
        <v>-2.6267368821775383E-2</v>
      </c>
      <c r="P176">
        <f t="shared" si="25"/>
        <v>1.71568627450982E-2</v>
      </c>
      <c r="Q176">
        <f t="shared" si="26"/>
        <v>1.4281543257123053E-2</v>
      </c>
      <c r="R176" s="15">
        <f t="shared" si="27"/>
        <v>6.4741197537273466E-3</v>
      </c>
    </row>
    <row r="177" spans="1:18" x14ac:dyDescent="0.2">
      <c r="A177" s="13">
        <v>45796</v>
      </c>
      <c r="B177" s="14">
        <v>16.71</v>
      </c>
      <c r="C177" s="14">
        <v>13.36</v>
      </c>
      <c r="D177" s="14">
        <v>441.32</v>
      </c>
      <c r="E177" s="14">
        <v>42.38</v>
      </c>
      <c r="F177" s="14">
        <v>398.49</v>
      </c>
      <c r="G177" s="14">
        <v>157.61000000000001</v>
      </c>
      <c r="H177" s="14">
        <v>8.16</v>
      </c>
      <c r="I177" s="14">
        <v>65.776854999999998</v>
      </c>
      <c r="J177">
        <f t="shared" si="19"/>
        <v>-6.5398335315101086E-3</v>
      </c>
      <c r="K177">
        <f t="shared" si="20"/>
        <v>0</v>
      </c>
      <c r="L177">
        <f t="shared" si="21"/>
        <v>2.1952575027788024E-2</v>
      </c>
      <c r="M177">
        <f t="shared" si="22"/>
        <v>1.09732824427482E-2</v>
      </c>
      <c r="N177">
        <f t="shared" si="23"/>
        <v>6.1608382779951842E-3</v>
      </c>
      <c r="O177">
        <f t="shared" si="24"/>
        <v>2.0129449838187874E-2</v>
      </c>
      <c r="P177">
        <f t="shared" si="25"/>
        <v>-5.0058207217694939E-2</v>
      </c>
      <c r="Q177">
        <f t="shared" si="26"/>
        <v>-1.5812613612270598E-2</v>
      </c>
      <c r="R177" s="15">
        <f t="shared" si="27"/>
        <v>-2.5642875596034037E-3</v>
      </c>
    </row>
    <row r="178" spans="1:18" x14ac:dyDescent="0.2">
      <c r="A178" s="11">
        <v>45793</v>
      </c>
      <c r="B178" s="12">
        <v>16.82</v>
      </c>
      <c r="C178" s="12">
        <v>13.36</v>
      </c>
      <c r="D178" s="12">
        <v>431.84</v>
      </c>
      <c r="E178" s="12">
        <v>41.92</v>
      </c>
      <c r="F178" s="12">
        <v>396.05</v>
      </c>
      <c r="G178" s="12">
        <v>154.5</v>
      </c>
      <c r="H178" s="12">
        <v>8.59</v>
      </c>
      <c r="I178" s="12">
        <v>66.833669999999998</v>
      </c>
      <c r="J178">
        <f t="shared" si="19"/>
        <v>-4.7337278106507341E-3</v>
      </c>
      <c r="K178">
        <f t="shared" si="20"/>
        <v>-5.2122114668652353E-3</v>
      </c>
      <c r="L178">
        <f t="shared" si="21"/>
        <v>-1.363605216874908E-2</v>
      </c>
      <c r="M178">
        <f t="shared" si="22"/>
        <v>2.3860653781926366E-4</v>
      </c>
      <c r="N178">
        <f t="shared" si="23"/>
        <v>-4.3241068959448681E-3</v>
      </c>
      <c r="O178">
        <f t="shared" si="24"/>
        <v>4.5968451695890478E-2</v>
      </c>
      <c r="P178">
        <f t="shared" si="25"/>
        <v>8.215962441314506E-3</v>
      </c>
      <c r="Q178">
        <f t="shared" si="26"/>
        <v>2.9700046035834093E-2</v>
      </c>
      <c r="R178" s="15">
        <f t="shared" si="27"/>
        <v>6.7333449291130483E-3</v>
      </c>
    </row>
    <row r="179" spans="1:18" x14ac:dyDescent="0.2">
      <c r="A179" s="13">
        <v>45792</v>
      </c>
      <c r="B179" s="14">
        <v>16.899999999999999</v>
      </c>
      <c r="C179" s="14">
        <v>13.43</v>
      </c>
      <c r="D179" s="14">
        <v>437.81</v>
      </c>
      <c r="E179" s="14">
        <v>41.91</v>
      </c>
      <c r="F179" s="14">
        <v>397.77</v>
      </c>
      <c r="G179" s="14">
        <v>147.71</v>
      </c>
      <c r="H179" s="14">
        <v>8.52</v>
      </c>
      <c r="I179" s="14">
        <v>64.905959999999993</v>
      </c>
      <c r="J179">
        <f t="shared" si="19"/>
        <v>0</v>
      </c>
      <c r="K179">
        <f t="shared" si="20"/>
        <v>9.7744360902254357E-3</v>
      </c>
      <c r="L179">
        <f t="shared" si="21"/>
        <v>3.1160205379433759E-2</v>
      </c>
      <c r="M179">
        <f t="shared" si="22"/>
        <v>2.8715003589374621E-3</v>
      </c>
      <c r="N179">
        <f t="shared" si="23"/>
        <v>5.3074531806807101E-3</v>
      </c>
      <c r="O179">
        <f t="shared" si="24"/>
        <v>1.0950653617137762E-2</v>
      </c>
      <c r="P179">
        <f t="shared" si="25"/>
        <v>-1.1723329425556983E-3</v>
      </c>
      <c r="Q179">
        <f t="shared" si="26"/>
        <v>-2.470236619438948E-2</v>
      </c>
      <c r="R179" s="15">
        <f t="shared" si="27"/>
        <v>5.5450184263178288E-3</v>
      </c>
    </row>
    <row r="180" spans="1:18" x14ac:dyDescent="0.2">
      <c r="A180" s="11">
        <v>45791</v>
      </c>
      <c r="B180" s="12">
        <v>16.899999999999999</v>
      </c>
      <c r="C180" s="12">
        <v>13.3</v>
      </c>
      <c r="D180" s="12">
        <v>424.58</v>
      </c>
      <c r="E180" s="12">
        <v>41.79</v>
      </c>
      <c r="F180" s="12">
        <v>395.67</v>
      </c>
      <c r="G180" s="12">
        <v>146.11000000000001</v>
      </c>
      <c r="H180" s="12">
        <v>8.5299999999999994</v>
      </c>
      <c r="I180" s="12">
        <v>66.549899999999994</v>
      </c>
      <c r="J180">
        <f t="shared" si="19"/>
        <v>8.9552238805969964E-3</v>
      </c>
      <c r="K180">
        <f t="shared" si="20"/>
        <v>5.2910052910053462E-3</v>
      </c>
      <c r="L180">
        <f t="shared" si="21"/>
        <v>1.8543840710087522E-2</v>
      </c>
      <c r="M180">
        <f t="shared" si="22"/>
        <v>-9.0111453640029371E-3</v>
      </c>
      <c r="N180">
        <f t="shared" si="23"/>
        <v>-1.816422243728133E-2</v>
      </c>
      <c r="O180">
        <f t="shared" si="24"/>
        <v>-2.8588524699155515E-2</v>
      </c>
      <c r="P180">
        <f t="shared" si="25"/>
        <v>1.5476190476190421E-2</v>
      </c>
      <c r="Q180">
        <f t="shared" si="26"/>
        <v>-9.1782539386899842E-3</v>
      </c>
      <c r="R180" s="15">
        <f t="shared" si="27"/>
        <v>-3.2075018089450921E-3</v>
      </c>
    </row>
    <row r="181" spans="1:18" x14ac:dyDescent="0.2">
      <c r="A181" s="13">
        <v>45790</v>
      </c>
      <c r="B181" s="14">
        <v>16.75</v>
      </c>
      <c r="C181" s="14">
        <v>13.23</v>
      </c>
      <c r="D181" s="14">
        <v>416.85</v>
      </c>
      <c r="E181" s="14">
        <v>42.17</v>
      </c>
      <c r="F181" s="14">
        <v>402.99</v>
      </c>
      <c r="G181" s="14">
        <v>150.41</v>
      </c>
      <c r="H181" s="14">
        <v>8.4</v>
      </c>
      <c r="I181" s="14">
        <v>67.166370000000001</v>
      </c>
      <c r="J181">
        <f t="shared" si="19"/>
        <v>9.6443640747438941E-3</v>
      </c>
      <c r="K181">
        <f t="shared" si="20"/>
        <v>2.4786986831913271E-2</v>
      </c>
      <c r="L181">
        <f t="shared" si="21"/>
        <v>-8.1376258119779665E-3</v>
      </c>
      <c r="M181">
        <f t="shared" si="22"/>
        <v>2.1312666505207245E-2</v>
      </c>
      <c r="N181">
        <f t="shared" si="23"/>
        <v>4.0054713913335149E-2</v>
      </c>
      <c r="O181">
        <f t="shared" si="24"/>
        <v>2.0212982432340709E-2</v>
      </c>
      <c r="P181">
        <f t="shared" si="25"/>
        <v>2.689486552567244E-2</v>
      </c>
      <c r="Q181">
        <f t="shared" si="26"/>
        <v>-1.6336981884947921E-2</v>
      </c>
      <c r="R181" s="15">
        <f t="shared" si="27"/>
        <v>1.8946218616417827E-2</v>
      </c>
    </row>
    <row r="182" spans="1:18" x14ac:dyDescent="0.2">
      <c r="A182" s="11">
        <v>45789</v>
      </c>
      <c r="B182" s="12">
        <v>16.59</v>
      </c>
      <c r="C182" s="12">
        <v>12.91</v>
      </c>
      <c r="D182" s="12">
        <v>420.27</v>
      </c>
      <c r="E182" s="12">
        <v>41.29</v>
      </c>
      <c r="F182" s="12">
        <v>387.47</v>
      </c>
      <c r="G182" s="12">
        <v>147.43</v>
      </c>
      <c r="H182" s="12">
        <v>8.18</v>
      </c>
      <c r="I182" s="12">
        <v>68.281890000000004</v>
      </c>
      <c r="J182">
        <f t="shared" si="19"/>
        <v>6.0313630880592939E-4</v>
      </c>
      <c r="K182">
        <f t="shared" si="20"/>
        <v>3.4455128205128194E-2</v>
      </c>
      <c r="L182">
        <f t="shared" si="21"/>
        <v>-8.3527996035960284E-3</v>
      </c>
      <c r="M182">
        <f t="shared" si="22"/>
        <v>5.6015586945932228E-3</v>
      </c>
      <c r="N182">
        <f t="shared" si="23"/>
        <v>-7.6550918754021646E-2</v>
      </c>
      <c r="O182">
        <f t="shared" si="24"/>
        <v>1.7109348051052242E-2</v>
      </c>
      <c r="P182">
        <f t="shared" si="25"/>
        <v>3.9390088945362001E-2</v>
      </c>
      <c r="Q182">
        <f t="shared" si="26"/>
        <v>-9.9319577607019927E-3</v>
      </c>
      <c r="R182" s="15">
        <f t="shared" si="27"/>
        <v>-4.4385063739914065E-3</v>
      </c>
    </row>
    <row r="183" spans="1:18" x14ac:dyDescent="0.2">
      <c r="A183" s="13">
        <v>45786</v>
      </c>
      <c r="B183" s="14">
        <v>16.579999999999998</v>
      </c>
      <c r="C183" s="14">
        <v>12.48</v>
      </c>
      <c r="D183" s="14">
        <v>423.81</v>
      </c>
      <c r="E183" s="14">
        <v>41.06</v>
      </c>
      <c r="F183" s="14">
        <v>419.59</v>
      </c>
      <c r="G183" s="14">
        <v>144.94999999999999</v>
      </c>
      <c r="H183" s="14">
        <v>7.87</v>
      </c>
      <c r="I183" s="14">
        <v>68.966865999999996</v>
      </c>
      <c r="J183">
        <f t="shared" si="19"/>
        <v>4.8484848484846577E-3</v>
      </c>
      <c r="K183">
        <f t="shared" si="20"/>
        <v>-1.3438735177865646E-2</v>
      </c>
      <c r="L183">
        <f t="shared" si="21"/>
        <v>-3.4565462753949339E-3</v>
      </c>
      <c r="M183">
        <f t="shared" si="22"/>
        <v>-6.1782023656444807E-3</v>
      </c>
      <c r="N183">
        <f t="shared" si="23"/>
        <v>6.5489612819651377E-3</v>
      </c>
      <c r="O183">
        <f t="shared" si="24"/>
        <v>-9.363039912520521E-3</v>
      </c>
      <c r="P183">
        <f t="shared" si="25"/>
        <v>-2.1144278606965106E-2</v>
      </c>
      <c r="Q183">
        <f t="shared" si="26"/>
        <v>-1.0945829434970133E-2</v>
      </c>
      <c r="R183" s="15">
        <f t="shared" si="27"/>
        <v>-6.4669432841637162E-3</v>
      </c>
    </row>
    <row r="184" spans="1:18" x14ac:dyDescent="0.2">
      <c r="A184" s="11">
        <v>45785</v>
      </c>
      <c r="B184" s="12">
        <v>16.5</v>
      </c>
      <c r="C184" s="12">
        <v>12.65</v>
      </c>
      <c r="D184" s="12">
        <v>425.28</v>
      </c>
      <c r="E184" s="12">
        <v>41.315254000000003</v>
      </c>
      <c r="F184" s="12">
        <v>416.86</v>
      </c>
      <c r="G184" s="12">
        <v>146.32</v>
      </c>
      <c r="H184" s="12">
        <v>8.0399999999999991</v>
      </c>
      <c r="I184" s="12">
        <v>69.730119999999999</v>
      </c>
      <c r="J184">
        <f t="shared" si="19"/>
        <v>-2.0190023752969077E-2</v>
      </c>
      <c r="K184">
        <f t="shared" si="20"/>
        <v>0</v>
      </c>
      <c r="L184">
        <f t="shared" si="21"/>
        <v>-2.2906375646180366E-2</v>
      </c>
      <c r="M184">
        <f t="shared" si="22"/>
        <v>3.2912673076811227E-2</v>
      </c>
      <c r="N184">
        <f t="shared" si="23"/>
        <v>-1.3745948375801453E-2</v>
      </c>
      <c r="O184">
        <f t="shared" si="24"/>
        <v>-2.179435753442982E-2</v>
      </c>
      <c r="P184">
        <f t="shared" si="25"/>
        <v>-1.4705882352941346E-2</v>
      </c>
      <c r="Q184">
        <f t="shared" si="26"/>
        <v>-3.1530280911290509E-2</v>
      </c>
      <c r="R184" s="15">
        <f t="shared" si="27"/>
        <v>-1.2362108087507911E-2</v>
      </c>
    </row>
    <row r="185" spans="1:18" x14ac:dyDescent="0.2">
      <c r="A185" s="13">
        <v>45784</v>
      </c>
      <c r="B185" s="14">
        <v>16.84</v>
      </c>
      <c r="C185" s="14">
        <v>12.65</v>
      </c>
      <c r="D185" s="14">
        <v>435.25</v>
      </c>
      <c r="E185" s="14">
        <v>39.998787</v>
      </c>
      <c r="F185" s="14">
        <v>422.67</v>
      </c>
      <c r="G185" s="14">
        <v>149.58000000000001</v>
      </c>
      <c r="H185" s="14">
        <v>8.16</v>
      </c>
      <c r="I185" s="14">
        <v>72.000309999999999</v>
      </c>
      <c r="J185">
        <f t="shared" si="19"/>
        <v>-4.1395623891188338E-3</v>
      </c>
      <c r="K185">
        <f t="shared" si="20"/>
        <v>3.603603603603589E-2</v>
      </c>
      <c r="L185">
        <f t="shared" si="21"/>
        <v>6.4258992102110168E-2</v>
      </c>
      <c r="M185">
        <f t="shared" si="22"/>
        <v>1.7371561211634745E-2</v>
      </c>
      <c r="N185">
        <f t="shared" si="23"/>
        <v>4.0621436716077319E-3</v>
      </c>
      <c r="O185">
        <f t="shared" si="24"/>
        <v>1.3277333694621474E-2</v>
      </c>
      <c r="P185">
        <f t="shared" si="25"/>
        <v>-4.8780487804876982E-3</v>
      </c>
      <c r="Q185">
        <f t="shared" si="26"/>
        <v>5.5364320455305593E-2</v>
      </c>
      <c r="R185" s="15">
        <f t="shared" si="27"/>
        <v>1.9219072766160958E-2</v>
      </c>
    </row>
    <row r="186" spans="1:18" x14ac:dyDescent="0.2">
      <c r="A186" s="11">
        <v>45783</v>
      </c>
      <c r="B186" s="12">
        <v>16.91</v>
      </c>
      <c r="C186" s="12">
        <v>12.21</v>
      </c>
      <c r="D186" s="12">
        <v>408.97</v>
      </c>
      <c r="E186" s="12">
        <v>39.315809999999999</v>
      </c>
      <c r="F186" s="12">
        <v>420.96</v>
      </c>
      <c r="G186" s="12">
        <v>147.62</v>
      </c>
      <c r="H186" s="12">
        <v>8.1999999999999993</v>
      </c>
      <c r="I186" s="12">
        <v>68.223179999999999</v>
      </c>
      <c r="J186">
        <f t="shared" si="19"/>
        <v>8.9498806682577481E-3</v>
      </c>
      <c r="K186">
        <f t="shared" si="20"/>
        <v>1.6652789342214813E-2</v>
      </c>
      <c r="L186">
        <f t="shared" si="21"/>
        <v>1.1500791452315084E-2</v>
      </c>
      <c r="M186">
        <f t="shared" si="22"/>
        <v>3.3836591760133095E-2</v>
      </c>
      <c r="N186">
        <f t="shared" si="23"/>
        <v>6.8643379366368773E-2</v>
      </c>
      <c r="O186">
        <f t="shared" si="24"/>
        <v>3.4405437600728783E-2</v>
      </c>
      <c r="P186">
        <f t="shared" si="25"/>
        <v>-1.4423076923077094E-2</v>
      </c>
      <c r="Q186">
        <f t="shared" si="26"/>
        <v>7.8056240082322592E-3</v>
      </c>
      <c r="R186" s="15">
        <f t="shared" si="27"/>
        <v>2.4377583288568986E-2</v>
      </c>
    </row>
    <row r="187" spans="1:18" x14ac:dyDescent="0.2">
      <c r="A187" s="13">
        <v>45782</v>
      </c>
      <c r="B187" s="14">
        <v>16.760000000000002</v>
      </c>
      <c r="C187" s="14">
        <v>12.01</v>
      </c>
      <c r="D187" s="14">
        <v>404.32</v>
      </c>
      <c r="E187" s="14">
        <v>38.029037000000002</v>
      </c>
      <c r="F187" s="14">
        <v>393.92</v>
      </c>
      <c r="G187" s="14">
        <v>142.71</v>
      </c>
      <c r="H187" s="14">
        <v>8.32</v>
      </c>
      <c r="I187" s="14">
        <v>67.694779999999994</v>
      </c>
      <c r="J187">
        <f t="shared" si="19"/>
        <v>-6.5204505038529703E-3</v>
      </c>
      <c r="K187">
        <f t="shared" si="20"/>
        <v>-5.7947019867550242E-3</v>
      </c>
      <c r="L187">
        <f t="shared" si="21"/>
        <v>6.6475787377069384E-3</v>
      </c>
      <c r="M187">
        <f t="shared" si="22"/>
        <v>1.1318679132768183E-2</v>
      </c>
      <c r="N187">
        <f t="shared" si="23"/>
        <v>1.2127440904419418E-2</v>
      </c>
      <c r="O187">
        <f t="shared" si="24"/>
        <v>-1.6742455560148639E-2</v>
      </c>
      <c r="P187">
        <f t="shared" si="25"/>
        <v>6.9408781596739688E-2</v>
      </c>
      <c r="Q187">
        <f t="shared" si="26"/>
        <v>-3.0263502634085837E-3</v>
      </c>
      <c r="R187" s="15">
        <f t="shared" si="27"/>
        <v>1.2417540973503007E-2</v>
      </c>
    </row>
    <row r="188" spans="1:18" x14ac:dyDescent="0.2">
      <c r="A188" s="11">
        <v>45779</v>
      </c>
      <c r="B188" s="12">
        <v>16.87</v>
      </c>
      <c r="C188" s="12">
        <v>12.08</v>
      </c>
      <c r="D188" s="12">
        <v>401.65</v>
      </c>
      <c r="E188" s="12">
        <v>37.603416000000003</v>
      </c>
      <c r="F188" s="12">
        <v>389.2</v>
      </c>
      <c r="G188" s="12">
        <v>145.13999999999999</v>
      </c>
      <c r="H188" s="12">
        <v>7.7799997000000003</v>
      </c>
      <c r="I188" s="12">
        <v>67.900270000000006</v>
      </c>
      <c r="J188">
        <f t="shared" si="19"/>
        <v>-2.9550827423168169E-3</v>
      </c>
      <c r="K188">
        <f t="shared" si="20"/>
        <v>-1.6528925619834212E-3</v>
      </c>
      <c r="L188">
        <f t="shared" si="21"/>
        <v>8.7653204741811042E-3</v>
      </c>
      <c r="M188">
        <f t="shared" si="22"/>
        <v>2.5924979012054816E-2</v>
      </c>
      <c r="N188">
        <f t="shared" si="23"/>
        <v>-4.8326472167531387E-3</v>
      </c>
      <c r="O188">
        <f t="shared" si="24"/>
        <v>5.6947276434605287E-2</v>
      </c>
      <c r="P188">
        <f t="shared" si="25"/>
        <v>6.5753383561643952E-2</v>
      </c>
      <c r="Q188">
        <f t="shared" si="26"/>
        <v>-6.5854781516242467E-3</v>
      </c>
      <c r="R188" s="15">
        <f t="shared" si="27"/>
        <v>2.0575861505459259E-2</v>
      </c>
    </row>
    <row r="189" spans="1:18" x14ac:dyDescent="0.2">
      <c r="A189" s="13">
        <v>45777</v>
      </c>
      <c r="B189" s="14">
        <v>16.920000000000002</v>
      </c>
      <c r="C189" s="14">
        <v>12.1</v>
      </c>
      <c r="D189" s="14">
        <v>398.16</v>
      </c>
      <c r="E189" s="14">
        <v>36.653182999999999</v>
      </c>
      <c r="F189" s="14">
        <v>391.09</v>
      </c>
      <c r="G189" s="14">
        <v>137.32</v>
      </c>
      <c r="H189" s="14">
        <v>7.3</v>
      </c>
      <c r="I189" s="14">
        <v>68.350390000000004</v>
      </c>
      <c r="J189">
        <f t="shared" si="19"/>
        <v>8.9445438282649281E-3</v>
      </c>
      <c r="K189">
        <f t="shared" si="20"/>
        <v>1.6806722689075571E-2</v>
      </c>
      <c r="L189">
        <f t="shared" si="21"/>
        <v>2.9049932802646561E-2</v>
      </c>
      <c r="M189">
        <f t="shared" si="22"/>
        <v>4.0672285850236189E-3</v>
      </c>
      <c r="N189">
        <f t="shared" si="23"/>
        <v>3.858614828978113E-2</v>
      </c>
      <c r="O189">
        <f t="shared" si="24"/>
        <v>-2.513133607837581E-2</v>
      </c>
      <c r="P189">
        <f t="shared" si="25"/>
        <v>2.0979020979020824E-2</v>
      </c>
      <c r="Q189">
        <f t="shared" si="26"/>
        <v>3.5889054323712477E-2</v>
      </c>
      <c r="R189" s="15">
        <f t="shared" si="27"/>
        <v>1.7438607513241181E-2</v>
      </c>
    </row>
    <row r="190" spans="1:18" x14ac:dyDescent="0.2">
      <c r="A190" s="11">
        <v>45776</v>
      </c>
      <c r="B190" s="12">
        <v>16.77</v>
      </c>
      <c r="C190" s="12">
        <v>11.9</v>
      </c>
      <c r="D190" s="12">
        <v>386.92</v>
      </c>
      <c r="E190" s="12">
        <v>36.504710000000003</v>
      </c>
      <c r="F190" s="12">
        <v>376.56</v>
      </c>
      <c r="G190" s="12">
        <v>140.86000000000001</v>
      </c>
      <c r="H190" s="12">
        <v>7.15</v>
      </c>
      <c r="I190" s="12">
        <v>65.982346000000007</v>
      </c>
      <c r="J190">
        <f t="shared" si="19"/>
        <v>-4.1567695961995943E-3</v>
      </c>
      <c r="K190">
        <f t="shared" si="20"/>
        <v>-1.490066225165565E-2</v>
      </c>
      <c r="L190">
        <f t="shared" si="21"/>
        <v>-1.4492753623188359E-2</v>
      </c>
      <c r="M190">
        <f t="shared" si="22"/>
        <v>-4.2326639281966671E-2</v>
      </c>
      <c r="N190">
        <f t="shared" si="23"/>
        <v>-7.1483171002342472E-2</v>
      </c>
      <c r="O190">
        <f t="shared" si="24"/>
        <v>-4.4044791313199716E-2</v>
      </c>
      <c r="P190">
        <f t="shared" si="25"/>
        <v>-9.4936708860759444E-2</v>
      </c>
      <c r="Q190">
        <f t="shared" si="26"/>
        <v>-4.611683314646664E-2</v>
      </c>
      <c r="R190" s="15">
        <f t="shared" si="27"/>
        <v>-4.8526466237924004E-2</v>
      </c>
    </row>
    <row r="191" spans="1:18" x14ac:dyDescent="0.2">
      <c r="A191" s="13">
        <v>45775</v>
      </c>
      <c r="B191" s="14">
        <v>16.84</v>
      </c>
      <c r="C191" s="14">
        <v>12.08</v>
      </c>
      <c r="D191" s="14">
        <v>392.61</v>
      </c>
      <c r="E191" s="14">
        <v>38.118122</v>
      </c>
      <c r="F191" s="14">
        <v>405.55</v>
      </c>
      <c r="G191" s="14">
        <v>147.35</v>
      </c>
      <c r="H191" s="14">
        <v>7.9</v>
      </c>
      <c r="I191" s="14">
        <v>69.172355999999994</v>
      </c>
      <c r="J191">
        <f t="shared" si="19"/>
        <v>1.1411411411411443E-2</v>
      </c>
      <c r="K191">
        <f t="shared" si="20"/>
        <v>3.6909871244635184E-2</v>
      </c>
      <c r="L191">
        <f t="shared" si="21"/>
        <v>-2.6626998884343611E-2</v>
      </c>
      <c r="M191">
        <f t="shared" si="22"/>
        <v>-1.5341360280969218E-2</v>
      </c>
      <c r="N191">
        <f t="shared" si="23"/>
        <v>-4.045900863598717E-2</v>
      </c>
      <c r="O191">
        <f t="shared" si="24"/>
        <v>3.5415105904785804E-3</v>
      </c>
      <c r="P191">
        <f t="shared" si="25"/>
        <v>-0.14316702819956617</v>
      </c>
      <c r="Q191">
        <f t="shared" si="26"/>
        <v>4.2625296848689542E-2</v>
      </c>
      <c r="R191" s="15">
        <f t="shared" si="27"/>
        <v>-2.8531914918507071E-2</v>
      </c>
    </row>
    <row r="192" spans="1:18" x14ac:dyDescent="0.2">
      <c r="A192" s="11">
        <v>45772</v>
      </c>
      <c r="B192" s="12">
        <v>16.649999999999999</v>
      </c>
      <c r="C192" s="12">
        <v>11.65</v>
      </c>
      <c r="D192" s="12">
        <v>403.35</v>
      </c>
      <c r="E192" s="12">
        <v>38.712017000000003</v>
      </c>
      <c r="F192" s="12">
        <v>422.65</v>
      </c>
      <c r="G192" s="12">
        <v>146.83000000000001</v>
      </c>
      <c r="H192" s="12">
        <v>9.2200000000000006</v>
      </c>
      <c r="I192" s="12">
        <v>66.344406000000006</v>
      </c>
      <c r="J192">
        <f t="shared" si="19"/>
        <v>-6.5632458233891855E-3</v>
      </c>
      <c r="K192">
        <f t="shared" si="20"/>
        <v>4.0178571428571619E-2</v>
      </c>
      <c r="L192">
        <f t="shared" si="21"/>
        <v>1.4946780403110038E-2</v>
      </c>
      <c r="M192">
        <f t="shared" si="22"/>
        <v>1.5053260512366329E-2</v>
      </c>
      <c r="N192">
        <f t="shared" si="23"/>
        <v>-2.9238825853277639E-2</v>
      </c>
      <c r="O192">
        <f t="shared" si="24"/>
        <v>1.2956901254774777E-3</v>
      </c>
      <c r="P192">
        <f t="shared" si="25"/>
        <v>-1.0729613733905574E-2</v>
      </c>
      <c r="Q192">
        <f t="shared" si="26"/>
        <v>7.8788438115617865E-3</v>
      </c>
      <c r="R192" s="15">
        <f t="shared" si="27"/>
        <v>-1.0949335570254414E-4</v>
      </c>
    </row>
    <row r="193" spans="1:18" x14ac:dyDescent="0.2">
      <c r="A193" s="13">
        <v>45771</v>
      </c>
      <c r="B193" s="14">
        <v>16.760000000000002</v>
      </c>
      <c r="C193" s="14">
        <v>11.2</v>
      </c>
      <c r="D193" s="14">
        <v>397.41</v>
      </c>
      <c r="E193" s="14">
        <v>38.137917000000002</v>
      </c>
      <c r="F193" s="14">
        <v>435.38</v>
      </c>
      <c r="G193" s="14">
        <v>146.63999999999999</v>
      </c>
      <c r="H193" s="14">
        <v>9.32</v>
      </c>
      <c r="I193" s="14">
        <v>65.825774999999993</v>
      </c>
      <c r="J193">
        <f t="shared" si="19"/>
        <v>1.0856453558504509E-2</v>
      </c>
      <c r="K193">
        <f t="shared" si="20"/>
        <v>1.2658227848101111E-2</v>
      </c>
      <c r="L193">
        <f t="shared" si="21"/>
        <v>9.8081565239487301E-3</v>
      </c>
      <c r="M193">
        <f t="shared" si="22"/>
        <v>-1.1544438610032182E-2</v>
      </c>
      <c r="N193">
        <f t="shared" si="23"/>
        <v>3.1999620745235546E-2</v>
      </c>
      <c r="O193">
        <f t="shared" si="24"/>
        <v>2.7682388394421498E-2</v>
      </c>
      <c r="P193">
        <f t="shared" si="25"/>
        <v>1.0741138560688146E-3</v>
      </c>
      <c r="Q193">
        <f t="shared" si="26"/>
        <v>3.2857343250739079E-2</v>
      </c>
      <c r="R193" s="15">
        <f t="shared" si="27"/>
        <v>1.5805542203251734E-2</v>
      </c>
    </row>
    <row r="194" spans="1:18" x14ac:dyDescent="0.2">
      <c r="A194" s="11">
        <v>45770</v>
      </c>
      <c r="B194" s="12">
        <v>16.579999999999998</v>
      </c>
      <c r="C194" s="12">
        <v>11.06</v>
      </c>
      <c r="D194" s="12">
        <v>393.55</v>
      </c>
      <c r="E194" s="12">
        <v>38.58334</v>
      </c>
      <c r="F194" s="12">
        <v>421.88</v>
      </c>
      <c r="G194" s="12">
        <v>142.69</v>
      </c>
      <c r="H194" s="12">
        <v>9.31</v>
      </c>
      <c r="I194" s="12">
        <v>63.731720000000003</v>
      </c>
      <c r="J194">
        <f t="shared" si="19"/>
        <v>1.8427518427518219E-2</v>
      </c>
      <c r="K194">
        <f t="shared" si="20"/>
        <v>2.5023169601482875E-2</v>
      </c>
      <c r="L194">
        <f t="shared" si="21"/>
        <v>2.861996863565075E-2</v>
      </c>
      <c r="M194">
        <f t="shared" si="22"/>
        <v>1.9085006914941749E-2</v>
      </c>
      <c r="N194">
        <f t="shared" si="23"/>
        <v>-1.3815189695878916E-2</v>
      </c>
      <c r="O194">
        <f t="shared" si="24"/>
        <v>6.6522161596531904E-2</v>
      </c>
      <c r="P194">
        <f t="shared" si="25"/>
        <v>3.44444444444445E-2</v>
      </c>
      <c r="Q194">
        <f t="shared" si="26"/>
        <v>1.2750732667162756E-2</v>
      </c>
      <c r="R194" s="15">
        <f t="shared" si="27"/>
        <v>2.2666323945295899E-2</v>
      </c>
    </row>
    <row r="195" spans="1:18" x14ac:dyDescent="0.2">
      <c r="A195" s="13">
        <v>45769</v>
      </c>
      <c r="B195" s="14">
        <v>16.28</v>
      </c>
      <c r="C195" s="14">
        <v>10.79</v>
      </c>
      <c r="D195" s="14">
        <v>382.6</v>
      </c>
      <c r="E195" s="14">
        <v>37.860767000000003</v>
      </c>
      <c r="F195" s="14">
        <v>427.79</v>
      </c>
      <c r="G195" s="14">
        <v>133.79</v>
      </c>
      <c r="H195" s="14">
        <v>9</v>
      </c>
      <c r="I195" s="14">
        <v>62.929324999999999</v>
      </c>
      <c r="J195">
        <f t="shared" ref="J195:J258" si="28">B195/B196-1</f>
        <v>2.2613065326633208E-2</v>
      </c>
      <c r="K195">
        <f t="shared" ref="K195:K258" si="29">C195/C196-1</f>
        <v>3.6503362151776964E-2</v>
      </c>
      <c r="L195">
        <f t="shared" ref="L195:L258" si="30">D195/D196-1</f>
        <v>1.2678330377703162E-2</v>
      </c>
      <c r="M195">
        <f t="shared" ref="M195:M258" si="31">E195/E196-1</f>
        <v>1.6206201185480218E-2</v>
      </c>
      <c r="N195">
        <f t="shared" ref="N195:N258" si="32">F195/F196-1</f>
        <v>-2.0537595017858679E-2</v>
      </c>
      <c r="O195">
        <f t="shared" ref="O195:O258" si="33">G195/G196-1</f>
        <v>1.080386823813817E-2</v>
      </c>
      <c r="P195">
        <f t="shared" ref="P195:P258" si="34">H195/H196-1</f>
        <v>1.4656144306651742E-2</v>
      </c>
      <c r="Q195">
        <f t="shared" ref="Q195:Q258" si="35">I195/I196-1</f>
        <v>-8.4798492205147014E-3</v>
      </c>
      <c r="R195" s="15">
        <f t="shared" ref="R195:R258" si="36">SUMPRODUCT($T$2:$AA$2,J195:Q195)</f>
        <v>7.8171760089223649E-3</v>
      </c>
    </row>
    <row r="196" spans="1:18" x14ac:dyDescent="0.2">
      <c r="A196" s="11">
        <v>45768</v>
      </c>
      <c r="B196" s="12">
        <v>15.92</v>
      </c>
      <c r="C196" s="12">
        <v>10.41</v>
      </c>
      <c r="D196" s="12">
        <v>377.81</v>
      </c>
      <c r="E196" s="12">
        <v>37.256973000000002</v>
      </c>
      <c r="F196" s="12">
        <v>436.76</v>
      </c>
      <c r="G196" s="12">
        <v>132.36000000000001</v>
      </c>
      <c r="H196" s="12">
        <v>8.8699999999999992</v>
      </c>
      <c r="I196" s="12">
        <v>63.46752</v>
      </c>
      <c r="J196">
        <f t="shared" si="28"/>
        <v>3.984323971260606E-2</v>
      </c>
      <c r="K196">
        <f t="shared" si="29"/>
        <v>0</v>
      </c>
      <c r="L196">
        <f t="shared" si="30"/>
        <v>1.3112731953233814E-2</v>
      </c>
      <c r="M196">
        <f t="shared" si="31"/>
        <v>7.4946002988007798E-3</v>
      </c>
      <c r="N196">
        <f t="shared" si="32"/>
        <v>2.6607747273410975E-2</v>
      </c>
      <c r="O196">
        <f t="shared" si="33"/>
        <v>-8.3907701528317391E-3</v>
      </c>
      <c r="P196">
        <f t="shared" si="34"/>
        <v>-3.0601092896174964E-2</v>
      </c>
      <c r="Q196">
        <f t="shared" si="35"/>
        <v>6.8302147292500504E-3</v>
      </c>
      <c r="R196" s="15">
        <f t="shared" si="36"/>
        <v>5.1926515302987341E-3</v>
      </c>
    </row>
    <row r="197" spans="1:18" x14ac:dyDescent="0.2">
      <c r="A197" s="13">
        <v>45763</v>
      </c>
      <c r="B197" s="14">
        <v>15.31</v>
      </c>
      <c r="C197" s="14">
        <v>10.41</v>
      </c>
      <c r="D197" s="14">
        <v>372.92</v>
      </c>
      <c r="E197" s="14">
        <v>36.979824000000001</v>
      </c>
      <c r="F197" s="14">
        <v>425.44</v>
      </c>
      <c r="G197" s="14">
        <v>133.47999999999999</v>
      </c>
      <c r="H197" s="14">
        <v>9.15</v>
      </c>
      <c r="I197" s="14">
        <v>63.036963999999998</v>
      </c>
      <c r="J197">
        <f t="shared" si="28"/>
        <v>1.3080444735122931E-3</v>
      </c>
      <c r="K197">
        <f t="shared" si="29"/>
        <v>-1.6068052930056753E-2</v>
      </c>
      <c r="L197">
        <f t="shared" si="30"/>
        <v>2.4461708018601591E-3</v>
      </c>
      <c r="M197">
        <f t="shared" si="31"/>
        <v>1.5217462921599978E-2</v>
      </c>
      <c r="N197">
        <f t="shared" si="32"/>
        <v>7.8483066315149008E-2</v>
      </c>
      <c r="O197">
        <f t="shared" si="33"/>
        <v>2.3462659101364913E-2</v>
      </c>
      <c r="P197">
        <f t="shared" si="34"/>
        <v>-1.0917030567685337E-3</v>
      </c>
      <c r="Q197">
        <f t="shared" si="35"/>
        <v>-6.324331434035102E-3</v>
      </c>
      <c r="R197" s="15">
        <f t="shared" si="36"/>
        <v>1.9074950060740874E-2</v>
      </c>
    </row>
    <row r="198" spans="1:18" x14ac:dyDescent="0.2">
      <c r="A198" s="11">
        <v>45762</v>
      </c>
      <c r="B198" s="12">
        <v>15.29</v>
      </c>
      <c r="C198" s="12">
        <v>10.58</v>
      </c>
      <c r="D198" s="12">
        <v>372.01</v>
      </c>
      <c r="E198" s="12">
        <v>36.425519999999999</v>
      </c>
      <c r="F198" s="12">
        <v>394.48</v>
      </c>
      <c r="G198" s="12">
        <v>130.41999999999999</v>
      </c>
      <c r="H198" s="12">
        <v>9.16</v>
      </c>
      <c r="I198" s="12">
        <v>63.438167999999997</v>
      </c>
      <c r="J198">
        <f t="shared" si="28"/>
        <v>2.1376085504341891E-2</v>
      </c>
      <c r="K198">
        <f t="shared" si="29"/>
        <v>-1.3979496738117492E-2</v>
      </c>
      <c r="L198">
        <f t="shared" si="30"/>
        <v>-7.6028383930001331E-3</v>
      </c>
      <c r="M198">
        <f t="shared" si="31"/>
        <v>6.8398902251987082E-3</v>
      </c>
      <c r="N198">
        <f t="shared" si="32"/>
        <v>1.0994643635152235E-2</v>
      </c>
      <c r="O198">
        <f t="shared" si="33"/>
        <v>1.0068153655514056E-2</v>
      </c>
      <c r="P198">
        <f t="shared" si="34"/>
        <v>-7.5839653304442534E-3</v>
      </c>
      <c r="Q198">
        <f t="shared" si="35"/>
        <v>8.8702195858947341E-3</v>
      </c>
      <c r="R198" s="15">
        <f t="shared" si="36"/>
        <v>3.0143518481122876E-3</v>
      </c>
    </row>
    <row r="199" spans="1:18" x14ac:dyDescent="0.2">
      <c r="A199" s="13">
        <v>45761</v>
      </c>
      <c r="B199" s="14">
        <v>14.97</v>
      </c>
      <c r="C199" s="14">
        <v>10.73</v>
      </c>
      <c r="D199" s="14">
        <v>374.86</v>
      </c>
      <c r="E199" s="14">
        <v>36.178066000000001</v>
      </c>
      <c r="F199" s="14">
        <v>390.19</v>
      </c>
      <c r="G199" s="14">
        <v>129.12</v>
      </c>
      <c r="H199" s="14">
        <v>9.23</v>
      </c>
      <c r="I199" s="14">
        <v>62.880405000000003</v>
      </c>
      <c r="J199">
        <f t="shared" si="28"/>
        <v>4.320557491289212E-2</v>
      </c>
      <c r="K199">
        <f t="shared" si="29"/>
        <v>2.0932445290199775E-2</v>
      </c>
      <c r="L199">
        <f t="shared" si="30"/>
        <v>1.1631358790986424E-2</v>
      </c>
      <c r="M199">
        <f t="shared" si="31"/>
        <v>1.1624686751482205E-2</v>
      </c>
      <c r="N199">
        <f t="shared" si="32"/>
        <v>4.0062906493229411E-2</v>
      </c>
      <c r="O199">
        <f t="shared" si="33"/>
        <v>1.2308898471187879E-2</v>
      </c>
      <c r="P199">
        <f t="shared" si="34"/>
        <v>-3.954214360041608E-2</v>
      </c>
      <c r="Q199">
        <f t="shared" si="35"/>
        <v>-6.3397894335693872E-3</v>
      </c>
      <c r="R199" s="15">
        <f t="shared" si="36"/>
        <v>1.1108108420293309E-2</v>
      </c>
    </row>
    <row r="200" spans="1:18" x14ac:dyDescent="0.2">
      <c r="A200" s="11">
        <v>45758</v>
      </c>
      <c r="B200" s="12">
        <v>14.35</v>
      </c>
      <c r="C200" s="12">
        <v>10.51</v>
      </c>
      <c r="D200" s="12">
        <v>370.55</v>
      </c>
      <c r="E200" s="12">
        <v>35.762340000000002</v>
      </c>
      <c r="F200" s="12">
        <v>375.16</v>
      </c>
      <c r="G200" s="12">
        <v>127.55</v>
      </c>
      <c r="H200" s="12">
        <v>9.61</v>
      </c>
      <c r="I200" s="12">
        <v>63.281596999999998</v>
      </c>
      <c r="J200">
        <f t="shared" si="28"/>
        <v>6.3113604488078678E-3</v>
      </c>
      <c r="K200">
        <f t="shared" si="29"/>
        <v>1.9398642095053376E-2</v>
      </c>
      <c r="L200">
        <f t="shared" si="30"/>
        <v>3.9828763411726698E-3</v>
      </c>
      <c r="M200">
        <f t="shared" si="31"/>
        <v>3.0538410577822805E-3</v>
      </c>
      <c r="N200">
        <f t="shared" si="32"/>
        <v>5.6729198355022437E-2</v>
      </c>
      <c r="O200">
        <f t="shared" si="33"/>
        <v>-5.5356307500389335E-3</v>
      </c>
      <c r="P200">
        <f t="shared" si="34"/>
        <v>-4.1450777202073352E-3</v>
      </c>
      <c r="Q200">
        <f t="shared" si="35"/>
        <v>-1.0405538961952954E-2</v>
      </c>
      <c r="R200" s="15">
        <f t="shared" si="36"/>
        <v>1.2992587342659402E-2</v>
      </c>
    </row>
    <row r="201" spans="1:18" x14ac:dyDescent="0.2">
      <c r="A201" s="13">
        <v>45757</v>
      </c>
      <c r="B201" s="14">
        <v>14.26</v>
      </c>
      <c r="C201" s="14">
        <v>10.31</v>
      </c>
      <c r="D201" s="14">
        <v>369.08</v>
      </c>
      <c r="E201" s="14">
        <v>35.653460000000003</v>
      </c>
      <c r="F201" s="14">
        <v>355.02</v>
      </c>
      <c r="G201" s="14">
        <v>128.26</v>
      </c>
      <c r="H201" s="14">
        <v>9.65</v>
      </c>
      <c r="I201" s="14">
        <v>63.947000000000003</v>
      </c>
      <c r="J201">
        <f t="shared" si="28"/>
        <v>-7.0077084793274125E-4</v>
      </c>
      <c r="K201">
        <f t="shared" si="29"/>
        <v>-5.0644567219152781E-2</v>
      </c>
      <c r="L201">
        <f t="shared" si="30"/>
        <v>-1.4998665599145977E-2</v>
      </c>
      <c r="M201">
        <f t="shared" si="31"/>
        <v>-7.9868093135017082E-3</v>
      </c>
      <c r="N201">
        <f t="shared" si="32"/>
        <v>1.2260492700729708E-2</v>
      </c>
      <c r="O201">
        <f t="shared" si="33"/>
        <v>-4.8092622829152609E-2</v>
      </c>
      <c r="P201">
        <f t="shared" si="34"/>
        <v>-7.300672430355426E-2</v>
      </c>
      <c r="Q201">
        <f t="shared" si="35"/>
        <v>-3.7413481690504513E-2</v>
      </c>
      <c r="R201" s="15">
        <f t="shared" si="36"/>
        <v>-2.7708102167826813E-2</v>
      </c>
    </row>
    <row r="202" spans="1:18" x14ac:dyDescent="0.2">
      <c r="A202" s="11">
        <v>45756</v>
      </c>
      <c r="B202" s="12">
        <v>14.27</v>
      </c>
      <c r="C202" s="12">
        <v>10.86</v>
      </c>
      <c r="D202" s="12">
        <v>374.7</v>
      </c>
      <c r="E202" s="12">
        <v>35.940510000000003</v>
      </c>
      <c r="F202" s="12">
        <v>350.72</v>
      </c>
      <c r="G202" s="12">
        <v>134.74</v>
      </c>
      <c r="H202" s="12">
        <v>10.41</v>
      </c>
      <c r="I202" s="12">
        <v>66.432469999999995</v>
      </c>
      <c r="J202">
        <f t="shared" si="28"/>
        <v>2.0743919885550799E-2</v>
      </c>
      <c r="K202">
        <f t="shared" si="29"/>
        <v>2.9383886255924141E-2</v>
      </c>
      <c r="L202">
        <f t="shared" si="30"/>
        <v>3.5798203178990962E-2</v>
      </c>
      <c r="M202">
        <f t="shared" si="31"/>
        <v>-1.9241984126542322E-3</v>
      </c>
      <c r="N202">
        <f t="shared" si="32"/>
        <v>6.8258657975693859E-2</v>
      </c>
      <c r="O202">
        <f t="shared" si="33"/>
        <v>6.6234074543008559E-2</v>
      </c>
      <c r="P202">
        <f t="shared" si="34"/>
        <v>6.7692307692307718E-2</v>
      </c>
      <c r="Q202">
        <f t="shared" si="35"/>
        <v>9.2005838060716938E-2</v>
      </c>
      <c r="R202" s="15">
        <f t="shared" si="36"/>
        <v>5.1489595566802333E-2</v>
      </c>
    </row>
    <row r="203" spans="1:18" x14ac:dyDescent="0.2">
      <c r="A203" s="13">
        <v>45755</v>
      </c>
      <c r="B203" s="14">
        <v>13.98</v>
      </c>
      <c r="C203" s="14">
        <v>10.55</v>
      </c>
      <c r="D203" s="14">
        <v>361.75</v>
      </c>
      <c r="E203" s="14">
        <v>36.009799999999998</v>
      </c>
      <c r="F203" s="14">
        <v>328.31</v>
      </c>
      <c r="G203" s="14">
        <v>126.37</v>
      </c>
      <c r="H203" s="14">
        <v>9.75</v>
      </c>
      <c r="I203" s="14">
        <v>60.835270000000001</v>
      </c>
      <c r="J203">
        <f t="shared" si="28"/>
        <v>-2.5783972125435484E-2</v>
      </c>
      <c r="K203">
        <f t="shared" si="29"/>
        <v>-7.5258701787394022E-3</v>
      </c>
      <c r="L203">
        <f t="shared" si="30"/>
        <v>-8.6868354707881901E-3</v>
      </c>
      <c r="M203">
        <f t="shared" si="31"/>
        <v>1.4500878853948462E-2</v>
      </c>
      <c r="N203">
        <f t="shared" si="32"/>
        <v>-2.2246709154803646E-2</v>
      </c>
      <c r="O203">
        <f t="shared" si="33"/>
        <v>2.3404599935212156E-2</v>
      </c>
      <c r="P203">
        <f t="shared" si="34"/>
        <v>-4.1297935103244865E-2</v>
      </c>
      <c r="Q203">
        <f t="shared" si="35"/>
        <v>-4.2949516601586191E-2</v>
      </c>
      <c r="R203" s="15">
        <f t="shared" si="36"/>
        <v>-1.4479679876592981E-2</v>
      </c>
    </row>
    <row r="204" spans="1:18" x14ac:dyDescent="0.2">
      <c r="A204" s="11">
        <v>45754</v>
      </c>
      <c r="B204" s="12">
        <v>14.35</v>
      </c>
      <c r="C204" s="12">
        <v>10.63</v>
      </c>
      <c r="D204" s="12">
        <v>364.92</v>
      </c>
      <c r="E204" s="12">
        <v>35.495089999999998</v>
      </c>
      <c r="F204" s="12">
        <v>335.78</v>
      </c>
      <c r="G204" s="12">
        <v>123.48</v>
      </c>
      <c r="H204" s="12">
        <v>10.17</v>
      </c>
      <c r="I204" s="12">
        <v>63.565372000000004</v>
      </c>
      <c r="J204">
        <f t="shared" si="28"/>
        <v>-1.0344827586206917E-2</v>
      </c>
      <c r="K204">
        <f t="shared" si="29"/>
        <v>1.0456273764258617E-2</v>
      </c>
      <c r="L204">
        <f t="shared" si="30"/>
        <v>-1.202079272254708E-2</v>
      </c>
      <c r="M204">
        <f t="shared" si="31"/>
        <v>1.0995167629096247E-2</v>
      </c>
      <c r="N204">
        <f t="shared" si="32"/>
        <v>-2.207595526561057E-2</v>
      </c>
      <c r="O204">
        <f t="shared" si="33"/>
        <v>-6.3623265337074408E-2</v>
      </c>
      <c r="P204">
        <f t="shared" si="34"/>
        <v>1.8018018018018056E-2</v>
      </c>
      <c r="Q204">
        <f t="shared" si="35"/>
        <v>-3.4913091824904541E-2</v>
      </c>
      <c r="R204" s="15">
        <f t="shared" si="36"/>
        <v>-1.3403518168813022E-2</v>
      </c>
    </row>
    <row r="205" spans="1:18" x14ac:dyDescent="0.2">
      <c r="A205" s="13">
        <v>45751</v>
      </c>
      <c r="B205" s="14">
        <v>14.5</v>
      </c>
      <c r="C205" s="14">
        <v>10.52</v>
      </c>
      <c r="D205" s="14">
        <v>369.36</v>
      </c>
      <c r="E205" s="14">
        <v>35.109059999999999</v>
      </c>
      <c r="F205" s="14">
        <v>343.36</v>
      </c>
      <c r="G205" s="14">
        <v>131.87</v>
      </c>
      <c r="H205" s="14">
        <v>9.99</v>
      </c>
      <c r="I205" s="14">
        <v>65.864919999999998</v>
      </c>
      <c r="J205">
        <f t="shared" si="28"/>
        <v>-3.2688458972648493E-2</v>
      </c>
      <c r="K205">
        <f t="shared" si="29"/>
        <v>-5.2252252252252274E-2</v>
      </c>
      <c r="L205">
        <f t="shared" si="30"/>
        <v>-4.1121495327102742E-2</v>
      </c>
      <c r="M205">
        <f t="shared" si="31"/>
        <v>-1.3351862169068252E-2</v>
      </c>
      <c r="N205">
        <f t="shared" si="32"/>
        <v>-0.14847605584901913</v>
      </c>
      <c r="O205">
        <f t="shared" si="33"/>
        <v>-5.8138704378258632E-2</v>
      </c>
      <c r="P205">
        <f t="shared" si="34"/>
        <v>-5.9322033898305038E-2</v>
      </c>
      <c r="Q205">
        <f t="shared" si="35"/>
        <v>-1.1019655364443715E-2</v>
      </c>
      <c r="R205" s="15">
        <f t="shared" si="36"/>
        <v>-6.4784780033145681E-2</v>
      </c>
    </row>
    <row r="206" spans="1:18" x14ac:dyDescent="0.2">
      <c r="A206" s="11">
        <v>45750</v>
      </c>
      <c r="B206" s="12">
        <v>14.99</v>
      </c>
      <c r="C206" s="12">
        <v>11.1</v>
      </c>
      <c r="D206" s="12">
        <v>385.2</v>
      </c>
      <c r="E206" s="12">
        <v>35.584175000000002</v>
      </c>
      <c r="F206" s="12">
        <v>403.23</v>
      </c>
      <c r="G206" s="12">
        <v>140.01</v>
      </c>
      <c r="H206" s="12">
        <v>10.62</v>
      </c>
      <c r="I206" s="12">
        <v>66.598815999999999</v>
      </c>
      <c r="J206">
        <f t="shared" si="28"/>
        <v>8.7483176312248556E-3</v>
      </c>
      <c r="K206">
        <f t="shared" si="29"/>
        <v>-4.8843187660668419E-2</v>
      </c>
      <c r="L206">
        <f t="shared" si="30"/>
        <v>-8.9278822651607248E-3</v>
      </c>
      <c r="M206">
        <f t="shared" si="31"/>
        <v>3.9317851709255169E-2</v>
      </c>
      <c r="N206">
        <f t="shared" si="32"/>
        <v>6.9924830806882277E-3</v>
      </c>
      <c r="O206">
        <f t="shared" si="33"/>
        <v>8.5264708162158032E-2</v>
      </c>
      <c r="P206">
        <f t="shared" si="34"/>
        <v>-2.0295202952029578E-2</v>
      </c>
      <c r="Q206">
        <f t="shared" si="35"/>
        <v>4.8528575737691204E-2</v>
      </c>
      <c r="R206" s="15">
        <f t="shared" si="36"/>
        <v>1.1631957696655062E-2</v>
      </c>
    </row>
    <row r="207" spans="1:18" x14ac:dyDescent="0.2">
      <c r="A207" s="13">
        <v>45749</v>
      </c>
      <c r="B207" s="14">
        <v>14.86</v>
      </c>
      <c r="C207" s="14">
        <v>11.67</v>
      </c>
      <c r="D207" s="14">
        <v>388.67</v>
      </c>
      <c r="E207" s="14">
        <v>34.238010000000003</v>
      </c>
      <c r="F207" s="14">
        <v>400.43</v>
      </c>
      <c r="G207" s="14">
        <v>129.01</v>
      </c>
      <c r="H207" s="14">
        <v>10.84</v>
      </c>
      <c r="I207" s="14">
        <v>63.516452999999998</v>
      </c>
      <c r="J207">
        <f t="shared" si="28"/>
        <v>6.7340067340060372E-4</v>
      </c>
      <c r="K207">
        <f t="shared" si="29"/>
        <v>6.90250215703192E-3</v>
      </c>
      <c r="L207">
        <f t="shared" si="30"/>
        <v>1.3798320204496894E-2</v>
      </c>
      <c r="M207">
        <f t="shared" si="31"/>
        <v>1.4072044824826602E-2</v>
      </c>
      <c r="N207">
        <f t="shared" si="32"/>
        <v>3.7061017300321186E-2</v>
      </c>
      <c r="O207">
        <f t="shared" si="33"/>
        <v>-4.3988269794723589E-3</v>
      </c>
      <c r="P207">
        <f t="shared" si="34"/>
        <v>4.6339202965710591E-3</v>
      </c>
      <c r="Q207">
        <f t="shared" si="35"/>
        <v>-8.7048595683035801E-3</v>
      </c>
      <c r="R207" s="15">
        <f t="shared" si="36"/>
        <v>1.0993785290813693E-2</v>
      </c>
    </row>
    <row r="208" spans="1:18" x14ac:dyDescent="0.2">
      <c r="A208" s="11">
        <v>45748</v>
      </c>
      <c r="B208" s="12">
        <v>14.85</v>
      </c>
      <c r="C208" s="12">
        <v>11.59</v>
      </c>
      <c r="D208" s="12">
        <v>383.38</v>
      </c>
      <c r="E208" s="12">
        <v>33.762897000000002</v>
      </c>
      <c r="F208" s="12">
        <v>386.12</v>
      </c>
      <c r="G208" s="12">
        <v>129.58000000000001</v>
      </c>
      <c r="H208" s="12">
        <v>10.79</v>
      </c>
      <c r="I208" s="12">
        <v>64.074209999999994</v>
      </c>
      <c r="J208">
        <f t="shared" si="28"/>
        <v>1.8518518518518379E-2</v>
      </c>
      <c r="K208">
        <f t="shared" si="29"/>
        <v>3.4632034632033903E-3</v>
      </c>
      <c r="L208">
        <f t="shared" si="30"/>
        <v>1.3160676532769644E-2</v>
      </c>
      <c r="M208">
        <f t="shared" si="31"/>
        <v>1.1265901323473715E-2</v>
      </c>
      <c r="N208">
        <f t="shared" si="32"/>
        <v>1.6908085330524125E-2</v>
      </c>
      <c r="O208">
        <f t="shared" si="33"/>
        <v>-5.0675675675675436E-3</v>
      </c>
      <c r="P208">
        <f t="shared" si="34"/>
        <v>-8.2720588235295489E-3</v>
      </c>
      <c r="Q208">
        <f t="shared" si="35"/>
        <v>0</v>
      </c>
      <c r="R208" s="15">
        <f t="shared" si="36"/>
        <v>5.8906346254294206E-3</v>
      </c>
    </row>
    <row r="209" spans="1:18" x14ac:dyDescent="0.2">
      <c r="A209" s="13">
        <v>45747</v>
      </c>
      <c r="B209" s="14">
        <v>14.58</v>
      </c>
      <c r="C209" s="14">
        <v>11.55</v>
      </c>
      <c r="D209" s="14">
        <v>378.4</v>
      </c>
      <c r="E209" s="14">
        <v>33.386764999999997</v>
      </c>
      <c r="F209" s="14">
        <v>379.7</v>
      </c>
      <c r="G209" s="14">
        <v>130.24</v>
      </c>
      <c r="H209" s="14">
        <v>10.88</v>
      </c>
      <c r="I209" s="14">
        <v>64.074209999999994</v>
      </c>
      <c r="J209">
        <f t="shared" si="28"/>
        <v>-9.5108695652174058E-3</v>
      </c>
      <c r="K209">
        <f t="shared" si="29"/>
        <v>-5.1679586563306845E-3</v>
      </c>
      <c r="L209">
        <f t="shared" si="30"/>
        <v>-7.9437904726948894E-3</v>
      </c>
      <c r="M209">
        <f t="shared" si="31"/>
        <v>-7.6493307002829525E-3</v>
      </c>
      <c r="N209">
        <f t="shared" si="32"/>
        <v>2.8718504470333084E-2</v>
      </c>
      <c r="O209">
        <f t="shared" si="33"/>
        <v>-4.7117354404448308E-2</v>
      </c>
      <c r="P209">
        <f t="shared" si="34"/>
        <v>-1.7163504968382925E-2</v>
      </c>
      <c r="Q209">
        <f t="shared" si="35"/>
        <v>5.8372086211051499E-3</v>
      </c>
      <c r="R209" s="15">
        <f t="shared" si="36"/>
        <v>-5.9874024699521225E-3</v>
      </c>
    </row>
    <row r="210" spans="1:18" x14ac:dyDescent="0.2">
      <c r="A210" s="11">
        <v>45744</v>
      </c>
      <c r="B210" s="12">
        <v>14.72</v>
      </c>
      <c r="C210" s="12">
        <v>11.61</v>
      </c>
      <c r="D210" s="12">
        <v>381.43</v>
      </c>
      <c r="E210" s="12">
        <v>33.644120000000001</v>
      </c>
      <c r="F210" s="12">
        <v>369.1</v>
      </c>
      <c r="G210" s="12">
        <v>136.68</v>
      </c>
      <c r="H210" s="12">
        <v>11.07</v>
      </c>
      <c r="I210" s="12">
        <v>63.702365999999998</v>
      </c>
      <c r="J210">
        <f t="shared" si="28"/>
        <v>-6.7888662593340587E-4</v>
      </c>
      <c r="K210">
        <f t="shared" si="29"/>
        <v>-5.1470588235294157E-2</v>
      </c>
      <c r="L210">
        <f t="shared" si="30"/>
        <v>-6.4857261929568422E-3</v>
      </c>
      <c r="M210">
        <f t="shared" si="31"/>
        <v>8.9048641251934235E-3</v>
      </c>
      <c r="N210">
        <f t="shared" si="32"/>
        <v>2.7166530834012992E-3</v>
      </c>
      <c r="O210">
        <f t="shared" si="33"/>
        <v>-3.0569543939286459E-2</v>
      </c>
      <c r="P210">
        <f t="shared" si="34"/>
        <v>-2.3809523809523725E-2</v>
      </c>
      <c r="Q210">
        <f t="shared" si="35"/>
        <v>-1.8247647927400634E-2</v>
      </c>
      <c r="R210" s="15">
        <f t="shared" si="36"/>
        <v>-1.4909594893641357E-2</v>
      </c>
    </row>
    <row r="211" spans="1:18" x14ac:dyDescent="0.2">
      <c r="A211" s="13">
        <v>45743</v>
      </c>
      <c r="B211" s="14">
        <v>14.73</v>
      </c>
      <c r="C211" s="14">
        <v>12.24</v>
      </c>
      <c r="D211" s="14">
        <v>383.92</v>
      </c>
      <c r="E211" s="14">
        <v>33.347168000000003</v>
      </c>
      <c r="F211" s="14">
        <v>368.1</v>
      </c>
      <c r="G211" s="14">
        <v>140.99</v>
      </c>
      <c r="H211" s="14">
        <v>11.34</v>
      </c>
      <c r="I211" s="14">
        <v>64.886390000000006</v>
      </c>
      <c r="J211">
        <f t="shared" si="28"/>
        <v>1.7968210089841063E-2</v>
      </c>
      <c r="K211">
        <f t="shared" si="29"/>
        <v>1.2406947890818865E-2</v>
      </c>
      <c r="L211">
        <f t="shared" si="30"/>
        <v>5.7633867756470281E-3</v>
      </c>
      <c r="M211">
        <f t="shared" si="31"/>
        <v>-1.4820641965915815E-3</v>
      </c>
      <c r="N211">
        <f t="shared" si="32"/>
        <v>3.2335866730235363E-2</v>
      </c>
      <c r="O211">
        <f t="shared" si="33"/>
        <v>-2.5167669224918643E-2</v>
      </c>
      <c r="P211">
        <f t="shared" si="34"/>
        <v>-1.1333914559721103E-2</v>
      </c>
      <c r="Q211">
        <f t="shared" si="35"/>
        <v>-1.5058265276451932E-3</v>
      </c>
      <c r="R211" s="15">
        <f t="shared" si="36"/>
        <v>4.5802684350583732E-3</v>
      </c>
    </row>
    <row r="212" spans="1:18" x14ac:dyDescent="0.2">
      <c r="A212" s="11">
        <v>45742</v>
      </c>
      <c r="B212" s="12">
        <v>14.47</v>
      </c>
      <c r="C212" s="12">
        <v>12.09</v>
      </c>
      <c r="D212" s="12">
        <v>381.72</v>
      </c>
      <c r="E212" s="12">
        <v>33.396664000000001</v>
      </c>
      <c r="F212" s="12">
        <v>356.57</v>
      </c>
      <c r="G212" s="12">
        <v>144.63</v>
      </c>
      <c r="H212" s="12">
        <v>11.47</v>
      </c>
      <c r="I212" s="12">
        <v>64.984245000000001</v>
      </c>
      <c r="J212">
        <f t="shared" si="28"/>
        <v>9.0655509065551421E-3</v>
      </c>
      <c r="K212">
        <f t="shared" si="29"/>
        <v>-4.0476190476190443E-2</v>
      </c>
      <c r="L212">
        <f t="shared" si="30"/>
        <v>-2.2759273956119874E-2</v>
      </c>
      <c r="M212">
        <f t="shared" si="31"/>
        <v>7.1642770312574378E-3</v>
      </c>
      <c r="N212">
        <f t="shared" si="32"/>
        <v>4.337661606061527E-3</v>
      </c>
      <c r="O212">
        <f t="shared" si="33"/>
        <v>-1.656657693104191E-3</v>
      </c>
      <c r="P212">
        <f t="shared" si="34"/>
        <v>7.0237050043897575E-3</v>
      </c>
      <c r="Q212">
        <f t="shared" si="35"/>
        <v>1.0960614315250305E-2</v>
      </c>
      <c r="R212" s="15">
        <f t="shared" si="36"/>
        <v>-3.0636089655731351E-3</v>
      </c>
    </row>
    <row r="213" spans="1:18" x14ac:dyDescent="0.2">
      <c r="A213" s="13">
        <v>45741</v>
      </c>
      <c r="B213" s="14">
        <v>14.34</v>
      </c>
      <c r="C213" s="14">
        <v>12.6</v>
      </c>
      <c r="D213" s="14">
        <v>390.61</v>
      </c>
      <c r="E213" s="14">
        <v>33.159103000000002</v>
      </c>
      <c r="F213" s="14">
        <v>355.03</v>
      </c>
      <c r="G213" s="14">
        <v>144.87</v>
      </c>
      <c r="H213" s="14">
        <v>11.39</v>
      </c>
      <c r="I213" s="14">
        <v>64.279700000000005</v>
      </c>
      <c r="J213">
        <f t="shared" si="28"/>
        <v>4.2016806722688926E-3</v>
      </c>
      <c r="K213">
        <f t="shared" si="29"/>
        <v>3.6184210526315708E-2</v>
      </c>
      <c r="L213">
        <f t="shared" si="30"/>
        <v>2.7191206248192268E-2</v>
      </c>
      <c r="M213">
        <f t="shared" si="31"/>
        <v>-3.2909921521842023E-2</v>
      </c>
      <c r="N213">
        <f t="shared" si="32"/>
        <v>6.6347217102837863E-3</v>
      </c>
      <c r="O213">
        <f t="shared" si="33"/>
        <v>1.4140707035351863E-2</v>
      </c>
      <c r="P213">
        <f t="shared" si="34"/>
        <v>-6.10820244328103E-3</v>
      </c>
      <c r="Q213">
        <f t="shared" si="35"/>
        <v>1.1549038947605172E-2</v>
      </c>
      <c r="R213" s="15">
        <f t="shared" si="36"/>
        <v>7.8759686690530253E-3</v>
      </c>
    </row>
    <row r="214" spans="1:18" x14ac:dyDescent="0.2">
      <c r="A214" s="11">
        <v>45740</v>
      </c>
      <c r="B214" s="12">
        <v>14.28</v>
      </c>
      <c r="C214" s="12">
        <v>12.16</v>
      </c>
      <c r="D214" s="12">
        <v>380.27</v>
      </c>
      <c r="E214" s="12">
        <v>34.287502000000003</v>
      </c>
      <c r="F214" s="12">
        <v>352.69</v>
      </c>
      <c r="G214" s="12">
        <v>142.85</v>
      </c>
      <c r="H214" s="12">
        <v>11.46</v>
      </c>
      <c r="I214" s="12">
        <v>63.545807000000003</v>
      </c>
      <c r="J214">
        <f t="shared" si="28"/>
        <v>2.1052631578946102E-3</v>
      </c>
      <c r="K214">
        <f t="shared" si="29"/>
        <v>1.7573221757322344E-2</v>
      </c>
      <c r="L214">
        <f t="shared" si="30"/>
        <v>1.4648593841720459E-2</v>
      </c>
      <c r="M214">
        <f t="shared" si="31"/>
        <v>-4.8837675285559046E-3</v>
      </c>
      <c r="N214">
        <f t="shared" si="32"/>
        <v>-8.4621872364352146E-3</v>
      </c>
      <c r="O214">
        <f t="shared" si="33"/>
        <v>4.1256651359428576E-2</v>
      </c>
      <c r="P214">
        <f t="shared" si="34"/>
        <v>1.4159292035398341E-2</v>
      </c>
      <c r="Q214">
        <f t="shared" si="35"/>
        <v>-3.6820414969116477E-3</v>
      </c>
      <c r="R214" s="15">
        <f t="shared" si="36"/>
        <v>9.5311558263068436E-3</v>
      </c>
    </row>
    <row r="215" spans="1:18" x14ac:dyDescent="0.2">
      <c r="A215" s="13">
        <v>45737</v>
      </c>
      <c r="B215" s="14">
        <v>14.25</v>
      </c>
      <c r="C215" s="14">
        <v>11.95</v>
      </c>
      <c r="D215" s="14">
        <v>374.78</v>
      </c>
      <c r="E215" s="14">
        <v>34.455776</v>
      </c>
      <c r="F215" s="14">
        <v>355.7</v>
      </c>
      <c r="G215" s="14">
        <v>137.19</v>
      </c>
      <c r="H215" s="14">
        <v>11.3</v>
      </c>
      <c r="I215" s="14">
        <v>63.780650000000001</v>
      </c>
      <c r="J215">
        <f t="shared" si="28"/>
        <v>-4.8882681564246244E-3</v>
      </c>
      <c r="K215">
        <f t="shared" si="29"/>
        <v>-2.209492635024557E-2</v>
      </c>
      <c r="L215">
        <f t="shared" si="30"/>
        <v>-1.6067209241270697E-2</v>
      </c>
      <c r="M215">
        <f t="shared" si="31"/>
        <v>2.5922193845262509E-3</v>
      </c>
      <c r="N215">
        <f t="shared" si="32"/>
        <v>2.9403252879550701E-2</v>
      </c>
      <c r="O215">
        <f t="shared" si="33"/>
        <v>-1.7756139471611587E-2</v>
      </c>
      <c r="P215">
        <f t="shared" si="34"/>
        <v>-1.0507880910682998E-2</v>
      </c>
      <c r="Q215">
        <f t="shared" si="35"/>
        <v>-1.4365575778180428E-2</v>
      </c>
      <c r="R215" s="15">
        <f t="shared" si="36"/>
        <v>-3.7630309537766225E-3</v>
      </c>
    </row>
    <row r="216" spans="1:18" x14ac:dyDescent="0.2">
      <c r="A216" s="11">
        <v>45736</v>
      </c>
      <c r="B216" s="12">
        <v>14.32</v>
      </c>
      <c r="C216" s="12">
        <v>12.22</v>
      </c>
      <c r="D216" s="12">
        <v>380.9</v>
      </c>
      <c r="E216" s="12">
        <v>34.366689999999998</v>
      </c>
      <c r="F216" s="12">
        <v>345.54</v>
      </c>
      <c r="G216" s="12">
        <v>139.66999999999999</v>
      </c>
      <c r="H216" s="12">
        <v>11.42</v>
      </c>
      <c r="I216" s="12">
        <v>64.710250000000002</v>
      </c>
      <c r="J216">
        <f t="shared" si="28"/>
        <v>7.0323488045007654E-3</v>
      </c>
      <c r="K216">
        <f t="shared" si="29"/>
        <v>-4.0749796251018378E-3</v>
      </c>
      <c r="L216">
        <f t="shared" si="30"/>
        <v>-1.2265643233151047E-2</v>
      </c>
      <c r="M216">
        <f t="shared" si="31"/>
        <v>-7.4327830519388405E-3</v>
      </c>
      <c r="N216">
        <f t="shared" si="32"/>
        <v>-1.5695769833357076E-2</v>
      </c>
      <c r="O216">
        <f t="shared" si="33"/>
        <v>-9.0812344803121725E-3</v>
      </c>
      <c r="P216">
        <f t="shared" si="34"/>
        <v>-1.3816925734024155E-2</v>
      </c>
      <c r="Q216">
        <f t="shared" si="35"/>
        <v>2.0367214092902319E-2</v>
      </c>
      <c r="R216" s="15">
        <f t="shared" si="36"/>
        <v>-7.3134722566543745E-3</v>
      </c>
    </row>
    <row r="217" spans="1:18" x14ac:dyDescent="0.2">
      <c r="A217" s="13">
        <v>45735</v>
      </c>
      <c r="B217" s="14">
        <v>14.22</v>
      </c>
      <c r="C217" s="14">
        <v>12.27</v>
      </c>
      <c r="D217" s="14">
        <v>385.63</v>
      </c>
      <c r="E217" s="14">
        <v>34.624043</v>
      </c>
      <c r="F217" s="14">
        <v>351.05</v>
      </c>
      <c r="G217" s="14">
        <v>140.94999999999999</v>
      </c>
      <c r="H217" s="14">
        <v>11.58</v>
      </c>
      <c r="I217" s="14">
        <v>63.418590000000002</v>
      </c>
      <c r="J217">
        <f t="shared" si="28"/>
        <v>-6.2893081761006275E-3</v>
      </c>
      <c r="K217">
        <f t="shared" si="29"/>
        <v>9.0460526315789824E-3</v>
      </c>
      <c r="L217">
        <f t="shared" si="30"/>
        <v>1.2125665993018675E-2</v>
      </c>
      <c r="M217">
        <f t="shared" si="31"/>
        <v>2.858946661317141E-4</v>
      </c>
      <c r="N217">
        <f t="shared" si="32"/>
        <v>-6.030919078090502E-3</v>
      </c>
      <c r="O217">
        <f t="shared" si="33"/>
        <v>2.703293500437165E-2</v>
      </c>
      <c r="P217">
        <f t="shared" si="34"/>
        <v>1.4899211218229569E-2</v>
      </c>
      <c r="Q217">
        <f t="shared" si="35"/>
        <v>-1.3095834073164836E-2</v>
      </c>
      <c r="R217" s="15">
        <f t="shared" si="36"/>
        <v>5.9760486499585994E-3</v>
      </c>
    </row>
    <row r="218" spans="1:18" x14ac:dyDescent="0.2">
      <c r="A218" s="11">
        <v>45734</v>
      </c>
      <c r="B218" s="12">
        <v>14.31</v>
      </c>
      <c r="C218" s="12">
        <v>12.16</v>
      </c>
      <c r="D218" s="12">
        <v>381.01</v>
      </c>
      <c r="E218" s="12">
        <v>34.614147000000003</v>
      </c>
      <c r="F218" s="12">
        <v>353.18</v>
      </c>
      <c r="G218" s="12">
        <v>137.24</v>
      </c>
      <c r="H218" s="12">
        <v>11.41</v>
      </c>
      <c r="I218" s="12">
        <v>64.260130000000004</v>
      </c>
      <c r="J218">
        <f t="shared" si="28"/>
        <v>-2.7874564459929863E-3</v>
      </c>
      <c r="K218">
        <f t="shared" si="29"/>
        <v>1.0806317539484578E-2</v>
      </c>
      <c r="L218">
        <f t="shared" si="30"/>
        <v>-5.5086301872941945E-4</v>
      </c>
      <c r="M218">
        <f t="shared" si="31"/>
        <v>3.6455227983250182E-2</v>
      </c>
      <c r="N218">
        <f t="shared" si="32"/>
        <v>-0.12019530179607907</v>
      </c>
      <c r="O218">
        <f t="shared" si="33"/>
        <v>2.2271880819366929E-2</v>
      </c>
      <c r="P218">
        <f t="shared" si="34"/>
        <v>1.9660411081322771E-2</v>
      </c>
      <c r="Q218">
        <f t="shared" si="35"/>
        <v>3.0548938084509203E-3</v>
      </c>
      <c r="R218" s="15">
        <f t="shared" si="36"/>
        <v>-1.4355723304055434E-2</v>
      </c>
    </row>
    <row r="219" spans="1:18" x14ac:dyDescent="0.2">
      <c r="A219" s="13">
        <v>45730</v>
      </c>
      <c r="B219" s="14">
        <v>14.35</v>
      </c>
      <c r="C219" s="14">
        <v>12.03</v>
      </c>
      <c r="D219" s="14">
        <v>381.22</v>
      </c>
      <c r="E219" s="14">
        <v>33.396664000000001</v>
      </c>
      <c r="F219" s="14">
        <v>401.43</v>
      </c>
      <c r="G219" s="14">
        <v>134.25</v>
      </c>
      <c r="H219" s="14">
        <v>11.19</v>
      </c>
      <c r="I219" s="14">
        <v>64.064419999999998</v>
      </c>
      <c r="J219">
        <f t="shared" si="28"/>
        <v>0</v>
      </c>
      <c r="K219">
        <f t="shared" si="29"/>
        <v>1.4333895446880351E-2</v>
      </c>
      <c r="L219">
        <f t="shared" si="30"/>
        <v>3.1718538565629339E-2</v>
      </c>
      <c r="M219">
        <f t="shared" si="31"/>
        <v>1.2909025617632963E-2</v>
      </c>
      <c r="N219">
        <f t="shared" si="32"/>
        <v>1.4173108988934313E-2</v>
      </c>
      <c r="O219">
        <f t="shared" si="33"/>
        <v>1.7430845017051944E-2</v>
      </c>
      <c r="P219">
        <f t="shared" si="34"/>
        <v>4.971857410881797E-2</v>
      </c>
      <c r="Q219">
        <f t="shared" si="35"/>
        <v>8.7826373622774678E-3</v>
      </c>
      <c r="R219" s="15">
        <f t="shared" si="36"/>
        <v>2.1116205210164055E-2</v>
      </c>
    </row>
    <row r="220" spans="1:18" x14ac:dyDescent="0.2">
      <c r="A220" s="11">
        <v>45729</v>
      </c>
      <c r="B220" s="12">
        <v>14.35</v>
      </c>
      <c r="C220" s="12">
        <v>11.86</v>
      </c>
      <c r="D220" s="12">
        <v>369.5</v>
      </c>
      <c r="E220" s="12">
        <v>32.971040000000002</v>
      </c>
      <c r="F220" s="12">
        <v>395.82</v>
      </c>
      <c r="G220" s="12">
        <v>131.94999999999999</v>
      </c>
      <c r="H220" s="12">
        <v>10.66</v>
      </c>
      <c r="I220" s="12">
        <v>63.506664000000001</v>
      </c>
      <c r="J220">
        <f t="shared" si="28"/>
        <v>-8.2930200414651489E-3</v>
      </c>
      <c r="K220">
        <f t="shared" si="29"/>
        <v>-2.2258862324814666E-2</v>
      </c>
      <c r="L220">
        <f t="shared" si="30"/>
        <v>-1.0543675146664766E-3</v>
      </c>
      <c r="M220">
        <f t="shared" si="31"/>
        <v>1.0925748205563801E-2</v>
      </c>
      <c r="N220">
        <f t="shared" si="32"/>
        <v>4.2811602602945475E-2</v>
      </c>
      <c r="O220">
        <f t="shared" si="33"/>
        <v>-1.3457943925233695E-2</v>
      </c>
      <c r="P220">
        <f t="shared" si="34"/>
        <v>-2.5594149908592212E-2</v>
      </c>
      <c r="Q220">
        <f t="shared" si="35"/>
        <v>2.2208242241601672E-2</v>
      </c>
      <c r="R220" s="15">
        <f t="shared" si="36"/>
        <v>2.2768550696472302E-3</v>
      </c>
    </row>
    <row r="221" spans="1:18" x14ac:dyDescent="0.2">
      <c r="A221" s="13">
        <v>45728</v>
      </c>
      <c r="B221" s="14">
        <v>14.47</v>
      </c>
      <c r="C221" s="14">
        <v>12.13</v>
      </c>
      <c r="D221" s="14">
        <v>369.89</v>
      </c>
      <c r="E221" s="14">
        <v>32.614699999999999</v>
      </c>
      <c r="F221" s="14">
        <v>379.57</v>
      </c>
      <c r="G221" s="14">
        <v>133.75</v>
      </c>
      <c r="H221" s="14">
        <v>10.94</v>
      </c>
      <c r="I221" s="14">
        <v>62.126933999999999</v>
      </c>
      <c r="J221">
        <f t="shared" si="28"/>
        <v>-1.831750339213023E-2</v>
      </c>
      <c r="K221">
        <f t="shared" si="29"/>
        <v>1.6515276630884035E-3</v>
      </c>
      <c r="L221">
        <f t="shared" si="30"/>
        <v>-6.7542011130927726E-4</v>
      </c>
      <c r="M221">
        <f t="shared" si="31"/>
        <v>1.13566332116386E-2</v>
      </c>
      <c r="N221">
        <f t="shared" si="32"/>
        <v>8.6441308641268533E-2</v>
      </c>
      <c r="O221">
        <f t="shared" si="33"/>
        <v>3.6018590240123993E-2</v>
      </c>
      <c r="P221">
        <f t="shared" si="34"/>
        <v>-3.5273368606701938E-2</v>
      </c>
      <c r="Q221">
        <f t="shared" si="35"/>
        <v>-3.2966791087734038E-3</v>
      </c>
      <c r="R221" s="15">
        <f t="shared" si="36"/>
        <v>1.6592384803702214E-2</v>
      </c>
    </row>
    <row r="222" spans="1:18" x14ac:dyDescent="0.2">
      <c r="A222" s="11">
        <v>45727</v>
      </c>
      <c r="B222" s="12">
        <v>14.74</v>
      </c>
      <c r="C222" s="12">
        <v>12.11</v>
      </c>
      <c r="D222" s="12">
        <v>370.14</v>
      </c>
      <c r="E222" s="12">
        <v>32.248466000000001</v>
      </c>
      <c r="F222" s="12">
        <v>349.37</v>
      </c>
      <c r="G222" s="12">
        <v>129.1</v>
      </c>
      <c r="H222" s="12">
        <v>11.34</v>
      </c>
      <c r="I222" s="12">
        <v>62.332424000000003</v>
      </c>
      <c r="J222">
        <f t="shared" si="28"/>
        <v>-9.4086021505376261E-3</v>
      </c>
      <c r="K222">
        <f t="shared" si="29"/>
        <v>3.314001657000798E-3</v>
      </c>
      <c r="L222">
        <f t="shared" si="30"/>
        <v>-1.451050347453342E-2</v>
      </c>
      <c r="M222">
        <f t="shared" si="31"/>
        <v>9.6064000757383194E-3</v>
      </c>
      <c r="N222">
        <f t="shared" si="32"/>
        <v>6.6849157181962937E-3</v>
      </c>
      <c r="O222">
        <f t="shared" si="33"/>
        <v>-3.2427424336011201E-3</v>
      </c>
      <c r="P222">
        <f t="shared" si="34"/>
        <v>-3.5149384885765356E-3</v>
      </c>
      <c r="Q222">
        <f t="shared" si="35"/>
        <v>4.942341199016842E-2</v>
      </c>
      <c r="R222" s="15">
        <f t="shared" si="36"/>
        <v>3.0413493763720434E-3</v>
      </c>
    </row>
    <row r="223" spans="1:18" x14ac:dyDescent="0.2">
      <c r="A223" s="13">
        <v>45726</v>
      </c>
      <c r="B223" s="14">
        <v>14.88</v>
      </c>
      <c r="C223" s="14">
        <v>12.07</v>
      </c>
      <c r="D223" s="14">
        <v>375.59</v>
      </c>
      <c r="E223" s="14">
        <v>31.941621999999999</v>
      </c>
      <c r="F223" s="14">
        <v>347.05</v>
      </c>
      <c r="G223" s="14">
        <v>129.52000000000001</v>
      </c>
      <c r="H223" s="14">
        <v>11.38</v>
      </c>
      <c r="I223" s="14">
        <v>59.396830000000001</v>
      </c>
      <c r="J223">
        <f t="shared" si="28"/>
        <v>-1.7173051519154492E-2</v>
      </c>
      <c r="K223">
        <f t="shared" si="29"/>
        <v>-2.425222312045261E-2</v>
      </c>
      <c r="L223">
        <f t="shared" si="30"/>
        <v>-2.3807667316439352E-2</v>
      </c>
      <c r="M223">
        <f t="shared" si="31"/>
        <v>-5.24037921026832E-3</v>
      </c>
      <c r="N223">
        <f t="shared" si="32"/>
        <v>-3.6453995224609903E-2</v>
      </c>
      <c r="O223">
        <f t="shared" si="33"/>
        <v>-7.281367364144975E-3</v>
      </c>
      <c r="P223">
        <f t="shared" si="34"/>
        <v>-9.1779728651236958E-2</v>
      </c>
      <c r="Q223">
        <f t="shared" si="35"/>
        <v>-6.5722681625968282E-2</v>
      </c>
      <c r="R223" s="15">
        <f t="shared" si="36"/>
        <v>-3.6905241700615134E-2</v>
      </c>
    </row>
    <row r="224" spans="1:18" x14ac:dyDescent="0.2">
      <c r="A224" s="11">
        <v>45723</v>
      </c>
      <c r="B224" s="12">
        <v>15.14</v>
      </c>
      <c r="C224" s="12">
        <v>12.37</v>
      </c>
      <c r="D224" s="12">
        <v>384.75</v>
      </c>
      <c r="E224" s="12">
        <v>32.10989</v>
      </c>
      <c r="F224" s="12">
        <v>360.18</v>
      </c>
      <c r="G224" s="12">
        <v>130.47</v>
      </c>
      <c r="H224" s="12">
        <v>12.53</v>
      </c>
      <c r="I224" s="12">
        <v>63.575159999999997</v>
      </c>
      <c r="J224">
        <f t="shared" si="28"/>
        <v>8.6608927381746081E-3</v>
      </c>
      <c r="K224">
        <f t="shared" si="29"/>
        <v>-4.2569659442724506E-2</v>
      </c>
      <c r="L224">
        <f t="shared" si="30"/>
        <v>5.2253429131285944E-3</v>
      </c>
      <c r="M224">
        <f t="shared" si="31"/>
        <v>2.4721904332791755E-3</v>
      </c>
      <c r="N224">
        <f t="shared" si="32"/>
        <v>5.2357856600245389E-2</v>
      </c>
      <c r="O224">
        <f t="shared" si="33"/>
        <v>-5.0920200771077284E-2</v>
      </c>
      <c r="P224">
        <f t="shared" si="34"/>
        <v>-2.6418026418026375E-2</v>
      </c>
      <c r="Q224">
        <f t="shared" si="35"/>
        <v>7.2868284606333322E-3</v>
      </c>
      <c r="R224" s="15">
        <f t="shared" si="36"/>
        <v>-3.182049267188276E-3</v>
      </c>
    </row>
    <row r="225" spans="1:18" x14ac:dyDescent="0.2">
      <c r="A225" s="13">
        <v>45722</v>
      </c>
      <c r="B225" s="14">
        <v>15.01</v>
      </c>
      <c r="C225" s="14">
        <v>12.92</v>
      </c>
      <c r="D225" s="14">
        <v>382.75</v>
      </c>
      <c r="E225" s="14">
        <v>32.030704</v>
      </c>
      <c r="F225" s="14">
        <v>342.26</v>
      </c>
      <c r="G225" s="14">
        <v>137.47</v>
      </c>
      <c r="H225" s="14">
        <v>12.87</v>
      </c>
      <c r="I225" s="14">
        <v>63.115250000000003</v>
      </c>
      <c r="J225">
        <f t="shared" si="28"/>
        <v>3.3035099793530698E-2</v>
      </c>
      <c r="K225">
        <f t="shared" si="29"/>
        <v>1.7322834645669305E-2</v>
      </c>
      <c r="L225">
        <f t="shared" si="30"/>
        <v>-4.7005980205261366E-4</v>
      </c>
      <c r="M225">
        <f t="shared" si="31"/>
        <v>0</v>
      </c>
      <c r="N225">
        <f t="shared" si="32"/>
        <v>2.8178322518625398E-2</v>
      </c>
      <c r="O225">
        <f t="shared" si="33"/>
        <v>1.4569825890580201E-3</v>
      </c>
      <c r="P225">
        <f t="shared" si="34"/>
        <v>-2.7210884353741638E-2</v>
      </c>
      <c r="Q225">
        <f t="shared" si="35"/>
        <v>-3.7070821078812877E-3</v>
      </c>
      <c r="R225" s="15">
        <f t="shared" si="36"/>
        <v>5.6909210008726403E-3</v>
      </c>
    </row>
    <row r="226" spans="1:18" x14ac:dyDescent="0.2">
      <c r="A226" s="11">
        <v>45721</v>
      </c>
      <c r="B226" s="12">
        <v>14.53</v>
      </c>
      <c r="C226" s="12">
        <v>12.7</v>
      </c>
      <c r="D226" s="12">
        <v>382.93</v>
      </c>
      <c r="E226" s="12">
        <v>32.030704</v>
      </c>
      <c r="F226" s="12">
        <v>332.88</v>
      </c>
      <c r="G226" s="12">
        <v>137.27000000000001</v>
      </c>
      <c r="H226" s="12">
        <v>13.23</v>
      </c>
      <c r="I226" s="12">
        <v>63.350093999999999</v>
      </c>
      <c r="J226">
        <f t="shared" si="28"/>
        <v>-1.0891763104152519E-2</v>
      </c>
      <c r="K226">
        <f t="shared" si="29"/>
        <v>2.5848142164781818E-2</v>
      </c>
      <c r="L226">
        <f t="shared" si="30"/>
        <v>-1.135982237368649E-2</v>
      </c>
      <c r="M226">
        <f t="shared" si="31"/>
        <v>-1.5515691084035277E-2</v>
      </c>
      <c r="N226">
        <f t="shared" si="32"/>
        <v>2.0290565806412086E-2</v>
      </c>
      <c r="O226">
        <f t="shared" si="33"/>
        <v>1.7342325650337331E-2</v>
      </c>
      <c r="P226">
        <f t="shared" si="34"/>
        <v>3.6833855799373039E-2</v>
      </c>
      <c r="Q226">
        <f t="shared" si="35"/>
        <v>-3.6935784332613464E-3</v>
      </c>
      <c r="R226" s="15">
        <f t="shared" si="36"/>
        <v>1.1867577329014519E-2</v>
      </c>
    </row>
    <row r="227" spans="1:18" x14ac:dyDescent="0.2">
      <c r="A227" s="13">
        <v>45720</v>
      </c>
      <c r="B227" s="14">
        <v>14.69</v>
      </c>
      <c r="C227" s="14">
        <v>12.38</v>
      </c>
      <c r="D227" s="14">
        <v>387.33</v>
      </c>
      <c r="E227" s="14">
        <v>32.535514999999997</v>
      </c>
      <c r="F227" s="14">
        <v>326.26</v>
      </c>
      <c r="G227" s="14">
        <v>134.93</v>
      </c>
      <c r="H227" s="14">
        <v>12.76</v>
      </c>
      <c r="I227" s="14">
        <v>63.584949999999999</v>
      </c>
      <c r="J227">
        <f t="shared" si="28"/>
        <v>5.4757015742641357E-3</v>
      </c>
      <c r="K227">
        <f t="shared" si="29"/>
        <v>7.3230268510986463E-3</v>
      </c>
      <c r="L227">
        <f t="shared" si="30"/>
        <v>3.2896440967724594E-3</v>
      </c>
      <c r="M227">
        <f t="shared" si="31"/>
        <v>2.1342179449563847E-3</v>
      </c>
      <c r="N227">
        <f t="shared" si="32"/>
        <v>4.644300468278928E-2</v>
      </c>
      <c r="O227">
        <f t="shared" si="33"/>
        <v>1.0787324893250405E-2</v>
      </c>
      <c r="P227">
        <f t="shared" si="34"/>
        <v>-3.0395136778115561E-2</v>
      </c>
      <c r="Q227">
        <f t="shared" si="35"/>
        <v>-1.5373916142447097E-4</v>
      </c>
      <c r="R227" s="15">
        <f t="shared" si="36"/>
        <v>7.9142100694679536E-3</v>
      </c>
    </row>
    <row r="228" spans="1:18" x14ac:dyDescent="0.2">
      <c r="A228" s="11">
        <v>45719</v>
      </c>
      <c r="B228" s="12">
        <v>14.61</v>
      </c>
      <c r="C228" s="12">
        <v>12.29</v>
      </c>
      <c r="D228" s="12">
        <v>386.06</v>
      </c>
      <c r="E228" s="12">
        <v>32.466225000000001</v>
      </c>
      <c r="F228" s="12">
        <v>311.77999999999997</v>
      </c>
      <c r="G228" s="12">
        <v>133.49</v>
      </c>
      <c r="H228" s="12">
        <v>13.16</v>
      </c>
      <c r="I228" s="12">
        <v>63.594726999999999</v>
      </c>
      <c r="J228">
        <f t="shared" si="28"/>
        <v>0</v>
      </c>
      <c r="K228">
        <f t="shared" si="29"/>
        <v>-2.6920031670625622E-2</v>
      </c>
      <c r="L228">
        <f t="shared" si="30"/>
        <v>-3.5618418335742197E-3</v>
      </c>
      <c r="M228">
        <f t="shared" si="31"/>
        <v>-2.322826867191996E-2</v>
      </c>
      <c r="N228">
        <f t="shared" si="32"/>
        <v>-8.491016059786971E-3</v>
      </c>
      <c r="O228">
        <f t="shared" si="33"/>
        <v>6.2565958088347529E-3</v>
      </c>
      <c r="P228">
        <f t="shared" si="34"/>
        <v>-1.2012012012012074E-2</v>
      </c>
      <c r="Q228">
        <f t="shared" si="35"/>
        <v>-3.0774525175969458E-4</v>
      </c>
      <c r="R228" s="15">
        <f t="shared" si="36"/>
        <v>-8.4530203057717468E-3</v>
      </c>
    </row>
    <row r="229" spans="1:18" x14ac:dyDescent="0.2">
      <c r="A229" s="13">
        <v>45716</v>
      </c>
      <c r="B229" s="14">
        <v>14.61</v>
      </c>
      <c r="C229" s="14">
        <v>12.63</v>
      </c>
      <c r="D229" s="14">
        <v>387.44</v>
      </c>
      <c r="E229" s="14">
        <v>33.238292999999999</v>
      </c>
      <c r="F229" s="14">
        <v>314.45</v>
      </c>
      <c r="G229" s="14">
        <v>132.66</v>
      </c>
      <c r="H229" s="14">
        <v>13.32</v>
      </c>
      <c r="I229" s="14">
        <v>63.614303999999997</v>
      </c>
      <c r="J229">
        <f t="shared" si="28"/>
        <v>-1.4834794335805812E-2</v>
      </c>
      <c r="K229">
        <f t="shared" si="29"/>
        <v>-2.5462962962963021E-2</v>
      </c>
      <c r="L229">
        <f t="shared" si="30"/>
        <v>-2.7284427284427482E-3</v>
      </c>
      <c r="M229">
        <f t="shared" si="31"/>
        <v>-1.7266485691312727E-2</v>
      </c>
      <c r="N229">
        <f t="shared" si="32"/>
        <v>5.0758537726391717E-2</v>
      </c>
      <c r="O229">
        <f t="shared" si="33"/>
        <v>-4.2035730370815205E-3</v>
      </c>
      <c r="P229">
        <f t="shared" si="34"/>
        <v>2.2256331542594099E-2</v>
      </c>
      <c r="Q229">
        <f t="shared" si="35"/>
        <v>4.6165012318155618E-4</v>
      </c>
      <c r="R229" s="15">
        <f t="shared" si="36"/>
        <v>8.0221947570246963E-3</v>
      </c>
    </row>
    <row r="230" spans="1:18" x14ac:dyDescent="0.2">
      <c r="A230" s="11">
        <v>45715</v>
      </c>
      <c r="B230" s="12">
        <v>14.83</v>
      </c>
      <c r="C230" s="12">
        <v>12.96</v>
      </c>
      <c r="D230" s="12">
        <v>388.5</v>
      </c>
      <c r="E230" s="12">
        <v>33.822285000000001</v>
      </c>
      <c r="F230" s="12">
        <v>299.26</v>
      </c>
      <c r="G230" s="12">
        <v>133.22</v>
      </c>
      <c r="H230" s="12">
        <v>13.03</v>
      </c>
      <c r="I230" s="12">
        <v>63.584949999999999</v>
      </c>
      <c r="J230">
        <f t="shared" si="28"/>
        <v>-1.1992005329780175E-2</v>
      </c>
      <c r="K230">
        <f t="shared" si="29"/>
        <v>-2.4830699774266218E-2</v>
      </c>
      <c r="L230">
        <f t="shared" si="30"/>
        <v>-1.6953441295546545E-2</v>
      </c>
      <c r="M230">
        <f t="shared" si="31"/>
        <v>-3.8006829064338499E-2</v>
      </c>
      <c r="N230">
        <f t="shared" si="32"/>
        <v>-5.907876120106903E-2</v>
      </c>
      <c r="O230">
        <f t="shared" si="33"/>
        <v>-2.0873144201087768E-2</v>
      </c>
      <c r="P230">
        <f t="shared" si="34"/>
        <v>-3.8226299694190669E-3</v>
      </c>
      <c r="Q230">
        <f t="shared" si="35"/>
        <v>-1.5373916142447097E-4</v>
      </c>
      <c r="R230" s="15">
        <f t="shared" si="36"/>
        <v>-2.5136691240899733E-2</v>
      </c>
    </row>
    <row r="231" spans="1:18" x14ac:dyDescent="0.2">
      <c r="A231" s="13">
        <v>45714</v>
      </c>
      <c r="B231" s="14">
        <v>15.01</v>
      </c>
      <c r="C231" s="14">
        <v>13.29</v>
      </c>
      <c r="D231" s="14">
        <v>395.2</v>
      </c>
      <c r="E231" s="14">
        <v>35.158549999999998</v>
      </c>
      <c r="F231" s="14">
        <v>318.05</v>
      </c>
      <c r="G231" s="14">
        <v>136.06</v>
      </c>
      <c r="H231" s="14">
        <v>13.08</v>
      </c>
      <c r="I231" s="14">
        <v>63.594726999999999</v>
      </c>
      <c r="J231">
        <f t="shared" si="28"/>
        <v>1.1455525606469008E-2</v>
      </c>
      <c r="K231">
        <f t="shared" si="29"/>
        <v>3.7764350453171058E-3</v>
      </c>
      <c r="L231">
        <f t="shared" si="30"/>
        <v>1.6827046776102472E-2</v>
      </c>
      <c r="M231">
        <f t="shared" si="31"/>
        <v>6.5174405805290547E-3</v>
      </c>
      <c r="N231">
        <f t="shared" si="32"/>
        <v>-7.2416268689328156E-3</v>
      </c>
      <c r="O231">
        <f t="shared" si="33"/>
        <v>1.1448111804936101E-2</v>
      </c>
      <c r="P231">
        <f t="shared" si="34"/>
        <v>-2.9673590504451064E-2</v>
      </c>
      <c r="Q231">
        <f t="shared" si="35"/>
        <v>-3.0774525175969458E-4</v>
      </c>
      <c r="R231" s="15">
        <f t="shared" si="36"/>
        <v>-1.0494708267999803E-3</v>
      </c>
    </row>
    <row r="232" spans="1:18" x14ac:dyDescent="0.2">
      <c r="A232" s="11">
        <v>45713</v>
      </c>
      <c r="B232" s="12">
        <v>14.84</v>
      </c>
      <c r="C232" s="12">
        <v>13.24</v>
      </c>
      <c r="D232" s="12">
        <v>388.66</v>
      </c>
      <c r="E232" s="12">
        <v>34.930889999999998</v>
      </c>
      <c r="F232" s="12">
        <v>320.37</v>
      </c>
      <c r="G232" s="12">
        <v>134.52000000000001</v>
      </c>
      <c r="H232" s="12">
        <v>13.48</v>
      </c>
      <c r="I232" s="12">
        <v>63.614303999999997</v>
      </c>
      <c r="J232">
        <f t="shared" si="28"/>
        <v>-3.3579583613163599E-3</v>
      </c>
      <c r="K232">
        <f t="shared" si="29"/>
        <v>1.4559386973179933E-2</v>
      </c>
      <c r="L232">
        <f t="shared" si="30"/>
        <v>-2.9247945650273444E-2</v>
      </c>
      <c r="M232">
        <f t="shared" si="31"/>
        <v>-9.5425155731506672E-3</v>
      </c>
      <c r="N232">
        <f t="shared" si="32"/>
        <v>1.0025536744538099E-2</v>
      </c>
      <c r="O232">
        <f t="shared" si="33"/>
        <v>-5.16743038420866E-2</v>
      </c>
      <c r="P232">
        <f t="shared" si="34"/>
        <v>-4.1251778093883362E-2</v>
      </c>
      <c r="Q232">
        <f t="shared" si="35"/>
        <v>1.4038404667965576E-2</v>
      </c>
      <c r="R232" s="15">
        <f t="shared" si="36"/>
        <v>-1.4054453705533942E-2</v>
      </c>
    </row>
    <row r="233" spans="1:18" x14ac:dyDescent="0.2">
      <c r="A233" s="13">
        <v>45712</v>
      </c>
      <c r="B233" s="14">
        <v>14.89</v>
      </c>
      <c r="C233" s="14">
        <v>13.05</v>
      </c>
      <c r="D233" s="14">
        <v>400.37</v>
      </c>
      <c r="E233" s="14">
        <v>35.267429999999997</v>
      </c>
      <c r="F233" s="14">
        <v>317.19</v>
      </c>
      <c r="G233" s="14">
        <v>141.85</v>
      </c>
      <c r="H233" s="14">
        <v>14.06</v>
      </c>
      <c r="I233" s="14">
        <v>62.733623999999999</v>
      </c>
      <c r="J233">
        <f t="shared" si="28"/>
        <v>-1.1288180610889764E-2</v>
      </c>
      <c r="K233">
        <f t="shared" si="29"/>
        <v>-2.5392083644510843E-2</v>
      </c>
      <c r="L233">
        <f t="shared" si="30"/>
        <v>2.5541504945536531E-3</v>
      </c>
      <c r="M233">
        <f t="shared" si="31"/>
        <v>8.2060286366243407E-3</v>
      </c>
      <c r="N233">
        <f t="shared" si="32"/>
        <v>-1.242294040724834E-2</v>
      </c>
      <c r="O233">
        <f t="shared" si="33"/>
        <v>1.4446113137380978E-2</v>
      </c>
      <c r="P233">
        <f t="shared" si="34"/>
        <v>-0.12015018773466835</v>
      </c>
      <c r="Q233">
        <f t="shared" si="35"/>
        <v>-1.7471243312440099E-2</v>
      </c>
      <c r="R233" s="15">
        <f t="shared" si="36"/>
        <v>-2.5060736039302384E-2</v>
      </c>
    </row>
    <row r="234" spans="1:18" x14ac:dyDescent="0.2">
      <c r="A234" s="11">
        <v>45709</v>
      </c>
      <c r="B234" s="12">
        <v>15.06</v>
      </c>
      <c r="C234" s="12">
        <v>13.39</v>
      </c>
      <c r="D234" s="12">
        <v>399.35</v>
      </c>
      <c r="E234" s="12">
        <v>34.980379999999997</v>
      </c>
      <c r="F234" s="12">
        <v>321.18</v>
      </c>
      <c r="G234" s="12">
        <v>139.83000000000001</v>
      </c>
      <c r="H234" s="12">
        <v>15.98</v>
      </c>
      <c r="I234" s="12">
        <v>63.849148</v>
      </c>
      <c r="J234">
        <f t="shared" si="28"/>
        <v>6.6445182724250706E-4</v>
      </c>
      <c r="K234">
        <f t="shared" si="29"/>
        <v>-1.904761904761898E-2</v>
      </c>
      <c r="L234">
        <f t="shared" si="30"/>
        <v>-4.1314576531591984E-2</v>
      </c>
      <c r="M234">
        <f t="shared" si="31"/>
        <v>-6.1867752511831631E-3</v>
      </c>
      <c r="N234">
        <f t="shared" si="32"/>
        <v>-2.9550398839738867E-2</v>
      </c>
      <c r="O234">
        <f t="shared" si="33"/>
        <v>5.1035077630823267E-3</v>
      </c>
      <c r="P234">
        <f t="shared" si="34"/>
        <v>-7.4159907300115901E-2</v>
      </c>
      <c r="Q234">
        <f t="shared" si="35"/>
        <v>-4.880312856712643E-3</v>
      </c>
      <c r="R234" s="15">
        <f t="shared" si="36"/>
        <v>-2.6045342844526566E-2</v>
      </c>
    </row>
    <row r="235" spans="1:18" x14ac:dyDescent="0.2">
      <c r="A235" s="13">
        <v>45708</v>
      </c>
      <c r="B235" s="14">
        <v>15.05</v>
      </c>
      <c r="C235" s="14">
        <v>13.65</v>
      </c>
      <c r="D235" s="14">
        <v>416.56</v>
      </c>
      <c r="E235" s="14">
        <v>35.198143000000002</v>
      </c>
      <c r="F235" s="14">
        <v>330.96</v>
      </c>
      <c r="G235" s="14">
        <v>139.12</v>
      </c>
      <c r="H235" s="14">
        <v>17.260000000000002</v>
      </c>
      <c r="I235" s="14">
        <v>64.162279999999996</v>
      </c>
      <c r="J235">
        <f t="shared" si="28"/>
        <v>1.0067114093959662E-2</v>
      </c>
      <c r="K235">
        <f t="shared" si="29"/>
        <v>3.6764705882352811E-3</v>
      </c>
      <c r="L235">
        <f t="shared" si="30"/>
        <v>5.6977305649446031E-3</v>
      </c>
      <c r="M235">
        <f t="shared" si="31"/>
        <v>1.6000045029650467E-2</v>
      </c>
      <c r="N235">
        <f t="shared" si="32"/>
        <v>3.5836124064974495E-2</v>
      </c>
      <c r="O235">
        <f t="shared" si="33"/>
        <v>-1.0244735344336897E-2</v>
      </c>
      <c r="P235">
        <f t="shared" si="34"/>
        <v>1.0538641686182793E-2</v>
      </c>
      <c r="Q235">
        <f t="shared" si="35"/>
        <v>5.5206859802001684E-3</v>
      </c>
      <c r="R235" s="15">
        <f t="shared" si="36"/>
        <v>1.1658059683189113E-2</v>
      </c>
    </row>
    <row r="236" spans="1:18" x14ac:dyDescent="0.2">
      <c r="A236" s="11">
        <v>45707</v>
      </c>
      <c r="B236" s="12">
        <v>14.9</v>
      </c>
      <c r="C236" s="12">
        <v>13.6</v>
      </c>
      <c r="D236" s="12">
        <v>414.2</v>
      </c>
      <c r="E236" s="12">
        <v>34.643839999999997</v>
      </c>
      <c r="F236" s="12">
        <v>319.51</v>
      </c>
      <c r="G236" s="12">
        <v>140.56</v>
      </c>
      <c r="H236" s="12">
        <v>17.079999999999998</v>
      </c>
      <c r="I236" s="12">
        <v>63.810004999999997</v>
      </c>
      <c r="J236">
        <f t="shared" si="28"/>
        <v>-3.5598705501618033E-2</v>
      </c>
      <c r="K236">
        <f t="shared" si="29"/>
        <v>0</v>
      </c>
      <c r="L236">
        <f t="shared" si="30"/>
        <v>2.4081491371211072E-2</v>
      </c>
      <c r="M236">
        <f t="shared" si="31"/>
        <v>8.3549714627006999E-3</v>
      </c>
      <c r="N236">
        <f t="shared" si="32"/>
        <v>8.4587949373480242E-3</v>
      </c>
      <c r="O236">
        <f t="shared" si="33"/>
        <v>1.1396011396012096E-3</v>
      </c>
      <c r="P236">
        <f t="shared" si="34"/>
        <v>2.9359953024072905E-3</v>
      </c>
      <c r="Q236">
        <f t="shared" si="35"/>
        <v>-3.4641043380332581E-2</v>
      </c>
      <c r="R236" s="15">
        <f t="shared" si="36"/>
        <v>4.5755678342883572E-4</v>
      </c>
    </row>
    <row r="237" spans="1:18" x14ac:dyDescent="0.2">
      <c r="A237" s="13">
        <v>45706</v>
      </c>
      <c r="B237" s="14">
        <v>15.45</v>
      </c>
      <c r="C237" s="14">
        <v>13.6</v>
      </c>
      <c r="D237" s="14">
        <v>404.46</v>
      </c>
      <c r="E237" s="14">
        <v>34.356789999999997</v>
      </c>
      <c r="F237" s="14">
        <v>316.83</v>
      </c>
      <c r="G237" s="14">
        <v>140.4</v>
      </c>
      <c r="H237" s="14">
        <v>17.03</v>
      </c>
      <c r="I237" s="14">
        <v>66.099770000000007</v>
      </c>
      <c r="J237">
        <f t="shared" si="28"/>
        <v>-1.9670050761421365E-2</v>
      </c>
      <c r="K237">
        <f t="shared" si="29"/>
        <v>-1.8050541516245522E-2</v>
      </c>
      <c r="L237">
        <f t="shared" si="30"/>
        <v>1.6154561213978846E-2</v>
      </c>
      <c r="M237">
        <f t="shared" si="31"/>
        <v>4.3402602940096902E-3</v>
      </c>
      <c r="N237">
        <f t="shared" si="32"/>
        <v>-2.1948508983145043E-2</v>
      </c>
      <c r="O237">
        <f t="shared" si="33"/>
        <v>1.0695187165776776E-3</v>
      </c>
      <c r="P237">
        <f t="shared" si="34"/>
        <v>1.128266033254155E-2</v>
      </c>
      <c r="Q237">
        <f t="shared" si="35"/>
        <v>2.7688927895943571E-2</v>
      </c>
      <c r="R237" s="15">
        <f t="shared" si="36"/>
        <v>-1.5562806334944177E-3</v>
      </c>
    </row>
    <row r="238" spans="1:18" x14ac:dyDescent="0.2">
      <c r="A238" s="11">
        <v>45705</v>
      </c>
      <c r="B238" s="12">
        <v>15.76</v>
      </c>
      <c r="C238" s="12">
        <v>13.85</v>
      </c>
      <c r="D238" s="12">
        <v>398.03</v>
      </c>
      <c r="E238" s="12">
        <v>34.208317000000001</v>
      </c>
      <c r="F238" s="12">
        <v>323.94</v>
      </c>
      <c r="G238" s="12">
        <v>140.25</v>
      </c>
      <c r="H238" s="12">
        <v>16.84</v>
      </c>
      <c r="I238" s="12">
        <v>64.318849999999998</v>
      </c>
      <c r="J238">
        <f t="shared" si="28"/>
        <v>1.2853470437018011E-2</v>
      </c>
      <c r="K238">
        <f t="shared" si="29"/>
        <v>1.9882179675994038E-2</v>
      </c>
      <c r="L238">
        <f t="shared" si="30"/>
        <v>-3.3802393710251621E-3</v>
      </c>
      <c r="M238">
        <f t="shared" si="31"/>
        <v>-5.4676676051859108E-3</v>
      </c>
      <c r="N238">
        <f t="shared" si="32"/>
        <v>-1.4795635287591091E-3</v>
      </c>
      <c r="O238">
        <f t="shared" si="33"/>
        <v>-1.4129059468578564E-2</v>
      </c>
      <c r="P238">
        <f t="shared" si="34"/>
        <v>1.7522658610271913E-2</v>
      </c>
      <c r="Q238">
        <f t="shared" si="35"/>
        <v>-2.6077719842431346E-2</v>
      </c>
      <c r="R238" s="15">
        <f t="shared" si="36"/>
        <v>9.2145630004233882E-4</v>
      </c>
    </row>
    <row r="239" spans="1:18" x14ac:dyDescent="0.2">
      <c r="A239" s="13">
        <v>45702</v>
      </c>
      <c r="B239" s="14">
        <v>15.56</v>
      </c>
      <c r="C239" s="14">
        <v>13.58</v>
      </c>
      <c r="D239" s="14">
        <v>399.38</v>
      </c>
      <c r="E239" s="14">
        <v>34.396385000000002</v>
      </c>
      <c r="F239" s="14">
        <v>324.42</v>
      </c>
      <c r="G239" s="14">
        <v>142.26</v>
      </c>
      <c r="H239" s="14">
        <v>16.55</v>
      </c>
      <c r="I239" s="14">
        <v>66.041049999999998</v>
      </c>
      <c r="J239">
        <f t="shared" si="28"/>
        <v>2.233902759526929E-2</v>
      </c>
      <c r="K239">
        <f t="shared" si="29"/>
        <v>3.6954915003695188E-3</v>
      </c>
      <c r="L239">
        <f t="shared" si="30"/>
        <v>-1.727362204724403E-2</v>
      </c>
      <c r="M239">
        <f t="shared" si="31"/>
        <v>-4.2980344977515683E-3</v>
      </c>
      <c r="N239">
        <f t="shared" si="32"/>
        <v>6.9526351728848024E-3</v>
      </c>
      <c r="O239">
        <f t="shared" si="33"/>
        <v>-7.9497907949791502E-3</v>
      </c>
      <c r="P239">
        <f t="shared" si="34"/>
        <v>4.4164037854889759E-2</v>
      </c>
      <c r="Q239">
        <f t="shared" si="35"/>
        <v>7.1629590141977229E-3</v>
      </c>
      <c r="R239" s="15">
        <f t="shared" si="36"/>
        <v>8.1619743536710705E-3</v>
      </c>
    </row>
    <row r="240" spans="1:18" x14ac:dyDescent="0.2">
      <c r="A240" s="11">
        <v>45701</v>
      </c>
      <c r="B240" s="12">
        <v>15.22</v>
      </c>
      <c r="C240" s="12">
        <v>13.53</v>
      </c>
      <c r="D240" s="12">
        <v>406.4</v>
      </c>
      <c r="E240" s="12">
        <v>34.54486</v>
      </c>
      <c r="F240" s="12">
        <v>322.18</v>
      </c>
      <c r="G240" s="12">
        <v>143.4</v>
      </c>
      <c r="H240" s="12">
        <v>15.85</v>
      </c>
      <c r="I240" s="12">
        <v>65.571365</v>
      </c>
      <c r="J240">
        <f t="shared" si="28"/>
        <v>6.5746219592366373E-4</v>
      </c>
      <c r="K240">
        <f t="shared" si="29"/>
        <v>2.9651593773165619E-3</v>
      </c>
      <c r="L240">
        <f t="shared" si="30"/>
        <v>-2.4835032993401396E-2</v>
      </c>
      <c r="M240">
        <f t="shared" si="31"/>
        <v>-1.1447341218379092E-3</v>
      </c>
      <c r="N240">
        <f t="shared" si="32"/>
        <v>-6.7821690609778384E-3</v>
      </c>
      <c r="O240">
        <f t="shared" si="33"/>
        <v>3.9959387917905653E-2</v>
      </c>
      <c r="P240">
        <f t="shared" si="34"/>
        <v>-6.3051702395966469E-4</v>
      </c>
      <c r="Q240">
        <f t="shared" si="35"/>
        <v>-1.4920445890309608E-4</v>
      </c>
      <c r="R240" s="15">
        <f t="shared" si="36"/>
        <v>1.3464690319211897E-3</v>
      </c>
    </row>
    <row r="241" spans="1:18" x14ac:dyDescent="0.2">
      <c r="A241" s="13">
        <v>45700</v>
      </c>
      <c r="B241" s="14">
        <v>15.21</v>
      </c>
      <c r="C241" s="14">
        <v>13.49</v>
      </c>
      <c r="D241" s="14">
        <v>416.75</v>
      </c>
      <c r="E241" s="14">
        <v>34.584449999999997</v>
      </c>
      <c r="F241" s="14">
        <v>324.38</v>
      </c>
      <c r="G241" s="14">
        <v>137.88999999999999</v>
      </c>
      <c r="H241" s="14">
        <v>15.86</v>
      </c>
      <c r="I241" s="14">
        <v>65.581149999999994</v>
      </c>
      <c r="J241">
        <f t="shared" si="28"/>
        <v>3.2981530343008103E-3</v>
      </c>
      <c r="K241">
        <f t="shared" si="29"/>
        <v>-8.0882352941176183E-3</v>
      </c>
      <c r="L241">
        <f t="shared" si="30"/>
        <v>4.1640630858057026E-2</v>
      </c>
      <c r="M241">
        <f t="shared" si="31"/>
        <v>2.8633778313791325E-4</v>
      </c>
      <c r="N241">
        <f t="shared" si="32"/>
        <v>6.1348689591990357E-2</v>
      </c>
      <c r="O241">
        <f t="shared" si="33"/>
        <v>2.9822519639219891E-3</v>
      </c>
      <c r="P241">
        <f t="shared" si="34"/>
        <v>-3.142677561282281E-3</v>
      </c>
      <c r="Q241">
        <f t="shared" si="35"/>
        <v>1.5608473228701625E-2</v>
      </c>
      <c r="R241" s="15">
        <f t="shared" si="36"/>
        <v>1.8411955225985578E-2</v>
      </c>
    </row>
    <row r="242" spans="1:18" x14ac:dyDescent="0.2">
      <c r="A242" s="11">
        <v>45699</v>
      </c>
      <c r="B242" s="12">
        <v>15.16</v>
      </c>
      <c r="C242" s="12">
        <v>13.6</v>
      </c>
      <c r="D242" s="12">
        <v>400.09</v>
      </c>
      <c r="E242" s="12">
        <v>34.574550000000002</v>
      </c>
      <c r="F242" s="12">
        <v>305.63</v>
      </c>
      <c r="G242" s="12">
        <v>137.47999999999999</v>
      </c>
      <c r="H242" s="12">
        <v>15.91</v>
      </c>
      <c r="I242" s="12">
        <v>64.573260000000005</v>
      </c>
      <c r="J242">
        <f t="shared" si="28"/>
        <v>1.1340893929286278E-2</v>
      </c>
      <c r="K242">
        <f t="shared" si="29"/>
        <v>-1.468428781204123E-3</v>
      </c>
      <c r="L242">
        <f t="shared" si="30"/>
        <v>3.131927617672825E-2</v>
      </c>
      <c r="M242">
        <f t="shared" si="31"/>
        <v>2.5831168895189549E-3</v>
      </c>
      <c r="N242">
        <f t="shared" si="32"/>
        <v>-5.2074933316791805E-2</v>
      </c>
      <c r="O242">
        <f t="shared" si="33"/>
        <v>-1.4197619389072269E-2</v>
      </c>
      <c r="P242">
        <f t="shared" si="34"/>
        <v>-2.0320197044334853E-2</v>
      </c>
      <c r="Q242">
        <f t="shared" si="35"/>
        <v>-7.5709293952219703E-4</v>
      </c>
      <c r="R242" s="15">
        <f t="shared" si="36"/>
        <v>-1.1701865634020554E-2</v>
      </c>
    </row>
    <row r="243" spans="1:18" x14ac:dyDescent="0.2">
      <c r="A243" s="13">
        <v>45698</v>
      </c>
      <c r="B243" s="14">
        <v>14.99</v>
      </c>
      <c r="C243" s="14">
        <v>13.62</v>
      </c>
      <c r="D243" s="14">
        <v>387.94</v>
      </c>
      <c r="E243" s="14">
        <v>34.485469999999999</v>
      </c>
      <c r="F243" s="14">
        <v>322.42</v>
      </c>
      <c r="G243" s="14">
        <v>139.46</v>
      </c>
      <c r="H243" s="14">
        <v>16.239999999999998</v>
      </c>
      <c r="I243" s="14">
        <v>64.622185000000002</v>
      </c>
      <c r="J243">
        <f t="shared" si="28"/>
        <v>-2.6613439787092075E-3</v>
      </c>
      <c r="K243">
        <f t="shared" si="29"/>
        <v>-1.2327773749093551E-2</v>
      </c>
      <c r="L243">
        <f t="shared" si="30"/>
        <v>3.9075641125170257E-3</v>
      </c>
      <c r="M243">
        <f t="shared" si="31"/>
        <v>-2.8619798782399952E-3</v>
      </c>
      <c r="N243">
        <f t="shared" si="32"/>
        <v>5.5858987090373624E-4</v>
      </c>
      <c r="O243">
        <f t="shared" si="33"/>
        <v>1.0799449155613594E-2</v>
      </c>
      <c r="P243">
        <f t="shared" si="34"/>
        <v>-5.511328842620955E-3</v>
      </c>
      <c r="Q243">
        <f t="shared" si="35"/>
        <v>-5.2719573326278635E-3</v>
      </c>
      <c r="R243" s="15">
        <f t="shared" si="36"/>
        <v>-1.0870888614166873E-3</v>
      </c>
    </row>
    <row r="244" spans="1:18" x14ac:dyDescent="0.2">
      <c r="A244" s="11">
        <v>45695</v>
      </c>
      <c r="B244" s="12">
        <v>15.03</v>
      </c>
      <c r="C244" s="12">
        <v>13.79</v>
      </c>
      <c r="D244" s="12">
        <v>386.43</v>
      </c>
      <c r="E244" s="12">
        <v>34.584449999999997</v>
      </c>
      <c r="F244" s="12">
        <v>322.24</v>
      </c>
      <c r="G244" s="12">
        <v>137.97</v>
      </c>
      <c r="H244" s="12">
        <v>16.329999999999998</v>
      </c>
      <c r="I244" s="12">
        <v>64.964675999999997</v>
      </c>
      <c r="J244">
        <f t="shared" si="28"/>
        <v>6.6979236436703893E-3</v>
      </c>
      <c r="K244">
        <f t="shared" si="29"/>
        <v>2.9090909090907502E-3</v>
      </c>
      <c r="L244">
        <f t="shared" si="30"/>
        <v>-9.3316584202834951E-3</v>
      </c>
      <c r="M244">
        <f t="shared" si="31"/>
        <v>1.6584240268663564E-2</v>
      </c>
      <c r="N244">
        <f t="shared" si="32"/>
        <v>-2.846886990964248E-3</v>
      </c>
      <c r="O244">
        <f t="shared" si="33"/>
        <v>-5.1914341336793957E-3</v>
      </c>
      <c r="P244">
        <f t="shared" si="34"/>
        <v>8.0246913580246382E-3</v>
      </c>
      <c r="Q244">
        <f t="shared" si="35"/>
        <v>6.3090536524251783E-2</v>
      </c>
      <c r="R244" s="15">
        <f t="shared" si="36"/>
        <v>6.3154099112260383E-3</v>
      </c>
    </row>
    <row r="245" spans="1:18" x14ac:dyDescent="0.2">
      <c r="A245" s="13">
        <v>45694</v>
      </c>
      <c r="B245" s="14">
        <v>14.93</v>
      </c>
      <c r="C245" s="14">
        <v>13.75</v>
      </c>
      <c r="D245" s="14">
        <v>390.07</v>
      </c>
      <c r="E245" s="14">
        <v>34.020249999999997</v>
      </c>
      <c r="F245" s="14">
        <v>323.16000000000003</v>
      </c>
      <c r="G245" s="14">
        <v>138.69</v>
      </c>
      <c r="H245" s="14">
        <v>16.2</v>
      </c>
      <c r="I245" s="14">
        <v>61.109259999999999</v>
      </c>
      <c r="J245">
        <f t="shared" si="28"/>
        <v>2.2602739726027332E-2</v>
      </c>
      <c r="K245">
        <f t="shared" si="29"/>
        <v>0.1242845461978741</v>
      </c>
      <c r="L245">
        <f t="shared" si="30"/>
        <v>2.628394022311098E-2</v>
      </c>
      <c r="M245">
        <f t="shared" si="31"/>
        <v>9.3979540288775532E-3</v>
      </c>
      <c r="N245">
        <f t="shared" si="32"/>
        <v>-2.9003394014193162E-3</v>
      </c>
      <c r="O245">
        <f t="shared" si="33"/>
        <v>-1.1968369309681592E-2</v>
      </c>
      <c r="P245">
        <f t="shared" si="34"/>
        <v>-9.7799511002445438E-3</v>
      </c>
      <c r="Q245">
        <f t="shared" si="35"/>
        <v>-3.343140435370795E-2</v>
      </c>
      <c r="R245" s="15">
        <f t="shared" si="36"/>
        <v>1.2857660936228945E-2</v>
      </c>
    </row>
    <row r="246" spans="1:18" x14ac:dyDescent="0.2">
      <c r="A246" s="11">
        <v>45693</v>
      </c>
      <c r="B246" s="12">
        <v>14.6</v>
      </c>
      <c r="C246" s="12">
        <v>12.23</v>
      </c>
      <c r="D246" s="12">
        <v>380.08</v>
      </c>
      <c r="E246" s="12">
        <v>33.703505999999997</v>
      </c>
      <c r="F246" s="12">
        <v>324.10000000000002</v>
      </c>
      <c r="G246" s="12">
        <v>140.37</v>
      </c>
      <c r="H246" s="12">
        <v>16.36</v>
      </c>
      <c r="I246" s="12">
        <v>63.22289</v>
      </c>
      <c r="J246">
        <f t="shared" si="28"/>
        <v>-4.0927694406548421E-3</v>
      </c>
      <c r="K246">
        <f t="shared" si="29"/>
        <v>-2.0032051282051322E-2</v>
      </c>
      <c r="L246">
        <f t="shared" si="30"/>
        <v>-6.9239411595642952E-3</v>
      </c>
      <c r="M246">
        <f t="shared" si="31"/>
        <v>-1.5326844612974067E-2</v>
      </c>
      <c r="N246">
        <f t="shared" si="32"/>
        <v>6.251844080910085E-2</v>
      </c>
      <c r="O246">
        <f t="shared" si="33"/>
        <v>-1.6879114721949806E-2</v>
      </c>
      <c r="P246">
        <f t="shared" si="34"/>
        <v>-4.8837209302325602E-2</v>
      </c>
      <c r="Q246">
        <f t="shared" si="35"/>
        <v>-5.5410006046385796E-3</v>
      </c>
      <c r="R246" s="15">
        <f t="shared" si="36"/>
        <v>-2.7210452715216481E-3</v>
      </c>
    </row>
    <row r="247" spans="1:18" x14ac:dyDescent="0.2">
      <c r="A247" s="13">
        <v>45692</v>
      </c>
      <c r="B247" s="14">
        <v>14.66</v>
      </c>
      <c r="C247" s="14">
        <v>12.48</v>
      </c>
      <c r="D247" s="14">
        <v>382.73</v>
      </c>
      <c r="E247" s="14">
        <v>34.228115000000003</v>
      </c>
      <c r="F247" s="14">
        <v>305.02999999999997</v>
      </c>
      <c r="G247" s="14">
        <v>142.78</v>
      </c>
      <c r="H247" s="14">
        <v>17.2</v>
      </c>
      <c r="I247" s="14">
        <v>63.575159999999997</v>
      </c>
      <c r="J247">
        <f t="shared" si="28"/>
        <v>1.313061506565294E-2</v>
      </c>
      <c r="K247">
        <f t="shared" si="29"/>
        <v>1.4634146341463428E-2</v>
      </c>
      <c r="L247">
        <f t="shared" si="30"/>
        <v>-7.0496083550908306E-4</v>
      </c>
      <c r="M247">
        <f t="shared" si="31"/>
        <v>2.0962593157527465E-2</v>
      </c>
      <c r="N247">
        <f t="shared" si="32"/>
        <v>4.0525328330206278E-2</v>
      </c>
      <c r="O247">
        <f t="shared" si="33"/>
        <v>5.4660954350716606E-2</v>
      </c>
      <c r="P247">
        <f t="shared" si="34"/>
        <v>-1.9943019943020057E-2</v>
      </c>
      <c r="Q247">
        <f t="shared" si="35"/>
        <v>5.7276102580003929E-3</v>
      </c>
      <c r="R247" s="15">
        <f t="shared" si="36"/>
        <v>1.7692991375499859E-2</v>
      </c>
    </row>
    <row r="248" spans="1:18" x14ac:dyDescent="0.2">
      <c r="A248" s="11">
        <v>45688</v>
      </c>
      <c r="B248" s="12">
        <v>14.47</v>
      </c>
      <c r="C248" s="12">
        <v>12.3</v>
      </c>
      <c r="D248" s="12">
        <v>383</v>
      </c>
      <c r="E248" s="12">
        <v>33.525337</v>
      </c>
      <c r="F248" s="12">
        <v>293.14999999999998</v>
      </c>
      <c r="G248" s="12">
        <v>135.38</v>
      </c>
      <c r="H248" s="12">
        <v>17.55</v>
      </c>
      <c r="I248" s="12">
        <v>63.213099999999997</v>
      </c>
      <c r="J248">
        <f t="shared" si="28"/>
        <v>-1.9647696476964738E-2</v>
      </c>
      <c r="K248">
        <f t="shared" si="29"/>
        <v>-1.3632718524458687E-2</v>
      </c>
      <c r="L248">
        <f t="shared" si="30"/>
        <v>-2.4750458341821213E-2</v>
      </c>
      <c r="M248">
        <f t="shared" si="31"/>
        <v>-2.6501424091208703E-3</v>
      </c>
      <c r="N248">
        <f t="shared" si="32"/>
        <v>-1.3162324109607604E-2</v>
      </c>
      <c r="O248">
        <f t="shared" si="33"/>
        <v>-4.1625371655104049E-2</v>
      </c>
      <c r="P248">
        <f t="shared" si="34"/>
        <v>-2.1193530395984372E-2</v>
      </c>
      <c r="Q248">
        <f t="shared" si="35"/>
        <v>-6.1538870314473693E-3</v>
      </c>
      <c r="R248" s="15">
        <f t="shared" si="36"/>
        <v>-1.8966833798252355E-2</v>
      </c>
    </row>
    <row r="249" spans="1:18" x14ac:dyDescent="0.2">
      <c r="A249" s="13">
        <v>45687</v>
      </c>
      <c r="B249" s="14">
        <v>14.76</v>
      </c>
      <c r="C249" s="14">
        <v>12.47</v>
      </c>
      <c r="D249" s="14">
        <v>392.72</v>
      </c>
      <c r="E249" s="14">
        <v>33.614420000000003</v>
      </c>
      <c r="F249" s="14">
        <v>297.06</v>
      </c>
      <c r="G249" s="14">
        <v>141.26</v>
      </c>
      <c r="H249" s="14">
        <v>17.93</v>
      </c>
      <c r="I249" s="14">
        <v>63.604514999999999</v>
      </c>
      <c r="J249">
        <f t="shared" si="28"/>
        <v>3.3990482664854049E-3</v>
      </c>
      <c r="K249">
        <f t="shared" si="29"/>
        <v>2.8877887788778978E-2</v>
      </c>
      <c r="L249">
        <f t="shared" si="30"/>
        <v>2.2894798530982197E-2</v>
      </c>
      <c r="M249">
        <f t="shared" si="31"/>
        <v>2.9532657187256728E-3</v>
      </c>
      <c r="N249">
        <f t="shared" si="32"/>
        <v>3.5665725342537424E-2</v>
      </c>
      <c r="O249">
        <f t="shared" si="33"/>
        <v>-3.6676541120045369E-3</v>
      </c>
      <c r="P249">
        <f t="shared" si="34"/>
        <v>3.919372900335949E-3</v>
      </c>
      <c r="Q249">
        <f t="shared" si="35"/>
        <v>4.6173694254170172E-4</v>
      </c>
      <c r="R249" s="15">
        <f t="shared" si="36"/>
        <v>1.4141224351200367E-2</v>
      </c>
    </row>
    <row r="250" spans="1:18" x14ac:dyDescent="0.2">
      <c r="A250" s="11">
        <v>45686</v>
      </c>
      <c r="B250" s="12">
        <v>14.71</v>
      </c>
      <c r="C250" s="12">
        <v>12.12</v>
      </c>
      <c r="D250" s="12">
        <v>383.93</v>
      </c>
      <c r="E250" s="12">
        <v>33.515439999999998</v>
      </c>
      <c r="F250" s="12">
        <v>286.83</v>
      </c>
      <c r="G250" s="12">
        <v>141.78</v>
      </c>
      <c r="H250" s="12">
        <v>17.86</v>
      </c>
      <c r="I250" s="12">
        <v>63.575159999999997</v>
      </c>
      <c r="J250">
        <f t="shared" si="28"/>
        <v>9.608785175017287E-3</v>
      </c>
      <c r="K250">
        <f t="shared" si="29"/>
        <v>1.2531328320801949E-2</v>
      </c>
      <c r="L250">
        <f t="shared" si="30"/>
        <v>3.7123212465033362E-3</v>
      </c>
      <c r="M250">
        <f t="shared" si="31"/>
        <v>2.665052611027674E-3</v>
      </c>
      <c r="N250">
        <f t="shared" si="32"/>
        <v>3.046524160229902E-2</v>
      </c>
      <c r="O250">
        <f t="shared" si="33"/>
        <v>1.2425021422450833E-2</v>
      </c>
      <c r="P250">
        <f t="shared" si="34"/>
        <v>1.3045944412932498E-2</v>
      </c>
      <c r="Q250">
        <f t="shared" si="35"/>
        <v>-2.9159791914460387E-3</v>
      </c>
      <c r="R250" s="15">
        <f t="shared" si="36"/>
        <v>1.2954218164371239E-2</v>
      </c>
    </row>
    <row r="251" spans="1:18" x14ac:dyDescent="0.2">
      <c r="A251" s="13">
        <v>45685</v>
      </c>
      <c r="B251" s="14">
        <v>14.57</v>
      </c>
      <c r="C251" s="14">
        <v>11.97</v>
      </c>
      <c r="D251" s="14">
        <v>382.51</v>
      </c>
      <c r="E251" s="14">
        <v>33.426357000000003</v>
      </c>
      <c r="F251" s="14">
        <v>278.35000000000002</v>
      </c>
      <c r="G251" s="14">
        <v>140.04</v>
      </c>
      <c r="H251" s="14">
        <v>17.63</v>
      </c>
      <c r="I251" s="14">
        <v>63.761085999999999</v>
      </c>
      <c r="J251">
        <f t="shared" si="28"/>
        <v>-3.4199726402187602E-3</v>
      </c>
      <c r="K251">
        <f t="shared" si="29"/>
        <v>-2.2058823529411686E-2</v>
      </c>
      <c r="L251">
        <f t="shared" si="30"/>
        <v>-1.2724550898203568E-2</v>
      </c>
      <c r="M251">
        <f t="shared" si="31"/>
        <v>8.3606522363972591E-3</v>
      </c>
      <c r="N251">
        <f t="shared" si="32"/>
        <v>5.0913555282734446E-3</v>
      </c>
      <c r="O251">
        <f t="shared" si="33"/>
        <v>-4.1954063855507151E-3</v>
      </c>
      <c r="P251">
        <f t="shared" si="34"/>
        <v>-5.6689342403637433E-4</v>
      </c>
      <c r="Q251">
        <f t="shared" si="35"/>
        <v>2.5818722449489906E-2</v>
      </c>
      <c r="R251" s="15">
        <f t="shared" si="36"/>
        <v>-1.023602125128129E-3</v>
      </c>
    </row>
    <row r="252" spans="1:18" x14ac:dyDescent="0.2">
      <c r="A252" s="11">
        <v>45684</v>
      </c>
      <c r="B252" s="12">
        <v>14.62</v>
      </c>
      <c r="C252" s="12">
        <v>12.24</v>
      </c>
      <c r="D252" s="12">
        <v>387.44</v>
      </c>
      <c r="E252" s="12">
        <v>33.149208000000002</v>
      </c>
      <c r="F252" s="12">
        <v>276.94</v>
      </c>
      <c r="G252" s="12">
        <v>140.63</v>
      </c>
      <c r="H252" s="12">
        <v>17.64</v>
      </c>
      <c r="I252" s="12">
        <v>62.156289999999998</v>
      </c>
      <c r="J252">
        <f t="shared" si="28"/>
        <v>1.6689847009735637E-2</v>
      </c>
      <c r="K252">
        <f t="shared" si="29"/>
        <v>1.5767634854771728E-2</v>
      </c>
      <c r="L252">
        <f t="shared" si="30"/>
        <v>1.1724768246507367E-2</v>
      </c>
      <c r="M252">
        <f t="shared" si="31"/>
        <v>-1.4710207905571648E-2</v>
      </c>
      <c r="N252">
        <f t="shared" si="32"/>
        <v>-5.8667573079537738E-2</v>
      </c>
      <c r="O252">
        <f t="shared" si="33"/>
        <v>2.612185333819772E-2</v>
      </c>
      <c r="P252">
        <f t="shared" si="34"/>
        <v>-1.7817371937639215E-2</v>
      </c>
      <c r="Q252">
        <f t="shared" si="35"/>
        <v>3.9777406101709767E-2</v>
      </c>
      <c r="R252" s="15">
        <f t="shared" si="36"/>
        <v>-5.3572105477339531E-3</v>
      </c>
    </row>
    <row r="253" spans="1:18" x14ac:dyDescent="0.2">
      <c r="A253" s="13">
        <v>45681</v>
      </c>
      <c r="B253" s="14">
        <v>14.38</v>
      </c>
      <c r="C253" s="14">
        <v>12.05</v>
      </c>
      <c r="D253" s="14">
        <v>382.95</v>
      </c>
      <c r="E253" s="14">
        <v>33.644120000000001</v>
      </c>
      <c r="F253" s="14">
        <v>294.2</v>
      </c>
      <c r="G253" s="14">
        <v>137.05000000000001</v>
      </c>
      <c r="H253" s="14">
        <v>17.96</v>
      </c>
      <c r="I253" s="14">
        <v>59.778458000000001</v>
      </c>
      <c r="J253">
        <f t="shared" si="28"/>
        <v>-4.8442906574392985E-3</v>
      </c>
      <c r="K253">
        <f t="shared" si="29"/>
        <v>2.2920203735144362E-2</v>
      </c>
      <c r="L253">
        <f t="shared" si="30"/>
        <v>-4.0312093628088741E-3</v>
      </c>
      <c r="M253">
        <f t="shared" si="31"/>
        <v>3.8179690291897384E-2</v>
      </c>
      <c r="N253">
        <f t="shared" si="32"/>
        <v>6.3968802380871548E-3</v>
      </c>
      <c r="O253">
        <f t="shared" si="33"/>
        <v>2.1084786171956527E-2</v>
      </c>
      <c r="P253">
        <f t="shared" si="34"/>
        <v>2.7917364600782424E-3</v>
      </c>
      <c r="Q253">
        <f t="shared" si="35"/>
        <v>1.9681354180953736E-3</v>
      </c>
      <c r="R253" s="15">
        <f t="shared" si="36"/>
        <v>1.0013367106737583E-2</v>
      </c>
    </row>
    <row r="254" spans="1:18" x14ac:dyDescent="0.2">
      <c r="A254" s="11">
        <v>45680</v>
      </c>
      <c r="B254" s="12">
        <v>14.45</v>
      </c>
      <c r="C254" s="12">
        <v>11.78</v>
      </c>
      <c r="D254" s="12">
        <v>384.5</v>
      </c>
      <c r="E254" s="12">
        <v>32.406837000000003</v>
      </c>
      <c r="F254" s="12">
        <v>292.33</v>
      </c>
      <c r="G254" s="12">
        <v>134.22</v>
      </c>
      <c r="H254" s="12">
        <v>17.91</v>
      </c>
      <c r="I254" s="12">
        <v>59.661037</v>
      </c>
      <c r="J254">
        <f t="shared" si="28"/>
        <v>-5.5058499655884496E-3</v>
      </c>
      <c r="K254">
        <f t="shared" si="29"/>
        <v>3.1523642732048884E-2</v>
      </c>
      <c r="L254">
        <f t="shared" si="30"/>
        <v>-8.2538044880061667E-3</v>
      </c>
      <c r="M254">
        <f t="shared" si="31"/>
        <v>1.6770124208663306E-2</v>
      </c>
      <c r="N254">
        <f t="shared" si="32"/>
        <v>3.6392350739864465E-3</v>
      </c>
      <c r="O254">
        <f t="shared" si="33"/>
        <v>7.8846587069161256E-3</v>
      </c>
      <c r="P254">
        <f t="shared" si="34"/>
        <v>-1.3766519823788514E-2</v>
      </c>
      <c r="Q254">
        <f t="shared" si="35"/>
        <v>-4.7339044030666466E-3</v>
      </c>
      <c r="R254" s="15">
        <f t="shared" si="36"/>
        <v>2.6950582057132903E-3</v>
      </c>
    </row>
    <row r="255" spans="1:18" x14ac:dyDescent="0.2">
      <c r="A255" s="13">
        <v>45679</v>
      </c>
      <c r="B255" s="14">
        <v>14.53</v>
      </c>
      <c r="C255" s="14">
        <v>11.42</v>
      </c>
      <c r="D255" s="14">
        <v>387.7</v>
      </c>
      <c r="E255" s="14">
        <v>31.872333999999999</v>
      </c>
      <c r="F255" s="14">
        <v>291.27</v>
      </c>
      <c r="G255" s="14">
        <v>133.16999999999999</v>
      </c>
      <c r="H255" s="14">
        <v>18.16</v>
      </c>
      <c r="I255" s="14">
        <v>59.944809999999997</v>
      </c>
      <c r="J255">
        <f t="shared" si="28"/>
        <v>1.7507002801120386E-2</v>
      </c>
      <c r="K255">
        <f t="shared" si="29"/>
        <v>7.0546737213403876E-3</v>
      </c>
      <c r="L255">
        <f t="shared" si="30"/>
        <v>2.3219215190528608E-4</v>
      </c>
      <c r="M255">
        <f t="shared" si="31"/>
        <v>6.8793222034402302E-3</v>
      </c>
      <c r="N255">
        <f t="shared" si="32"/>
        <v>1.2338384540525382E-2</v>
      </c>
      <c r="O255">
        <f t="shared" si="33"/>
        <v>2.2418426103646638E-2</v>
      </c>
      <c r="P255">
        <f t="shared" si="34"/>
        <v>1.1699164345403856E-2</v>
      </c>
      <c r="Q255">
        <f t="shared" si="35"/>
        <v>3.5672012371780193E-2</v>
      </c>
      <c r="R255" s="15">
        <f t="shared" si="36"/>
        <v>1.3395835726457259E-2</v>
      </c>
    </row>
    <row r="256" spans="1:18" x14ac:dyDescent="0.2">
      <c r="A256" s="11">
        <v>45678</v>
      </c>
      <c r="B256" s="12">
        <v>14.28</v>
      </c>
      <c r="C256" s="12">
        <v>11.34</v>
      </c>
      <c r="D256" s="12">
        <v>387.61</v>
      </c>
      <c r="E256" s="12">
        <v>31.654572000000002</v>
      </c>
      <c r="F256" s="12">
        <v>287.72000000000003</v>
      </c>
      <c r="G256" s="12">
        <v>130.25</v>
      </c>
      <c r="H256" s="12">
        <v>17.95</v>
      </c>
      <c r="I256" s="12">
        <v>57.880110000000002</v>
      </c>
      <c r="J256">
        <f t="shared" si="28"/>
        <v>-9.7087378640776656E-3</v>
      </c>
      <c r="K256">
        <f t="shared" si="29"/>
        <v>1.2499999999999956E-2</v>
      </c>
      <c r="L256">
        <f t="shared" si="30"/>
        <v>1.3597970764362755E-2</v>
      </c>
      <c r="M256">
        <f t="shared" si="31"/>
        <v>-4.358612387713956E-3</v>
      </c>
      <c r="N256">
        <f t="shared" si="32"/>
        <v>-1.2289735667696533E-2</v>
      </c>
      <c r="O256">
        <f t="shared" si="33"/>
        <v>3.078505856283642E-2</v>
      </c>
      <c r="P256">
        <f t="shared" si="34"/>
        <v>3.3390903857225096E-2</v>
      </c>
      <c r="Q256">
        <f t="shared" si="35"/>
        <v>2.2118619006644691E-2</v>
      </c>
      <c r="R256" s="15">
        <f t="shared" si="36"/>
        <v>1.1012789232543726E-2</v>
      </c>
    </row>
    <row r="257" spans="1:18" x14ac:dyDescent="0.2">
      <c r="A257" s="13">
        <v>45677</v>
      </c>
      <c r="B257" s="14">
        <v>14.42</v>
      </c>
      <c r="C257" s="14">
        <v>11.2</v>
      </c>
      <c r="D257" s="14">
        <v>382.41</v>
      </c>
      <c r="E257" s="14">
        <v>31.793146</v>
      </c>
      <c r="F257" s="14">
        <v>291.3</v>
      </c>
      <c r="G257" s="14">
        <v>126.36</v>
      </c>
      <c r="H257" s="14">
        <v>17.37</v>
      </c>
      <c r="I257" s="14">
        <v>56.627586000000001</v>
      </c>
      <c r="J257">
        <f t="shared" si="28"/>
        <v>1.0511562718990897E-2</v>
      </c>
      <c r="K257">
        <f t="shared" si="29"/>
        <v>6.2893081761004055E-3</v>
      </c>
      <c r="L257">
        <f t="shared" si="30"/>
        <v>-2.8898651565555267E-2</v>
      </c>
      <c r="M257">
        <f t="shared" si="31"/>
        <v>8.7939150394005239E-3</v>
      </c>
      <c r="N257">
        <f t="shared" si="32"/>
        <v>4.6213270795973926E-3</v>
      </c>
      <c r="O257">
        <f t="shared" si="33"/>
        <v>1.4776742691936962E-2</v>
      </c>
      <c r="P257">
        <f t="shared" si="34"/>
        <v>2.4778761061946986E-2</v>
      </c>
      <c r="Q257">
        <f t="shared" si="35"/>
        <v>1.9555963819434252E-2</v>
      </c>
      <c r="R257" s="15">
        <f t="shared" si="36"/>
        <v>7.6724522322420873E-3</v>
      </c>
    </row>
    <row r="258" spans="1:18" x14ac:dyDescent="0.2">
      <c r="A258" s="11">
        <v>45674</v>
      </c>
      <c r="B258" s="12">
        <v>14.27</v>
      </c>
      <c r="C258" s="12">
        <v>11.13</v>
      </c>
      <c r="D258" s="12">
        <v>393.79</v>
      </c>
      <c r="E258" s="12">
        <v>31.515996999999999</v>
      </c>
      <c r="F258" s="12">
        <v>289.95999999999998</v>
      </c>
      <c r="G258" s="12">
        <v>124.52</v>
      </c>
      <c r="H258" s="12">
        <v>16.95</v>
      </c>
      <c r="I258" s="12">
        <v>55.541420000000002</v>
      </c>
      <c r="J258">
        <f t="shared" si="28"/>
        <v>-1.2456747404844259E-2</v>
      </c>
      <c r="K258">
        <f t="shared" si="29"/>
        <v>-1.591511936339518E-2</v>
      </c>
      <c r="L258">
        <f t="shared" si="30"/>
        <v>-7.8660238518146741E-4</v>
      </c>
      <c r="M258">
        <f t="shared" si="31"/>
        <v>-1.2406990890678871E-2</v>
      </c>
      <c r="N258">
        <f t="shared" si="32"/>
        <v>-3.950396757239627E-3</v>
      </c>
      <c r="O258">
        <f t="shared" si="33"/>
        <v>-2.4596584678051037E-2</v>
      </c>
      <c r="P258">
        <f t="shared" si="34"/>
        <v>-3.3637400228050174E-2</v>
      </c>
      <c r="Q258">
        <f t="shared" si="35"/>
        <v>-1.355581905843839E-2</v>
      </c>
      <c r="R258" s="15">
        <f t="shared" si="36"/>
        <v>-1.5034153126134951E-2</v>
      </c>
    </row>
    <row r="259" spans="1:18" x14ac:dyDescent="0.2">
      <c r="A259" s="13">
        <v>45673</v>
      </c>
      <c r="B259" s="14">
        <v>14.45</v>
      </c>
      <c r="C259" s="14">
        <v>11.31</v>
      </c>
      <c r="D259" s="14">
        <v>394.1</v>
      </c>
      <c r="E259" s="14">
        <v>31.911928</v>
      </c>
      <c r="F259" s="14">
        <v>291.11</v>
      </c>
      <c r="G259" s="14">
        <v>127.66</v>
      </c>
      <c r="H259" s="14">
        <v>17.54</v>
      </c>
      <c r="I259" s="14">
        <v>56.304676000000001</v>
      </c>
      <c r="J259">
        <f t="shared" ref="J259:J322" si="37">B259/B260-1</f>
        <v>6.9252077562320657E-4</v>
      </c>
      <c r="K259">
        <f t="shared" ref="K259:K322" si="38">C259/C260-1</f>
        <v>-8.8339222614841617E-4</v>
      </c>
      <c r="L259">
        <f t="shared" ref="L259:L322" si="39">D259/D260-1</f>
        <v>-3.1113247160599045E-3</v>
      </c>
      <c r="M259">
        <f t="shared" ref="M259:M322" si="40">E259/E260-1</f>
        <v>-7.3890768321218658E-3</v>
      </c>
      <c r="N259">
        <f t="shared" ref="N259:N322" si="41">F259/F260-1</f>
        <v>-1.0536691478875482E-2</v>
      </c>
      <c r="O259">
        <f t="shared" ref="O259:O322" si="42">G259/G260-1</f>
        <v>-7.5410090958563103E-3</v>
      </c>
      <c r="P259">
        <f t="shared" ref="P259:P322" si="43">H259/H260-1</f>
        <v>1.3287117273252491E-2</v>
      </c>
      <c r="Q259">
        <f t="shared" ref="Q259:Q322" si="44">I259/I260-1</f>
        <v>-1.6410225521374611E-2</v>
      </c>
      <c r="R259" s="15">
        <f t="shared" ref="R259:R322" si="45">SUMPRODUCT($T$2:$AA$2,J259:Q259)</f>
        <v>-3.4026019528854059E-3</v>
      </c>
    </row>
    <row r="260" spans="1:18" x14ac:dyDescent="0.2">
      <c r="A260" s="11">
        <v>45672</v>
      </c>
      <c r="B260" s="12">
        <v>14.44</v>
      </c>
      <c r="C260" s="12">
        <v>11.32</v>
      </c>
      <c r="D260" s="12">
        <v>395.33</v>
      </c>
      <c r="E260" s="12">
        <v>32.149482999999996</v>
      </c>
      <c r="F260" s="12">
        <v>294.20999999999998</v>
      </c>
      <c r="G260" s="12">
        <v>128.63</v>
      </c>
      <c r="H260" s="12">
        <v>17.309999999999999</v>
      </c>
      <c r="I260" s="12">
        <v>57.244064000000002</v>
      </c>
      <c r="J260">
        <f t="shared" si="37"/>
        <v>7.6762037683182349E-3</v>
      </c>
      <c r="K260">
        <f t="shared" si="38"/>
        <v>2.6291931097008225E-2</v>
      </c>
      <c r="L260">
        <f t="shared" si="39"/>
        <v>1.3718652238576157E-2</v>
      </c>
      <c r="M260">
        <f t="shared" si="40"/>
        <v>7.1317666559402859E-3</v>
      </c>
      <c r="N260">
        <f t="shared" si="41"/>
        <v>9.7817133443161008E-3</v>
      </c>
      <c r="O260">
        <f t="shared" si="42"/>
        <v>5.8944595373343178E-2</v>
      </c>
      <c r="P260">
        <f t="shared" si="43"/>
        <v>-7.4541284403670804E-3</v>
      </c>
      <c r="Q260">
        <f t="shared" si="44"/>
        <v>2.272728531474133E-2</v>
      </c>
      <c r="R260" s="15">
        <f t="shared" si="45"/>
        <v>1.6651690134691453E-2</v>
      </c>
    </row>
    <row r="261" spans="1:18" x14ac:dyDescent="0.2">
      <c r="A261" s="13">
        <v>45671</v>
      </c>
      <c r="B261" s="14">
        <v>14.33</v>
      </c>
      <c r="C261" s="14">
        <v>11.03</v>
      </c>
      <c r="D261" s="14">
        <v>389.98</v>
      </c>
      <c r="E261" s="14">
        <v>31.921824000000001</v>
      </c>
      <c r="F261" s="14">
        <v>291.36</v>
      </c>
      <c r="G261" s="14">
        <v>121.47</v>
      </c>
      <c r="H261" s="14">
        <v>17.440000000000001</v>
      </c>
      <c r="I261" s="14">
        <v>55.971972999999998</v>
      </c>
      <c r="J261">
        <f t="shared" si="37"/>
        <v>-5.5517002081887368E-3</v>
      </c>
      <c r="K261">
        <f t="shared" si="38"/>
        <v>-8.9847259658581979E-3</v>
      </c>
      <c r="L261">
        <f t="shared" si="39"/>
        <v>6.4519459068854701E-3</v>
      </c>
      <c r="M261">
        <f t="shared" si="40"/>
        <v>-1.5267205949815232E-2</v>
      </c>
      <c r="N261">
        <f t="shared" si="41"/>
        <v>2.9722565824350733E-2</v>
      </c>
      <c r="O261">
        <f t="shared" si="42"/>
        <v>4.3108630313439145E-2</v>
      </c>
      <c r="P261">
        <f t="shared" si="43"/>
        <v>2.3474178403755985E-2</v>
      </c>
      <c r="Q261">
        <f t="shared" si="44"/>
        <v>4.7426597761857092E-3</v>
      </c>
      <c r="R261" s="15">
        <f t="shared" si="45"/>
        <v>1.4614699278171894E-2</v>
      </c>
    </row>
    <row r="262" spans="1:18" x14ac:dyDescent="0.2">
      <c r="A262" s="11">
        <v>45670</v>
      </c>
      <c r="B262" s="12">
        <v>14.41</v>
      </c>
      <c r="C262" s="12">
        <v>11.13</v>
      </c>
      <c r="D262" s="12">
        <v>387.48</v>
      </c>
      <c r="E262" s="12">
        <v>32.416736999999998</v>
      </c>
      <c r="F262" s="12">
        <v>282.95</v>
      </c>
      <c r="G262" s="12">
        <v>116.45</v>
      </c>
      <c r="H262" s="12">
        <v>17.04</v>
      </c>
      <c r="I262" s="12">
        <v>55.707769999999996</v>
      </c>
      <c r="J262">
        <f t="shared" si="37"/>
        <v>1.051893408134652E-2</v>
      </c>
      <c r="K262">
        <f t="shared" si="38"/>
        <v>-3.3854166666666519E-2</v>
      </c>
      <c r="L262">
        <f t="shared" si="39"/>
        <v>1.6981181596283701E-2</v>
      </c>
      <c r="M262">
        <f t="shared" si="40"/>
        <v>7.0726480956657678E-3</v>
      </c>
      <c r="N262">
        <f t="shared" si="41"/>
        <v>1.6708587854832757E-2</v>
      </c>
      <c r="O262">
        <f t="shared" si="42"/>
        <v>-1.7050730142652126E-2</v>
      </c>
      <c r="P262">
        <f t="shared" si="43"/>
        <v>2.2195560887822374E-2</v>
      </c>
      <c r="Q262">
        <f t="shared" si="44"/>
        <v>2.0982853087772035E-2</v>
      </c>
      <c r="R262" s="15">
        <f t="shared" si="45"/>
        <v>6.3654113408335164E-3</v>
      </c>
    </row>
    <row r="263" spans="1:18" x14ac:dyDescent="0.2">
      <c r="A263" s="13">
        <v>45667</v>
      </c>
      <c r="B263" s="14">
        <v>14.26</v>
      </c>
      <c r="C263" s="14">
        <v>11.52</v>
      </c>
      <c r="D263" s="14">
        <v>381.01</v>
      </c>
      <c r="E263" s="14">
        <v>32.189075000000003</v>
      </c>
      <c r="F263" s="14">
        <v>278.3</v>
      </c>
      <c r="G263" s="14">
        <v>118.47</v>
      </c>
      <c r="H263" s="14">
        <v>16.670000000000002</v>
      </c>
      <c r="I263" s="14">
        <v>54.562885000000001</v>
      </c>
      <c r="J263">
        <f t="shared" si="37"/>
        <v>0</v>
      </c>
      <c r="K263">
        <f t="shared" si="38"/>
        <v>1.6769638128861342E-2</v>
      </c>
      <c r="L263">
        <f t="shared" si="39"/>
        <v>8.1763336155800115E-3</v>
      </c>
      <c r="M263">
        <f t="shared" si="40"/>
        <v>1.0879721138664644E-2</v>
      </c>
      <c r="N263">
        <f t="shared" si="41"/>
        <v>-2.7195190156599436E-2</v>
      </c>
      <c r="O263">
        <f t="shared" si="42"/>
        <v>-5.790533736153014E-3</v>
      </c>
      <c r="P263">
        <f t="shared" si="43"/>
        <v>2.3955773955774085E-2</v>
      </c>
      <c r="Q263">
        <f t="shared" si="44"/>
        <v>-4.2857974226198081E-3</v>
      </c>
      <c r="R263" s="15">
        <f t="shared" si="45"/>
        <v>1.0129482532488729E-3</v>
      </c>
    </row>
    <row r="264" spans="1:18" x14ac:dyDescent="0.2">
      <c r="A264" s="11">
        <v>45666</v>
      </c>
      <c r="B264" s="12">
        <v>14.26</v>
      </c>
      <c r="C264" s="12">
        <v>11.33</v>
      </c>
      <c r="D264" s="12">
        <v>377.92</v>
      </c>
      <c r="E264" s="12">
        <v>31.842635999999999</v>
      </c>
      <c r="F264" s="12">
        <v>286.08</v>
      </c>
      <c r="G264" s="12">
        <v>119.16</v>
      </c>
      <c r="H264" s="12">
        <v>16.28</v>
      </c>
      <c r="I264" s="12">
        <v>54.797736999999998</v>
      </c>
      <c r="J264">
        <f t="shared" si="37"/>
        <v>7.0175438596487005E-4</v>
      </c>
      <c r="K264">
        <f t="shared" si="38"/>
        <v>-1.7346053772766656E-2</v>
      </c>
      <c r="L264">
        <f t="shared" si="39"/>
        <v>5.1865840359603954E-3</v>
      </c>
      <c r="M264">
        <f t="shared" si="40"/>
        <v>-4.0247643254438525E-3</v>
      </c>
      <c r="N264">
        <f t="shared" si="41"/>
        <v>-1.2018234562784946E-2</v>
      </c>
      <c r="O264">
        <f t="shared" si="42"/>
        <v>2.5239777889953796E-3</v>
      </c>
      <c r="P264">
        <f t="shared" si="43"/>
        <v>6.8027210884353817E-3</v>
      </c>
      <c r="Q264">
        <f t="shared" si="44"/>
        <v>-2.4899889294875188E-2</v>
      </c>
      <c r="R264" s="15">
        <f t="shared" si="45"/>
        <v>-4.5977651953833278E-3</v>
      </c>
    </row>
    <row r="265" spans="1:18" x14ac:dyDescent="0.2">
      <c r="A265" s="13">
        <v>45665</v>
      </c>
      <c r="B265" s="14">
        <v>14.25</v>
      </c>
      <c r="C265" s="14">
        <v>11.53</v>
      </c>
      <c r="D265" s="14">
        <v>375.97</v>
      </c>
      <c r="E265" s="14">
        <v>31.971312999999999</v>
      </c>
      <c r="F265" s="14">
        <v>289.56</v>
      </c>
      <c r="G265" s="14">
        <v>118.86</v>
      </c>
      <c r="H265" s="14">
        <v>16.170000000000002</v>
      </c>
      <c r="I265" s="14">
        <v>56.197037000000002</v>
      </c>
      <c r="J265">
        <f t="shared" si="37"/>
        <v>-2.9291553133514947E-2</v>
      </c>
      <c r="K265">
        <f t="shared" si="38"/>
        <v>2.6086956521738092E-3</v>
      </c>
      <c r="L265">
        <f t="shared" si="39"/>
        <v>-2.187939018679419E-2</v>
      </c>
      <c r="M265">
        <f t="shared" si="40"/>
        <v>-1.7341111705162726E-2</v>
      </c>
      <c r="N265">
        <f t="shared" si="41"/>
        <v>1.9362106597197837E-2</v>
      </c>
      <c r="O265">
        <f t="shared" si="42"/>
        <v>-1.2216404886561949E-2</v>
      </c>
      <c r="P265">
        <f t="shared" si="43"/>
        <v>2.1478205938092243E-2</v>
      </c>
      <c r="Q265">
        <f t="shared" si="44"/>
        <v>7.8975627949253724E-3</v>
      </c>
      <c r="R265" s="15">
        <f t="shared" si="45"/>
        <v>3.9625112954055973E-4</v>
      </c>
    </row>
    <row r="266" spans="1:18" x14ac:dyDescent="0.2">
      <c r="A266" s="11">
        <v>45664</v>
      </c>
      <c r="B266" s="12">
        <v>14.68</v>
      </c>
      <c r="C266" s="12">
        <v>11.5</v>
      </c>
      <c r="D266" s="12">
        <v>384.38</v>
      </c>
      <c r="E266" s="12">
        <v>32.535514999999997</v>
      </c>
      <c r="F266" s="12">
        <v>284.06</v>
      </c>
      <c r="G266" s="12">
        <v>120.33</v>
      </c>
      <c r="H266" s="12">
        <v>15.83</v>
      </c>
      <c r="I266" s="12">
        <v>55.756695000000001</v>
      </c>
      <c r="J266">
        <f t="shared" si="37"/>
        <v>1.6620498614958512E-2</v>
      </c>
      <c r="K266">
        <f t="shared" si="38"/>
        <v>-8.6206896551723755E-3</v>
      </c>
      <c r="L266">
        <f t="shared" si="39"/>
        <v>2.413940104444201E-2</v>
      </c>
      <c r="M266">
        <f t="shared" si="40"/>
        <v>2.1124658657568851E-2</v>
      </c>
      <c r="N266">
        <f t="shared" si="41"/>
        <v>3.2007266121707456E-2</v>
      </c>
      <c r="O266">
        <f t="shared" si="42"/>
        <v>2.6969360757873151E-2</v>
      </c>
      <c r="P266">
        <f t="shared" si="43"/>
        <v>1.4743589743589691E-2</v>
      </c>
      <c r="Q266">
        <f t="shared" si="44"/>
        <v>8.8526823121684028E-3</v>
      </c>
      <c r="R266" s="15">
        <f t="shared" si="45"/>
        <v>1.8891172664686484E-2</v>
      </c>
    </row>
    <row r="267" spans="1:18" x14ac:dyDescent="0.2">
      <c r="A267" s="13">
        <v>45663</v>
      </c>
      <c r="B267" s="14">
        <v>14.44</v>
      </c>
      <c r="C267" s="14">
        <v>11.6</v>
      </c>
      <c r="D267" s="14">
        <v>375.32</v>
      </c>
      <c r="E267" s="14">
        <v>31.862431999999998</v>
      </c>
      <c r="F267" s="14">
        <v>275.25</v>
      </c>
      <c r="G267" s="14">
        <v>117.17</v>
      </c>
      <c r="H267" s="14">
        <v>15.6</v>
      </c>
      <c r="I267" s="14">
        <v>55.267429999999997</v>
      </c>
      <c r="J267">
        <f t="shared" si="37"/>
        <v>1.3869625520110951E-3</v>
      </c>
      <c r="K267">
        <f t="shared" si="38"/>
        <v>-1.7211703958691649E-3</v>
      </c>
      <c r="L267">
        <f t="shared" si="39"/>
        <v>1.5558622182536563E-2</v>
      </c>
      <c r="M267">
        <f t="shared" si="40"/>
        <v>5.6232012956587418E-3</v>
      </c>
      <c r="N267">
        <f t="shared" si="41"/>
        <v>-4.9166696793319087E-3</v>
      </c>
      <c r="O267">
        <f t="shared" si="42"/>
        <v>1.3674044953422282E-3</v>
      </c>
      <c r="P267">
        <f t="shared" si="43"/>
        <v>1.0362694300518172E-2</v>
      </c>
      <c r="Q267">
        <f t="shared" si="44"/>
        <v>1.1461321197917096E-2</v>
      </c>
      <c r="R267" s="15">
        <f t="shared" si="45"/>
        <v>4.1322507627386219E-3</v>
      </c>
    </row>
    <row r="268" spans="1:18" x14ac:dyDescent="0.2">
      <c r="A268" s="11">
        <v>45660</v>
      </c>
      <c r="B268" s="12">
        <v>14.42</v>
      </c>
      <c r="C268" s="12">
        <v>11.62</v>
      </c>
      <c r="D268" s="12">
        <v>369.57</v>
      </c>
      <c r="E268" s="12">
        <v>31.684265</v>
      </c>
      <c r="F268" s="12">
        <v>276.61</v>
      </c>
      <c r="G268" s="12">
        <v>117.01</v>
      </c>
      <c r="H268" s="12">
        <v>15.44</v>
      </c>
      <c r="I268" s="12">
        <v>54.641170000000002</v>
      </c>
      <c r="J268">
        <f t="shared" si="37"/>
        <v>-2.8956228956228958E-2</v>
      </c>
      <c r="K268">
        <f t="shared" si="38"/>
        <v>-2.5751072961374133E-3</v>
      </c>
      <c r="L268">
        <f t="shared" si="39"/>
        <v>-1.3532991672005057E-2</v>
      </c>
      <c r="M268">
        <f t="shared" si="40"/>
        <v>-2.6755850274502002E-2</v>
      </c>
      <c r="N268">
        <f t="shared" si="41"/>
        <v>1.6761624701341571E-2</v>
      </c>
      <c r="O268">
        <f t="shared" si="42"/>
        <v>-1.0245026893195286E-3</v>
      </c>
      <c r="P268">
        <f t="shared" si="43"/>
        <v>6.480881399870686E-4</v>
      </c>
      <c r="Q268">
        <f t="shared" si="44"/>
        <v>-4.3835694872104702E-2</v>
      </c>
      <c r="R268" s="15">
        <f t="shared" si="45"/>
        <v>-6.651915439612798E-3</v>
      </c>
    </row>
    <row r="269" spans="1:18" x14ac:dyDescent="0.2">
      <c r="A269" s="13">
        <v>45659</v>
      </c>
      <c r="B269" s="14">
        <v>14.85</v>
      </c>
      <c r="C269" s="14">
        <v>11.65</v>
      </c>
      <c r="D269" s="14">
        <v>374.64</v>
      </c>
      <c r="E269" s="14">
        <v>32.555309999999999</v>
      </c>
      <c r="F269" s="14">
        <v>272.05</v>
      </c>
      <c r="G269" s="14">
        <v>117.13</v>
      </c>
      <c r="H269" s="14">
        <v>15.43</v>
      </c>
      <c r="I269" s="14">
        <v>57.146214000000001</v>
      </c>
      <c r="J269">
        <f t="shared" si="37"/>
        <v>-6.6889632107023367E-3</v>
      </c>
      <c r="K269">
        <f t="shared" si="38"/>
        <v>-2.5684931506848585E-3</v>
      </c>
      <c r="L269">
        <f t="shared" si="39"/>
        <v>2.2098543133082238E-2</v>
      </c>
      <c r="M269">
        <f t="shared" si="40"/>
        <v>2.7439284980004253E-3</v>
      </c>
      <c r="N269">
        <f t="shared" si="41"/>
        <v>2.1975957926371192E-2</v>
      </c>
      <c r="O269">
        <f t="shared" si="42"/>
        <v>5.9798393985976972E-4</v>
      </c>
      <c r="P269">
        <f t="shared" si="43"/>
        <v>-1.2795905310300726E-2</v>
      </c>
      <c r="Q269">
        <f t="shared" si="44"/>
        <v>8.4614728960008545E-3</v>
      </c>
      <c r="R269" s="15">
        <f t="shared" si="45"/>
        <v>5.2814102824056486E-3</v>
      </c>
    </row>
    <row r="270" spans="1:18" x14ac:dyDescent="0.2">
      <c r="A270" s="11">
        <v>45657</v>
      </c>
      <c r="B270" s="12">
        <v>14.95</v>
      </c>
      <c r="C270" s="12">
        <v>11.68</v>
      </c>
      <c r="D270" s="12">
        <v>366.54</v>
      </c>
      <c r="E270" s="12">
        <v>32.466225000000001</v>
      </c>
      <c r="F270" s="12">
        <v>266.2</v>
      </c>
      <c r="G270" s="12">
        <v>117.06</v>
      </c>
      <c r="H270" s="12">
        <v>15.63</v>
      </c>
      <c r="I270" s="12">
        <v>56.666730000000001</v>
      </c>
      <c r="J270">
        <f t="shared" si="37"/>
        <v>2.1872863978126933E-2</v>
      </c>
      <c r="K270">
        <f t="shared" si="38"/>
        <v>2.7264731750219928E-2</v>
      </c>
      <c r="L270">
        <f t="shared" si="39"/>
        <v>1.8647694744740706E-2</v>
      </c>
      <c r="M270">
        <f t="shared" si="40"/>
        <v>1.2345629352918275E-2</v>
      </c>
      <c r="N270">
        <f t="shared" si="41"/>
        <v>2.9349213100807958E-2</v>
      </c>
      <c r="O270">
        <f t="shared" si="42"/>
        <v>4.634397528321399E-3</v>
      </c>
      <c r="P270">
        <f t="shared" si="43"/>
        <v>8.3870967741936919E-3</v>
      </c>
      <c r="Q270">
        <f t="shared" si="44"/>
        <v>1.0998611870722153E-2</v>
      </c>
      <c r="R270" s="15">
        <f t="shared" si="45"/>
        <v>1.7215625428311242E-2</v>
      </c>
    </row>
    <row r="271" spans="1:18" x14ac:dyDescent="0.2">
      <c r="A271" s="13">
        <v>45656</v>
      </c>
      <c r="B271" s="14">
        <v>14.63</v>
      </c>
      <c r="C271" s="14">
        <v>11.37</v>
      </c>
      <c r="D271" s="14">
        <v>359.83</v>
      </c>
      <c r="E271" s="14">
        <v>32.070296999999997</v>
      </c>
      <c r="F271" s="14">
        <v>258.61</v>
      </c>
      <c r="G271" s="14">
        <v>116.52</v>
      </c>
      <c r="H271" s="14">
        <v>15.5</v>
      </c>
      <c r="I271" s="14">
        <v>56.050255</v>
      </c>
      <c r="J271">
        <f t="shared" si="37"/>
        <v>-1.0148849797022907E-2</v>
      </c>
      <c r="K271">
        <f t="shared" si="38"/>
        <v>-9.5818815331011331E-3</v>
      </c>
      <c r="L271">
        <f t="shared" si="39"/>
        <v>-4.1237684047381595E-3</v>
      </c>
      <c r="M271">
        <f t="shared" si="40"/>
        <v>-3.9963383927593688E-3</v>
      </c>
      <c r="N271">
        <f t="shared" si="41"/>
        <v>-4.9786890064667855E-2</v>
      </c>
      <c r="O271">
        <f t="shared" si="42"/>
        <v>4.0499784575613873E-3</v>
      </c>
      <c r="P271">
        <f t="shared" si="43"/>
        <v>1.2919896640826156E-3</v>
      </c>
      <c r="Q271">
        <f t="shared" si="44"/>
        <v>-3.2105476503616948E-2</v>
      </c>
      <c r="R271" s="15">
        <f t="shared" si="45"/>
        <v>-1.4957487423236847E-2</v>
      </c>
    </row>
    <row r="272" spans="1:18" x14ac:dyDescent="0.2">
      <c r="A272" s="11">
        <v>45653</v>
      </c>
      <c r="B272" s="12">
        <v>14.78</v>
      </c>
      <c r="C272" s="12">
        <v>11.48</v>
      </c>
      <c r="D272" s="12">
        <v>361.32</v>
      </c>
      <c r="E272" s="12">
        <v>32.198974999999997</v>
      </c>
      <c r="F272" s="12">
        <v>272.16000000000003</v>
      </c>
      <c r="G272" s="12">
        <v>116.05</v>
      </c>
      <c r="H272" s="12">
        <v>15.48</v>
      </c>
      <c r="I272" s="12">
        <v>57.909466000000002</v>
      </c>
      <c r="J272">
        <f t="shared" si="37"/>
        <v>8.1855388813096841E-3</v>
      </c>
      <c r="K272">
        <f t="shared" si="38"/>
        <v>1.7452006980802626E-3</v>
      </c>
      <c r="L272">
        <f t="shared" si="39"/>
        <v>-6.926121372031635E-3</v>
      </c>
      <c r="M272">
        <f t="shared" si="40"/>
        <v>-9.7411968495114687E-3</v>
      </c>
      <c r="N272">
        <f t="shared" si="41"/>
        <v>-2.1997360316761139E-3</v>
      </c>
      <c r="O272">
        <f t="shared" si="42"/>
        <v>-5.1435919417059939E-3</v>
      </c>
      <c r="P272">
        <f t="shared" si="43"/>
        <v>-1.1494252873563204E-2</v>
      </c>
      <c r="Q272">
        <f t="shared" si="44"/>
        <v>1.7188036697447506E-2</v>
      </c>
      <c r="R272" s="15">
        <f t="shared" si="45"/>
        <v>-2.6220545850069925E-3</v>
      </c>
    </row>
    <row r="273" spans="1:18" x14ac:dyDescent="0.2">
      <c r="A273" s="13">
        <v>45652</v>
      </c>
      <c r="B273" s="14">
        <v>14.66</v>
      </c>
      <c r="C273" s="14">
        <v>11.46</v>
      </c>
      <c r="D273" s="14">
        <v>363.84</v>
      </c>
      <c r="E273" s="14">
        <v>32.515717000000002</v>
      </c>
      <c r="F273" s="14">
        <v>272.76</v>
      </c>
      <c r="G273" s="14">
        <v>116.65</v>
      </c>
      <c r="H273" s="14">
        <v>15.66</v>
      </c>
      <c r="I273" s="14">
        <v>56.930934999999998</v>
      </c>
      <c r="J273">
        <f t="shared" si="37"/>
        <v>2.3028611304954705E-2</v>
      </c>
      <c r="K273">
        <f t="shared" si="38"/>
        <v>1.1473962930273585E-2</v>
      </c>
      <c r="L273">
        <f t="shared" si="39"/>
        <v>-8.5129754222157406E-4</v>
      </c>
      <c r="M273">
        <f t="shared" si="40"/>
        <v>1.5244149881916691E-3</v>
      </c>
      <c r="N273">
        <f t="shared" si="41"/>
        <v>-8.9022927945932029E-3</v>
      </c>
      <c r="O273">
        <f t="shared" si="42"/>
        <v>-1.0098438560760314E-2</v>
      </c>
      <c r="P273">
        <f t="shared" si="43"/>
        <v>3.8461538461538325E-3</v>
      </c>
      <c r="Q273">
        <f t="shared" si="44"/>
        <v>-1.2056341537949544E-2</v>
      </c>
      <c r="R273" s="15">
        <f t="shared" si="45"/>
        <v>-4.5445758396369675E-4</v>
      </c>
    </row>
    <row r="274" spans="1:18" x14ac:dyDescent="0.2">
      <c r="A274" s="11">
        <v>45650</v>
      </c>
      <c r="B274" s="12">
        <v>14.33</v>
      </c>
      <c r="C274" s="12">
        <v>11.33</v>
      </c>
      <c r="D274" s="12">
        <v>364.15</v>
      </c>
      <c r="E274" s="12">
        <v>32.466225000000001</v>
      </c>
      <c r="F274" s="12">
        <v>275.20999999999998</v>
      </c>
      <c r="G274" s="12">
        <v>117.84</v>
      </c>
      <c r="H274" s="12">
        <v>15.6</v>
      </c>
      <c r="I274" s="12">
        <v>57.625689999999999</v>
      </c>
      <c r="J274">
        <f t="shared" si="37"/>
        <v>8.4447572132300142E-3</v>
      </c>
      <c r="K274">
        <f t="shared" si="38"/>
        <v>1.1607142857142927E-2</v>
      </c>
      <c r="L274">
        <f t="shared" si="39"/>
        <v>-8.3061002178649312E-3</v>
      </c>
      <c r="M274">
        <f t="shared" si="40"/>
        <v>-1.218089560577118E-3</v>
      </c>
      <c r="N274">
        <f t="shared" si="41"/>
        <v>-6.2468404708602154E-3</v>
      </c>
      <c r="O274">
        <f t="shared" si="42"/>
        <v>-1.0911532650663025E-2</v>
      </c>
      <c r="P274">
        <f t="shared" si="43"/>
        <v>-8.8945362134689177E-3</v>
      </c>
      <c r="Q274">
        <f t="shared" si="44"/>
        <v>2.724349861327191E-3</v>
      </c>
      <c r="R274" s="15">
        <f t="shared" si="45"/>
        <v>-3.2875680326086183E-3</v>
      </c>
    </row>
    <row r="275" spans="1:18" x14ac:dyDescent="0.2">
      <c r="A275" s="13">
        <v>45649</v>
      </c>
      <c r="B275" s="14">
        <v>14.21</v>
      </c>
      <c r="C275" s="14">
        <v>11.2</v>
      </c>
      <c r="D275" s="14">
        <v>367.2</v>
      </c>
      <c r="E275" s="14">
        <v>32.50582</v>
      </c>
      <c r="F275" s="14">
        <v>276.94</v>
      </c>
      <c r="G275" s="14">
        <v>119.14</v>
      </c>
      <c r="H275" s="14">
        <v>15.74</v>
      </c>
      <c r="I275" s="14">
        <v>57.469124000000001</v>
      </c>
      <c r="J275">
        <f t="shared" si="37"/>
        <v>-9.7560975609755074E-3</v>
      </c>
      <c r="K275">
        <f t="shared" si="38"/>
        <v>-8.8495575221240186E-3</v>
      </c>
      <c r="L275">
        <f t="shared" si="39"/>
        <v>1.0540220711671155E-2</v>
      </c>
      <c r="M275">
        <f t="shared" si="40"/>
        <v>-2.6962967752441447E-2</v>
      </c>
      <c r="N275">
        <f t="shared" si="41"/>
        <v>-1.5919266576647106E-2</v>
      </c>
      <c r="O275">
        <f t="shared" si="42"/>
        <v>-1.5615962984384057E-2</v>
      </c>
      <c r="P275">
        <f t="shared" si="43"/>
        <v>-1.1927181418706856E-2</v>
      </c>
      <c r="Q275">
        <f t="shared" si="44"/>
        <v>-9.1108362718205216E-3</v>
      </c>
      <c r="R275" s="15">
        <f t="shared" si="45"/>
        <v>-1.1201548286466342E-2</v>
      </c>
    </row>
    <row r="276" spans="1:18" x14ac:dyDescent="0.2">
      <c r="A276" s="11">
        <v>45646</v>
      </c>
      <c r="B276" s="12">
        <v>14.35</v>
      </c>
      <c r="C276" s="12">
        <v>11.3</v>
      </c>
      <c r="D276" s="12">
        <v>363.37</v>
      </c>
      <c r="E276" s="12">
        <v>33.406559999999999</v>
      </c>
      <c r="F276" s="12">
        <v>281.42</v>
      </c>
      <c r="G276" s="12">
        <v>121.03</v>
      </c>
      <c r="H276" s="12">
        <v>15.93</v>
      </c>
      <c r="I276" s="12">
        <v>57.997529999999998</v>
      </c>
      <c r="J276">
        <f t="shared" si="37"/>
        <v>-1.3067400275103114E-2</v>
      </c>
      <c r="K276">
        <f t="shared" si="38"/>
        <v>-3.5273368606700828E-3</v>
      </c>
      <c r="L276">
        <f t="shared" si="39"/>
        <v>-8.1613713287477241E-3</v>
      </c>
      <c r="M276">
        <f t="shared" si="40"/>
        <v>2.0783643581163691E-3</v>
      </c>
      <c r="N276">
        <f t="shared" si="41"/>
        <v>1.8862459722674974E-2</v>
      </c>
      <c r="O276">
        <f t="shared" si="42"/>
        <v>2.4462502116133322E-2</v>
      </c>
      <c r="P276">
        <f t="shared" si="43"/>
        <v>-2.8065893837705969E-2</v>
      </c>
      <c r="Q276">
        <f t="shared" si="44"/>
        <v>-1.5284956410920758E-2</v>
      </c>
      <c r="R276" s="15">
        <f t="shared" si="45"/>
        <v>-8.3384247116447723E-4</v>
      </c>
    </row>
    <row r="277" spans="1:18" x14ac:dyDescent="0.2">
      <c r="A277" s="13">
        <v>45645</v>
      </c>
      <c r="B277" s="14">
        <v>14.54</v>
      </c>
      <c r="C277" s="14">
        <v>11.34</v>
      </c>
      <c r="D277" s="14">
        <v>366.36</v>
      </c>
      <c r="E277" s="14">
        <v>33.337273000000003</v>
      </c>
      <c r="F277" s="14">
        <v>276.20999999999998</v>
      </c>
      <c r="G277" s="14">
        <v>118.14</v>
      </c>
      <c r="H277" s="14">
        <v>16.39</v>
      </c>
      <c r="I277" s="14">
        <v>58.897779999999997</v>
      </c>
      <c r="J277">
        <f t="shared" si="37"/>
        <v>-8.8616223585549214E-3</v>
      </c>
      <c r="K277">
        <f t="shared" si="38"/>
        <v>8.8261253309784848E-4</v>
      </c>
      <c r="L277">
        <f t="shared" si="39"/>
        <v>-2.021822849807442E-2</v>
      </c>
      <c r="M277">
        <f t="shared" si="40"/>
        <v>8.0814284357857424E-3</v>
      </c>
      <c r="N277">
        <f t="shared" si="41"/>
        <v>-5.9134107708553429E-2</v>
      </c>
      <c r="O277">
        <f t="shared" si="42"/>
        <v>-3.7556008146639508E-2</v>
      </c>
      <c r="P277">
        <f t="shared" si="43"/>
        <v>0</v>
      </c>
      <c r="Q277">
        <f t="shared" si="44"/>
        <v>5.3448811132308371E-3</v>
      </c>
      <c r="R277" s="15">
        <f t="shared" si="45"/>
        <v>-1.9559114540859131E-2</v>
      </c>
    </row>
    <row r="278" spans="1:18" x14ac:dyDescent="0.2">
      <c r="A278" s="11">
        <v>45644</v>
      </c>
      <c r="B278" s="12">
        <v>14.67</v>
      </c>
      <c r="C278" s="12">
        <v>11.33</v>
      </c>
      <c r="D278" s="12">
        <v>373.92</v>
      </c>
      <c r="E278" s="12">
        <v>33.07002</v>
      </c>
      <c r="F278" s="12">
        <v>293.57</v>
      </c>
      <c r="G278" s="12">
        <v>122.75</v>
      </c>
      <c r="H278" s="12">
        <v>16.39</v>
      </c>
      <c r="I278" s="12">
        <v>58.584651999999998</v>
      </c>
      <c r="J278">
        <f t="shared" si="37"/>
        <v>-2.9761904761904767E-2</v>
      </c>
      <c r="K278">
        <f t="shared" si="38"/>
        <v>3.5429583702393241E-3</v>
      </c>
      <c r="L278">
        <f t="shared" si="39"/>
        <v>-1.0217586955370783E-2</v>
      </c>
      <c r="M278">
        <f t="shared" si="40"/>
        <v>-1.7930639455650654E-2</v>
      </c>
      <c r="N278">
        <f t="shared" si="41"/>
        <v>-2.7334172685706704E-2</v>
      </c>
      <c r="O278">
        <f t="shared" si="42"/>
        <v>-5.7943207981581035E-2</v>
      </c>
      <c r="P278">
        <f t="shared" si="43"/>
        <v>-2.4985127900059356E-2</v>
      </c>
      <c r="Q278">
        <f t="shared" si="44"/>
        <v>-3.3294285708405091E-3</v>
      </c>
      <c r="R278" s="15">
        <f t="shared" si="45"/>
        <v>-2.3197146355976191E-2</v>
      </c>
    </row>
    <row r="279" spans="1:18" x14ac:dyDescent="0.2">
      <c r="A279" s="13">
        <v>45643</v>
      </c>
      <c r="B279" s="14">
        <v>15.12</v>
      </c>
      <c r="C279" s="14">
        <v>11.29</v>
      </c>
      <c r="D279" s="14">
        <v>377.78</v>
      </c>
      <c r="E279" s="14">
        <v>33.673813000000003</v>
      </c>
      <c r="F279" s="14">
        <v>301.82</v>
      </c>
      <c r="G279" s="14">
        <v>130.30000000000001</v>
      </c>
      <c r="H279" s="14">
        <v>16.809999999999999</v>
      </c>
      <c r="I279" s="14">
        <v>58.780357000000002</v>
      </c>
      <c r="J279">
        <f t="shared" si="37"/>
        <v>2.4390243902439046E-2</v>
      </c>
      <c r="K279">
        <f t="shared" si="38"/>
        <v>8.936550491510209E-3</v>
      </c>
      <c r="L279">
        <f t="shared" si="39"/>
        <v>-1.9286148318407026E-3</v>
      </c>
      <c r="M279">
        <f t="shared" si="40"/>
        <v>5.0222440826204195E-3</v>
      </c>
      <c r="N279">
        <f t="shared" si="41"/>
        <v>-3.6672943729852303E-2</v>
      </c>
      <c r="O279">
        <f t="shared" si="42"/>
        <v>6.4884906534836695E-3</v>
      </c>
      <c r="P279">
        <f t="shared" si="43"/>
        <v>-4.7365304914152029E-3</v>
      </c>
      <c r="Q279">
        <f t="shared" si="44"/>
        <v>-2.1979748548161204E-2</v>
      </c>
      <c r="R279" s="15">
        <f t="shared" si="45"/>
        <v>-6.2017113052985507E-3</v>
      </c>
    </row>
    <row r="280" spans="1:18" x14ac:dyDescent="0.2">
      <c r="A280" s="11">
        <v>45642</v>
      </c>
      <c r="B280" s="12">
        <v>14.76</v>
      </c>
      <c r="C280" s="12">
        <v>11.19</v>
      </c>
      <c r="D280" s="12">
        <v>378.51</v>
      </c>
      <c r="E280" s="12">
        <v>33.505540000000003</v>
      </c>
      <c r="F280" s="12">
        <v>313.31</v>
      </c>
      <c r="G280" s="12">
        <v>129.46</v>
      </c>
      <c r="H280" s="12">
        <v>16.89</v>
      </c>
      <c r="I280" s="12">
        <v>60.101370000000003</v>
      </c>
      <c r="J280">
        <f t="shared" si="37"/>
        <v>-2.5099075297225992E-2</v>
      </c>
      <c r="K280">
        <f t="shared" si="38"/>
        <v>-5.3333333333334121E-3</v>
      </c>
      <c r="L280">
        <f t="shared" si="39"/>
        <v>-1.0820225905204817E-3</v>
      </c>
      <c r="M280">
        <f t="shared" si="40"/>
        <v>4.7491888966404439E-3</v>
      </c>
      <c r="N280">
        <f t="shared" si="41"/>
        <v>-5.2126822774853365E-2</v>
      </c>
      <c r="O280">
        <f t="shared" si="42"/>
        <v>2.8930217771419686E-2</v>
      </c>
      <c r="P280">
        <f t="shared" si="43"/>
        <v>0</v>
      </c>
      <c r="Q280">
        <f t="shared" si="44"/>
        <v>1.1861575777697198E-2</v>
      </c>
      <c r="R280" s="15">
        <f t="shared" si="45"/>
        <v>-8.2444846331142484E-3</v>
      </c>
    </row>
    <row r="281" spans="1:18" x14ac:dyDescent="0.2">
      <c r="A281" s="13">
        <v>45639</v>
      </c>
      <c r="B281" s="14">
        <v>15.14</v>
      </c>
      <c r="C281" s="14">
        <v>11.25</v>
      </c>
      <c r="D281" s="14">
        <v>378.92</v>
      </c>
      <c r="E281" s="14">
        <v>33.347168000000003</v>
      </c>
      <c r="F281" s="14">
        <v>330.54</v>
      </c>
      <c r="G281" s="14">
        <v>125.82</v>
      </c>
      <c r="H281" s="14">
        <v>16.89</v>
      </c>
      <c r="I281" s="14">
        <v>59.396830000000001</v>
      </c>
      <c r="J281">
        <f t="shared" si="37"/>
        <v>-1.1749347258485643E-2</v>
      </c>
      <c r="K281">
        <f t="shared" si="38"/>
        <v>1.1690647482014427E-2</v>
      </c>
      <c r="L281">
        <f t="shared" si="39"/>
        <v>-1.0265116886509107E-2</v>
      </c>
      <c r="M281">
        <f t="shared" si="40"/>
        <v>-1.8356727962518193E-2</v>
      </c>
      <c r="N281">
        <f t="shared" si="41"/>
        <v>-1.3460677510819252E-2</v>
      </c>
      <c r="O281">
        <f t="shared" si="42"/>
        <v>3.5981885549608794E-2</v>
      </c>
      <c r="P281">
        <f t="shared" si="43"/>
        <v>-1.5160349854227317E-2</v>
      </c>
      <c r="Q281">
        <f t="shared" si="44"/>
        <v>4.1356027332879464E-3</v>
      </c>
      <c r="R281" s="15">
        <f t="shared" si="45"/>
        <v>-2.5735856575474138E-3</v>
      </c>
    </row>
    <row r="282" spans="1:18" x14ac:dyDescent="0.2">
      <c r="A282" s="11">
        <v>45637</v>
      </c>
      <c r="B282" s="12">
        <v>15.32</v>
      </c>
      <c r="C282" s="12">
        <v>11.12</v>
      </c>
      <c r="D282" s="12">
        <v>382.85</v>
      </c>
      <c r="E282" s="12">
        <v>33.970759999999999</v>
      </c>
      <c r="F282" s="12">
        <v>335.05</v>
      </c>
      <c r="G282" s="12">
        <v>121.45</v>
      </c>
      <c r="H282" s="12">
        <v>17.149999999999999</v>
      </c>
      <c r="I282" s="12">
        <v>59.152200000000001</v>
      </c>
      <c r="J282">
        <f t="shared" si="37"/>
        <v>8.5582620144832866E-3</v>
      </c>
      <c r="K282">
        <f t="shared" si="38"/>
        <v>-3.472222222222221E-2</v>
      </c>
      <c r="L282">
        <f t="shared" si="39"/>
        <v>-2.8693931398416916E-2</v>
      </c>
      <c r="M282">
        <f t="shared" si="40"/>
        <v>3.2155039722103762E-3</v>
      </c>
      <c r="N282">
        <f t="shared" si="41"/>
        <v>7.6085648983521548E-3</v>
      </c>
      <c r="O282">
        <f t="shared" si="42"/>
        <v>-6.1374795417348249E-3</v>
      </c>
      <c r="P282">
        <f t="shared" si="43"/>
        <v>1.4792899408283988E-2</v>
      </c>
      <c r="Q282">
        <f t="shared" si="44"/>
        <v>8.3403092034282089E-3</v>
      </c>
      <c r="R282" s="15">
        <f t="shared" si="45"/>
        <v>-2.3680907651032652E-3</v>
      </c>
    </row>
    <row r="283" spans="1:18" x14ac:dyDescent="0.2">
      <c r="A283" s="13">
        <v>45636</v>
      </c>
      <c r="B283" s="14">
        <v>15.19</v>
      </c>
      <c r="C283" s="14">
        <v>11.52</v>
      </c>
      <c r="D283" s="14">
        <v>394.16</v>
      </c>
      <c r="E283" s="14">
        <v>33.861877</v>
      </c>
      <c r="F283" s="14">
        <v>332.52</v>
      </c>
      <c r="G283" s="14">
        <v>122.2</v>
      </c>
      <c r="H283" s="14">
        <v>16.899999999999999</v>
      </c>
      <c r="I283" s="14">
        <v>58.662933000000002</v>
      </c>
      <c r="J283">
        <f t="shared" si="37"/>
        <v>-5.8900523560209139E-3</v>
      </c>
      <c r="K283">
        <f t="shared" si="38"/>
        <v>-2.9486099410278022E-2</v>
      </c>
      <c r="L283">
        <f t="shared" si="39"/>
        <v>-1.0145655449522728E-2</v>
      </c>
      <c r="M283">
        <f t="shared" si="40"/>
        <v>7.955231170320376E-3</v>
      </c>
      <c r="N283">
        <f t="shared" si="41"/>
        <v>-1.0150924299705322E-2</v>
      </c>
      <c r="O283">
        <f t="shared" si="42"/>
        <v>-2.279088364654136E-2</v>
      </c>
      <c r="P283">
        <f t="shared" si="43"/>
        <v>1.7783046828687699E-3</v>
      </c>
      <c r="Q283">
        <f t="shared" si="44"/>
        <v>-2.3933514327543648E-2</v>
      </c>
      <c r="R283" s="15">
        <f t="shared" si="45"/>
        <v>-1.1150970135795859E-2</v>
      </c>
    </row>
    <row r="284" spans="1:18" x14ac:dyDescent="0.2">
      <c r="A284" s="11">
        <v>45635</v>
      </c>
      <c r="B284" s="12">
        <v>15.28</v>
      </c>
      <c r="C284" s="12">
        <v>11.87</v>
      </c>
      <c r="D284" s="12">
        <v>398.2</v>
      </c>
      <c r="E284" s="12">
        <v>33.594624000000003</v>
      </c>
      <c r="F284" s="12">
        <v>335.93</v>
      </c>
      <c r="G284" s="12">
        <v>125.05</v>
      </c>
      <c r="H284" s="12">
        <v>16.87</v>
      </c>
      <c r="I284" s="12">
        <v>60.101370000000003</v>
      </c>
      <c r="J284">
        <f t="shared" si="37"/>
        <v>1.3262599469495928E-2</v>
      </c>
      <c r="K284">
        <f t="shared" si="38"/>
        <v>1.2798634812286602E-2</v>
      </c>
      <c r="L284">
        <f t="shared" si="39"/>
        <v>2.5839194167503798E-2</v>
      </c>
      <c r="M284">
        <f t="shared" si="40"/>
        <v>1.4042326742311539E-2</v>
      </c>
      <c r="N284">
        <f t="shared" si="41"/>
        <v>8.5115317526972101E-2</v>
      </c>
      <c r="O284">
        <f t="shared" si="42"/>
        <v>8.3051120786969967E-3</v>
      </c>
      <c r="P284">
        <f t="shared" si="43"/>
        <v>-9.3951849677040844E-3</v>
      </c>
      <c r="Q284">
        <f t="shared" si="44"/>
        <v>4.2511102570066406E-3</v>
      </c>
      <c r="R284" s="15">
        <f t="shared" si="45"/>
        <v>2.461321024155225E-2</v>
      </c>
    </row>
    <row r="285" spans="1:18" x14ac:dyDescent="0.2">
      <c r="A285" s="13">
        <v>45632</v>
      </c>
      <c r="B285" s="14">
        <v>15.08</v>
      </c>
      <c r="C285" s="14">
        <v>11.72</v>
      </c>
      <c r="D285" s="14">
        <v>388.17</v>
      </c>
      <c r="E285" s="14">
        <v>33.12941</v>
      </c>
      <c r="F285" s="14">
        <v>309.58</v>
      </c>
      <c r="G285" s="14">
        <v>124.02</v>
      </c>
      <c r="H285" s="14">
        <v>17.03</v>
      </c>
      <c r="I285" s="14">
        <v>59.846953999999997</v>
      </c>
      <c r="J285">
        <f t="shared" si="37"/>
        <v>-1.4379084967320321E-2</v>
      </c>
      <c r="K285">
        <f t="shared" si="38"/>
        <v>-5.9372349448684192E-3</v>
      </c>
      <c r="L285">
        <f t="shared" si="39"/>
        <v>-2.6776983828507017E-2</v>
      </c>
      <c r="M285">
        <f t="shared" si="40"/>
        <v>-1.1517974998985436E-2</v>
      </c>
      <c r="N285">
        <f t="shared" si="41"/>
        <v>-9.5975430289846342E-3</v>
      </c>
      <c r="O285">
        <f t="shared" si="42"/>
        <v>-7.4429771908763875E-3</v>
      </c>
      <c r="P285">
        <f t="shared" si="43"/>
        <v>-5.8685446009376641E-4</v>
      </c>
      <c r="Q285">
        <f t="shared" si="44"/>
        <v>1.9163444757039683E-2</v>
      </c>
      <c r="R285" s="15">
        <f t="shared" si="45"/>
        <v>-7.6774689711129147E-3</v>
      </c>
    </row>
    <row r="286" spans="1:18" x14ac:dyDescent="0.2">
      <c r="A286" s="11">
        <v>45631</v>
      </c>
      <c r="B286" s="12">
        <v>15.3</v>
      </c>
      <c r="C286" s="12">
        <v>11.79</v>
      </c>
      <c r="D286" s="12">
        <v>398.85</v>
      </c>
      <c r="E286" s="12">
        <v>33.515439999999998</v>
      </c>
      <c r="F286" s="12">
        <v>312.58</v>
      </c>
      <c r="G286" s="12">
        <v>124.95</v>
      </c>
      <c r="H286" s="12">
        <v>17.04</v>
      </c>
      <c r="I286" s="12">
        <v>58.721645000000002</v>
      </c>
      <c r="J286">
        <f t="shared" si="37"/>
        <v>-1.9569471624265589E-3</v>
      </c>
      <c r="K286">
        <f t="shared" si="38"/>
        <v>6.8317677198974636E-3</v>
      </c>
      <c r="L286">
        <f t="shared" si="39"/>
        <v>6.3883702320618907E-2</v>
      </c>
      <c r="M286">
        <f t="shared" si="40"/>
        <v>3.4208923259002155E-2</v>
      </c>
      <c r="N286">
        <f t="shared" si="41"/>
        <v>3.4177005789908899E-2</v>
      </c>
      <c r="O286">
        <f t="shared" si="42"/>
        <v>2.9326962682263868E-2</v>
      </c>
      <c r="P286">
        <f t="shared" si="43"/>
        <v>3.5236938031591558E-2</v>
      </c>
      <c r="Q286">
        <f t="shared" si="44"/>
        <v>-2.327576597374148E-3</v>
      </c>
      <c r="R286" s="15">
        <f t="shared" si="45"/>
        <v>2.8426805376957503E-2</v>
      </c>
    </row>
    <row r="287" spans="1:18" x14ac:dyDescent="0.2">
      <c r="A287" s="13">
        <v>45630</v>
      </c>
      <c r="B287" s="14">
        <v>15.33</v>
      </c>
      <c r="C287" s="14">
        <v>11.71</v>
      </c>
      <c r="D287" s="14">
        <v>374.9</v>
      </c>
      <c r="E287" s="14">
        <v>32.406837000000003</v>
      </c>
      <c r="F287" s="14">
        <v>302.25</v>
      </c>
      <c r="G287" s="14">
        <v>121.39</v>
      </c>
      <c r="H287" s="14">
        <v>16.46</v>
      </c>
      <c r="I287" s="14">
        <v>58.858643000000001</v>
      </c>
      <c r="J287">
        <f t="shared" si="37"/>
        <v>3.2722513089005201E-3</v>
      </c>
      <c r="K287">
        <f t="shared" si="38"/>
        <v>7.7452667814115195E-3</v>
      </c>
      <c r="L287">
        <f t="shared" si="39"/>
        <v>5.5790998336999742E-3</v>
      </c>
      <c r="M287">
        <f t="shared" si="40"/>
        <v>2.4494510148773685E-3</v>
      </c>
      <c r="N287">
        <f t="shared" si="41"/>
        <v>5.8571000698857123E-3</v>
      </c>
      <c r="O287">
        <f t="shared" si="42"/>
        <v>9.7321577108633317E-3</v>
      </c>
      <c r="P287">
        <f t="shared" si="43"/>
        <v>3.2622333751568533E-2</v>
      </c>
      <c r="Q287">
        <f t="shared" si="44"/>
        <v>1.9146103485712551E-2</v>
      </c>
      <c r="R287" s="15">
        <f t="shared" si="45"/>
        <v>1.167368013287079E-2</v>
      </c>
    </row>
    <row r="288" spans="1:18" x14ac:dyDescent="0.2">
      <c r="A288" s="11">
        <v>45629</v>
      </c>
      <c r="B288" s="12">
        <v>15.28</v>
      </c>
      <c r="C288" s="12">
        <v>11.62</v>
      </c>
      <c r="D288" s="12">
        <v>372.82</v>
      </c>
      <c r="E288" s="12">
        <v>32.327652</v>
      </c>
      <c r="F288" s="12">
        <v>300.49</v>
      </c>
      <c r="G288" s="12">
        <v>120.22</v>
      </c>
      <c r="H288" s="12">
        <v>15.94</v>
      </c>
      <c r="I288" s="12">
        <v>57.752899999999997</v>
      </c>
      <c r="J288">
        <f t="shared" si="37"/>
        <v>5.2631578947368585E-3</v>
      </c>
      <c r="K288">
        <f t="shared" si="38"/>
        <v>0</v>
      </c>
      <c r="L288">
        <f t="shared" si="39"/>
        <v>4.3642241379311386E-3</v>
      </c>
      <c r="M288">
        <f t="shared" si="40"/>
        <v>-5.4811107672410042E-3</v>
      </c>
      <c r="N288">
        <f t="shared" si="41"/>
        <v>4.9160591264798548E-3</v>
      </c>
      <c r="O288">
        <f t="shared" si="42"/>
        <v>5.1839464882943442E-3</v>
      </c>
      <c r="P288">
        <f t="shared" si="43"/>
        <v>1.8530351437699544E-2</v>
      </c>
      <c r="Q288">
        <f t="shared" si="44"/>
        <v>-1.5019977888095726E-2</v>
      </c>
      <c r="R288" s="15">
        <f t="shared" si="45"/>
        <v>4.1581459973622364E-3</v>
      </c>
    </row>
    <row r="289" spans="1:18" x14ac:dyDescent="0.2">
      <c r="A289" s="13">
        <v>45628</v>
      </c>
      <c r="B289" s="14">
        <v>15.2</v>
      </c>
      <c r="C289" s="14">
        <v>11.62</v>
      </c>
      <c r="D289" s="14">
        <v>371.2</v>
      </c>
      <c r="E289" s="14">
        <v>32.50582</v>
      </c>
      <c r="F289" s="14">
        <v>299.02</v>
      </c>
      <c r="G289" s="14">
        <v>119.6</v>
      </c>
      <c r="H289" s="14">
        <v>15.65</v>
      </c>
      <c r="I289" s="14">
        <v>58.633575</v>
      </c>
      <c r="J289">
        <f t="shared" si="37"/>
        <v>-6.5746219592388577E-4</v>
      </c>
      <c r="K289">
        <f t="shared" si="38"/>
        <v>4.3087971274685666E-2</v>
      </c>
      <c r="L289">
        <f t="shared" si="39"/>
        <v>-1.0950947216967322E-2</v>
      </c>
      <c r="M289">
        <f t="shared" si="40"/>
        <v>3.0459206542898798E-4</v>
      </c>
      <c r="N289">
        <f t="shared" si="41"/>
        <v>2.0128275109170257E-2</v>
      </c>
      <c r="O289">
        <f t="shared" si="42"/>
        <v>5.719084239370642E-2</v>
      </c>
      <c r="P289">
        <f t="shared" si="43"/>
        <v>6.4308681672025081E-3</v>
      </c>
      <c r="Q289">
        <f t="shared" si="44"/>
        <v>-6.9605904422015419E-3</v>
      </c>
      <c r="R289" s="15">
        <f t="shared" si="45"/>
        <v>1.6170435545486996E-2</v>
      </c>
    </row>
    <row r="290" spans="1:18" x14ac:dyDescent="0.2">
      <c r="A290" s="11">
        <v>45625</v>
      </c>
      <c r="B290" s="12">
        <v>15.21</v>
      </c>
      <c r="C290" s="12">
        <v>11.14</v>
      </c>
      <c r="D290" s="12">
        <v>375.31</v>
      </c>
      <c r="E290" s="12">
        <v>32.495922</v>
      </c>
      <c r="F290" s="12">
        <v>293.12</v>
      </c>
      <c r="G290" s="12">
        <v>113.13</v>
      </c>
      <c r="H290" s="12">
        <v>15.55</v>
      </c>
      <c r="I290" s="12">
        <v>59.044559999999997</v>
      </c>
      <c r="J290">
        <f t="shared" si="37"/>
        <v>1.3166556945358732E-3</v>
      </c>
      <c r="K290">
        <f t="shared" si="38"/>
        <v>-8.0142475512021694E-3</v>
      </c>
      <c r="L290">
        <f t="shared" si="39"/>
        <v>-4.7467515247945347E-3</v>
      </c>
      <c r="M290">
        <f t="shared" si="40"/>
        <v>0</v>
      </c>
      <c r="N290">
        <f t="shared" si="41"/>
        <v>2.0009047569335747E-2</v>
      </c>
      <c r="O290">
        <f t="shared" si="42"/>
        <v>-2.0689058171745156E-2</v>
      </c>
      <c r="P290">
        <f t="shared" si="43"/>
        <v>-2.1397105097545666E-2</v>
      </c>
      <c r="Q290">
        <f t="shared" si="44"/>
        <v>-1.1953535281528871E-2</v>
      </c>
      <c r="R290" s="15">
        <f t="shared" si="45"/>
        <v>-4.6342038016336014E-3</v>
      </c>
    </row>
    <row r="291" spans="1:18" x14ac:dyDescent="0.2">
      <c r="A291" s="13">
        <v>45624</v>
      </c>
      <c r="B291" s="14">
        <v>15.19</v>
      </c>
      <c r="C291" s="14">
        <v>11.23</v>
      </c>
      <c r="D291" s="14">
        <v>377.1</v>
      </c>
      <c r="E291" s="14">
        <v>32.495922</v>
      </c>
      <c r="F291" s="14">
        <v>287.37</v>
      </c>
      <c r="G291" s="14">
        <v>115.52</v>
      </c>
      <c r="H291" s="14">
        <v>15.89</v>
      </c>
      <c r="I291" s="14">
        <v>59.758890000000001</v>
      </c>
      <c r="J291">
        <f t="shared" si="37"/>
        <v>-6.5789473684207955E-4</v>
      </c>
      <c r="K291">
        <f t="shared" si="38"/>
        <v>4.472271914132353E-3</v>
      </c>
      <c r="L291">
        <f t="shared" si="39"/>
        <v>-1.970468961214511E-2</v>
      </c>
      <c r="M291">
        <f t="shared" si="40"/>
        <v>6.74641925066366E-3</v>
      </c>
      <c r="N291">
        <f t="shared" si="41"/>
        <v>1.6447368421052655E-2</v>
      </c>
      <c r="O291">
        <f t="shared" si="42"/>
        <v>7.4125752158367142E-3</v>
      </c>
      <c r="P291">
        <f t="shared" si="43"/>
        <v>3.1565656565657463E-3</v>
      </c>
      <c r="Q291">
        <f t="shared" si="44"/>
        <v>3.7804559004901428E-3</v>
      </c>
      <c r="R291" s="15">
        <f t="shared" si="45"/>
        <v>4.0126938430030947E-3</v>
      </c>
    </row>
    <row r="292" spans="1:18" x14ac:dyDescent="0.2">
      <c r="A292" s="11">
        <v>45623</v>
      </c>
      <c r="B292" s="12">
        <v>15.2</v>
      </c>
      <c r="C292" s="12">
        <v>11.18</v>
      </c>
      <c r="D292" s="12">
        <v>384.68</v>
      </c>
      <c r="E292" s="12">
        <v>32.27816</v>
      </c>
      <c r="F292" s="12">
        <v>282.72000000000003</v>
      </c>
      <c r="G292" s="12">
        <v>114.67</v>
      </c>
      <c r="H292" s="12">
        <v>15.84</v>
      </c>
      <c r="I292" s="12">
        <v>59.533825</v>
      </c>
      <c r="J292">
        <f t="shared" si="37"/>
        <v>-1.041666666666663E-2</v>
      </c>
      <c r="K292">
        <f t="shared" si="38"/>
        <v>-3.5650623885918886E-3</v>
      </c>
      <c r="L292">
        <f t="shared" si="39"/>
        <v>2.1889278503878451E-2</v>
      </c>
      <c r="M292">
        <f t="shared" si="40"/>
        <v>7.1030710500861183E-3</v>
      </c>
      <c r="N292">
        <f t="shared" si="41"/>
        <v>2.0539291773454371E-2</v>
      </c>
      <c r="O292">
        <f t="shared" si="42"/>
        <v>1.9222367846221111E-3</v>
      </c>
      <c r="P292">
        <f t="shared" si="43"/>
        <v>4.4388078630310801E-3</v>
      </c>
      <c r="Q292">
        <f t="shared" si="44"/>
        <v>-2.0132086859470877E-2</v>
      </c>
      <c r="R292" s="15">
        <f t="shared" si="45"/>
        <v>5.7668944291248527E-3</v>
      </c>
    </row>
    <row r="293" spans="1:18" x14ac:dyDescent="0.2">
      <c r="A293" s="13">
        <v>45622</v>
      </c>
      <c r="B293" s="14">
        <v>15.36</v>
      </c>
      <c r="C293" s="14">
        <v>11.22</v>
      </c>
      <c r="D293" s="14">
        <v>376.44</v>
      </c>
      <c r="E293" s="14">
        <v>32.050502999999999</v>
      </c>
      <c r="F293" s="14">
        <v>277.02999999999997</v>
      </c>
      <c r="G293" s="14">
        <v>114.45</v>
      </c>
      <c r="H293" s="14">
        <v>15.77</v>
      </c>
      <c r="I293" s="14">
        <v>60.756990000000002</v>
      </c>
      <c r="J293">
        <f t="shared" si="37"/>
        <v>2.1276595744680771E-2</v>
      </c>
      <c r="K293">
        <f t="shared" si="38"/>
        <v>-4.3478260869565188E-2</v>
      </c>
      <c r="L293">
        <f t="shared" si="39"/>
        <v>1.3566355438512367E-3</v>
      </c>
      <c r="M293">
        <f t="shared" si="40"/>
        <v>-1.8192740842424615E-2</v>
      </c>
      <c r="N293">
        <f t="shared" si="41"/>
        <v>-5.7400476352500895E-2</v>
      </c>
      <c r="O293">
        <f t="shared" si="42"/>
        <v>-1.9952046583319061E-2</v>
      </c>
      <c r="P293">
        <f t="shared" si="43"/>
        <v>-8.7994971715902315E-3</v>
      </c>
      <c r="Q293">
        <f t="shared" si="44"/>
        <v>-3.0146754238728812E-2</v>
      </c>
      <c r="R293" s="15">
        <f t="shared" si="45"/>
        <v>-2.3310072860592276E-2</v>
      </c>
    </row>
    <row r="294" spans="1:18" x14ac:dyDescent="0.2">
      <c r="A294" s="11">
        <v>45621</v>
      </c>
      <c r="B294" s="12">
        <v>15.04</v>
      </c>
      <c r="C294" s="12">
        <v>11.73</v>
      </c>
      <c r="D294" s="12">
        <v>375.93</v>
      </c>
      <c r="E294" s="12">
        <v>32.644393999999998</v>
      </c>
      <c r="F294" s="12">
        <v>293.89999999999998</v>
      </c>
      <c r="G294" s="12">
        <v>116.78</v>
      </c>
      <c r="H294" s="12">
        <v>15.91</v>
      </c>
      <c r="I294" s="12">
        <v>62.64555</v>
      </c>
      <c r="J294">
        <f t="shared" si="37"/>
        <v>-2.3376623376623495E-2</v>
      </c>
      <c r="K294">
        <f t="shared" si="38"/>
        <v>3.5304501323918824E-2</v>
      </c>
      <c r="L294">
        <f t="shared" si="39"/>
        <v>-2.0658573438232741E-2</v>
      </c>
      <c r="M294">
        <f t="shared" si="40"/>
        <v>-4.819624811210188E-2</v>
      </c>
      <c r="N294">
        <f t="shared" si="41"/>
        <v>-3.8222396753714305E-2</v>
      </c>
      <c r="O294">
        <f t="shared" si="42"/>
        <v>2.3577877114558721E-2</v>
      </c>
      <c r="P294">
        <f t="shared" si="43"/>
        <v>-3.7570444583594487E-3</v>
      </c>
      <c r="Q294">
        <f t="shared" si="44"/>
        <v>1.8453609353596079E-2</v>
      </c>
      <c r="R294" s="15">
        <f t="shared" si="45"/>
        <v>-8.6915351990511092E-3</v>
      </c>
    </row>
    <row r="295" spans="1:18" x14ac:dyDescent="0.2">
      <c r="A295" s="13">
        <v>45618</v>
      </c>
      <c r="B295" s="14">
        <v>15.4</v>
      </c>
      <c r="C295" s="14">
        <v>11.33</v>
      </c>
      <c r="D295" s="14">
        <v>383.86</v>
      </c>
      <c r="E295" s="14">
        <v>34.297400000000003</v>
      </c>
      <c r="F295" s="14">
        <v>305.58</v>
      </c>
      <c r="G295" s="14">
        <v>114.09</v>
      </c>
      <c r="H295" s="14">
        <v>15.97</v>
      </c>
      <c r="I295" s="14">
        <v>61.510460000000002</v>
      </c>
      <c r="J295">
        <f t="shared" si="37"/>
        <v>-9.009009009008917E-3</v>
      </c>
      <c r="K295">
        <f t="shared" si="38"/>
        <v>1.8884892086330929E-2</v>
      </c>
      <c r="L295">
        <f t="shared" si="39"/>
        <v>1.9819341126461332E-2</v>
      </c>
      <c r="M295">
        <f t="shared" si="40"/>
        <v>-3.1645385667965487E-3</v>
      </c>
      <c r="N295">
        <f t="shared" si="41"/>
        <v>1.6803646890493518E-2</v>
      </c>
      <c r="O295">
        <f t="shared" si="42"/>
        <v>-1.1779991338241702E-2</v>
      </c>
      <c r="P295">
        <f t="shared" si="43"/>
        <v>-2.6219512195121863E-2</v>
      </c>
      <c r="Q295">
        <f t="shared" si="44"/>
        <v>-1.7468893068757207E-3</v>
      </c>
      <c r="R295" s="15">
        <f t="shared" si="45"/>
        <v>7.3262871486838447E-4</v>
      </c>
    </row>
    <row r="296" spans="1:18" x14ac:dyDescent="0.2">
      <c r="A296" s="11">
        <v>45617</v>
      </c>
      <c r="B296" s="12">
        <v>15.54</v>
      </c>
      <c r="C296" s="12">
        <v>11.12</v>
      </c>
      <c r="D296" s="12">
        <v>376.4</v>
      </c>
      <c r="E296" s="12">
        <v>34.406280000000002</v>
      </c>
      <c r="F296" s="12">
        <v>300.52999999999997</v>
      </c>
      <c r="G296" s="12">
        <v>115.45</v>
      </c>
      <c r="H296" s="12">
        <v>16.399999999999999</v>
      </c>
      <c r="I296" s="12">
        <v>61.618099999999998</v>
      </c>
      <c r="J296">
        <f t="shared" si="37"/>
        <v>1.6350555918901222E-2</v>
      </c>
      <c r="K296">
        <f t="shared" si="38"/>
        <v>9.0744101633393193E-3</v>
      </c>
      <c r="L296">
        <f t="shared" si="39"/>
        <v>4.7783027682122281E-3</v>
      </c>
      <c r="M296">
        <f t="shared" si="40"/>
        <v>-9.968716117759846E-3</v>
      </c>
      <c r="N296">
        <f t="shared" si="41"/>
        <v>-1.5107819361604546E-2</v>
      </c>
      <c r="O296">
        <f t="shared" si="42"/>
        <v>-8.6725055813153817E-3</v>
      </c>
      <c r="P296">
        <f t="shared" si="43"/>
        <v>1.8326206475258733E-3</v>
      </c>
      <c r="Q296">
        <f t="shared" si="44"/>
        <v>-2.2660215348441537E-2</v>
      </c>
      <c r="R296" s="15">
        <f t="shared" si="45"/>
        <v>-3.9056230920505282E-3</v>
      </c>
    </row>
    <row r="297" spans="1:18" x14ac:dyDescent="0.2">
      <c r="A297" s="13">
        <v>45616</v>
      </c>
      <c r="B297" s="14">
        <v>15.29</v>
      </c>
      <c r="C297" s="14">
        <v>11.02</v>
      </c>
      <c r="D297" s="14">
        <v>374.61</v>
      </c>
      <c r="E297" s="14">
        <v>34.752719999999997</v>
      </c>
      <c r="F297" s="14">
        <v>305.14</v>
      </c>
      <c r="G297" s="14">
        <v>116.46</v>
      </c>
      <c r="H297" s="14">
        <v>16.37</v>
      </c>
      <c r="I297" s="14">
        <v>63.046753000000002</v>
      </c>
      <c r="J297">
        <f t="shared" si="37"/>
        <v>9.9075297225890147E-3</v>
      </c>
      <c r="K297">
        <f t="shared" si="38"/>
        <v>8.2342177493137658E-3</v>
      </c>
      <c r="L297">
        <f t="shared" si="39"/>
        <v>-1.6523199104548913E-3</v>
      </c>
      <c r="M297">
        <f t="shared" si="40"/>
        <v>-5.9456388355996204E-3</v>
      </c>
      <c r="N297">
        <f t="shared" si="41"/>
        <v>9.841228185278883E-4</v>
      </c>
      <c r="O297">
        <f t="shared" si="42"/>
        <v>-2.6254180602006683E-2</v>
      </c>
      <c r="P297">
        <f t="shared" si="43"/>
        <v>-1.6225961538461564E-2</v>
      </c>
      <c r="Q297">
        <f t="shared" si="44"/>
        <v>5.4618768386904826E-3</v>
      </c>
      <c r="R297" s="15">
        <f t="shared" si="45"/>
        <v>-4.8254023610602246E-3</v>
      </c>
    </row>
    <row r="298" spans="1:18" x14ac:dyDescent="0.2">
      <c r="A298" s="11">
        <v>45615</v>
      </c>
      <c r="B298" s="12">
        <v>15.14</v>
      </c>
      <c r="C298" s="12">
        <v>10.93</v>
      </c>
      <c r="D298" s="12">
        <v>375.23</v>
      </c>
      <c r="E298" s="12">
        <v>34.960583</v>
      </c>
      <c r="F298" s="12">
        <v>304.83999999999997</v>
      </c>
      <c r="G298" s="12">
        <v>119.6</v>
      </c>
      <c r="H298" s="12">
        <v>16.64</v>
      </c>
      <c r="I298" s="12">
        <v>62.704270000000001</v>
      </c>
      <c r="J298">
        <f t="shared" si="37"/>
        <v>-2.0064724919093724E-2</v>
      </c>
      <c r="K298">
        <f t="shared" si="38"/>
        <v>-2.4107142857142771E-2</v>
      </c>
      <c r="L298">
        <f t="shared" si="39"/>
        <v>1.323144222720285E-2</v>
      </c>
      <c r="M298">
        <f t="shared" si="40"/>
        <v>-1.9161356544556418E-2</v>
      </c>
      <c r="N298">
        <f t="shared" si="41"/>
        <v>-3.2793336394054684E-4</v>
      </c>
      <c r="O298">
        <f t="shared" si="42"/>
        <v>-8.7850157467264101E-3</v>
      </c>
      <c r="P298">
        <f t="shared" si="43"/>
        <v>9.0964220739844226E-3</v>
      </c>
      <c r="Q298">
        <f t="shared" si="44"/>
        <v>1.2500562067017107E-3</v>
      </c>
      <c r="R298" s="15">
        <f t="shared" si="45"/>
        <v>-4.0460846914146618E-3</v>
      </c>
    </row>
    <row r="299" spans="1:18" x14ac:dyDescent="0.2">
      <c r="A299" s="13">
        <v>45611</v>
      </c>
      <c r="B299" s="14">
        <v>15.45</v>
      </c>
      <c r="C299" s="14">
        <v>11.2</v>
      </c>
      <c r="D299" s="14">
        <v>370.33</v>
      </c>
      <c r="E299" s="14">
        <v>35.643562000000003</v>
      </c>
      <c r="F299" s="14">
        <v>304.94</v>
      </c>
      <c r="G299" s="14">
        <v>120.66</v>
      </c>
      <c r="H299" s="14">
        <v>16.489999999999998</v>
      </c>
      <c r="I299" s="14">
        <v>62.625984000000003</v>
      </c>
      <c r="J299">
        <f t="shared" si="37"/>
        <v>1.9455252918287869E-3</v>
      </c>
      <c r="K299">
        <f t="shared" si="38"/>
        <v>2.1897810218977964E-2</v>
      </c>
      <c r="L299">
        <f t="shared" si="39"/>
        <v>-2.2899940729566026E-3</v>
      </c>
      <c r="M299">
        <f t="shared" si="40"/>
        <v>2.4758173045671183E-2</v>
      </c>
      <c r="N299">
        <f t="shared" si="41"/>
        <v>8.1961396537042486E-2</v>
      </c>
      <c r="O299">
        <f t="shared" si="42"/>
        <v>-1.2278978388998052E-2</v>
      </c>
      <c r="P299">
        <f t="shared" si="43"/>
        <v>-1.1983223487118222E-2</v>
      </c>
      <c r="Q299">
        <f t="shared" si="44"/>
        <v>-3.4257586452390854E-3</v>
      </c>
      <c r="R299" s="15">
        <f t="shared" si="45"/>
        <v>1.769946504667946E-2</v>
      </c>
    </row>
    <row r="300" spans="1:18" x14ac:dyDescent="0.2">
      <c r="A300" s="11">
        <v>45610</v>
      </c>
      <c r="B300" s="12">
        <v>15.42</v>
      </c>
      <c r="C300" s="12">
        <v>10.96</v>
      </c>
      <c r="D300" s="12">
        <v>371.18</v>
      </c>
      <c r="E300" s="12">
        <v>34.782412999999998</v>
      </c>
      <c r="F300" s="12">
        <v>281.83999999999997</v>
      </c>
      <c r="G300" s="12">
        <v>122.16</v>
      </c>
      <c r="H300" s="12">
        <v>16.690000000000001</v>
      </c>
      <c r="I300" s="12">
        <v>62.841262999999998</v>
      </c>
      <c r="J300">
        <f t="shared" si="37"/>
        <v>-1.7834394904458595E-2</v>
      </c>
      <c r="K300">
        <f t="shared" si="38"/>
        <v>1.8281535648996261E-3</v>
      </c>
      <c r="L300">
        <f t="shared" si="39"/>
        <v>2.2421771705597227E-2</v>
      </c>
      <c r="M300">
        <f t="shared" si="40"/>
        <v>-1.1371256283023712E-3</v>
      </c>
      <c r="N300">
        <f t="shared" si="41"/>
        <v>-1.8970378363326379E-2</v>
      </c>
      <c r="O300">
        <f t="shared" si="42"/>
        <v>1.2179965200099341E-2</v>
      </c>
      <c r="P300">
        <f t="shared" si="43"/>
        <v>5.1007556675062959E-2</v>
      </c>
      <c r="Q300">
        <f t="shared" si="44"/>
        <v>-1.6840138587709275E-2</v>
      </c>
      <c r="R300" s="15">
        <f t="shared" si="45"/>
        <v>6.4081058173660549E-3</v>
      </c>
    </row>
    <row r="301" spans="1:18" x14ac:dyDescent="0.2">
      <c r="A301" s="13">
        <v>45609</v>
      </c>
      <c r="B301" s="14">
        <v>15.7</v>
      </c>
      <c r="C301" s="14">
        <v>10.94</v>
      </c>
      <c r="D301" s="14">
        <v>363.04</v>
      </c>
      <c r="E301" s="14">
        <v>34.822009999999999</v>
      </c>
      <c r="F301" s="14">
        <v>287.29000000000002</v>
      </c>
      <c r="G301" s="14">
        <v>120.69</v>
      </c>
      <c r="H301" s="14">
        <v>15.88</v>
      </c>
      <c r="I301" s="14">
        <v>63.917645</v>
      </c>
      <c r="J301">
        <f t="shared" si="37"/>
        <v>-1.9071837253655799E-3</v>
      </c>
      <c r="K301">
        <f t="shared" si="38"/>
        <v>-3.0141843971631221E-2</v>
      </c>
      <c r="L301">
        <f t="shared" si="39"/>
        <v>1.0754170687992115E-3</v>
      </c>
      <c r="M301">
        <f t="shared" si="40"/>
        <v>-5.0904031194130006E-3</v>
      </c>
      <c r="N301">
        <f t="shared" si="41"/>
        <v>1.4227211748923274E-2</v>
      </c>
      <c r="O301">
        <f t="shared" si="42"/>
        <v>-4.9468216670789378E-3</v>
      </c>
      <c r="P301">
        <f t="shared" si="43"/>
        <v>-6.2932662051606858E-4</v>
      </c>
      <c r="Q301">
        <f t="shared" si="44"/>
        <v>1.2242392081514897E-2</v>
      </c>
      <c r="R301" s="15">
        <f t="shared" si="45"/>
        <v>-6.2969849248364906E-4</v>
      </c>
    </row>
    <row r="302" spans="1:18" x14ac:dyDescent="0.2">
      <c r="A302" s="11">
        <v>45608</v>
      </c>
      <c r="B302" s="12">
        <v>15.73</v>
      </c>
      <c r="C302" s="12">
        <v>11.28</v>
      </c>
      <c r="D302" s="12">
        <v>362.65</v>
      </c>
      <c r="E302" s="12">
        <v>35.000174999999999</v>
      </c>
      <c r="F302" s="12">
        <v>283.26</v>
      </c>
      <c r="G302" s="12">
        <v>121.29</v>
      </c>
      <c r="H302" s="12">
        <v>15.89</v>
      </c>
      <c r="I302" s="12">
        <v>63.144604000000001</v>
      </c>
      <c r="J302">
        <f t="shared" si="37"/>
        <v>5.1118210862619584E-3</v>
      </c>
      <c r="K302">
        <f t="shared" si="38"/>
        <v>-2.3376623376623495E-2</v>
      </c>
      <c r="L302">
        <f t="shared" si="39"/>
        <v>1.6295641606363098E-3</v>
      </c>
      <c r="M302">
        <f t="shared" si="40"/>
        <v>-1.7504970277147591E-2</v>
      </c>
      <c r="N302">
        <f t="shared" si="41"/>
        <v>-5.4760236259885908E-2</v>
      </c>
      <c r="O302">
        <f t="shared" si="42"/>
        <v>-3.8600525624178372E-3</v>
      </c>
      <c r="P302">
        <f t="shared" si="43"/>
        <v>3.2488628979857159E-2</v>
      </c>
      <c r="Q302">
        <f t="shared" si="44"/>
        <v>-7.5360775354236242E-3</v>
      </c>
      <c r="R302" s="15">
        <f t="shared" si="45"/>
        <v>-1.0662258759767264E-2</v>
      </c>
    </row>
    <row r="303" spans="1:18" x14ac:dyDescent="0.2">
      <c r="A303" s="13">
        <v>45607</v>
      </c>
      <c r="B303" s="14">
        <v>15.65</v>
      </c>
      <c r="C303" s="14">
        <v>11.55</v>
      </c>
      <c r="D303" s="14">
        <v>362.06</v>
      </c>
      <c r="E303" s="14">
        <v>35.623767999999998</v>
      </c>
      <c r="F303" s="14">
        <v>299.67</v>
      </c>
      <c r="G303" s="14">
        <v>121.76</v>
      </c>
      <c r="H303" s="14">
        <v>15.39</v>
      </c>
      <c r="I303" s="14">
        <v>63.624079999999999</v>
      </c>
      <c r="J303">
        <f t="shared" si="37"/>
        <v>1.6233766233766156E-2</v>
      </c>
      <c r="K303">
        <f t="shared" si="38"/>
        <v>-3.1852472757753492E-2</v>
      </c>
      <c r="L303">
        <f t="shared" si="39"/>
        <v>1.4936932949767279E-3</v>
      </c>
      <c r="M303">
        <f t="shared" si="40"/>
        <v>-1.1806635285645739E-2</v>
      </c>
      <c r="N303">
        <f t="shared" si="41"/>
        <v>-6.3662588282104027E-3</v>
      </c>
      <c r="O303">
        <f t="shared" si="42"/>
        <v>-2.9491471385301948E-2</v>
      </c>
      <c r="P303">
        <f t="shared" si="43"/>
        <v>1.2500000000000178E-2</v>
      </c>
      <c r="Q303">
        <f t="shared" si="44"/>
        <v>-2.2255702924946164E-2</v>
      </c>
      <c r="R303" s="15">
        <f t="shared" si="45"/>
        <v>-8.2096012668246201E-3</v>
      </c>
    </row>
    <row r="304" spans="1:18" x14ac:dyDescent="0.2">
      <c r="A304" s="11">
        <v>45604</v>
      </c>
      <c r="B304" s="12">
        <v>15.4</v>
      </c>
      <c r="C304" s="12">
        <v>11.93</v>
      </c>
      <c r="D304" s="12">
        <v>361.52</v>
      </c>
      <c r="E304" s="12">
        <v>36.049390000000002</v>
      </c>
      <c r="F304" s="12">
        <v>301.58999999999997</v>
      </c>
      <c r="G304" s="12">
        <v>125.46</v>
      </c>
      <c r="H304" s="12">
        <v>15.2</v>
      </c>
      <c r="I304" s="12">
        <v>65.072310000000002</v>
      </c>
      <c r="J304">
        <f t="shared" si="37"/>
        <v>-2.6548672566371723E-2</v>
      </c>
      <c r="K304">
        <f t="shared" si="38"/>
        <v>-1.3234077750206796E-2</v>
      </c>
      <c r="L304">
        <f t="shared" si="39"/>
        <v>-2.2123893805325867E-4</v>
      </c>
      <c r="M304">
        <f t="shared" si="40"/>
        <v>-3.7780653837641176E-2</v>
      </c>
      <c r="N304">
        <f t="shared" si="41"/>
        <v>-1.5152009927179022E-2</v>
      </c>
      <c r="O304">
        <f t="shared" si="42"/>
        <v>2.3327895595432357E-2</v>
      </c>
      <c r="P304">
        <f t="shared" si="43"/>
        <v>7.9575596816976457E-3</v>
      </c>
      <c r="Q304">
        <f t="shared" si="44"/>
        <v>-6.8698601578329743E-3</v>
      </c>
      <c r="R304" s="15">
        <f t="shared" si="45"/>
        <v>-6.1192702438716828E-3</v>
      </c>
    </row>
    <row r="305" spans="1:18" x14ac:dyDescent="0.2">
      <c r="A305" s="13">
        <v>45603</v>
      </c>
      <c r="B305" s="14">
        <v>15.82</v>
      </c>
      <c r="C305" s="14">
        <v>12.09</v>
      </c>
      <c r="D305" s="14">
        <v>361.6</v>
      </c>
      <c r="E305" s="14">
        <v>37.464835999999998</v>
      </c>
      <c r="F305" s="14">
        <v>306.23</v>
      </c>
      <c r="G305" s="14">
        <v>122.6</v>
      </c>
      <c r="H305" s="14">
        <v>15.08</v>
      </c>
      <c r="I305" s="14">
        <v>65.522440000000003</v>
      </c>
      <c r="J305">
        <f t="shared" si="37"/>
        <v>-2.5261860751694454E-2</v>
      </c>
      <c r="K305">
        <f t="shared" si="38"/>
        <v>4.4041450777202007E-2</v>
      </c>
      <c r="L305">
        <f t="shared" si="39"/>
        <v>2.5175776820140605E-2</v>
      </c>
      <c r="M305">
        <f t="shared" si="40"/>
        <v>3.3305885034432769E-2</v>
      </c>
      <c r="N305">
        <f t="shared" si="41"/>
        <v>-6.5208928107967079E-3</v>
      </c>
      <c r="O305">
        <f t="shared" si="42"/>
        <v>-1.2166626379824352E-2</v>
      </c>
      <c r="P305">
        <f t="shared" si="43"/>
        <v>2.2372881355932295E-2</v>
      </c>
      <c r="Q305">
        <f t="shared" si="44"/>
        <v>1.6702187333436314E-2</v>
      </c>
      <c r="R305" s="15">
        <f t="shared" si="45"/>
        <v>1.0909083230613162E-2</v>
      </c>
    </row>
    <row r="306" spans="1:18" x14ac:dyDescent="0.2">
      <c r="A306" s="11">
        <v>45602</v>
      </c>
      <c r="B306" s="12">
        <v>16.23</v>
      </c>
      <c r="C306" s="12">
        <v>11.58</v>
      </c>
      <c r="D306" s="12">
        <v>352.72</v>
      </c>
      <c r="E306" s="12">
        <v>36.257255999999998</v>
      </c>
      <c r="F306" s="12">
        <v>308.24</v>
      </c>
      <c r="G306" s="12">
        <v>124.11</v>
      </c>
      <c r="H306" s="12">
        <v>14.75</v>
      </c>
      <c r="I306" s="12">
        <v>64.44605</v>
      </c>
      <c r="J306">
        <f t="shared" si="37"/>
        <v>1.6280525986224204E-2</v>
      </c>
      <c r="K306">
        <f t="shared" si="38"/>
        <v>8.6303939962476539E-2</v>
      </c>
      <c r="L306">
        <f t="shared" si="39"/>
        <v>2.1281524162492405E-2</v>
      </c>
      <c r="M306">
        <f t="shared" si="40"/>
        <v>1.4962678683061892E-2</v>
      </c>
      <c r="N306">
        <f t="shared" si="41"/>
        <v>-7.598197037991028E-3</v>
      </c>
      <c r="O306">
        <f t="shared" si="42"/>
        <v>-1.6891891891891442E-3</v>
      </c>
      <c r="P306">
        <f t="shared" si="43"/>
        <v>-1.7976031957390171E-2</v>
      </c>
      <c r="Q306">
        <f t="shared" si="44"/>
        <v>-2.890010688931588E-2</v>
      </c>
      <c r="R306" s="15">
        <f t="shared" si="45"/>
        <v>7.4962576073788183E-3</v>
      </c>
    </row>
    <row r="307" spans="1:18" x14ac:dyDescent="0.2">
      <c r="A307" s="13">
        <v>45601</v>
      </c>
      <c r="B307" s="14">
        <v>15.97</v>
      </c>
      <c r="C307" s="14">
        <v>10.66</v>
      </c>
      <c r="D307" s="14">
        <v>345.37</v>
      </c>
      <c r="E307" s="14">
        <v>35.722748000000003</v>
      </c>
      <c r="F307" s="14">
        <v>310.60000000000002</v>
      </c>
      <c r="G307" s="14">
        <v>124.32</v>
      </c>
      <c r="H307" s="14">
        <v>15.02</v>
      </c>
      <c r="I307" s="14">
        <v>66.363975999999994</v>
      </c>
      <c r="J307">
        <f t="shared" si="37"/>
        <v>-1.3588634959851853E-2</v>
      </c>
      <c r="K307">
        <f t="shared" si="38"/>
        <v>1.8147086914995114E-2</v>
      </c>
      <c r="L307">
        <f t="shared" si="39"/>
        <v>1.5047759000734739E-2</v>
      </c>
      <c r="M307">
        <f t="shared" si="40"/>
        <v>-1.955986784288466E-2</v>
      </c>
      <c r="N307">
        <f t="shared" si="41"/>
        <v>-1.96016539881948E-2</v>
      </c>
      <c r="O307">
        <f t="shared" si="42"/>
        <v>-5.9171597633136397E-3</v>
      </c>
      <c r="P307">
        <f t="shared" si="43"/>
        <v>-1.9933554817276322E-3</v>
      </c>
      <c r="Q307">
        <f t="shared" si="44"/>
        <v>1.4206692904661367E-2</v>
      </c>
      <c r="R307" s="15">
        <f t="shared" si="45"/>
        <v>-3.1926529658157432E-3</v>
      </c>
    </row>
    <row r="308" spans="1:18" x14ac:dyDescent="0.2">
      <c r="A308" s="11">
        <v>45600</v>
      </c>
      <c r="B308" s="12">
        <v>16.190000000000001</v>
      </c>
      <c r="C308" s="12">
        <v>10.47</v>
      </c>
      <c r="D308" s="12">
        <v>340.25</v>
      </c>
      <c r="E308" s="12">
        <v>36.435420000000001</v>
      </c>
      <c r="F308" s="12">
        <v>316.81</v>
      </c>
      <c r="G308" s="12">
        <v>125.06</v>
      </c>
      <c r="H308" s="12">
        <v>15.05</v>
      </c>
      <c r="I308" s="12">
        <v>65.434370000000001</v>
      </c>
      <c r="J308">
        <f t="shared" si="37"/>
        <v>1.7598994343180463E-2</v>
      </c>
      <c r="K308">
        <f t="shared" si="38"/>
        <v>-9.4607379375590828E-3</v>
      </c>
      <c r="L308">
        <f t="shared" si="39"/>
        <v>6.0615020697811772E-3</v>
      </c>
      <c r="M308">
        <f t="shared" si="40"/>
        <v>1.8257152870118976E-2</v>
      </c>
      <c r="N308">
        <f t="shared" si="41"/>
        <v>6.8007754155146038E-3</v>
      </c>
      <c r="O308">
        <f t="shared" si="42"/>
        <v>-1.1539677521340441E-2</v>
      </c>
      <c r="P308">
        <f t="shared" si="43"/>
        <v>1.3468013468013629E-2</v>
      </c>
      <c r="Q308">
        <f t="shared" si="44"/>
        <v>-4.4833993546344875E-4</v>
      </c>
      <c r="R308" s="15">
        <f t="shared" si="45"/>
        <v>4.8040654600030328E-3</v>
      </c>
    </row>
    <row r="309" spans="1:18" x14ac:dyDescent="0.2">
      <c r="A309" s="13">
        <v>45597</v>
      </c>
      <c r="B309" s="14">
        <v>15.91</v>
      </c>
      <c r="C309" s="14">
        <v>10.57</v>
      </c>
      <c r="D309" s="14">
        <v>338.2</v>
      </c>
      <c r="E309" s="14">
        <v>35.782139999999998</v>
      </c>
      <c r="F309" s="14">
        <v>314.67</v>
      </c>
      <c r="G309" s="14">
        <v>126.52</v>
      </c>
      <c r="H309" s="14">
        <v>14.85</v>
      </c>
      <c r="I309" s="14">
        <v>65.463719999999995</v>
      </c>
      <c r="J309">
        <f t="shared" si="37"/>
        <v>6.3251106894370857E-3</v>
      </c>
      <c r="K309">
        <f t="shared" si="38"/>
        <v>2.8462998102467552E-3</v>
      </c>
      <c r="L309">
        <f t="shared" si="39"/>
        <v>-2.5247867189301387E-2</v>
      </c>
      <c r="M309">
        <f t="shared" si="40"/>
        <v>-1.1051393165623091E-3</v>
      </c>
      <c r="N309">
        <f t="shared" si="41"/>
        <v>1.1453660398970111E-3</v>
      </c>
      <c r="O309">
        <f t="shared" si="42"/>
        <v>-4.3283229715904703E-3</v>
      </c>
      <c r="P309">
        <f t="shared" si="43"/>
        <v>-2.686366689053088E-3</v>
      </c>
      <c r="Q309">
        <f t="shared" si="44"/>
        <v>-1.0452873410972119E-3</v>
      </c>
      <c r="R309" s="15">
        <f t="shared" si="45"/>
        <v>-3.2158484389957598E-3</v>
      </c>
    </row>
    <row r="310" spans="1:18" x14ac:dyDescent="0.2">
      <c r="A310" s="11">
        <v>45596</v>
      </c>
      <c r="B310" s="12">
        <v>15.81</v>
      </c>
      <c r="C310" s="12">
        <v>10.54</v>
      </c>
      <c r="D310" s="12">
        <v>346.96</v>
      </c>
      <c r="E310" s="12">
        <v>35.821728</v>
      </c>
      <c r="F310" s="12">
        <v>314.31</v>
      </c>
      <c r="G310" s="12">
        <v>127.07</v>
      </c>
      <c r="H310" s="12">
        <v>14.89</v>
      </c>
      <c r="I310" s="12">
        <v>65.532219999999995</v>
      </c>
      <c r="J310">
        <f t="shared" si="37"/>
        <v>-1.2492192379762734E-2</v>
      </c>
      <c r="K310">
        <f t="shared" si="38"/>
        <v>-7.532956685499026E-3</v>
      </c>
      <c r="L310">
        <f t="shared" si="39"/>
        <v>-9.4215725461086475E-3</v>
      </c>
      <c r="M310">
        <f t="shared" si="40"/>
        <v>-1.1041421671994511E-3</v>
      </c>
      <c r="N310">
        <f t="shared" si="41"/>
        <v>-1.4022209674383501E-2</v>
      </c>
      <c r="O310">
        <f t="shared" si="42"/>
        <v>4.9471423851998653E-2</v>
      </c>
      <c r="P310">
        <f t="shared" si="43"/>
        <v>-2.6791694574681557E-3</v>
      </c>
      <c r="Q310">
        <f t="shared" si="44"/>
        <v>8.5842960449382666E-3</v>
      </c>
      <c r="R310" s="15">
        <f t="shared" si="45"/>
        <v>1.1546580571178526E-3</v>
      </c>
    </row>
    <row r="311" spans="1:18" x14ac:dyDescent="0.2">
      <c r="A311" s="13">
        <v>45595</v>
      </c>
      <c r="B311" s="14">
        <v>16.010000000000002</v>
      </c>
      <c r="C311" s="14">
        <v>10.62</v>
      </c>
      <c r="D311" s="14">
        <v>350.26</v>
      </c>
      <c r="E311" s="14">
        <v>35.861324000000003</v>
      </c>
      <c r="F311" s="14">
        <v>318.77999999999997</v>
      </c>
      <c r="G311" s="14">
        <v>121.08</v>
      </c>
      <c r="H311" s="14">
        <v>14.93</v>
      </c>
      <c r="I311" s="14">
        <v>64.974459999999993</v>
      </c>
      <c r="J311">
        <f t="shared" si="37"/>
        <v>-1.5375153751537529E-2</v>
      </c>
      <c r="K311">
        <f t="shared" si="38"/>
        <v>2.8328611898016387E-3</v>
      </c>
      <c r="L311">
        <f t="shared" si="39"/>
        <v>-2.0059871863022161E-2</v>
      </c>
      <c r="M311">
        <f t="shared" si="40"/>
        <v>2.2129475766403672E-3</v>
      </c>
      <c r="N311">
        <f t="shared" si="41"/>
        <v>5.6785917092558869E-3</v>
      </c>
      <c r="O311">
        <f t="shared" si="42"/>
        <v>2.228976697061813E-2</v>
      </c>
      <c r="P311">
        <f t="shared" si="43"/>
        <v>1.2890094979647104E-2</v>
      </c>
      <c r="Q311">
        <f t="shared" si="44"/>
        <v>-2.7035821619448841E-3</v>
      </c>
      <c r="R311" s="15">
        <f t="shared" si="45"/>
        <v>3.1616842975048434E-3</v>
      </c>
    </row>
    <row r="312" spans="1:18" x14ac:dyDescent="0.2">
      <c r="A312" s="11">
        <v>45594</v>
      </c>
      <c r="B312" s="12">
        <v>16.260000000000002</v>
      </c>
      <c r="C312" s="12">
        <v>10.59</v>
      </c>
      <c r="D312" s="12">
        <v>357.43</v>
      </c>
      <c r="E312" s="12">
        <v>35.782139999999998</v>
      </c>
      <c r="F312" s="12">
        <v>316.98</v>
      </c>
      <c r="G312" s="12">
        <v>118.44</v>
      </c>
      <c r="H312" s="12">
        <v>14.74</v>
      </c>
      <c r="I312" s="12">
        <v>65.150599999999997</v>
      </c>
      <c r="J312">
        <f t="shared" si="37"/>
        <v>-3.214285714285714E-2</v>
      </c>
      <c r="K312">
        <f t="shared" si="38"/>
        <v>-3.8147138964577665E-2</v>
      </c>
      <c r="L312">
        <f t="shared" si="39"/>
        <v>-2.372446131517103E-3</v>
      </c>
      <c r="M312">
        <f t="shared" si="40"/>
        <v>-1.2295059341562053E-2</v>
      </c>
      <c r="N312">
        <f t="shared" si="41"/>
        <v>3.8869952805453689E-2</v>
      </c>
      <c r="O312">
        <f t="shared" si="42"/>
        <v>1.7438364401683781E-2</v>
      </c>
      <c r="P312">
        <f t="shared" si="43"/>
        <v>2.5034770514603677E-2</v>
      </c>
      <c r="Q312">
        <f t="shared" si="44"/>
        <v>3.3152989775055985E-3</v>
      </c>
      <c r="R312" s="15">
        <f t="shared" si="45"/>
        <v>6.9663332770093251E-3</v>
      </c>
    </row>
    <row r="313" spans="1:18" x14ac:dyDescent="0.2">
      <c r="A313" s="13">
        <v>45593</v>
      </c>
      <c r="B313" s="14">
        <v>16.8</v>
      </c>
      <c r="C313" s="14">
        <v>11.01</v>
      </c>
      <c r="D313" s="14">
        <v>358.28</v>
      </c>
      <c r="E313" s="14">
        <v>36.227559999999997</v>
      </c>
      <c r="F313" s="14">
        <v>305.12</v>
      </c>
      <c r="G313" s="14">
        <v>116.41</v>
      </c>
      <c r="H313" s="14">
        <v>14.38</v>
      </c>
      <c r="I313" s="14">
        <v>64.935320000000004</v>
      </c>
      <c r="J313">
        <f t="shared" si="37"/>
        <v>9.6153846153845812E-3</v>
      </c>
      <c r="K313">
        <f t="shared" si="38"/>
        <v>-7.7889447236180853E-2</v>
      </c>
      <c r="L313">
        <f t="shared" si="39"/>
        <v>4.2026582904342247E-2</v>
      </c>
      <c r="M313">
        <f t="shared" si="40"/>
        <v>0</v>
      </c>
      <c r="N313">
        <f t="shared" si="41"/>
        <v>1.8628563797823183E-2</v>
      </c>
      <c r="O313">
        <f t="shared" si="42"/>
        <v>-1.7554223985146389E-2</v>
      </c>
      <c r="P313">
        <f t="shared" si="43"/>
        <v>1.5536723163841915E-2</v>
      </c>
      <c r="Q313">
        <f t="shared" si="44"/>
        <v>2.871377958714838E-3</v>
      </c>
      <c r="R313" s="15">
        <f t="shared" si="45"/>
        <v>1.5699417359446284E-3</v>
      </c>
    </row>
    <row r="314" spans="1:18" x14ac:dyDescent="0.2">
      <c r="A314" s="11">
        <v>45590</v>
      </c>
      <c r="B314" s="12">
        <v>16.64</v>
      </c>
      <c r="C314" s="12">
        <v>11.94</v>
      </c>
      <c r="D314" s="12">
        <v>343.83</v>
      </c>
      <c r="E314" s="12">
        <v>36.227559999999997</v>
      </c>
      <c r="F314" s="12">
        <v>299.54000000000002</v>
      </c>
      <c r="G314" s="12">
        <v>118.49</v>
      </c>
      <c r="H314" s="12">
        <v>14.16</v>
      </c>
      <c r="I314" s="12">
        <v>64.749399999999994</v>
      </c>
      <c r="J314">
        <f t="shared" si="37"/>
        <v>1.0935601458080146E-2</v>
      </c>
      <c r="K314">
        <f t="shared" si="38"/>
        <v>-8.3682008368202165E-4</v>
      </c>
      <c r="L314">
        <f t="shared" si="39"/>
        <v>1.2276982865218056E-2</v>
      </c>
      <c r="M314">
        <f t="shared" si="40"/>
        <v>-7.8611282290709239E-3</v>
      </c>
      <c r="N314">
        <f t="shared" si="41"/>
        <v>-1.7095980311730874E-2</v>
      </c>
      <c r="O314">
        <f t="shared" si="42"/>
        <v>3.1324077209615719E-3</v>
      </c>
      <c r="P314">
        <f t="shared" si="43"/>
        <v>9.9857346647647116E-3</v>
      </c>
      <c r="Q314">
        <f t="shared" si="44"/>
        <v>-8.0946355422517602E-3</v>
      </c>
      <c r="R314" s="15">
        <f t="shared" si="45"/>
        <v>-5.5308042424782975E-4</v>
      </c>
    </row>
    <row r="315" spans="1:18" x14ac:dyDescent="0.2">
      <c r="A315" s="13">
        <v>45589</v>
      </c>
      <c r="B315" s="14">
        <v>16.46</v>
      </c>
      <c r="C315" s="14">
        <v>11.95</v>
      </c>
      <c r="D315" s="14">
        <v>339.66</v>
      </c>
      <c r="E315" s="14">
        <v>36.514606000000001</v>
      </c>
      <c r="F315" s="14">
        <v>304.75</v>
      </c>
      <c r="G315" s="14">
        <v>118.12</v>
      </c>
      <c r="H315" s="14">
        <v>14.02</v>
      </c>
      <c r="I315" s="14">
        <v>65.277799999999999</v>
      </c>
      <c r="J315">
        <f t="shared" si="37"/>
        <v>-4.2347247428917711E-3</v>
      </c>
      <c r="K315">
        <f t="shared" si="38"/>
        <v>2.1367521367521292E-2</v>
      </c>
      <c r="L315">
        <f t="shared" si="39"/>
        <v>-1.8513620735255421E-3</v>
      </c>
      <c r="M315">
        <f t="shared" si="40"/>
        <v>-5.4192753378623504E-4</v>
      </c>
      <c r="N315">
        <f t="shared" si="41"/>
        <v>1.8073094140442336E-2</v>
      </c>
      <c r="O315">
        <f t="shared" si="42"/>
        <v>-1.352722353736846E-3</v>
      </c>
      <c r="P315">
        <f t="shared" si="43"/>
        <v>7.1839080459770166E-3</v>
      </c>
      <c r="Q315">
        <f t="shared" si="44"/>
        <v>-1.9449580391471821E-3</v>
      </c>
      <c r="R315" s="15">
        <f t="shared" si="45"/>
        <v>6.4123488087862238E-3</v>
      </c>
    </row>
    <row r="316" spans="1:18" x14ac:dyDescent="0.2">
      <c r="A316" s="11">
        <v>45588</v>
      </c>
      <c r="B316" s="12">
        <v>16.53</v>
      </c>
      <c r="C316" s="12">
        <v>11.7</v>
      </c>
      <c r="D316" s="12">
        <v>340.29</v>
      </c>
      <c r="E316" s="12">
        <v>36.534405</v>
      </c>
      <c r="F316" s="12">
        <v>299.33999999999997</v>
      </c>
      <c r="G316" s="12">
        <v>118.28</v>
      </c>
      <c r="H316" s="12">
        <v>13.92</v>
      </c>
      <c r="I316" s="12">
        <v>65.405010000000004</v>
      </c>
      <c r="J316">
        <f t="shared" si="37"/>
        <v>-1.3134328358208935E-2</v>
      </c>
      <c r="K316">
        <f t="shared" si="38"/>
        <v>2.5706940874035134E-3</v>
      </c>
      <c r="L316">
        <f t="shared" si="39"/>
        <v>-1.7978760244718783E-2</v>
      </c>
      <c r="M316">
        <f t="shared" si="40"/>
        <v>-9.9248956115667308E-3</v>
      </c>
      <c r="N316">
        <f t="shared" si="41"/>
        <v>-3.1304116158251682E-3</v>
      </c>
      <c r="O316">
        <f t="shared" si="42"/>
        <v>-1.9318464472265928E-2</v>
      </c>
      <c r="P316">
        <f t="shared" si="43"/>
        <v>-1.6949152542372947E-2</v>
      </c>
      <c r="Q316">
        <f t="shared" si="44"/>
        <v>-4.486938592057621E-4</v>
      </c>
      <c r="R316" s="15">
        <f t="shared" si="45"/>
        <v>-1.0097884659829965E-2</v>
      </c>
    </row>
    <row r="317" spans="1:18" x14ac:dyDescent="0.2">
      <c r="A317" s="13">
        <v>45587</v>
      </c>
      <c r="B317" s="14">
        <v>16.75</v>
      </c>
      <c r="C317" s="14">
        <v>11.67</v>
      </c>
      <c r="D317" s="14">
        <v>346.52</v>
      </c>
      <c r="E317" s="14">
        <v>36.900640000000003</v>
      </c>
      <c r="F317" s="14">
        <v>300.27999999999997</v>
      </c>
      <c r="G317" s="14">
        <v>120.61</v>
      </c>
      <c r="H317" s="14">
        <v>14.16</v>
      </c>
      <c r="I317" s="14">
        <v>65.434370000000001</v>
      </c>
      <c r="J317">
        <f t="shared" si="37"/>
        <v>-9.4618568894145882E-3</v>
      </c>
      <c r="K317">
        <f t="shared" si="38"/>
        <v>-9.3378607809846415E-3</v>
      </c>
      <c r="L317">
        <f t="shared" si="39"/>
        <v>1.2713823393435408E-3</v>
      </c>
      <c r="M317">
        <f t="shared" si="40"/>
        <v>-9.3010785973600685E-3</v>
      </c>
      <c r="N317">
        <f t="shared" si="41"/>
        <v>1.0000666711111883E-3</v>
      </c>
      <c r="O317">
        <f t="shared" si="42"/>
        <v>-2.3558937823834225E-2</v>
      </c>
      <c r="P317">
        <f t="shared" si="43"/>
        <v>1.2151536812008645E-2</v>
      </c>
      <c r="Q317">
        <f t="shared" si="44"/>
        <v>-1.4153032764755324E-2</v>
      </c>
      <c r="R317" s="15">
        <f t="shared" si="45"/>
        <v>-4.623363087645058E-3</v>
      </c>
    </row>
    <row r="318" spans="1:18" x14ac:dyDescent="0.2">
      <c r="A318" s="11">
        <v>45586</v>
      </c>
      <c r="B318" s="12">
        <v>16.91</v>
      </c>
      <c r="C318" s="12">
        <v>11.78</v>
      </c>
      <c r="D318" s="12">
        <v>346.08</v>
      </c>
      <c r="E318" s="12">
        <v>37.247078000000002</v>
      </c>
      <c r="F318" s="12">
        <v>299.98</v>
      </c>
      <c r="G318" s="12">
        <v>123.52</v>
      </c>
      <c r="H318" s="12">
        <v>13.99</v>
      </c>
      <c r="I318" s="12">
        <v>66.373760000000004</v>
      </c>
      <c r="J318">
        <f t="shared" si="37"/>
        <v>-8.2111436950147443E-3</v>
      </c>
      <c r="K318">
        <f t="shared" si="38"/>
        <v>-1.4225941422594146E-2</v>
      </c>
      <c r="L318">
        <f t="shared" si="39"/>
        <v>4.8780487804878092E-3</v>
      </c>
      <c r="M318">
        <f t="shared" si="40"/>
        <v>-6.5997886518605053E-3</v>
      </c>
      <c r="N318">
        <f t="shared" si="41"/>
        <v>2.1660649819494671E-2</v>
      </c>
      <c r="O318">
        <f t="shared" si="42"/>
        <v>-1.577689243027891E-2</v>
      </c>
      <c r="P318">
        <f t="shared" si="43"/>
        <v>-1.2702893436838392E-2</v>
      </c>
      <c r="Q318">
        <f t="shared" si="44"/>
        <v>-4.6955256123055733E-3</v>
      </c>
      <c r="R318" s="15">
        <f t="shared" si="45"/>
        <v>-2.4255225884875836E-3</v>
      </c>
    </row>
    <row r="319" spans="1:18" x14ac:dyDescent="0.2">
      <c r="A319" s="13">
        <v>45583</v>
      </c>
      <c r="B319" s="14">
        <v>17.05</v>
      </c>
      <c r="C319" s="14">
        <v>11.95</v>
      </c>
      <c r="D319" s="14">
        <v>344.4</v>
      </c>
      <c r="E319" s="14">
        <v>37.494534000000002</v>
      </c>
      <c r="F319" s="14">
        <v>293.62</v>
      </c>
      <c r="G319" s="14">
        <v>125.5</v>
      </c>
      <c r="H319" s="14">
        <v>14.17</v>
      </c>
      <c r="I319" s="14">
        <v>66.686890000000005</v>
      </c>
      <c r="J319">
        <f t="shared" si="37"/>
        <v>7.6832151300236795E-3</v>
      </c>
      <c r="K319">
        <f t="shared" si="38"/>
        <v>1.4431239388794648E-2</v>
      </c>
      <c r="L319">
        <f t="shared" si="39"/>
        <v>5.5768051621944981E-3</v>
      </c>
      <c r="M319">
        <f t="shared" si="40"/>
        <v>2.1164042093100299E-3</v>
      </c>
      <c r="N319">
        <f t="shared" si="41"/>
        <v>4.3388650012437191E-2</v>
      </c>
      <c r="O319">
        <f t="shared" si="42"/>
        <v>2.95692479820997E-3</v>
      </c>
      <c r="P319">
        <f t="shared" si="43"/>
        <v>3.809523809523796E-2</v>
      </c>
      <c r="Q319">
        <f t="shared" si="44"/>
        <v>1.4682702157120531E-4</v>
      </c>
      <c r="R319" s="15">
        <f t="shared" si="45"/>
        <v>1.9075309153747902E-2</v>
      </c>
    </row>
    <row r="320" spans="1:18" x14ac:dyDescent="0.2">
      <c r="A320" s="11">
        <v>45582</v>
      </c>
      <c r="B320" s="12">
        <v>16.920000000000002</v>
      </c>
      <c r="C320" s="12">
        <v>11.78</v>
      </c>
      <c r="D320" s="12">
        <v>342.49</v>
      </c>
      <c r="E320" s="12">
        <v>37.415348000000002</v>
      </c>
      <c r="F320" s="12">
        <v>281.41000000000003</v>
      </c>
      <c r="G320" s="12">
        <v>125.13</v>
      </c>
      <c r="H320" s="12">
        <v>13.65</v>
      </c>
      <c r="I320" s="12">
        <v>66.677099999999996</v>
      </c>
      <c r="J320">
        <f t="shared" si="37"/>
        <v>1.1356843992827326E-2</v>
      </c>
      <c r="K320">
        <f t="shared" si="38"/>
        <v>-2.5402201524132861E-3</v>
      </c>
      <c r="L320">
        <f t="shared" si="39"/>
        <v>-5.3148234200742772E-3</v>
      </c>
      <c r="M320">
        <f t="shared" si="40"/>
        <v>-2.4012384845488288E-2</v>
      </c>
      <c r="N320">
        <f t="shared" si="41"/>
        <v>1.5004508566275998E-2</v>
      </c>
      <c r="O320">
        <f t="shared" si="42"/>
        <v>-2.3946957878315134E-2</v>
      </c>
      <c r="P320">
        <f t="shared" si="43"/>
        <v>-1.3728323699421896E-2</v>
      </c>
      <c r="Q320">
        <f t="shared" si="44"/>
        <v>-4.2379968722037198E-3</v>
      </c>
      <c r="R320" s="15">
        <f t="shared" si="45"/>
        <v>-5.0442522265663143E-3</v>
      </c>
    </row>
    <row r="321" spans="1:18" x14ac:dyDescent="0.2">
      <c r="A321" s="13">
        <v>45581</v>
      </c>
      <c r="B321" s="14">
        <v>16.73</v>
      </c>
      <c r="C321" s="14">
        <v>11.81</v>
      </c>
      <c r="D321" s="14">
        <v>344.32</v>
      </c>
      <c r="E321" s="14">
        <v>38.335884</v>
      </c>
      <c r="F321" s="14">
        <v>277.25</v>
      </c>
      <c r="G321" s="14">
        <v>128.19999999999999</v>
      </c>
      <c r="H321" s="14">
        <v>13.84</v>
      </c>
      <c r="I321" s="14">
        <v>66.960880000000003</v>
      </c>
      <c r="J321">
        <f t="shared" si="37"/>
        <v>2.890528905289047E-2</v>
      </c>
      <c r="K321">
        <f t="shared" si="38"/>
        <v>7.6791808873719614E-3</v>
      </c>
      <c r="L321">
        <f t="shared" si="39"/>
        <v>-6.7787809732599014E-3</v>
      </c>
      <c r="M321">
        <f t="shared" si="40"/>
        <v>2.7320989794182626E-2</v>
      </c>
      <c r="N321">
        <f t="shared" si="41"/>
        <v>1.4787160060027116E-2</v>
      </c>
      <c r="O321">
        <f t="shared" si="42"/>
        <v>6.5164481432047339E-3</v>
      </c>
      <c r="P321">
        <f t="shared" si="43"/>
        <v>5.9724349157733503E-2</v>
      </c>
      <c r="Q321">
        <f t="shared" si="44"/>
        <v>6.0276732099673325E-3</v>
      </c>
      <c r="R321" s="15">
        <f t="shared" si="45"/>
        <v>1.9455527952793841E-2</v>
      </c>
    </row>
    <row r="322" spans="1:18" x14ac:dyDescent="0.2">
      <c r="A322" s="11">
        <v>45580</v>
      </c>
      <c r="B322" s="12">
        <v>16.260000000000002</v>
      </c>
      <c r="C322" s="12">
        <v>11.72</v>
      </c>
      <c r="D322" s="12">
        <v>346.67</v>
      </c>
      <c r="E322" s="12">
        <v>37.316364</v>
      </c>
      <c r="F322" s="12">
        <v>273.20999999999998</v>
      </c>
      <c r="G322" s="12">
        <v>127.37</v>
      </c>
      <c r="H322" s="12">
        <v>13.06</v>
      </c>
      <c r="I322" s="12">
        <v>66.55968</v>
      </c>
      <c r="J322">
        <f t="shared" si="37"/>
        <v>2.0715630885122627E-2</v>
      </c>
      <c r="K322">
        <f t="shared" si="38"/>
        <v>3.4246575342467001E-3</v>
      </c>
      <c r="L322">
        <f t="shared" si="39"/>
        <v>1.9857613556130804E-2</v>
      </c>
      <c r="M322">
        <f t="shared" si="40"/>
        <v>-1.0238924868329335E-2</v>
      </c>
      <c r="N322">
        <f t="shared" si="41"/>
        <v>1.3766233766233649E-2</v>
      </c>
      <c r="O322">
        <f t="shared" si="42"/>
        <v>6.1616241409274686E-3</v>
      </c>
      <c r="P322">
        <f t="shared" si="43"/>
        <v>6.092607636068248E-2</v>
      </c>
      <c r="Q322">
        <f t="shared" si="44"/>
        <v>4.4130255197916135E-4</v>
      </c>
      <c r="R322" s="15">
        <f t="shared" si="45"/>
        <v>1.7641646844276271E-2</v>
      </c>
    </row>
    <row r="323" spans="1:18" x14ac:dyDescent="0.2">
      <c r="A323" s="13">
        <v>45579</v>
      </c>
      <c r="B323" s="14">
        <v>15.93</v>
      </c>
      <c r="C323" s="14">
        <v>11.68</v>
      </c>
      <c r="D323" s="14">
        <v>339.92</v>
      </c>
      <c r="E323" s="14">
        <v>37.702396</v>
      </c>
      <c r="F323" s="14">
        <v>269.5</v>
      </c>
      <c r="G323" s="14">
        <v>126.59</v>
      </c>
      <c r="H323" s="14">
        <v>12.31</v>
      </c>
      <c r="I323" s="14">
        <v>66.530320000000003</v>
      </c>
      <c r="J323">
        <f t="shared" ref="J323:J386" si="46">B323/B324-1</f>
        <v>1.9193857965450922E-2</v>
      </c>
      <c r="K323">
        <f t="shared" ref="K323:K386" si="47">C323/C324-1</f>
        <v>-2.4227234753550597E-2</v>
      </c>
      <c r="L323">
        <f t="shared" ref="L323:L386" si="48">D323/D324-1</f>
        <v>1.8608971861796331E-2</v>
      </c>
      <c r="M323">
        <f t="shared" ref="M323:M386" si="49">E323/E324-1</f>
        <v>-2.0958361190822616E-3</v>
      </c>
      <c r="N323">
        <f t="shared" ref="N323:N386" si="50">F323/F324-1</f>
        <v>-1.6746324200080154E-2</v>
      </c>
      <c r="O323">
        <f t="shared" ref="O323:O386" si="51">G323/G324-1</f>
        <v>1.3611978541116176E-2</v>
      </c>
      <c r="P323">
        <f t="shared" ref="P323:P386" si="52">H323/H324-1</f>
        <v>1.2335526315789602E-2</v>
      </c>
      <c r="Q323">
        <f t="shared" ref="Q323:Q386" si="53">I323/I324-1</f>
        <v>-2.0548301708888106E-3</v>
      </c>
      <c r="R323" s="15">
        <f t="shared" ref="R323:R386" si="54">SUMPRODUCT($T$2:$AA$2,J323:Q323)</f>
        <v>1.2365661607962246E-3</v>
      </c>
    </row>
    <row r="324" spans="1:18" x14ac:dyDescent="0.2">
      <c r="A324" s="11">
        <v>45576</v>
      </c>
      <c r="B324" s="12">
        <v>15.63</v>
      </c>
      <c r="C324" s="12">
        <v>11.97</v>
      </c>
      <c r="D324" s="12">
        <v>333.71</v>
      </c>
      <c r="E324" s="12">
        <v>37.781579999999998</v>
      </c>
      <c r="F324" s="12">
        <v>274.08999999999997</v>
      </c>
      <c r="G324" s="12">
        <v>124.89</v>
      </c>
      <c r="H324" s="12">
        <v>12.16</v>
      </c>
      <c r="I324" s="12">
        <v>66.667310000000001</v>
      </c>
      <c r="J324">
        <f t="shared" si="46"/>
        <v>-6.9885641677255306E-3</v>
      </c>
      <c r="K324">
        <f t="shared" si="47"/>
        <v>-3.3305578684429404E-3</v>
      </c>
      <c r="L324">
        <f t="shared" si="48"/>
        <v>-2.61476055680393E-2</v>
      </c>
      <c r="M324">
        <f t="shared" si="49"/>
        <v>5.0026450042057746E-3</v>
      </c>
      <c r="N324">
        <f t="shared" si="50"/>
        <v>1.2859835187169599E-2</v>
      </c>
      <c r="O324">
        <f t="shared" si="51"/>
        <v>6.9338063371764402E-3</v>
      </c>
      <c r="P324">
        <f t="shared" si="52"/>
        <v>1.6474464579900872E-3</v>
      </c>
      <c r="Q324">
        <f t="shared" si="53"/>
        <v>1.5198749124780253E-2</v>
      </c>
      <c r="R324" s="15">
        <f t="shared" si="54"/>
        <v>1.5543429876180904E-3</v>
      </c>
    </row>
    <row r="325" spans="1:18" x14ac:dyDescent="0.2">
      <c r="A325" s="13">
        <v>45575</v>
      </c>
      <c r="B325" s="14">
        <v>15.74</v>
      </c>
      <c r="C325" s="14">
        <v>12.01</v>
      </c>
      <c r="D325" s="14">
        <v>342.67</v>
      </c>
      <c r="E325" s="14">
        <v>37.593513000000002</v>
      </c>
      <c r="F325" s="14">
        <v>270.61</v>
      </c>
      <c r="G325" s="14">
        <v>124.03</v>
      </c>
      <c r="H325" s="14">
        <v>12.14</v>
      </c>
      <c r="I325" s="14">
        <v>65.669219999999996</v>
      </c>
      <c r="J325">
        <f t="shared" si="46"/>
        <v>-1.9023462270132407E-3</v>
      </c>
      <c r="K325">
        <f t="shared" si="47"/>
        <v>1.6074450084602399E-2</v>
      </c>
      <c r="L325">
        <f t="shared" si="48"/>
        <v>1.6975812435079396E-2</v>
      </c>
      <c r="M325">
        <f t="shared" si="49"/>
        <v>1.0542973942535561E-3</v>
      </c>
      <c r="N325">
        <f t="shared" si="50"/>
        <v>1.6566491359879976E-2</v>
      </c>
      <c r="O325">
        <f t="shared" si="51"/>
        <v>8.1280988376819518E-3</v>
      </c>
      <c r="P325">
        <f t="shared" si="52"/>
        <v>4.1356492969397696E-3</v>
      </c>
      <c r="Q325">
        <f t="shared" si="53"/>
        <v>1.099732445086099E-2</v>
      </c>
      <c r="R325" s="15">
        <f t="shared" si="54"/>
        <v>9.9477294282364608E-3</v>
      </c>
    </row>
    <row r="326" spans="1:18" x14ac:dyDescent="0.2">
      <c r="A326" s="11">
        <v>45574</v>
      </c>
      <c r="B326" s="12">
        <v>15.77</v>
      </c>
      <c r="C326" s="12">
        <v>11.82</v>
      </c>
      <c r="D326" s="12">
        <v>336.95</v>
      </c>
      <c r="E326" s="12">
        <v>37.553919999999998</v>
      </c>
      <c r="F326" s="12">
        <v>266.2</v>
      </c>
      <c r="G326" s="12">
        <v>123.03</v>
      </c>
      <c r="H326" s="12">
        <v>12.09</v>
      </c>
      <c r="I326" s="12">
        <v>64.954890000000006</v>
      </c>
      <c r="J326">
        <f t="shared" si="46"/>
        <v>1.2845215157353929E-2</v>
      </c>
      <c r="K326">
        <f t="shared" si="47"/>
        <v>1.6949152542371504E-3</v>
      </c>
      <c r="L326">
        <f t="shared" si="48"/>
        <v>9.1949203306576077E-3</v>
      </c>
      <c r="M326">
        <f t="shared" si="49"/>
        <v>-1.3162633947938485E-3</v>
      </c>
      <c r="N326">
        <f t="shared" si="50"/>
        <v>1.7428527748050815E-2</v>
      </c>
      <c r="O326">
        <f t="shared" si="51"/>
        <v>-1.3313016280375289E-2</v>
      </c>
      <c r="P326">
        <f t="shared" si="52"/>
        <v>1.1715481171548081E-2</v>
      </c>
      <c r="Q326">
        <f t="shared" si="53"/>
        <v>9.2748405092890618E-3</v>
      </c>
      <c r="R326" s="15">
        <f t="shared" si="54"/>
        <v>6.7287722124462959E-3</v>
      </c>
    </row>
    <row r="327" spans="1:18" x14ac:dyDescent="0.2">
      <c r="A327" s="13">
        <v>45573</v>
      </c>
      <c r="B327" s="14">
        <v>15.57</v>
      </c>
      <c r="C327" s="14">
        <v>11.8</v>
      </c>
      <c r="D327" s="14">
        <v>333.88</v>
      </c>
      <c r="E327" s="14">
        <v>37.603416000000003</v>
      </c>
      <c r="F327" s="14">
        <v>261.64</v>
      </c>
      <c r="G327" s="14">
        <v>124.69</v>
      </c>
      <c r="H327" s="14">
        <v>11.95</v>
      </c>
      <c r="I327" s="14">
        <v>64.357979999999998</v>
      </c>
      <c r="J327">
        <f t="shared" si="46"/>
        <v>6.4267352185098936E-4</v>
      </c>
      <c r="K327">
        <f t="shared" si="47"/>
        <v>3.237095363079634E-2</v>
      </c>
      <c r="L327">
        <f t="shared" si="48"/>
        <v>5.5415010239729945E-3</v>
      </c>
      <c r="M327">
        <f t="shared" si="49"/>
        <v>-4.715631267935172E-3</v>
      </c>
      <c r="N327">
        <f t="shared" si="50"/>
        <v>-3.6178072279979823E-3</v>
      </c>
      <c r="O327">
        <f t="shared" si="51"/>
        <v>-3.6324290903470002E-2</v>
      </c>
      <c r="P327">
        <f t="shared" si="52"/>
        <v>-5.8236272878535722E-3</v>
      </c>
      <c r="Q327">
        <f t="shared" si="53"/>
        <v>8.4329009272576805E-3</v>
      </c>
      <c r="R327" s="15">
        <f t="shared" si="54"/>
        <v>-2.3077327192215997E-3</v>
      </c>
    </row>
    <row r="328" spans="1:18" x14ac:dyDescent="0.2">
      <c r="A328" s="11">
        <v>45572</v>
      </c>
      <c r="B328" s="12">
        <v>15.56</v>
      </c>
      <c r="C328" s="12">
        <v>11.43</v>
      </c>
      <c r="D328" s="12">
        <v>332.04</v>
      </c>
      <c r="E328" s="12">
        <v>37.781579999999998</v>
      </c>
      <c r="F328" s="12">
        <v>262.58999999999997</v>
      </c>
      <c r="G328" s="12">
        <v>129.38999999999999</v>
      </c>
      <c r="H328" s="12">
        <v>12.02</v>
      </c>
      <c r="I328" s="12">
        <v>63.819794000000002</v>
      </c>
      <c r="J328">
        <f t="shared" si="46"/>
        <v>-2.9320024953212731E-2</v>
      </c>
      <c r="K328">
        <f t="shared" si="47"/>
        <v>8.756567425569628E-4</v>
      </c>
      <c r="L328">
        <f t="shared" si="48"/>
        <v>4.2181379933725616E-4</v>
      </c>
      <c r="M328">
        <f t="shared" si="49"/>
        <v>-1.0627376372088326E-2</v>
      </c>
      <c r="N328">
        <f t="shared" si="50"/>
        <v>-2.113621113844788E-2</v>
      </c>
      <c r="O328">
        <f t="shared" si="51"/>
        <v>-5.4070755445712049E-4</v>
      </c>
      <c r="P328">
        <f t="shared" si="52"/>
        <v>1.0084033613445342E-2</v>
      </c>
      <c r="Q328">
        <f t="shared" si="53"/>
        <v>2.7675341979871426E-3</v>
      </c>
      <c r="R328" s="15">
        <f t="shared" si="54"/>
        <v>-5.7337409187166039E-3</v>
      </c>
    </row>
    <row r="329" spans="1:18" x14ac:dyDescent="0.2">
      <c r="A329" s="13">
        <v>45569</v>
      </c>
      <c r="B329" s="14">
        <v>16.03</v>
      </c>
      <c r="C329" s="14">
        <v>11.42</v>
      </c>
      <c r="D329" s="14">
        <v>331.9</v>
      </c>
      <c r="E329" s="14">
        <v>38.187412000000002</v>
      </c>
      <c r="F329" s="14">
        <v>268.26</v>
      </c>
      <c r="G329" s="14">
        <v>129.46</v>
      </c>
      <c r="H329" s="14">
        <v>11.9</v>
      </c>
      <c r="I329" s="14">
        <v>63.643658000000002</v>
      </c>
      <c r="J329">
        <f t="shared" si="46"/>
        <v>1.7777777777777892E-2</v>
      </c>
      <c r="K329">
        <f t="shared" si="47"/>
        <v>-1.8056749785038795E-2</v>
      </c>
      <c r="L329">
        <f t="shared" si="48"/>
        <v>1.9975414874001229E-2</v>
      </c>
      <c r="M329">
        <f t="shared" si="49"/>
        <v>4.9492433343059083E-3</v>
      </c>
      <c r="N329">
        <f t="shared" si="50"/>
        <v>3.252376736846152E-2</v>
      </c>
      <c r="O329">
        <f t="shared" si="51"/>
        <v>1.1801484955060504E-2</v>
      </c>
      <c r="P329">
        <f t="shared" si="52"/>
        <v>1.1045029736618694E-2</v>
      </c>
      <c r="Q329">
        <f t="shared" si="53"/>
        <v>0</v>
      </c>
      <c r="R329" s="15">
        <f t="shared" si="54"/>
        <v>1.2638315527146211E-2</v>
      </c>
    </row>
    <row r="330" spans="1:18" x14ac:dyDescent="0.2">
      <c r="A330" s="11">
        <v>45568</v>
      </c>
      <c r="B330" s="12">
        <v>15.75</v>
      </c>
      <c r="C330" s="12">
        <v>11.63</v>
      </c>
      <c r="D330" s="12">
        <v>325.39999999999998</v>
      </c>
      <c r="E330" s="12">
        <v>37.999344000000001</v>
      </c>
      <c r="F330" s="12">
        <v>259.81</v>
      </c>
      <c r="G330" s="12">
        <v>127.95</v>
      </c>
      <c r="H330" s="12">
        <v>11.77</v>
      </c>
      <c r="I330" s="12">
        <v>63.643658000000002</v>
      </c>
      <c r="J330">
        <f t="shared" si="46"/>
        <v>6.3532401524768467E-4</v>
      </c>
      <c r="K330">
        <f t="shared" si="47"/>
        <v>1.0425716768027948E-2</v>
      </c>
      <c r="L330">
        <f t="shared" si="48"/>
        <v>-2.8424698435447371E-2</v>
      </c>
      <c r="M330">
        <f t="shared" si="49"/>
        <v>-9.5459007550987574E-3</v>
      </c>
      <c r="N330">
        <f t="shared" si="50"/>
        <v>-1.3854095498367802E-2</v>
      </c>
      <c r="O330">
        <f t="shared" si="51"/>
        <v>3.035915606377837E-2</v>
      </c>
      <c r="P330">
        <f t="shared" si="52"/>
        <v>-5.0040355125100966E-2</v>
      </c>
      <c r="Q330">
        <f t="shared" si="53"/>
        <v>7.6941913753336699E-4</v>
      </c>
      <c r="R330" s="15">
        <f t="shared" si="54"/>
        <v>-1.0176825160502445E-2</v>
      </c>
    </row>
    <row r="331" spans="1:18" x14ac:dyDescent="0.2">
      <c r="A331" s="13">
        <v>45567</v>
      </c>
      <c r="B331" s="14">
        <v>15.74</v>
      </c>
      <c r="C331" s="14">
        <v>11.51</v>
      </c>
      <c r="D331" s="14">
        <v>334.92</v>
      </c>
      <c r="E331" s="14">
        <v>38.365577999999999</v>
      </c>
      <c r="F331" s="14">
        <v>263.45999999999998</v>
      </c>
      <c r="G331" s="14">
        <v>124.18</v>
      </c>
      <c r="H331" s="14">
        <v>12.39</v>
      </c>
      <c r="I331" s="14">
        <v>63.594726999999999</v>
      </c>
      <c r="J331">
        <f t="shared" si="46"/>
        <v>-2.5386996904024683E-2</v>
      </c>
      <c r="K331">
        <f t="shared" si="47"/>
        <v>-4.560530679933672E-2</v>
      </c>
      <c r="L331">
        <f t="shared" si="48"/>
        <v>-2.0415326118748078E-2</v>
      </c>
      <c r="M331">
        <f t="shared" si="49"/>
        <v>-1.4242130242950402E-2</v>
      </c>
      <c r="N331">
        <f t="shared" si="50"/>
        <v>8.1120379582153568E-3</v>
      </c>
      <c r="O331">
        <f t="shared" si="51"/>
        <v>8.6344151867728147E-2</v>
      </c>
      <c r="P331">
        <f t="shared" si="52"/>
        <v>-3.2180209171358554E-3</v>
      </c>
      <c r="Q331">
        <f t="shared" si="53"/>
        <v>9.0046855494281264E-3</v>
      </c>
      <c r="R331" s="15">
        <f t="shared" si="54"/>
        <v>3.1858461643840025E-3</v>
      </c>
    </row>
    <row r="332" spans="1:18" x14ac:dyDescent="0.2">
      <c r="A332" s="11">
        <v>45565</v>
      </c>
      <c r="B332" s="12">
        <v>16.149999999999999</v>
      </c>
      <c r="C332" s="12">
        <v>12.06</v>
      </c>
      <c r="D332" s="12">
        <v>341.9</v>
      </c>
      <c r="E332" s="12">
        <v>38.919879999999999</v>
      </c>
      <c r="F332" s="12">
        <v>261.33999999999997</v>
      </c>
      <c r="G332" s="12">
        <v>114.31</v>
      </c>
      <c r="H332" s="12">
        <v>12.43</v>
      </c>
      <c r="I332" s="12">
        <v>63.027186999999998</v>
      </c>
      <c r="J332">
        <f t="shared" si="46"/>
        <v>0</v>
      </c>
      <c r="K332">
        <f t="shared" si="47"/>
        <v>-1.6313213703099461E-2</v>
      </c>
      <c r="L332">
        <f t="shared" si="48"/>
        <v>-2.3282388230252971E-2</v>
      </c>
      <c r="M332">
        <f t="shared" si="49"/>
        <v>-4.5570047611070974E-3</v>
      </c>
      <c r="N332">
        <f t="shared" si="50"/>
        <v>-3.8378040254627099E-2</v>
      </c>
      <c r="O332">
        <f t="shared" si="51"/>
        <v>-2.2824414429817086E-2</v>
      </c>
      <c r="P332">
        <f t="shared" si="52"/>
        <v>-3.0421216848673938E-2</v>
      </c>
      <c r="Q332">
        <f t="shared" si="53"/>
        <v>-9.6862911305318766E-3</v>
      </c>
      <c r="R332" s="15">
        <f t="shared" si="54"/>
        <v>-2.2199787151834138E-2</v>
      </c>
    </row>
    <row r="333" spans="1:18" x14ac:dyDescent="0.2">
      <c r="A333" s="13">
        <v>45562</v>
      </c>
      <c r="B333" s="14">
        <v>16.149999999999999</v>
      </c>
      <c r="C333" s="14">
        <v>12.26</v>
      </c>
      <c r="D333" s="14">
        <v>350.05</v>
      </c>
      <c r="E333" s="14">
        <v>39.098050000000001</v>
      </c>
      <c r="F333" s="14">
        <v>271.77</v>
      </c>
      <c r="G333" s="14">
        <v>116.98</v>
      </c>
      <c r="H333" s="14">
        <v>12.82</v>
      </c>
      <c r="I333" s="14">
        <v>63.643658000000002</v>
      </c>
      <c r="J333">
        <f t="shared" si="46"/>
        <v>9.3749999999999112E-3</v>
      </c>
      <c r="K333">
        <f t="shared" si="47"/>
        <v>-2.6984126984126999E-2</v>
      </c>
      <c r="L333">
        <f t="shared" si="48"/>
        <v>-1.1856033874382499E-2</v>
      </c>
      <c r="M333">
        <f t="shared" si="49"/>
        <v>-1.2499949485969108E-2</v>
      </c>
      <c r="N333">
        <f t="shared" si="50"/>
        <v>-7.0395074397126889E-2</v>
      </c>
      <c r="O333">
        <f t="shared" si="51"/>
        <v>-1.9200134149408798E-2</v>
      </c>
      <c r="P333">
        <f t="shared" si="52"/>
        <v>3.9154267815193489E-3</v>
      </c>
      <c r="Q333">
        <f t="shared" si="53"/>
        <v>-6.8711701627816035E-3</v>
      </c>
      <c r="R333" s="15">
        <f t="shared" si="54"/>
        <v>-2.2121028951395214E-2</v>
      </c>
    </row>
    <row r="334" spans="1:18" x14ac:dyDescent="0.2">
      <c r="A334" s="11">
        <v>45561</v>
      </c>
      <c r="B334" s="12">
        <v>16</v>
      </c>
      <c r="C334" s="12">
        <v>12.6</v>
      </c>
      <c r="D334" s="12">
        <v>354.25</v>
      </c>
      <c r="E334" s="12">
        <v>39.592959999999998</v>
      </c>
      <c r="F334" s="12">
        <v>292.35000000000002</v>
      </c>
      <c r="G334" s="12">
        <v>119.27</v>
      </c>
      <c r="H334" s="12">
        <v>12.77</v>
      </c>
      <c r="I334" s="12">
        <v>64.08399</v>
      </c>
      <c r="J334">
        <f t="shared" si="46"/>
        <v>5.6568196103079504E-3</v>
      </c>
      <c r="K334">
        <f t="shared" si="47"/>
        <v>4.784688995215447E-3</v>
      </c>
      <c r="L334">
        <f t="shared" si="48"/>
        <v>3.9392393583856933E-3</v>
      </c>
      <c r="M334">
        <f t="shared" si="49"/>
        <v>2.0668526315102742E-2</v>
      </c>
      <c r="N334">
        <f t="shared" si="50"/>
        <v>4.2283147349281736E-2</v>
      </c>
      <c r="O334">
        <f t="shared" si="51"/>
        <v>-3.3526108456971571E-4</v>
      </c>
      <c r="P334">
        <f t="shared" si="52"/>
        <v>3.6525974025974017E-2</v>
      </c>
      <c r="Q334">
        <f t="shared" si="53"/>
        <v>1.1740910611482969E-2</v>
      </c>
      <c r="R334" s="15">
        <f t="shared" si="54"/>
        <v>1.9292950274507493E-2</v>
      </c>
    </row>
    <row r="335" spans="1:18" x14ac:dyDescent="0.2">
      <c r="A335" s="13">
        <v>45560</v>
      </c>
      <c r="B335" s="14">
        <v>15.91</v>
      </c>
      <c r="C335" s="14">
        <v>12.54</v>
      </c>
      <c r="D335" s="14">
        <v>352.86</v>
      </c>
      <c r="E335" s="14">
        <v>38.791203000000003</v>
      </c>
      <c r="F335" s="14">
        <v>280.49</v>
      </c>
      <c r="G335" s="14">
        <v>119.31</v>
      </c>
      <c r="H335" s="14">
        <v>12.32</v>
      </c>
      <c r="I335" s="14">
        <v>63.340316999999999</v>
      </c>
      <c r="J335">
        <f t="shared" si="46"/>
        <v>5.0536955148452467E-3</v>
      </c>
      <c r="K335">
        <f t="shared" si="47"/>
        <v>-6.3391442155309452E-3</v>
      </c>
      <c r="L335">
        <f t="shared" si="48"/>
        <v>-9.209861290503607E-3</v>
      </c>
      <c r="M335">
        <f t="shared" si="49"/>
        <v>-2.6818998011400419E-2</v>
      </c>
      <c r="N335">
        <f t="shared" si="50"/>
        <v>-6.0460909760836068E-2</v>
      </c>
      <c r="O335">
        <f t="shared" si="51"/>
        <v>-1.9240421616195658E-3</v>
      </c>
      <c r="P335">
        <f t="shared" si="52"/>
        <v>2.0712510356255098E-2</v>
      </c>
      <c r="Q335">
        <f t="shared" si="53"/>
        <v>-1.2342280079075119E-3</v>
      </c>
      <c r="R335" s="15">
        <f t="shared" si="54"/>
        <v>-1.3355671830878801E-2</v>
      </c>
    </row>
    <row r="336" spans="1:18" x14ac:dyDescent="0.2">
      <c r="A336" s="11">
        <v>45559</v>
      </c>
      <c r="B336" s="12">
        <v>15.83</v>
      </c>
      <c r="C336" s="12">
        <v>12.62</v>
      </c>
      <c r="D336" s="12">
        <v>356.14</v>
      </c>
      <c r="E336" s="12">
        <v>39.860213999999999</v>
      </c>
      <c r="F336" s="12">
        <v>298.54000000000002</v>
      </c>
      <c r="G336" s="12">
        <v>119.54</v>
      </c>
      <c r="H336" s="12">
        <v>12.07</v>
      </c>
      <c r="I336" s="12">
        <v>63.418590000000002</v>
      </c>
      <c r="J336">
        <f t="shared" si="46"/>
        <v>1.9317450096587363E-2</v>
      </c>
      <c r="K336">
        <f t="shared" si="47"/>
        <v>1.040832666132907E-2</v>
      </c>
      <c r="L336">
        <f t="shared" si="48"/>
        <v>7.0978140994824024E-3</v>
      </c>
      <c r="M336">
        <f t="shared" si="49"/>
        <v>1.5124897765425693E-2</v>
      </c>
      <c r="N336">
        <f t="shared" si="50"/>
        <v>7.8306725420790313E-2</v>
      </c>
      <c r="O336">
        <f t="shared" si="51"/>
        <v>1.2107357548048592E-2</v>
      </c>
      <c r="P336">
        <f t="shared" si="52"/>
        <v>-2.029220779220775E-2</v>
      </c>
      <c r="Q336">
        <f t="shared" si="53"/>
        <v>4.6307546599866356E-4</v>
      </c>
      <c r="R336" s="15">
        <f t="shared" si="54"/>
        <v>1.9630103538996736E-2</v>
      </c>
    </row>
    <row r="337" spans="1:18" x14ac:dyDescent="0.2">
      <c r="A337" s="13">
        <v>45558</v>
      </c>
      <c r="B337" s="14">
        <v>15.53</v>
      </c>
      <c r="C337" s="14">
        <v>12.49</v>
      </c>
      <c r="D337" s="14">
        <v>353.63</v>
      </c>
      <c r="E337" s="14">
        <v>39.266314999999999</v>
      </c>
      <c r="F337" s="14">
        <v>276.86</v>
      </c>
      <c r="G337" s="14">
        <v>118.11</v>
      </c>
      <c r="H337" s="14">
        <v>12.32</v>
      </c>
      <c r="I337" s="14">
        <v>63.389235999999997</v>
      </c>
      <c r="J337">
        <f t="shared" si="46"/>
        <v>-6.4350064350060521E-4</v>
      </c>
      <c r="K337">
        <f t="shared" si="47"/>
        <v>8.0128205128193741E-4</v>
      </c>
      <c r="L337">
        <f t="shared" si="48"/>
        <v>-8.3286595625351456E-3</v>
      </c>
      <c r="M337">
        <f t="shared" si="49"/>
        <v>-3.0784334188291296E-2</v>
      </c>
      <c r="N337">
        <f t="shared" si="50"/>
        <v>-1.4066726780883609E-3</v>
      </c>
      <c r="O337">
        <f t="shared" si="51"/>
        <v>-9.7258321455521157E-3</v>
      </c>
      <c r="P337">
        <f t="shared" si="52"/>
        <v>-7.2522159548751297E-3</v>
      </c>
      <c r="Q337">
        <f t="shared" si="53"/>
        <v>2.0107796098227659E-3</v>
      </c>
      <c r="R337" s="15">
        <f t="shared" si="54"/>
        <v>-6.4624003566082716E-3</v>
      </c>
    </row>
    <row r="338" spans="1:18" x14ac:dyDescent="0.2">
      <c r="A338" s="11">
        <v>45555</v>
      </c>
      <c r="B338" s="12">
        <v>15.54</v>
      </c>
      <c r="C338" s="12">
        <v>12.48</v>
      </c>
      <c r="D338" s="12">
        <v>356.6</v>
      </c>
      <c r="E338" s="12">
        <v>40.513496000000004</v>
      </c>
      <c r="F338" s="12">
        <v>277.25</v>
      </c>
      <c r="G338" s="12">
        <v>119.27</v>
      </c>
      <c r="H338" s="12">
        <v>12.41</v>
      </c>
      <c r="I338" s="12">
        <v>63.262030000000003</v>
      </c>
      <c r="J338">
        <f t="shared" si="46"/>
        <v>-3.83663366336634E-2</v>
      </c>
      <c r="K338">
        <f t="shared" si="47"/>
        <v>1.2165450121654597E-2</v>
      </c>
      <c r="L338">
        <f t="shared" si="48"/>
        <v>9.2262410143206797E-3</v>
      </c>
      <c r="M338">
        <f t="shared" si="49"/>
        <v>3.830547586474875E-2</v>
      </c>
      <c r="N338">
        <f t="shared" si="50"/>
        <v>5.3942066448718906E-2</v>
      </c>
      <c r="O338">
        <f t="shared" si="51"/>
        <v>-7.5719753702779835E-3</v>
      </c>
      <c r="P338">
        <f t="shared" si="52"/>
        <v>-2.2064617809298581E-2</v>
      </c>
      <c r="Q338">
        <f t="shared" si="53"/>
        <v>-1.5532181463062678E-2</v>
      </c>
      <c r="R338" s="15">
        <f t="shared" si="54"/>
        <v>8.0977321900010807E-3</v>
      </c>
    </row>
    <row r="339" spans="1:18" x14ac:dyDescent="0.2">
      <c r="A339" s="13">
        <v>45554</v>
      </c>
      <c r="B339" s="14">
        <v>16.16</v>
      </c>
      <c r="C339" s="14">
        <v>12.33</v>
      </c>
      <c r="D339" s="14">
        <v>353.34</v>
      </c>
      <c r="E339" s="14">
        <v>39.018859999999997</v>
      </c>
      <c r="F339" s="14">
        <v>263.06</v>
      </c>
      <c r="G339" s="14">
        <v>120.18</v>
      </c>
      <c r="H339" s="14">
        <v>12.69</v>
      </c>
      <c r="I339" s="14">
        <v>64.260130000000004</v>
      </c>
      <c r="J339">
        <f t="shared" si="46"/>
        <v>-7.3710073710073765E-3</v>
      </c>
      <c r="K339">
        <f t="shared" si="47"/>
        <v>3.2663316582914659E-2</v>
      </c>
      <c r="L339">
        <f t="shared" si="48"/>
        <v>1.0766092475067435E-3</v>
      </c>
      <c r="M339">
        <f t="shared" si="49"/>
        <v>-8.8006442221957304E-3</v>
      </c>
      <c r="N339">
        <f t="shared" si="50"/>
        <v>1.7207377904953303E-2</v>
      </c>
      <c r="O339">
        <f t="shared" si="51"/>
        <v>-2.3561910952226151E-2</v>
      </c>
      <c r="P339">
        <f t="shared" si="52"/>
        <v>-1.9319938176197815E-2</v>
      </c>
      <c r="Q339">
        <f t="shared" si="53"/>
        <v>2.2893827884520324E-3</v>
      </c>
      <c r="R339" s="15">
        <f t="shared" si="54"/>
        <v>-4.4593767600571764E-4</v>
      </c>
    </row>
    <row r="340" spans="1:18" x14ac:dyDescent="0.2">
      <c r="A340" s="11">
        <v>45553</v>
      </c>
      <c r="B340" s="12">
        <v>16.28</v>
      </c>
      <c r="C340" s="12">
        <v>11.94</v>
      </c>
      <c r="D340" s="12">
        <v>352.96</v>
      </c>
      <c r="E340" s="12">
        <v>39.365299999999998</v>
      </c>
      <c r="F340" s="12">
        <v>258.61</v>
      </c>
      <c r="G340" s="12">
        <v>123.08</v>
      </c>
      <c r="H340" s="12">
        <v>12.94</v>
      </c>
      <c r="I340" s="12">
        <v>64.113349999999997</v>
      </c>
      <c r="J340">
        <f t="shared" si="46"/>
        <v>1.7500000000000071E-2</v>
      </c>
      <c r="K340">
        <f t="shared" si="47"/>
        <v>1.7035775127768327E-2</v>
      </c>
      <c r="L340">
        <f t="shared" si="48"/>
        <v>1.7733052680141803E-2</v>
      </c>
      <c r="M340">
        <f t="shared" si="49"/>
        <v>-6.7432698569784844E-3</v>
      </c>
      <c r="N340">
        <f t="shared" si="50"/>
        <v>2.9474500678687843E-3</v>
      </c>
      <c r="O340">
        <f t="shared" si="51"/>
        <v>2.0563847429519111E-2</v>
      </c>
      <c r="P340">
        <f t="shared" si="52"/>
        <v>3.1007751937983663E-3</v>
      </c>
      <c r="Q340">
        <f t="shared" si="53"/>
        <v>7.3800283446936454E-3</v>
      </c>
      <c r="R340" s="15">
        <f t="shared" si="54"/>
        <v>9.4104445034498083E-3</v>
      </c>
    </row>
    <row r="341" spans="1:18" x14ac:dyDescent="0.2">
      <c r="A341" s="13">
        <v>45552</v>
      </c>
      <c r="B341" s="14">
        <v>16</v>
      </c>
      <c r="C341" s="14">
        <v>11.74</v>
      </c>
      <c r="D341" s="14">
        <v>346.81</v>
      </c>
      <c r="E341" s="14">
        <v>39.632553000000001</v>
      </c>
      <c r="F341" s="14">
        <v>257.85000000000002</v>
      </c>
      <c r="G341" s="14">
        <v>120.6</v>
      </c>
      <c r="H341" s="14">
        <v>12.9</v>
      </c>
      <c r="I341" s="14">
        <v>63.643658000000002</v>
      </c>
      <c r="J341">
        <f t="shared" si="46"/>
        <v>-1.538461538461533E-2</v>
      </c>
      <c r="K341">
        <f t="shared" si="47"/>
        <v>1.2942191544434989E-2</v>
      </c>
      <c r="L341">
        <f t="shared" si="48"/>
        <v>3.3864957519749606E-2</v>
      </c>
      <c r="M341">
        <f t="shared" si="49"/>
        <v>3.6500160839398665E-2</v>
      </c>
      <c r="N341">
        <f t="shared" si="50"/>
        <v>3.4752598418877234E-2</v>
      </c>
      <c r="O341">
        <f t="shared" si="51"/>
        <v>-1.6556291390729116E-3</v>
      </c>
      <c r="P341">
        <f t="shared" si="52"/>
        <v>3.5313001605136396E-2</v>
      </c>
      <c r="Q341">
        <f t="shared" si="53"/>
        <v>1.3715641231867748E-2</v>
      </c>
      <c r="R341" s="15">
        <f t="shared" si="54"/>
        <v>2.170840037695107E-2</v>
      </c>
    </row>
    <row r="342" spans="1:18" x14ac:dyDescent="0.2">
      <c r="A342" s="11">
        <v>45548</v>
      </c>
      <c r="B342" s="12">
        <v>16.25</v>
      </c>
      <c r="C342" s="12">
        <v>11.59</v>
      </c>
      <c r="D342" s="12">
        <v>335.45</v>
      </c>
      <c r="E342" s="12">
        <v>38.236899999999999</v>
      </c>
      <c r="F342" s="12">
        <v>249.19</v>
      </c>
      <c r="G342" s="12">
        <v>120.8</v>
      </c>
      <c r="H342" s="12">
        <v>12.46</v>
      </c>
      <c r="I342" s="12">
        <v>62.782555000000002</v>
      </c>
      <c r="J342">
        <f t="shared" si="46"/>
        <v>3.0864197530864335E-3</v>
      </c>
      <c r="K342">
        <f t="shared" si="47"/>
        <v>-5.1502145922747156E-3</v>
      </c>
      <c r="L342">
        <f t="shared" si="48"/>
        <v>-1.192285910162072E-4</v>
      </c>
      <c r="M342">
        <f t="shared" si="49"/>
        <v>-1.4540824873521596E-2</v>
      </c>
      <c r="N342">
        <f t="shared" si="50"/>
        <v>3.1757204372308667E-2</v>
      </c>
      <c r="O342">
        <f t="shared" si="51"/>
        <v>1.1979559353271219E-2</v>
      </c>
      <c r="P342">
        <f t="shared" si="52"/>
        <v>-2.5801407349491656E-2</v>
      </c>
      <c r="Q342">
        <f t="shared" si="53"/>
        <v>-3.3589346308753987E-2</v>
      </c>
      <c r="R342" s="15">
        <f t="shared" si="54"/>
        <v>-3.69827420913303E-4</v>
      </c>
    </row>
    <row r="343" spans="1:18" x14ac:dyDescent="0.2">
      <c r="A343" s="13">
        <v>45547</v>
      </c>
      <c r="B343" s="14">
        <v>16.2</v>
      </c>
      <c r="C343" s="14">
        <v>11.65</v>
      </c>
      <c r="D343" s="14">
        <v>335.49</v>
      </c>
      <c r="E343" s="14">
        <v>38.801099999999998</v>
      </c>
      <c r="F343" s="14">
        <v>241.52</v>
      </c>
      <c r="G343" s="14">
        <v>119.37</v>
      </c>
      <c r="H343" s="14">
        <v>12.79</v>
      </c>
      <c r="I343" s="14">
        <v>64.964675999999997</v>
      </c>
      <c r="J343">
        <f t="shared" si="46"/>
        <v>1.5037593984962294E-2</v>
      </c>
      <c r="K343">
        <f t="shared" si="47"/>
        <v>2.9151943462897512E-2</v>
      </c>
      <c r="L343">
        <f t="shared" si="48"/>
        <v>2.385140574221456E-4</v>
      </c>
      <c r="M343">
        <f t="shared" si="49"/>
        <v>1.7653159015338371E-2</v>
      </c>
      <c r="N343">
        <f t="shared" si="50"/>
        <v>2.0147835269271441E-2</v>
      </c>
      <c r="O343">
        <f t="shared" si="51"/>
        <v>3.4133240925235953E-2</v>
      </c>
      <c r="P343">
        <f t="shared" si="52"/>
        <v>1.5079365079365026E-2</v>
      </c>
      <c r="Q343">
        <f t="shared" si="53"/>
        <v>3.8317221182345929E-2</v>
      </c>
      <c r="R343" s="15">
        <f t="shared" si="54"/>
        <v>2.0665696192146584E-2</v>
      </c>
    </row>
    <row r="344" spans="1:18" x14ac:dyDescent="0.2">
      <c r="A344" s="11">
        <v>45546</v>
      </c>
      <c r="B344" s="12">
        <v>15.96</v>
      </c>
      <c r="C344" s="12">
        <v>11.32</v>
      </c>
      <c r="D344" s="12">
        <v>335.41</v>
      </c>
      <c r="E344" s="12">
        <v>38.128019999999999</v>
      </c>
      <c r="F344" s="12">
        <v>236.75</v>
      </c>
      <c r="G344" s="12">
        <v>115.43</v>
      </c>
      <c r="H344" s="12">
        <v>12.6</v>
      </c>
      <c r="I344" s="12">
        <v>62.567272000000003</v>
      </c>
      <c r="J344">
        <f t="shared" si="46"/>
        <v>1.4621741894469187E-2</v>
      </c>
      <c r="K344">
        <f t="shared" si="47"/>
        <v>3.5460992907803135E-3</v>
      </c>
      <c r="L344">
        <f t="shared" si="48"/>
        <v>-3.5945576614579977E-3</v>
      </c>
      <c r="M344">
        <f t="shared" si="49"/>
        <v>-5.1652945123263905E-3</v>
      </c>
      <c r="N344">
        <f t="shared" si="50"/>
        <v>-3.3677120606188105E-3</v>
      </c>
      <c r="O344">
        <f t="shared" si="51"/>
        <v>-1.0373799725651556E-2</v>
      </c>
      <c r="P344">
        <f t="shared" si="52"/>
        <v>1.7770597738287375E-2</v>
      </c>
      <c r="Q344">
        <f t="shared" si="53"/>
        <v>1.5641612969519159E-4</v>
      </c>
      <c r="R344" s="15">
        <f t="shared" si="54"/>
        <v>1.5375502596223357E-3</v>
      </c>
    </row>
    <row r="345" spans="1:18" x14ac:dyDescent="0.2">
      <c r="A345" s="13">
        <v>45545</v>
      </c>
      <c r="B345" s="14">
        <v>15.73</v>
      </c>
      <c r="C345" s="14">
        <v>11.28</v>
      </c>
      <c r="D345" s="14">
        <v>336.62</v>
      </c>
      <c r="E345" s="14">
        <v>38.325985000000003</v>
      </c>
      <c r="F345" s="14">
        <v>237.55</v>
      </c>
      <c r="G345" s="14">
        <v>116.64</v>
      </c>
      <c r="H345" s="14">
        <v>12.38</v>
      </c>
      <c r="I345" s="14">
        <v>62.557487000000002</v>
      </c>
      <c r="J345">
        <f t="shared" si="46"/>
        <v>-3.0807147258163914E-2</v>
      </c>
      <c r="K345">
        <f t="shared" si="47"/>
        <v>-8.8573959255977552E-4</v>
      </c>
      <c r="L345">
        <f t="shared" si="48"/>
        <v>-4.1572633329367559E-4</v>
      </c>
      <c r="M345">
        <f t="shared" si="49"/>
        <v>8.4897770438814302E-2</v>
      </c>
      <c r="N345">
        <f t="shared" si="50"/>
        <v>2.2688135009471422E-2</v>
      </c>
      <c r="O345">
        <f t="shared" si="51"/>
        <v>-3.1872509960159445E-2</v>
      </c>
      <c r="P345">
        <f t="shared" si="52"/>
        <v>1.8930041152263488E-2</v>
      </c>
      <c r="Q345">
        <f t="shared" si="53"/>
        <v>-4.6707732010841108E-3</v>
      </c>
      <c r="R345" s="15">
        <f t="shared" si="54"/>
        <v>8.1757111410280994E-3</v>
      </c>
    </row>
    <row r="346" spans="1:18" x14ac:dyDescent="0.2">
      <c r="A346" s="11">
        <v>45544</v>
      </c>
      <c r="B346" s="12">
        <v>16.23</v>
      </c>
      <c r="C346" s="12">
        <v>11.29</v>
      </c>
      <c r="D346" s="12">
        <v>336.76</v>
      </c>
      <c r="E346" s="12">
        <v>35.326816999999998</v>
      </c>
      <c r="F346" s="12">
        <v>232.28</v>
      </c>
      <c r="G346" s="12">
        <v>120.48</v>
      </c>
      <c r="H346" s="12">
        <v>12.15</v>
      </c>
      <c r="I346" s="12">
        <v>62.851050000000001</v>
      </c>
      <c r="J346">
        <f t="shared" si="46"/>
        <v>3.0902348578492056E-3</v>
      </c>
      <c r="K346">
        <f t="shared" si="47"/>
        <v>-6.1619718309859906E-3</v>
      </c>
      <c r="L346">
        <f t="shared" si="48"/>
        <v>7.6902360932402658E-3</v>
      </c>
      <c r="M346">
        <f t="shared" si="49"/>
        <v>4.9397197248068014E-2</v>
      </c>
      <c r="N346">
        <f t="shared" si="50"/>
        <v>1.0132637529897792E-2</v>
      </c>
      <c r="O346">
        <f t="shared" si="51"/>
        <v>9.2142737476965664E-3</v>
      </c>
      <c r="P346">
        <f t="shared" si="52"/>
        <v>2.7049873203719432E-2</v>
      </c>
      <c r="Q346">
        <f t="shared" si="53"/>
        <v>3.1235964883440381E-3</v>
      </c>
      <c r="R346" s="15">
        <f t="shared" si="54"/>
        <v>1.3204196340390313E-2</v>
      </c>
    </row>
    <row r="347" spans="1:18" x14ac:dyDescent="0.2">
      <c r="A347" s="13">
        <v>45541</v>
      </c>
      <c r="B347" s="14">
        <v>16.18</v>
      </c>
      <c r="C347" s="14">
        <v>11.36</v>
      </c>
      <c r="D347" s="14">
        <v>334.19</v>
      </c>
      <c r="E347" s="14">
        <v>33.663913999999998</v>
      </c>
      <c r="F347" s="14">
        <v>229.95</v>
      </c>
      <c r="G347" s="14">
        <v>119.38</v>
      </c>
      <c r="H347" s="14">
        <v>11.83</v>
      </c>
      <c r="I347" s="14">
        <v>62.655340000000002</v>
      </c>
      <c r="J347">
        <f t="shared" si="46"/>
        <v>-7.9705702023298297E-3</v>
      </c>
      <c r="K347">
        <f t="shared" si="47"/>
        <v>-2.4054982817869552E-2</v>
      </c>
      <c r="L347">
        <f t="shared" si="48"/>
        <v>-3.1192926511088515E-2</v>
      </c>
      <c r="M347">
        <f t="shared" si="49"/>
        <v>-1.174714583105918E-3</v>
      </c>
      <c r="N347">
        <f t="shared" si="50"/>
        <v>-1.4697060587882449E-2</v>
      </c>
      <c r="O347">
        <f t="shared" si="51"/>
        <v>-2.2757039947609692E-2</v>
      </c>
      <c r="P347">
        <f t="shared" si="52"/>
        <v>1.7196904557179593E-2</v>
      </c>
      <c r="Q347">
        <f t="shared" si="53"/>
        <v>9.3001213779302372E-3</v>
      </c>
      <c r="R347" s="15">
        <f t="shared" si="54"/>
        <v>-9.7374540511279122E-3</v>
      </c>
    </row>
    <row r="348" spans="1:18" x14ac:dyDescent="0.2">
      <c r="A348" s="11">
        <v>45540</v>
      </c>
      <c r="B348" s="12">
        <v>16.309999999999999</v>
      </c>
      <c r="C348" s="12">
        <v>11.64</v>
      </c>
      <c r="D348" s="12">
        <v>344.95</v>
      </c>
      <c r="E348" s="12">
        <v>33.703505999999997</v>
      </c>
      <c r="F348" s="12">
        <v>233.38</v>
      </c>
      <c r="G348" s="12">
        <v>122.16</v>
      </c>
      <c r="H348" s="12">
        <v>11.63</v>
      </c>
      <c r="I348" s="12">
        <v>62.078006999999999</v>
      </c>
      <c r="J348">
        <f t="shared" si="46"/>
        <v>1.3673088875077566E-2</v>
      </c>
      <c r="K348">
        <f t="shared" si="47"/>
        <v>8.6655112651647936E-3</v>
      </c>
      <c r="L348">
        <f t="shared" si="48"/>
        <v>-1.4344086635997511E-2</v>
      </c>
      <c r="M348">
        <f t="shared" si="49"/>
        <v>1.7632990343154242E-2</v>
      </c>
      <c r="N348">
        <f t="shared" si="50"/>
        <v>1.350588439657785E-2</v>
      </c>
      <c r="O348">
        <f t="shared" si="51"/>
        <v>-2.9937266735488022E-2</v>
      </c>
      <c r="P348">
        <f t="shared" si="52"/>
        <v>4.0250447227191399E-2</v>
      </c>
      <c r="Q348">
        <f t="shared" si="53"/>
        <v>0</v>
      </c>
      <c r="R348" s="15">
        <f t="shared" si="54"/>
        <v>7.4003264926740774E-3</v>
      </c>
    </row>
    <row r="349" spans="1:18" x14ac:dyDescent="0.2">
      <c r="A349" s="13">
        <v>45539</v>
      </c>
      <c r="B349" s="14">
        <v>16.09</v>
      </c>
      <c r="C349" s="14">
        <v>11.54</v>
      </c>
      <c r="D349" s="14">
        <v>349.97</v>
      </c>
      <c r="E349" s="14">
        <v>33.119509999999998</v>
      </c>
      <c r="F349" s="14">
        <v>230.27</v>
      </c>
      <c r="G349" s="14">
        <v>125.93</v>
      </c>
      <c r="H349" s="14">
        <v>11.18</v>
      </c>
      <c r="I349" s="14">
        <v>62.078006999999999</v>
      </c>
      <c r="J349">
        <f t="shared" si="46"/>
        <v>0</v>
      </c>
      <c r="K349">
        <f t="shared" si="47"/>
        <v>-2.533783783783794E-2</v>
      </c>
      <c r="L349">
        <f t="shared" si="48"/>
        <v>1.7443381690263715E-2</v>
      </c>
      <c r="M349">
        <f t="shared" si="49"/>
        <v>-1.2688128993965986E-2</v>
      </c>
      <c r="N349">
        <f t="shared" si="50"/>
        <v>-2.1002508396751773E-2</v>
      </c>
      <c r="O349">
        <f t="shared" si="51"/>
        <v>2.0689106389750744E-3</v>
      </c>
      <c r="P349">
        <f t="shared" si="52"/>
        <v>8.9525514771704451E-4</v>
      </c>
      <c r="Q349">
        <f t="shared" si="53"/>
        <v>7.4638296214910582E-3</v>
      </c>
      <c r="R349" s="15">
        <f t="shared" si="54"/>
        <v>-5.207467497817646E-3</v>
      </c>
    </row>
    <row r="350" spans="1:18" x14ac:dyDescent="0.2">
      <c r="A350" s="11">
        <v>45538</v>
      </c>
      <c r="B350" s="12">
        <v>16.09</v>
      </c>
      <c r="C350" s="12">
        <v>11.84</v>
      </c>
      <c r="D350" s="12">
        <v>343.97</v>
      </c>
      <c r="E350" s="12">
        <v>33.545135000000002</v>
      </c>
      <c r="F350" s="12">
        <v>235.21</v>
      </c>
      <c r="G350" s="12">
        <v>125.67</v>
      </c>
      <c r="H350" s="12">
        <v>11.17</v>
      </c>
      <c r="I350" s="12">
        <v>61.618099999999998</v>
      </c>
      <c r="J350">
        <f t="shared" si="46"/>
        <v>-2.9553679131483657E-2</v>
      </c>
      <c r="K350">
        <f t="shared" si="47"/>
        <v>-1.0860484544695126E-2</v>
      </c>
      <c r="L350">
        <f t="shared" si="48"/>
        <v>-1.6863406408094361E-2</v>
      </c>
      <c r="M350">
        <f t="shared" si="49"/>
        <v>1.5278602737715197E-2</v>
      </c>
      <c r="N350">
        <f t="shared" si="50"/>
        <v>-1.5528210279591392E-2</v>
      </c>
      <c r="O350">
        <f t="shared" si="51"/>
        <v>-5.032872364543195E-2</v>
      </c>
      <c r="P350">
        <f t="shared" si="52"/>
        <v>1.7937219730941312E-3</v>
      </c>
      <c r="Q350">
        <f t="shared" si="53"/>
        <v>-2.508121567545607E-2</v>
      </c>
      <c r="R350" s="15">
        <f t="shared" si="54"/>
        <v>-1.6215992140697261E-2</v>
      </c>
    </row>
    <row r="351" spans="1:18" x14ac:dyDescent="0.2">
      <c r="A351" s="13">
        <v>45537</v>
      </c>
      <c r="B351" s="14">
        <v>16.579999999999998</v>
      </c>
      <c r="C351" s="14">
        <v>11.97</v>
      </c>
      <c r="D351" s="14">
        <v>349.87</v>
      </c>
      <c r="E351" s="14">
        <v>33.040325000000003</v>
      </c>
      <c r="F351" s="14">
        <v>238.92</v>
      </c>
      <c r="G351" s="14">
        <v>132.33000000000001</v>
      </c>
      <c r="H351" s="14">
        <v>11.15</v>
      </c>
      <c r="I351" s="14">
        <v>63.203316000000001</v>
      </c>
      <c r="J351">
        <f t="shared" si="46"/>
        <v>1.7177914110429349E-2</v>
      </c>
      <c r="K351">
        <f t="shared" si="47"/>
        <v>0</v>
      </c>
      <c r="L351">
        <f t="shared" si="48"/>
        <v>3.1539409926313322E-3</v>
      </c>
      <c r="M351">
        <f t="shared" si="49"/>
        <v>-9.4955881916486407E-3</v>
      </c>
      <c r="N351">
        <f t="shared" si="50"/>
        <v>1.0916476263010955E-2</v>
      </c>
      <c r="O351">
        <f t="shared" si="51"/>
        <v>6.0676498877845431E-2</v>
      </c>
      <c r="P351">
        <f t="shared" si="52"/>
        <v>-4.4642857142855874E-3</v>
      </c>
      <c r="Q351">
        <f t="shared" si="53"/>
        <v>2.9650857522206753E-2</v>
      </c>
      <c r="R351" s="15">
        <f t="shared" si="54"/>
        <v>1.3298412999180383E-2</v>
      </c>
    </row>
    <row r="352" spans="1:18" x14ac:dyDescent="0.2">
      <c r="A352" s="11">
        <v>45534</v>
      </c>
      <c r="B352" s="12">
        <v>16.3</v>
      </c>
      <c r="C352" s="12">
        <v>11.97</v>
      </c>
      <c r="D352" s="12">
        <v>348.77</v>
      </c>
      <c r="E352" s="12">
        <v>33.35707</v>
      </c>
      <c r="F352" s="12">
        <v>236.34</v>
      </c>
      <c r="G352" s="12">
        <v>124.76</v>
      </c>
      <c r="H352" s="12">
        <v>11.2</v>
      </c>
      <c r="I352" s="12">
        <v>61.383249999999997</v>
      </c>
      <c r="J352">
        <f t="shared" si="46"/>
        <v>-3.6674816625915652E-3</v>
      </c>
      <c r="K352">
        <f t="shared" si="47"/>
        <v>1.6736401673640433E-3</v>
      </c>
      <c r="L352">
        <f t="shared" si="48"/>
        <v>-1.1310806213856495E-2</v>
      </c>
      <c r="M352">
        <f t="shared" si="49"/>
        <v>-9.9882440617078405E-3</v>
      </c>
      <c r="N352">
        <f t="shared" si="50"/>
        <v>-2.405976953273381E-3</v>
      </c>
      <c r="O352">
        <f t="shared" si="51"/>
        <v>-7.3991566552629173E-3</v>
      </c>
      <c r="P352">
        <f t="shared" si="52"/>
        <v>-1.4951627088830244E-2</v>
      </c>
      <c r="Q352">
        <f t="shared" si="53"/>
        <v>2.9373145281165858E-2</v>
      </c>
      <c r="R352" s="15">
        <f t="shared" si="54"/>
        <v>-4.0985989003458571E-3</v>
      </c>
    </row>
    <row r="353" spans="1:18" x14ac:dyDescent="0.2">
      <c r="A353" s="13">
        <v>45533</v>
      </c>
      <c r="B353" s="14">
        <v>16.36</v>
      </c>
      <c r="C353" s="14">
        <v>11.95</v>
      </c>
      <c r="D353" s="14">
        <v>352.76</v>
      </c>
      <c r="E353" s="14">
        <v>33.69361</v>
      </c>
      <c r="F353" s="14">
        <v>236.91</v>
      </c>
      <c r="G353" s="14">
        <v>125.69</v>
      </c>
      <c r="H353" s="14">
        <v>11.37</v>
      </c>
      <c r="I353" s="14">
        <v>59.631680000000003</v>
      </c>
      <c r="J353">
        <f t="shared" si="46"/>
        <v>6.1162079510701517E-4</v>
      </c>
      <c r="K353">
        <f t="shared" si="47"/>
        <v>2.4871355060034128E-2</v>
      </c>
      <c r="L353">
        <f t="shared" si="48"/>
        <v>5.3297900928607644E-2</v>
      </c>
      <c r="M353">
        <f t="shared" si="49"/>
        <v>-1.3619174547133905E-2</v>
      </c>
      <c r="N353">
        <f t="shared" si="50"/>
        <v>-5.7912627470728673E-3</v>
      </c>
      <c r="O353">
        <f t="shared" si="51"/>
        <v>-6.2460468058191942E-3</v>
      </c>
      <c r="P353">
        <f t="shared" si="52"/>
        <v>4.4169611307418588E-3</v>
      </c>
      <c r="Q353">
        <f t="shared" si="53"/>
        <v>-2.7818642186037135E-3</v>
      </c>
      <c r="R353" s="15">
        <f t="shared" si="54"/>
        <v>6.3925236474410112E-3</v>
      </c>
    </row>
    <row r="354" spans="1:18" x14ac:dyDescent="0.2">
      <c r="A354" s="11">
        <v>45532</v>
      </c>
      <c r="B354" s="12">
        <v>16.350000000000001</v>
      </c>
      <c r="C354" s="12">
        <v>11.66</v>
      </c>
      <c r="D354" s="12">
        <v>334.91</v>
      </c>
      <c r="E354" s="12">
        <v>34.158825</v>
      </c>
      <c r="F354" s="12">
        <v>238.29</v>
      </c>
      <c r="G354" s="12">
        <v>126.48</v>
      </c>
      <c r="H354" s="12">
        <v>11.32</v>
      </c>
      <c r="I354" s="12">
        <v>59.798029999999997</v>
      </c>
      <c r="J354">
        <f t="shared" si="46"/>
        <v>-7.2859744990890762E-3</v>
      </c>
      <c r="K354">
        <f t="shared" si="47"/>
        <v>-1.2701100762066098E-2</v>
      </c>
      <c r="L354">
        <f t="shared" si="48"/>
        <v>8.4237107060766148E-2</v>
      </c>
      <c r="M354">
        <f t="shared" si="49"/>
        <v>-5.7620342296238469E-3</v>
      </c>
      <c r="N354">
        <f t="shared" si="50"/>
        <v>-3.5731628358692147E-2</v>
      </c>
      <c r="O354">
        <f t="shared" si="51"/>
        <v>4.9261083743843415E-3</v>
      </c>
      <c r="P354">
        <f t="shared" si="52"/>
        <v>6.2222222222223511E-3</v>
      </c>
      <c r="Q354">
        <f t="shared" si="53"/>
        <v>1.6974561890187312E-2</v>
      </c>
      <c r="R354" s="15">
        <f t="shared" si="54"/>
        <v>3.2116266689526359E-3</v>
      </c>
    </row>
    <row r="355" spans="1:18" x14ac:dyDescent="0.2">
      <c r="A355" s="13">
        <v>45531</v>
      </c>
      <c r="B355" s="14">
        <v>16.47</v>
      </c>
      <c r="C355" s="14">
        <v>11.81</v>
      </c>
      <c r="D355" s="14">
        <v>308.89</v>
      </c>
      <c r="E355" s="14">
        <v>34.356789999999997</v>
      </c>
      <c r="F355" s="14">
        <v>247.12</v>
      </c>
      <c r="G355" s="14">
        <v>125.86</v>
      </c>
      <c r="H355" s="14">
        <v>11.25</v>
      </c>
      <c r="I355" s="14">
        <v>58.799926999999997</v>
      </c>
      <c r="J355">
        <f t="shared" si="46"/>
        <v>-6.634499396863669E-3</v>
      </c>
      <c r="K355">
        <f t="shared" si="47"/>
        <v>-2.8782894736842035E-2</v>
      </c>
      <c r="L355">
        <f t="shared" si="48"/>
        <v>-2.0391982747684945E-2</v>
      </c>
      <c r="M355">
        <f t="shared" si="49"/>
        <v>2.7531105234787967E-2</v>
      </c>
      <c r="N355">
        <f t="shared" si="50"/>
        <v>-1.8897887883118858E-2</v>
      </c>
      <c r="O355">
        <f t="shared" si="51"/>
        <v>-7.1783545002760407E-3</v>
      </c>
      <c r="P355">
        <f t="shared" si="52"/>
        <v>8.0645161290322509E-3</v>
      </c>
      <c r="Q355">
        <f t="shared" si="53"/>
        <v>-4.4977723265644975E-2</v>
      </c>
      <c r="R355" s="15">
        <f t="shared" si="54"/>
        <v>-1.0866893036202717E-2</v>
      </c>
    </row>
    <row r="356" spans="1:18" x14ac:dyDescent="0.2">
      <c r="A356" s="11">
        <v>45530</v>
      </c>
      <c r="B356" s="12">
        <v>16.579999999999998</v>
      </c>
      <c r="C356" s="12">
        <v>12.16</v>
      </c>
      <c r="D356" s="12">
        <v>315.32</v>
      </c>
      <c r="E356" s="12">
        <v>33.436253000000001</v>
      </c>
      <c r="F356" s="12">
        <v>251.88</v>
      </c>
      <c r="G356" s="12">
        <v>126.77</v>
      </c>
      <c r="H356" s="12">
        <v>11.16</v>
      </c>
      <c r="I356" s="12">
        <v>61.569167999999998</v>
      </c>
      <c r="J356">
        <f t="shared" si="46"/>
        <v>3.024803387779551E-3</v>
      </c>
      <c r="K356">
        <f t="shared" si="47"/>
        <v>-2.7977617905675434E-2</v>
      </c>
      <c r="L356">
        <f t="shared" si="48"/>
        <v>-5.6133711762851313E-3</v>
      </c>
      <c r="M356">
        <f t="shared" si="49"/>
        <v>1.808314018846402E-2</v>
      </c>
      <c r="N356">
        <f t="shared" si="50"/>
        <v>4.025989556343923E-3</v>
      </c>
      <c r="O356">
        <f t="shared" si="51"/>
        <v>-2.2364463638466781E-2</v>
      </c>
      <c r="P356">
        <f t="shared" si="52"/>
        <v>-5.3475935828877219E-3</v>
      </c>
      <c r="Q356">
        <f t="shared" si="53"/>
        <v>-3.5856657555334182E-2</v>
      </c>
      <c r="R356" s="15">
        <f t="shared" si="54"/>
        <v>-7.9448662388651604E-3</v>
      </c>
    </row>
    <row r="357" spans="1:18" x14ac:dyDescent="0.2">
      <c r="A357" s="13">
        <v>45527</v>
      </c>
      <c r="B357" s="14">
        <v>16.53</v>
      </c>
      <c r="C357" s="14">
        <v>12.51</v>
      </c>
      <c r="D357" s="14">
        <v>317.10000000000002</v>
      </c>
      <c r="E357" s="14">
        <v>32.842359999999999</v>
      </c>
      <c r="F357" s="14">
        <v>250.87</v>
      </c>
      <c r="G357" s="14">
        <v>129.66999999999999</v>
      </c>
      <c r="H357" s="14">
        <v>11.22</v>
      </c>
      <c r="I357" s="14">
        <v>63.858936</v>
      </c>
      <c r="J357">
        <f t="shared" si="46"/>
        <v>5.4744525547445466E-3</v>
      </c>
      <c r="K357">
        <f t="shared" si="47"/>
        <v>8.058017727639033E-3</v>
      </c>
      <c r="L357">
        <f t="shared" si="48"/>
        <v>2.6280018124150484E-2</v>
      </c>
      <c r="M357">
        <f t="shared" si="49"/>
        <v>-5.0973886349571229E-3</v>
      </c>
      <c r="N357">
        <f t="shared" si="50"/>
        <v>2.9183657151996556E-3</v>
      </c>
      <c r="O357">
        <f t="shared" si="51"/>
        <v>1.0993294869795722E-2</v>
      </c>
      <c r="P357">
        <f t="shared" si="52"/>
        <v>4.7619047619047672E-2</v>
      </c>
      <c r="Q357">
        <f t="shared" si="53"/>
        <v>2.7658331606021935E-3</v>
      </c>
      <c r="R357" s="15">
        <f t="shared" si="54"/>
        <v>1.4487598182221385E-2</v>
      </c>
    </row>
    <row r="358" spans="1:18" x14ac:dyDescent="0.2">
      <c r="A358" s="11">
        <v>45526</v>
      </c>
      <c r="B358" s="12">
        <v>16.440000000000001</v>
      </c>
      <c r="C358" s="12">
        <v>12.41</v>
      </c>
      <c r="D358" s="12">
        <v>308.98</v>
      </c>
      <c r="E358" s="12">
        <v>33.010627999999997</v>
      </c>
      <c r="F358" s="12">
        <v>250.14</v>
      </c>
      <c r="G358" s="12">
        <v>128.26</v>
      </c>
      <c r="H358" s="12">
        <v>10.71</v>
      </c>
      <c r="I358" s="12">
        <v>63.6828</v>
      </c>
      <c r="J358">
        <f t="shared" si="46"/>
        <v>-2.4271844660194164E-3</v>
      </c>
      <c r="K358">
        <f t="shared" si="47"/>
        <v>0</v>
      </c>
      <c r="L358">
        <f t="shared" si="48"/>
        <v>1.16648305359357E-3</v>
      </c>
      <c r="M358">
        <f t="shared" si="49"/>
        <v>5.9989384325098705E-4</v>
      </c>
      <c r="N358">
        <f t="shared" si="50"/>
        <v>-3.3163265306122569E-2</v>
      </c>
      <c r="O358">
        <f t="shared" si="51"/>
        <v>-1.1559802712700407E-2</v>
      </c>
      <c r="P358">
        <f t="shared" si="52"/>
        <v>0</v>
      </c>
      <c r="Q358">
        <f t="shared" si="53"/>
        <v>-2.0174561889734322E-2</v>
      </c>
      <c r="R358" s="15">
        <f t="shared" si="54"/>
        <v>-1.0196829390200279E-2</v>
      </c>
    </row>
    <row r="359" spans="1:18" x14ac:dyDescent="0.2">
      <c r="A359" s="13">
        <v>45525</v>
      </c>
      <c r="B359" s="14">
        <v>16.48</v>
      </c>
      <c r="C359" s="14">
        <v>12.41</v>
      </c>
      <c r="D359" s="14">
        <v>308.62</v>
      </c>
      <c r="E359" s="14">
        <v>32.990836999999999</v>
      </c>
      <c r="F359" s="14">
        <v>258.72000000000003</v>
      </c>
      <c r="G359" s="14">
        <v>129.76</v>
      </c>
      <c r="H359" s="14">
        <v>10.71</v>
      </c>
      <c r="I359" s="14">
        <v>64.994026000000005</v>
      </c>
      <c r="J359">
        <f t="shared" si="46"/>
        <v>1.1663597298956496E-2</v>
      </c>
      <c r="K359">
        <f t="shared" si="47"/>
        <v>-5.608974358974339E-3</v>
      </c>
      <c r="L359">
        <f t="shared" si="48"/>
        <v>-1.4025111018817205E-2</v>
      </c>
      <c r="M359">
        <f t="shared" si="49"/>
        <v>-6.2610591693119666E-3</v>
      </c>
      <c r="N359">
        <f t="shared" si="50"/>
        <v>2.7359726799825346E-2</v>
      </c>
      <c r="O359">
        <f t="shared" si="51"/>
        <v>-1.1578305911029929E-2</v>
      </c>
      <c r="P359">
        <f t="shared" si="52"/>
        <v>1.4204545454545414E-2</v>
      </c>
      <c r="Q359">
        <f t="shared" si="53"/>
        <v>-2.1796733253313882E-2</v>
      </c>
      <c r="R359" s="15">
        <f t="shared" si="54"/>
        <v>2.8652058243599432E-3</v>
      </c>
    </row>
    <row r="360" spans="1:18" x14ac:dyDescent="0.2">
      <c r="A360" s="11">
        <v>45524</v>
      </c>
      <c r="B360" s="12">
        <v>16.29</v>
      </c>
      <c r="C360" s="12">
        <v>12.48</v>
      </c>
      <c r="D360" s="12">
        <v>313.01</v>
      </c>
      <c r="E360" s="12">
        <v>33.198695999999998</v>
      </c>
      <c r="F360" s="12">
        <v>251.83</v>
      </c>
      <c r="G360" s="12">
        <v>131.28</v>
      </c>
      <c r="H360" s="12">
        <v>10.56</v>
      </c>
      <c r="I360" s="12">
        <v>66.442250000000001</v>
      </c>
      <c r="J360">
        <f t="shared" si="46"/>
        <v>3.696857670979492E-3</v>
      </c>
      <c r="K360">
        <f t="shared" si="47"/>
        <v>6.4516129032257119E-3</v>
      </c>
      <c r="L360">
        <f t="shared" si="48"/>
        <v>1.7602253088395692E-3</v>
      </c>
      <c r="M360">
        <f t="shared" si="49"/>
        <v>-7.9858483025284643E-3</v>
      </c>
      <c r="N360">
        <f t="shared" si="50"/>
        <v>-7.7229205248432464E-3</v>
      </c>
      <c r="O360">
        <f t="shared" si="51"/>
        <v>-1.8173659412160648E-2</v>
      </c>
      <c r="P360">
        <f t="shared" si="52"/>
        <v>9.4786729857809782E-4</v>
      </c>
      <c r="Q360">
        <f t="shared" si="53"/>
        <v>-1.3081573680531533E-2</v>
      </c>
      <c r="R360" s="15">
        <f t="shared" si="54"/>
        <v>-4.5535873587374438E-3</v>
      </c>
    </row>
    <row r="361" spans="1:18" x14ac:dyDescent="0.2">
      <c r="A361" s="13">
        <v>45523</v>
      </c>
      <c r="B361" s="14">
        <v>16.23</v>
      </c>
      <c r="C361" s="14">
        <v>12.4</v>
      </c>
      <c r="D361" s="14">
        <v>312.45999999999998</v>
      </c>
      <c r="E361" s="14">
        <v>33.465949999999999</v>
      </c>
      <c r="F361" s="14">
        <v>253.79</v>
      </c>
      <c r="G361" s="14">
        <v>133.71</v>
      </c>
      <c r="H361" s="14">
        <v>10.55</v>
      </c>
      <c r="I361" s="14">
        <v>67.322940000000003</v>
      </c>
      <c r="J361">
        <f t="shared" si="46"/>
        <v>1.1845386533665847E-2</v>
      </c>
      <c r="K361">
        <f t="shared" si="47"/>
        <v>-8.058017727639033E-4</v>
      </c>
      <c r="L361">
        <f t="shared" si="48"/>
        <v>3.3717607013261652E-3</v>
      </c>
      <c r="M361">
        <f t="shared" si="49"/>
        <v>-4.1237598731860281E-3</v>
      </c>
      <c r="N361">
        <f t="shared" si="50"/>
        <v>1.4672956980649188E-2</v>
      </c>
      <c r="O361">
        <f t="shared" si="51"/>
        <v>1.2111119521610814E-2</v>
      </c>
      <c r="P361">
        <f t="shared" si="52"/>
        <v>3.8058991436726863E-3</v>
      </c>
      <c r="Q361">
        <f t="shared" si="53"/>
        <v>-1.0071829297959134E-2</v>
      </c>
      <c r="R361" s="15">
        <f t="shared" si="54"/>
        <v>5.5105998328111062E-3</v>
      </c>
    </row>
    <row r="362" spans="1:18" x14ac:dyDescent="0.2">
      <c r="A362" s="11">
        <v>45520</v>
      </c>
      <c r="B362" s="12">
        <v>16.04</v>
      </c>
      <c r="C362" s="12">
        <v>12.41</v>
      </c>
      <c r="D362" s="12">
        <v>311.41000000000003</v>
      </c>
      <c r="E362" s="12">
        <v>33.604526999999997</v>
      </c>
      <c r="F362" s="12">
        <v>250.12</v>
      </c>
      <c r="G362" s="12">
        <v>132.11000000000001</v>
      </c>
      <c r="H362" s="12">
        <v>10.51</v>
      </c>
      <c r="I362" s="12">
        <v>68.007903999999996</v>
      </c>
      <c r="J362">
        <f t="shared" si="46"/>
        <v>-1.2453300124533051E-3</v>
      </c>
      <c r="K362">
        <f t="shared" si="47"/>
        <v>-2.6666666666666616E-2</v>
      </c>
      <c r="L362">
        <f t="shared" si="48"/>
        <v>2.145176632663115E-2</v>
      </c>
      <c r="M362">
        <f t="shared" si="49"/>
        <v>2.0662147718297774E-3</v>
      </c>
      <c r="N362">
        <f t="shared" si="50"/>
        <v>-2.2930583225907242E-2</v>
      </c>
      <c r="O362">
        <f t="shared" si="51"/>
        <v>1.8895573037174263E-2</v>
      </c>
      <c r="P362">
        <f t="shared" si="52"/>
        <v>-6.6162570888469441E-3</v>
      </c>
      <c r="Q362">
        <f t="shared" si="53"/>
        <v>-1.1941923756497275E-2</v>
      </c>
      <c r="R362" s="15">
        <f t="shared" si="54"/>
        <v>-4.5229483035290601E-3</v>
      </c>
    </row>
    <row r="363" spans="1:18" x14ac:dyDescent="0.2">
      <c r="A363" s="13">
        <v>45519</v>
      </c>
      <c r="B363" s="14">
        <v>16.059999999999999</v>
      </c>
      <c r="C363" s="14">
        <v>12.75</v>
      </c>
      <c r="D363" s="14">
        <v>304.87</v>
      </c>
      <c r="E363" s="14">
        <v>33.535235999999998</v>
      </c>
      <c r="F363" s="14">
        <v>255.99</v>
      </c>
      <c r="G363" s="14">
        <v>129.66</v>
      </c>
      <c r="H363" s="14">
        <v>10.58</v>
      </c>
      <c r="I363" s="14">
        <v>68.829864999999998</v>
      </c>
      <c r="J363">
        <f t="shared" si="46"/>
        <v>-3.7220843672457482E-3</v>
      </c>
      <c r="K363">
        <f t="shared" si="47"/>
        <v>6.25E-2</v>
      </c>
      <c r="L363">
        <f t="shared" si="48"/>
        <v>3.1918394208623191E-3</v>
      </c>
      <c r="M363">
        <f t="shared" si="49"/>
        <v>3.554415997385707E-3</v>
      </c>
      <c r="N363">
        <f t="shared" si="50"/>
        <v>1.5631819083515186E-2</v>
      </c>
      <c r="O363">
        <f t="shared" si="51"/>
        <v>1.2336039975015423E-2</v>
      </c>
      <c r="P363">
        <f t="shared" si="52"/>
        <v>2.8436018957345155E-3</v>
      </c>
      <c r="Q363">
        <f t="shared" si="53"/>
        <v>4.2661018491796376E-4</v>
      </c>
      <c r="R363" s="15">
        <f t="shared" si="54"/>
        <v>1.2807420161997186E-2</v>
      </c>
    </row>
    <row r="364" spans="1:18" x14ac:dyDescent="0.2">
      <c r="A364" s="11">
        <v>45518</v>
      </c>
      <c r="B364" s="12">
        <v>16.12</v>
      </c>
      <c r="C364" s="12">
        <v>12</v>
      </c>
      <c r="D364" s="12">
        <v>303.89999999999998</v>
      </c>
      <c r="E364" s="12">
        <v>33.416460000000001</v>
      </c>
      <c r="F364" s="12">
        <v>252.05</v>
      </c>
      <c r="G364" s="12">
        <v>128.08000000000001</v>
      </c>
      <c r="H364" s="12">
        <v>10.55</v>
      </c>
      <c r="I364" s="12">
        <v>68.800514000000007</v>
      </c>
      <c r="J364">
        <f t="shared" si="46"/>
        <v>5.6144728633811258E-3</v>
      </c>
      <c r="K364">
        <f t="shared" si="47"/>
        <v>-3.3222591362125353E-3</v>
      </c>
      <c r="L364">
        <f t="shared" si="48"/>
        <v>3.1689443454148147E-3</v>
      </c>
      <c r="M364">
        <f t="shared" si="49"/>
        <v>1.1384119254274738E-2</v>
      </c>
      <c r="N364">
        <f t="shared" si="50"/>
        <v>6.9916100679185966E-3</v>
      </c>
      <c r="O364">
        <f t="shared" si="51"/>
        <v>-2.8804982483454644E-3</v>
      </c>
      <c r="P364">
        <f t="shared" si="52"/>
        <v>-6.5913370998115228E-3</v>
      </c>
      <c r="Q364">
        <f t="shared" si="53"/>
        <v>1.7096493474595409E-3</v>
      </c>
      <c r="R364" s="15">
        <f t="shared" si="54"/>
        <v>1.5697663787449601E-3</v>
      </c>
    </row>
    <row r="365" spans="1:18" x14ac:dyDescent="0.2">
      <c r="A365" s="13">
        <v>45517</v>
      </c>
      <c r="B365" s="14">
        <v>16.03</v>
      </c>
      <c r="C365" s="14">
        <v>12.04</v>
      </c>
      <c r="D365" s="14">
        <v>302.94</v>
      </c>
      <c r="E365" s="14">
        <v>33.040325000000003</v>
      </c>
      <c r="F365" s="14">
        <v>250.3</v>
      </c>
      <c r="G365" s="14">
        <v>128.44999999999999</v>
      </c>
      <c r="H365" s="14">
        <v>10.62</v>
      </c>
      <c r="I365" s="14">
        <v>68.683090000000007</v>
      </c>
      <c r="J365">
        <f t="shared" si="46"/>
        <v>-9.8826436071649537E-3</v>
      </c>
      <c r="K365">
        <f t="shared" si="47"/>
        <v>1.1764705882352899E-2</v>
      </c>
      <c r="L365">
        <f t="shared" si="48"/>
        <v>3.7572353323971575E-2</v>
      </c>
      <c r="M365">
        <f t="shared" si="49"/>
        <v>9.0688560557889986E-3</v>
      </c>
      <c r="N365">
        <f t="shared" si="50"/>
        <v>3.5709852277899801E-2</v>
      </c>
      <c r="O365">
        <f t="shared" si="51"/>
        <v>1.1417322834645471E-2</v>
      </c>
      <c r="P365">
        <f t="shared" si="52"/>
        <v>4.219823356231589E-2</v>
      </c>
      <c r="Q365">
        <f t="shared" si="53"/>
        <v>2.752161954537069E-2</v>
      </c>
      <c r="R365" s="15">
        <f t="shared" si="54"/>
        <v>2.4301309046815905E-2</v>
      </c>
    </row>
    <row r="366" spans="1:18" x14ac:dyDescent="0.2">
      <c r="A366" s="11">
        <v>45516</v>
      </c>
      <c r="B366" s="12">
        <v>16.190000000000001</v>
      </c>
      <c r="C366" s="12">
        <v>11.9</v>
      </c>
      <c r="D366" s="12">
        <v>291.97000000000003</v>
      </c>
      <c r="E366" s="12">
        <v>32.743380000000002</v>
      </c>
      <c r="F366" s="12">
        <v>241.67</v>
      </c>
      <c r="G366" s="12">
        <v>127</v>
      </c>
      <c r="H366" s="12">
        <v>10.19</v>
      </c>
      <c r="I366" s="12">
        <v>66.843450000000004</v>
      </c>
      <c r="J366">
        <f t="shared" si="46"/>
        <v>1.2368583797155441E-3</v>
      </c>
      <c r="K366">
        <f t="shared" si="47"/>
        <v>-7.5062552126772264E-3</v>
      </c>
      <c r="L366">
        <f t="shared" si="48"/>
        <v>7.2098799503244049E-3</v>
      </c>
      <c r="M366">
        <f t="shared" si="49"/>
        <v>-7.2027675141036474E-3</v>
      </c>
      <c r="N366">
        <f t="shared" si="50"/>
        <v>-2.6412446865585748E-3</v>
      </c>
      <c r="O366">
        <f t="shared" si="51"/>
        <v>-3.9215686274509665E-3</v>
      </c>
      <c r="P366">
        <f t="shared" si="52"/>
        <v>-2.1133525456292102E-2</v>
      </c>
      <c r="Q366">
        <f t="shared" si="53"/>
        <v>7.3247021368905152E-4</v>
      </c>
      <c r="R366" s="15">
        <f t="shared" si="54"/>
        <v>-5.1475855877426207E-3</v>
      </c>
    </row>
    <row r="367" spans="1:18" x14ac:dyDescent="0.2">
      <c r="A367" s="13">
        <v>45513</v>
      </c>
      <c r="B367" s="14">
        <v>16.170000000000002</v>
      </c>
      <c r="C367" s="14">
        <v>11.99</v>
      </c>
      <c r="D367" s="14">
        <v>289.88</v>
      </c>
      <c r="E367" s="14">
        <v>32.980933999999998</v>
      </c>
      <c r="F367" s="14">
        <v>242.31</v>
      </c>
      <c r="G367" s="14">
        <v>127.5</v>
      </c>
      <c r="H367" s="14">
        <v>10.41</v>
      </c>
      <c r="I367" s="14">
        <v>66.794524999999993</v>
      </c>
      <c r="J367">
        <f t="shared" si="46"/>
        <v>9.3632958801499466E-3</v>
      </c>
      <c r="K367">
        <f t="shared" si="47"/>
        <v>-3.3250207813798616E-3</v>
      </c>
      <c r="L367">
        <f t="shared" si="48"/>
        <v>-5.9666689527467787E-3</v>
      </c>
      <c r="M367">
        <f t="shared" si="49"/>
        <v>-2.9922686023586831E-3</v>
      </c>
      <c r="N367">
        <f t="shared" si="50"/>
        <v>-1.307429130009774E-2</v>
      </c>
      <c r="O367">
        <f t="shared" si="51"/>
        <v>6.0759094137141645E-3</v>
      </c>
      <c r="P367">
        <f t="shared" si="52"/>
        <v>9.6153846153845812E-4</v>
      </c>
      <c r="Q367">
        <f t="shared" si="53"/>
        <v>-1.2156280220993465E-2</v>
      </c>
      <c r="R367" s="15">
        <f t="shared" si="54"/>
        <v>-3.3060077984001651E-3</v>
      </c>
    </row>
    <row r="368" spans="1:18" x14ac:dyDescent="0.2">
      <c r="A368" s="11">
        <v>45512</v>
      </c>
      <c r="B368" s="12">
        <v>16.02</v>
      </c>
      <c r="C368" s="12">
        <v>12.03</v>
      </c>
      <c r="D368" s="12">
        <v>291.62</v>
      </c>
      <c r="E368" s="12">
        <v>33.079917999999999</v>
      </c>
      <c r="F368" s="12">
        <v>245.52</v>
      </c>
      <c r="G368" s="12">
        <v>126.73</v>
      </c>
      <c r="H368" s="12">
        <v>10.4</v>
      </c>
      <c r="I368" s="12">
        <v>67.616489999999999</v>
      </c>
      <c r="J368">
        <f t="shared" si="46"/>
        <v>-6.8195908245505255E-3</v>
      </c>
      <c r="K368">
        <f t="shared" si="47"/>
        <v>5.0125313283206907E-3</v>
      </c>
      <c r="L368">
        <f t="shared" si="48"/>
        <v>7.5665964136406583E-3</v>
      </c>
      <c r="M368">
        <f t="shared" si="49"/>
        <v>5.7177689914067464E-3</v>
      </c>
      <c r="N368">
        <f t="shared" si="50"/>
        <v>-1.8700707374582626E-3</v>
      </c>
      <c r="O368">
        <f t="shared" si="51"/>
        <v>1.6598166297818739E-3</v>
      </c>
      <c r="P368">
        <f t="shared" si="52"/>
        <v>-1.9193857965450478E-3</v>
      </c>
      <c r="Q368">
        <f t="shared" si="53"/>
        <v>2.3097449870615794E-2</v>
      </c>
      <c r="R368" s="15">
        <f t="shared" si="54"/>
        <v>2.7895618365545525E-3</v>
      </c>
    </row>
    <row r="369" spans="1:18" x14ac:dyDescent="0.2">
      <c r="A369" s="13">
        <v>45511</v>
      </c>
      <c r="B369" s="14">
        <v>16.13</v>
      </c>
      <c r="C369" s="14">
        <v>11.97</v>
      </c>
      <c r="D369" s="14">
        <v>289.43</v>
      </c>
      <c r="E369" s="14">
        <v>32.891849999999998</v>
      </c>
      <c r="F369" s="14">
        <v>245.98</v>
      </c>
      <c r="G369" s="14">
        <v>126.52</v>
      </c>
      <c r="H369" s="14">
        <v>10.42</v>
      </c>
      <c r="I369" s="14">
        <v>66.089979999999997</v>
      </c>
      <c r="J369">
        <f t="shared" si="46"/>
        <v>1.510383889238498E-2</v>
      </c>
      <c r="K369">
        <f t="shared" si="47"/>
        <v>0</v>
      </c>
      <c r="L369">
        <f t="shared" si="48"/>
        <v>-1.0935310802036691E-2</v>
      </c>
      <c r="M369">
        <f t="shared" si="49"/>
        <v>-3.2993813591771781E-3</v>
      </c>
      <c r="N369">
        <f t="shared" si="50"/>
        <v>-3.0162047076449983E-2</v>
      </c>
      <c r="O369">
        <f t="shared" si="51"/>
        <v>1.4269680936347617E-2</v>
      </c>
      <c r="P369">
        <f t="shared" si="52"/>
        <v>-1.883239171374762E-2</v>
      </c>
      <c r="Q369">
        <f t="shared" si="53"/>
        <v>7.0703729108796409E-2</v>
      </c>
      <c r="R369" s="15">
        <f t="shared" si="54"/>
        <v>-2.2823573247787625E-3</v>
      </c>
    </row>
    <row r="370" spans="1:18" x14ac:dyDescent="0.2">
      <c r="A370" s="11">
        <v>45510</v>
      </c>
      <c r="B370" s="12">
        <v>15.89</v>
      </c>
      <c r="C370" s="12">
        <v>11.97</v>
      </c>
      <c r="D370" s="12">
        <v>292.63</v>
      </c>
      <c r="E370" s="12">
        <v>33.000731999999999</v>
      </c>
      <c r="F370" s="12">
        <v>253.63</v>
      </c>
      <c r="G370" s="12">
        <v>124.74</v>
      </c>
      <c r="H370" s="12">
        <v>10.62</v>
      </c>
      <c r="I370" s="12">
        <v>61.725740000000002</v>
      </c>
      <c r="J370">
        <f t="shared" si="46"/>
        <v>1.5984654731457715E-2</v>
      </c>
      <c r="K370">
        <f t="shared" si="47"/>
        <v>3.0120481927710996E-2</v>
      </c>
      <c r="L370">
        <f t="shared" si="48"/>
        <v>-7.6975245846049312E-3</v>
      </c>
      <c r="M370">
        <f t="shared" si="49"/>
        <v>5.1251718573630534E-3</v>
      </c>
      <c r="N370">
        <f t="shared" si="50"/>
        <v>-1.0571896699695604E-2</v>
      </c>
      <c r="O370">
        <f t="shared" si="51"/>
        <v>1.203948952564371E-3</v>
      </c>
      <c r="P370">
        <f t="shared" si="52"/>
        <v>1.3358778625954137E-2</v>
      </c>
      <c r="Q370">
        <f t="shared" si="53"/>
        <v>1.9392418024326563E-2</v>
      </c>
      <c r="R370" s="15">
        <f t="shared" si="54"/>
        <v>5.9004282623561742E-3</v>
      </c>
    </row>
    <row r="371" spans="1:18" x14ac:dyDescent="0.2">
      <c r="A371" s="13">
        <v>45509</v>
      </c>
      <c r="B371" s="14">
        <v>15.64</v>
      </c>
      <c r="C371" s="14">
        <v>11.62</v>
      </c>
      <c r="D371" s="14">
        <v>294.89999999999998</v>
      </c>
      <c r="E371" s="14">
        <v>32.832459999999998</v>
      </c>
      <c r="F371" s="14">
        <v>256.33999999999997</v>
      </c>
      <c r="G371" s="14">
        <v>124.59</v>
      </c>
      <c r="H371" s="14">
        <v>10.48</v>
      </c>
      <c r="I371" s="14">
        <v>60.551499999999997</v>
      </c>
      <c r="J371">
        <f t="shared" si="46"/>
        <v>-2.5510204081632404E-3</v>
      </c>
      <c r="K371">
        <f t="shared" si="47"/>
        <v>1.7241379310344307E-3</v>
      </c>
      <c r="L371">
        <f t="shared" si="48"/>
        <v>5.3523335492449142E-3</v>
      </c>
      <c r="M371">
        <f t="shared" si="49"/>
        <v>-1.6602536963374548E-2</v>
      </c>
      <c r="N371">
        <f t="shared" si="50"/>
        <v>-4.8266132026435038E-2</v>
      </c>
      <c r="O371">
        <f t="shared" si="51"/>
        <v>-3.8063619518221126E-2</v>
      </c>
      <c r="P371">
        <f t="shared" si="52"/>
        <v>-1.5962441314553932E-2</v>
      </c>
      <c r="Q371">
        <f t="shared" si="53"/>
        <v>7.3254284229418154E-3</v>
      </c>
      <c r="R371" s="15">
        <f t="shared" si="54"/>
        <v>-1.8458749968774731E-2</v>
      </c>
    </row>
    <row r="372" spans="1:18" x14ac:dyDescent="0.2">
      <c r="A372" s="11">
        <v>45506</v>
      </c>
      <c r="B372" s="12">
        <v>15.68</v>
      </c>
      <c r="C372" s="12">
        <v>11.6</v>
      </c>
      <c r="D372" s="12">
        <v>293.33</v>
      </c>
      <c r="E372" s="12">
        <v>33.386764999999997</v>
      </c>
      <c r="F372" s="12">
        <v>269.33999999999997</v>
      </c>
      <c r="G372" s="12">
        <v>129.52000000000001</v>
      </c>
      <c r="H372" s="12">
        <v>10.65</v>
      </c>
      <c r="I372" s="12">
        <v>60.111159999999998</v>
      </c>
      <c r="J372">
        <f t="shared" si="46"/>
        <v>1.226597805035512E-2</v>
      </c>
      <c r="K372">
        <f t="shared" si="47"/>
        <v>-1.4443500424808797E-2</v>
      </c>
      <c r="L372">
        <f t="shared" si="48"/>
        <v>-1.04243978139128E-2</v>
      </c>
      <c r="M372">
        <f t="shared" si="49"/>
        <v>-2.1183879497145286E-2</v>
      </c>
      <c r="N372">
        <f t="shared" si="50"/>
        <v>1.4577918408859469E-2</v>
      </c>
      <c r="O372">
        <f t="shared" si="51"/>
        <v>-1.2127221417130629E-2</v>
      </c>
      <c r="P372">
        <f t="shared" si="52"/>
        <v>-3.3575317604355615E-2</v>
      </c>
      <c r="Q372">
        <f t="shared" si="53"/>
        <v>-1.285555522675097E-2</v>
      </c>
      <c r="R372" s="15">
        <f t="shared" si="54"/>
        <v>-9.1376802385315023E-3</v>
      </c>
    </row>
    <row r="373" spans="1:18" x14ac:dyDescent="0.2">
      <c r="A373" s="13">
        <v>45505</v>
      </c>
      <c r="B373" s="14">
        <v>15.49</v>
      </c>
      <c r="C373" s="14">
        <v>11.77</v>
      </c>
      <c r="D373" s="14">
        <v>296.42</v>
      </c>
      <c r="E373" s="14">
        <v>34.109332999999999</v>
      </c>
      <c r="F373" s="14">
        <v>265.47000000000003</v>
      </c>
      <c r="G373" s="14">
        <v>131.11000000000001</v>
      </c>
      <c r="H373" s="14">
        <v>11.02</v>
      </c>
      <c r="I373" s="14">
        <v>60.893985999999998</v>
      </c>
      <c r="J373">
        <f t="shared" si="46"/>
        <v>-4.4987146529563704E-3</v>
      </c>
      <c r="K373">
        <f t="shared" si="47"/>
        <v>-2.2425249169435224E-2</v>
      </c>
      <c r="L373">
        <f t="shared" si="48"/>
        <v>-2.7922624053826617E-3</v>
      </c>
      <c r="M373">
        <f t="shared" si="49"/>
        <v>-6.0571090948107198E-3</v>
      </c>
      <c r="N373">
        <f t="shared" si="50"/>
        <v>-2.4652803291939085E-2</v>
      </c>
      <c r="O373">
        <f t="shared" si="51"/>
        <v>-3.0394911995266893E-2</v>
      </c>
      <c r="P373">
        <f t="shared" si="52"/>
        <v>-3.9232781168265118E-2</v>
      </c>
      <c r="Q373">
        <f t="shared" si="53"/>
        <v>4.8234912402644881E-4</v>
      </c>
      <c r="R373" s="15">
        <f t="shared" si="54"/>
        <v>-1.9770247127380798E-2</v>
      </c>
    </row>
    <row r="374" spans="1:18" x14ac:dyDescent="0.2">
      <c r="A374" s="11">
        <v>45504</v>
      </c>
      <c r="B374" s="12">
        <v>15.56</v>
      </c>
      <c r="C374" s="12">
        <v>12.04</v>
      </c>
      <c r="D374" s="12">
        <v>297.25</v>
      </c>
      <c r="E374" s="12">
        <v>34.317196000000003</v>
      </c>
      <c r="F374" s="12">
        <v>272.18</v>
      </c>
      <c r="G374" s="12">
        <v>135.22</v>
      </c>
      <c r="H374" s="12">
        <v>11.47</v>
      </c>
      <c r="I374" s="12">
        <v>60.864628000000003</v>
      </c>
      <c r="J374">
        <f t="shared" si="46"/>
        <v>4.5190445448677341E-3</v>
      </c>
      <c r="K374">
        <f t="shared" si="47"/>
        <v>2.120441051738764E-2</v>
      </c>
      <c r="L374">
        <f t="shared" si="48"/>
        <v>2.4787974901744558E-2</v>
      </c>
      <c r="M374">
        <f t="shared" si="49"/>
        <v>-6.8748857610221314E-3</v>
      </c>
      <c r="N374">
        <f t="shared" si="50"/>
        <v>7.05632473253619E-2</v>
      </c>
      <c r="O374">
        <f t="shared" si="51"/>
        <v>3.7360951285001942E-2</v>
      </c>
      <c r="P374">
        <f t="shared" si="52"/>
        <v>-6.0658578856150891E-3</v>
      </c>
      <c r="Q374">
        <f t="shared" si="53"/>
        <v>5.0853179210711641E-2</v>
      </c>
      <c r="R374" s="15">
        <f t="shared" si="54"/>
        <v>2.8135699604748047E-2</v>
      </c>
    </row>
    <row r="375" spans="1:18" x14ac:dyDescent="0.2">
      <c r="A375" s="13">
        <v>45503</v>
      </c>
      <c r="B375" s="14">
        <v>15.49</v>
      </c>
      <c r="C375" s="14">
        <v>11.79</v>
      </c>
      <c r="D375" s="14">
        <v>290.06</v>
      </c>
      <c r="E375" s="14">
        <v>34.554755999999998</v>
      </c>
      <c r="F375" s="14">
        <v>254.24</v>
      </c>
      <c r="G375" s="14">
        <v>130.35</v>
      </c>
      <c r="H375" s="14">
        <v>11.54</v>
      </c>
      <c r="I375" s="14">
        <v>57.919249999999998</v>
      </c>
      <c r="J375">
        <f t="shared" si="46"/>
        <v>-5.138086062941527E-3</v>
      </c>
      <c r="K375">
        <f t="shared" si="47"/>
        <v>-1.0906040268456429E-2</v>
      </c>
      <c r="L375">
        <f t="shared" si="48"/>
        <v>8.0978695304625425E-3</v>
      </c>
      <c r="M375">
        <f t="shared" si="49"/>
        <v>1.3646884058863717E-2</v>
      </c>
      <c r="N375">
        <f t="shared" si="50"/>
        <v>6.0543706224525096E-3</v>
      </c>
      <c r="O375">
        <f t="shared" si="51"/>
        <v>4.0825758742875085E-3</v>
      </c>
      <c r="P375">
        <f t="shared" si="52"/>
        <v>-1.7035775127768438E-2</v>
      </c>
      <c r="Q375">
        <f t="shared" si="53"/>
        <v>-7.378842266548169E-3</v>
      </c>
      <c r="R375" s="15">
        <f t="shared" si="54"/>
        <v>-1.0541581055414995E-3</v>
      </c>
    </row>
    <row r="376" spans="1:18" x14ac:dyDescent="0.2">
      <c r="A376" s="11">
        <v>45502</v>
      </c>
      <c r="B376" s="12">
        <v>15.57</v>
      </c>
      <c r="C376" s="12">
        <v>11.92</v>
      </c>
      <c r="D376" s="12">
        <v>287.73</v>
      </c>
      <c r="E376" s="12">
        <v>34.08954</v>
      </c>
      <c r="F376" s="12">
        <v>252.71</v>
      </c>
      <c r="G376" s="12">
        <v>129.82</v>
      </c>
      <c r="H376" s="12">
        <v>11.74</v>
      </c>
      <c r="I376" s="12">
        <v>58.349803999999999</v>
      </c>
      <c r="J376">
        <f t="shared" si="46"/>
        <v>-3.8387715930902067E-3</v>
      </c>
      <c r="K376">
        <f t="shared" si="47"/>
        <v>3.3670033670032407E-3</v>
      </c>
      <c r="L376">
        <f t="shared" si="48"/>
        <v>-2.3419203747072515E-2</v>
      </c>
      <c r="M376">
        <f t="shared" si="49"/>
        <v>-1.2614690956537999E-2</v>
      </c>
      <c r="N376">
        <f t="shared" si="50"/>
        <v>1.9526364626618831E-2</v>
      </c>
      <c r="O376">
        <f t="shared" si="51"/>
        <v>-3.0542901949070278E-2</v>
      </c>
      <c r="P376">
        <f t="shared" si="52"/>
        <v>-8.4459459459459429E-3</v>
      </c>
      <c r="Q376">
        <f t="shared" si="53"/>
        <v>1.1752824966673181E-3</v>
      </c>
      <c r="R376" s="15">
        <f t="shared" si="54"/>
        <v>-5.3996159051712921E-3</v>
      </c>
    </row>
    <row r="377" spans="1:18" x14ac:dyDescent="0.2">
      <c r="A377" s="13">
        <v>45499</v>
      </c>
      <c r="B377" s="14">
        <v>15.63</v>
      </c>
      <c r="C377" s="14">
        <v>11.88</v>
      </c>
      <c r="D377" s="14">
        <v>294.63</v>
      </c>
      <c r="E377" s="14">
        <v>34.525063000000003</v>
      </c>
      <c r="F377" s="14">
        <v>247.87</v>
      </c>
      <c r="G377" s="14">
        <v>133.91</v>
      </c>
      <c r="H377" s="14">
        <v>11.84</v>
      </c>
      <c r="I377" s="14">
        <v>58.281306999999998</v>
      </c>
      <c r="J377">
        <f t="shared" si="46"/>
        <v>-1.2010113780025256E-2</v>
      </c>
      <c r="K377">
        <f t="shared" si="47"/>
        <v>1.5384615384615552E-2</v>
      </c>
      <c r="L377">
        <f t="shared" si="48"/>
        <v>5.1514737991265047E-3</v>
      </c>
      <c r="M377">
        <f t="shared" si="49"/>
        <v>1.7503054124521134E-2</v>
      </c>
      <c r="N377">
        <f t="shared" si="50"/>
        <v>1.4322543683758182E-2</v>
      </c>
      <c r="O377">
        <f t="shared" si="51"/>
        <v>1.0107867541676141E-2</v>
      </c>
      <c r="P377">
        <f t="shared" si="52"/>
        <v>1.3698630136986356E-2</v>
      </c>
      <c r="Q377">
        <f t="shared" si="53"/>
        <v>1.3450332527407127E-3</v>
      </c>
      <c r="R377" s="15">
        <f t="shared" si="54"/>
        <v>9.7841557299385897E-3</v>
      </c>
    </row>
    <row r="378" spans="1:18" x14ac:dyDescent="0.2">
      <c r="A378" s="11">
        <v>45498</v>
      </c>
      <c r="B378" s="12">
        <v>15.82</v>
      </c>
      <c r="C378" s="12">
        <v>11.7</v>
      </c>
      <c r="D378" s="12">
        <v>293.12</v>
      </c>
      <c r="E378" s="12">
        <v>33.931164000000003</v>
      </c>
      <c r="F378" s="12">
        <v>244.37</v>
      </c>
      <c r="G378" s="12">
        <v>132.57</v>
      </c>
      <c r="H378" s="12">
        <v>11.68</v>
      </c>
      <c r="I378" s="12">
        <v>58.203021999999997</v>
      </c>
      <c r="J378">
        <f t="shared" si="46"/>
        <v>4.4444444444444731E-3</v>
      </c>
      <c r="K378">
        <f t="shared" si="47"/>
        <v>2.8119507908611396E-2</v>
      </c>
      <c r="L378">
        <f t="shared" si="48"/>
        <v>-2.149819735612235E-2</v>
      </c>
      <c r="M378">
        <f t="shared" si="49"/>
        <v>-2.2247669741404352E-2</v>
      </c>
      <c r="N378">
        <f t="shared" si="50"/>
        <v>-2.1188816790835507E-2</v>
      </c>
      <c r="O378">
        <f t="shared" si="51"/>
        <v>-2.0828717039663158E-2</v>
      </c>
      <c r="P378">
        <f t="shared" si="52"/>
        <v>5.2252252252252163E-2</v>
      </c>
      <c r="Q378">
        <f t="shared" si="53"/>
        <v>-1.1467536122446775E-2</v>
      </c>
      <c r="R378" s="15">
        <f t="shared" si="54"/>
        <v>-5.3356445249943608E-4</v>
      </c>
    </row>
    <row r="379" spans="1:18" x14ac:dyDescent="0.2">
      <c r="A379" s="13">
        <v>45497</v>
      </c>
      <c r="B379" s="14">
        <v>15.75</v>
      </c>
      <c r="C379" s="14">
        <v>11.38</v>
      </c>
      <c r="D379" s="14">
        <v>299.56</v>
      </c>
      <c r="E379" s="14">
        <v>34.703229999999998</v>
      </c>
      <c r="F379" s="14">
        <v>249.66</v>
      </c>
      <c r="G379" s="14">
        <v>135.38999999999999</v>
      </c>
      <c r="H379" s="14">
        <v>11.1</v>
      </c>
      <c r="I379" s="14">
        <v>58.878210000000003</v>
      </c>
      <c r="J379">
        <f t="shared" si="46"/>
        <v>0</v>
      </c>
      <c r="K379">
        <f t="shared" si="47"/>
        <v>-3.4775233248515502E-2</v>
      </c>
      <c r="L379">
        <f t="shared" si="48"/>
        <v>1.2027027027027071E-2</v>
      </c>
      <c r="M379">
        <f t="shared" si="49"/>
        <v>-8.7644770826684759E-3</v>
      </c>
      <c r="N379">
        <f t="shared" si="50"/>
        <v>1.1957358842365373E-2</v>
      </c>
      <c r="O379">
        <f t="shared" si="51"/>
        <v>-1.6775599128540319E-2</v>
      </c>
      <c r="P379">
        <f t="shared" si="52"/>
        <v>-4.3927648578811374E-2</v>
      </c>
      <c r="Q379">
        <f t="shared" si="53"/>
        <v>-2.51134631552552E-2</v>
      </c>
      <c r="R379" s="15">
        <f t="shared" si="54"/>
        <v>-1.2485151183450886E-2</v>
      </c>
    </row>
    <row r="380" spans="1:18" x14ac:dyDescent="0.2">
      <c r="A380" s="11">
        <v>45496</v>
      </c>
      <c r="B380" s="12">
        <v>15.75</v>
      </c>
      <c r="C380" s="12">
        <v>11.79</v>
      </c>
      <c r="D380" s="12">
        <v>296</v>
      </c>
      <c r="E380" s="12">
        <v>35.010075000000001</v>
      </c>
      <c r="F380" s="12">
        <v>246.71</v>
      </c>
      <c r="G380" s="12">
        <v>137.69999999999999</v>
      </c>
      <c r="H380" s="12">
        <v>11.61</v>
      </c>
      <c r="I380" s="12">
        <v>60.394936000000001</v>
      </c>
      <c r="J380">
        <f t="shared" si="46"/>
        <v>-1.9011406844106071E-3</v>
      </c>
      <c r="K380">
        <f t="shared" si="47"/>
        <v>2.0779220779220564E-2</v>
      </c>
      <c r="L380">
        <f t="shared" si="48"/>
        <v>1.4984740938860819E-2</v>
      </c>
      <c r="M380">
        <f t="shared" si="49"/>
        <v>-6.4606030830814953E-3</v>
      </c>
      <c r="N380">
        <f t="shared" si="50"/>
        <v>-3.5309298506295494E-2</v>
      </c>
      <c r="O380">
        <f t="shared" si="51"/>
        <v>-2.9393106364982158E-2</v>
      </c>
      <c r="P380">
        <f t="shared" si="52"/>
        <v>2.2007042253521236E-2</v>
      </c>
      <c r="Q380">
        <f t="shared" si="53"/>
        <v>-5.7989825639394033E-3</v>
      </c>
      <c r="R380" s="15">
        <f t="shared" si="54"/>
        <v>-4.9023713332887213E-3</v>
      </c>
    </row>
    <row r="381" spans="1:18" x14ac:dyDescent="0.2">
      <c r="A381" s="13">
        <v>45495</v>
      </c>
      <c r="B381" s="14">
        <v>15.78</v>
      </c>
      <c r="C381" s="14">
        <v>11.55</v>
      </c>
      <c r="D381" s="14">
        <v>291.63</v>
      </c>
      <c r="E381" s="14">
        <v>35.237732000000001</v>
      </c>
      <c r="F381" s="14">
        <v>255.74</v>
      </c>
      <c r="G381" s="14">
        <v>141.87</v>
      </c>
      <c r="H381" s="14">
        <v>11.36</v>
      </c>
      <c r="I381" s="14">
        <v>60.747208000000001</v>
      </c>
      <c r="J381">
        <f t="shared" si="46"/>
        <v>-9.4161958568738102E-3</v>
      </c>
      <c r="K381">
        <f t="shared" si="47"/>
        <v>3.0330062444246186E-2</v>
      </c>
      <c r="L381">
        <f t="shared" si="48"/>
        <v>-6.6421418352748951E-3</v>
      </c>
      <c r="M381">
        <f t="shared" si="49"/>
        <v>3.9480147103236884E-3</v>
      </c>
      <c r="N381">
        <f t="shared" si="50"/>
        <v>-1.0562154215189468E-2</v>
      </c>
      <c r="O381">
        <f t="shared" si="51"/>
        <v>6.384337092998571E-3</v>
      </c>
      <c r="P381">
        <f t="shared" si="52"/>
        <v>1.3380909901873128E-2</v>
      </c>
      <c r="Q381">
        <f t="shared" si="53"/>
        <v>2.0884783949844499E-2</v>
      </c>
      <c r="R381" s="15">
        <f t="shared" si="54"/>
        <v>4.762567711149324E-3</v>
      </c>
    </row>
    <row r="382" spans="1:18" x14ac:dyDescent="0.2">
      <c r="A382" s="11">
        <v>45492</v>
      </c>
      <c r="B382" s="12">
        <v>15.93</v>
      </c>
      <c r="C382" s="12">
        <v>11.21</v>
      </c>
      <c r="D382" s="12">
        <v>293.58</v>
      </c>
      <c r="E382" s="12">
        <v>35.099159999999998</v>
      </c>
      <c r="F382" s="12">
        <v>258.47000000000003</v>
      </c>
      <c r="G382" s="12">
        <v>140.97</v>
      </c>
      <c r="H382" s="12">
        <v>11.21</v>
      </c>
      <c r="I382" s="12">
        <v>59.504469999999998</v>
      </c>
      <c r="J382">
        <f t="shared" si="46"/>
        <v>1.9193857965450922E-2</v>
      </c>
      <c r="K382">
        <f t="shared" si="47"/>
        <v>-1.4072119613016576E-2</v>
      </c>
      <c r="L382">
        <f t="shared" si="48"/>
        <v>8.4847652090274117E-3</v>
      </c>
      <c r="M382">
        <f t="shared" si="49"/>
        <v>1.6337127150986896E-2</v>
      </c>
      <c r="N382">
        <f t="shared" si="50"/>
        <v>3.2599576525109031E-2</v>
      </c>
      <c r="O382">
        <f t="shared" si="51"/>
        <v>2.0782041998551826E-2</v>
      </c>
      <c r="P382">
        <f t="shared" si="52"/>
        <v>-2.1815008726003504E-2</v>
      </c>
      <c r="Q382">
        <f t="shared" si="53"/>
        <v>-5.5601390125834538E-3</v>
      </c>
      <c r="R382" s="15">
        <f t="shared" si="54"/>
        <v>8.0781230941192397E-3</v>
      </c>
    </row>
    <row r="383" spans="1:18" x14ac:dyDescent="0.2">
      <c r="A383" s="13">
        <v>45491</v>
      </c>
      <c r="B383" s="14">
        <v>15.63</v>
      </c>
      <c r="C383" s="14">
        <v>11.37</v>
      </c>
      <c r="D383" s="14">
        <v>291.11</v>
      </c>
      <c r="E383" s="14">
        <v>34.534958000000003</v>
      </c>
      <c r="F383" s="14">
        <v>250.31</v>
      </c>
      <c r="G383" s="14">
        <v>138.1</v>
      </c>
      <c r="H383" s="14">
        <v>11.46</v>
      </c>
      <c r="I383" s="14">
        <v>59.837173</v>
      </c>
      <c r="J383">
        <f t="shared" si="46"/>
        <v>-2.1902377972465525E-2</v>
      </c>
      <c r="K383">
        <f t="shared" si="47"/>
        <v>-1.302083333333337E-2</v>
      </c>
      <c r="L383">
        <f t="shared" si="48"/>
        <v>-4.7181100208554261E-3</v>
      </c>
      <c r="M383">
        <f t="shared" si="49"/>
        <v>-2.2962792901102369E-2</v>
      </c>
      <c r="N383">
        <f t="shared" si="50"/>
        <v>-4.6510742038701758E-2</v>
      </c>
      <c r="O383">
        <f t="shared" si="51"/>
        <v>-4.4290657439446379E-2</v>
      </c>
      <c r="P383">
        <f t="shared" si="52"/>
        <v>-2.2184300341296925E-2</v>
      </c>
      <c r="Q383">
        <f t="shared" si="53"/>
        <v>-3.5641063795534778E-2</v>
      </c>
      <c r="R383" s="15">
        <f t="shared" si="54"/>
        <v>-2.8407870499378901E-2</v>
      </c>
    </row>
    <row r="384" spans="1:18" x14ac:dyDescent="0.2">
      <c r="A384" s="11">
        <v>45490</v>
      </c>
      <c r="B384" s="12">
        <v>15.98</v>
      </c>
      <c r="C384" s="12">
        <v>11.52</v>
      </c>
      <c r="D384" s="12">
        <v>292.49</v>
      </c>
      <c r="E384" s="12">
        <v>35.346615</v>
      </c>
      <c r="F384" s="12">
        <v>262.52</v>
      </c>
      <c r="G384" s="12">
        <v>144.5</v>
      </c>
      <c r="H384" s="12">
        <v>11.72</v>
      </c>
      <c r="I384" s="12">
        <v>62.048653000000002</v>
      </c>
      <c r="J384">
        <f t="shared" si="46"/>
        <v>-1.2970969734404036E-2</v>
      </c>
      <c r="K384">
        <f t="shared" si="47"/>
        <v>-4.7933884297520657E-2</v>
      </c>
      <c r="L384">
        <f t="shared" si="48"/>
        <v>-1.2758632328619068E-2</v>
      </c>
      <c r="M384">
        <f t="shared" si="49"/>
        <v>-1.8686443624800209E-2</v>
      </c>
      <c r="N384">
        <f t="shared" si="50"/>
        <v>-1.3231093068711619E-2</v>
      </c>
      <c r="O384">
        <f t="shared" si="51"/>
        <v>-6.1898211829436445E-3</v>
      </c>
      <c r="P384">
        <f t="shared" si="52"/>
        <v>-2.006688963210701E-2</v>
      </c>
      <c r="Q384">
        <f t="shared" si="53"/>
        <v>-2.7453887813579048E-2</v>
      </c>
      <c r="R384" s="15">
        <f t="shared" si="54"/>
        <v>-1.877600742973197E-2</v>
      </c>
    </row>
    <row r="385" spans="1:18" x14ac:dyDescent="0.2">
      <c r="A385" s="13">
        <v>45489</v>
      </c>
      <c r="B385" s="14">
        <v>16.190000000000001</v>
      </c>
      <c r="C385" s="14">
        <v>12.1</v>
      </c>
      <c r="D385" s="14">
        <v>296.27</v>
      </c>
      <c r="E385" s="14">
        <v>36.019694999999999</v>
      </c>
      <c r="F385" s="14">
        <v>266.04000000000002</v>
      </c>
      <c r="G385" s="14">
        <v>145.4</v>
      </c>
      <c r="H385" s="14">
        <v>11.96</v>
      </c>
      <c r="I385" s="14">
        <v>63.800217000000004</v>
      </c>
      <c r="J385">
        <f t="shared" si="46"/>
        <v>5.5900621118012417E-3</v>
      </c>
      <c r="K385">
        <f t="shared" si="47"/>
        <v>1.4249790444258226E-2</v>
      </c>
      <c r="L385">
        <f t="shared" si="48"/>
        <v>1.0298380221653858E-2</v>
      </c>
      <c r="M385">
        <f t="shared" si="49"/>
        <v>1.1003859549818529E-3</v>
      </c>
      <c r="N385">
        <f t="shared" si="50"/>
        <v>1.3678795961135526E-2</v>
      </c>
      <c r="O385">
        <f t="shared" si="51"/>
        <v>1.0634600681170614E-2</v>
      </c>
      <c r="P385">
        <f t="shared" si="52"/>
        <v>1.7006802721088565E-2</v>
      </c>
      <c r="Q385">
        <f t="shared" si="53"/>
        <v>1.8437788539449329E-3</v>
      </c>
      <c r="R385" s="15">
        <f t="shared" si="54"/>
        <v>1.0749572298462332E-2</v>
      </c>
    </row>
    <row r="386" spans="1:18" x14ac:dyDescent="0.2">
      <c r="A386" s="11">
        <v>45488</v>
      </c>
      <c r="B386" s="12">
        <v>16.100000000000001</v>
      </c>
      <c r="C386" s="12">
        <v>11.93</v>
      </c>
      <c r="D386" s="12">
        <v>293.25</v>
      </c>
      <c r="E386" s="12">
        <v>35.980103</v>
      </c>
      <c r="F386" s="12">
        <v>262.45</v>
      </c>
      <c r="G386" s="12">
        <v>143.87</v>
      </c>
      <c r="H386" s="12">
        <v>11.76</v>
      </c>
      <c r="I386" s="12">
        <v>63.6828</v>
      </c>
      <c r="J386">
        <f t="shared" si="46"/>
        <v>-8.6206896551722645E-3</v>
      </c>
      <c r="K386">
        <f t="shared" si="47"/>
        <v>-1.8914473684210509E-2</v>
      </c>
      <c r="L386">
        <f t="shared" si="48"/>
        <v>-6.6729896348486362E-3</v>
      </c>
      <c r="M386">
        <f t="shared" si="49"/>
        <v>-1.2764793943365049E-2</v>
      </c>
      <c r="N386">
        <f t="shared" si="50"/>
        <v>-4.2493455249079659E-3</v>
      </c>
      <c r="O386">
        <f t="shared" si="51"/>
        <v>-9.1597796143250143E-3</v>
      </c>
      <c r="P386">
        <f t="shared" si="52"/>
        <v>1.1177987962166736E-2</v>
      </c>
      <c r="Q386">
        <f t="shared" si="53"/>
        <v>-3.4850928155843452E-2</v>
      </c>
      <c r="R386" s="15">
        <f t="shared" si="54"/>
        <v>-7.7823854938969339E-3</v>
      </c>
    </row>
    <row r="387" spans="1:18" x14ac:dyDescent="0.2">
      <c r="A387" s="13">
        <v>45485</v>
      </c>
      <c r="B387" s="14">
        <v>16.239999999999998</v>
      </c>
      <c r="C387" s="14">
        <v>12.16</v>
      </c>
      <c r="D387" s="14">
        <v>295.22000000000003</v>
      </c>
      <c r="E387" s="14">
        <v>36.445320000000002</v>
      </c>
      <c r="F387" s="14">
        <v>263.57</v>
      </c>
      <c r="G387" s="14">
        <v>145.19999999999999</v>
      </c>
      <c r="H387" s="14">
        <v>11.63</v>
      </c>
      <c r="I387" s="14">
        <v>65.982346000000007</v>
      </c>
      <c r="J387">
        <f t="shared" ref="J387:J450" si="55">B387/B388-1</f>
        <v>-1.635372501514254E-2</v>
      </c>
      <c r="K387">
        <f t="shared" ref="K387:K450" si="56">C387/C388-1</f>
        <v>-1.6420361247947435E-3</v>
      </c>
      <c r="L387">
        <f t="shared" ref="L387:L450" si="57">D387/D388-1</f>
        <v>2.6780745687256635E-2</v>
      </c>
      <c r="M387">
        <f t="shared" ref="M387:M450" si="58">E387/E388-1</f>
        <v>1.6322243240725065E-3</v>
      </c>
      <c r="N387">
        <f t="shared" ref="N387:N450" si="59">F387/F388-1</f>
        <v>8.4943562272812301E-3</v>
      </c>
      <c r="O387">
        <f t="shared" ref="O387:O450" si="60">G387/G388-1</f>
        <v>8.2633150475661665E-3</v>
      </c>
      <c r="P387">
        <f t="shared" ref="P387:P450" si="61">H387/H388-1</f>
        <v>2.017543859649118E-2</v>
      </c>
      <c r="Q387">
        <f t="shared" ref="Q387:Q450" si="62">I387/I388-1</f>
        <v>1.6277356534478926E-2</v>
      </c>
      <c r="R387" s="15">
        <f t="shared" ref="R387:R450" si="63">SUMPRODUCT($T$2:$AA$2,J387:Q387)</f>
        <v>9.5443596952486352E-3</v>
      </c>
    </row>
    <row r="388" spans="1:18" x14ac:dyDescent="0.2">
      <c r="A388" s="11">
        <v>45484</v>
      </c>
      <c r="B388" s="12">
        <v>16.510000000000002</v>
      </c>
      <c r="C388" s="12">
        <v>12.18</v>
      </c>
      <c r="D388" s="12">
        <v>287.52</v>
      </c>
      <c r="E388" s="12">
        <v>36.385930000000002</v>
      </c>
      <c r="F388" s="12">
        <v>261.35000000000002</v>
      </c>
      <c r="G388" s="12">
        <v>144.01</v>
      </c>
      <c r="H388" s="12">
        <v>11.4</v>
      </c>
      <c r="I388" s="12">
        <v>64.925529999999995</v>
      </c>
      <c r="J388">
        <f t="shared" si="55"/>
        <v>1.1642156862745168E-2</v>
      </c>
      <c r="K388">
        <f t="shared" si="56"/>
        <v>2.1812080536912637E-2</v>
      </c>
      <c r="L388">
        <f t="shared" si="57"/>
        <v>-8.6200951658506053E-3</v>
      </c>
      <c r="M388">
        <f t="shared" si="58"/>
        <v>3.5489172153568838E-3</v>
      </c>
      <c r="N388">
        <f t="shared" si="59"/>
        <v>1.2160644436699064E-2</v>
      </c>
      <c r="O388">
        <f t="shared" si="60"/>
        <v>-1.3176144244104737E-3</v>
      </c>
      <c r="P388">
        <f t="shared" si="61"/>
        <v>9.7431355181578638E-3</v>
      </c>
      <c r="Q388">
        <f t="shared" si="62"/>
        <v>-3.3048406981738276E-3</v>
      </c>
      <c r="R388" s="15">
        <f t="shared" si="63"/>
        <v>6.3769076320823181E-3</v>
      </c>
    </row>
    <row r="389" spans="1:18" x14ac:dyDescent="0.2">
      <c r="A389" s="13">
        <v>45483</v>
      </c>
      <c r="B389" s="14">
        <v>16.32</v>
      </c>
      <c r="C389" s="14">
        <v>11.92</v>
      </c>
      <c r="D389" s="14">
        <v>290.02</v>
      </c>
      <c r="E389" s="14">
        <v>36.257255999999998</v>
      </c>
      <c r="F389" s="14">
        <v>258.20999999999998</v>
      </c>
      <c r="G389" s="14">
        <v>144.19999999999999</v>
      </c>
      <c r="H389" s="14">
        <v>11.29</v>
      </c>
      <c r="I389" s="14">
        <v>65.140810000000002</v>
      </c>
      <c r="J389">
        <f t="shared" si="55"/>
        <v>9.2764378478662479E-3</v>
      </c>
      <c r="K389">
        <f t="shared" si="56"/>
        <v>6.5236818588024992E-2</v>
      </c>
      <c r="L389">
        <f t="shared" si="57"/>
        <v>1.1897700708279446E-2</v>
      </c>
      <c r="M389">
        <f t="shared" si="58"/>
        <v>-9.1966408732233607E-3</v>
      </c>
      <c r="N389">
        <f t="shared" si="59"/>
        <v>4.0078949488439486E-2</v>
      </c>
      <c r="O389">
        <f t="shared" si="60"/>
        <v>2.2549992908807104E-2</v>
      </c>
      <c r="P389">
        <f t="shared" si="61"/>
        <v>7.1364852809989721E-3</v>
      </c>
      <c r="Q389">
        <f t="shared" si="62"/>
        <v>1.7578790884925644E-2</v>
      </c>
      <c r="R389" s="15">
        <f t="shared" si="63"/>
        <v>2.2711275647284646E-2</v>
      </c>
    </row>
    <row r="390" spans="1:18" x14ac:dyDescent="0.2">
      <c r="A390" s="11">
        <v>45482</v>
      </c>
      <c r="B390" s="12">
        <v>16.170000000000002</v>
      </c>
      <c r="C390" s="12">
        <v>11.19</v>
      </c>
      <c r="D390" s="12">
        <v>286.61</v>
      </c>
      <c r="E390" s="12">
        <v>36.593795999999998</v>
      </c>
      <c r="F390" s="12">
        <v>248.26</v>
      </c>
      <c r="G390" s="12">
        <v>141.02000000000001</v>
      </c>
      <c r="H390" s="12">
        <v>11.21</v>
      </c>
      <c r="I390" s="12">
        <v>64.015495000000001</v>
      </c>
      <c r="J390">
        <f t="shared" si="55"/>
        <v>2.0833333333333481E-2</v>
      </c>
      <c r="K390">
        <f t="shared" si="56"/>
        <v>-1.148409893992941E-2</v>
      </c>
      <c r="L390">
        <f t="shared" si="57"/>
        <v>2.6981510677941856E-2</v>
      </c>
      <c r="M390">
        <f t="shared" si="58"/>
        <v>-6.4497771599466569E-3</v>
      </c>
      <c r="N390">
        <f t="shared" si="59"/>
        <v>-1.0876927367624245E-2</v>
      </c>
      <c r="O390">
        <f t="shared" si="60"/>
        <v>-7.6002814919069461E-3</v>
      </c>
      <c r="P390">
        <f t="shared" si="61"/>
        <v>-4.4404973357015098E-3</v>
      </c>
      <c r="Q390">
        <f t="shared" si="62"/>
        <v>3.1210538057383275E-2</v>
      </c>
      <c r="R390" s="15">
        <f t="shared" si="63"/>
        <v>1.4544814616856082E-3</v>
      </c>
    </row>
    <row r="391" spans="1:18" x14ac:dyDescent="0.2">
      <c r="A391" s="13">
        <v>45481</v>
      </c>
      <c r="B391" s="14">
        <v>15.84</v>
      </c>
      <c r="C391" s="14">
        <v>11.32</v>
      </c>
      <c r="D391" s="14">
        <v>279.08</v>
      </c>
      <c r="E391" s="14">
        <v>36.83135</v>
      </c>
      <c r="F391" s="14">
        <v>250.99</v>
      </c>
      <c r="G391" s="14">
        <v>142.1</v>
      </c>
      <c r="H391" s="14">
        <v>11.26</v>
      </c>
      <c r="I391" s="14">
        <v>62.078006999999999</v>
      </c>
      <c r="J391">
        <f t="shared" si="55"/>
        <v>6.3532401524777349E-3</v>
      </c>
      <c r="K391">
        <f t="shared" si="56"/>
        <v>1.8901890189018999E-2</v>
      </c>
      <c r="L391">
        <f t="shared" si="57"/>
        <v>7.1454348610608953E-3</v>
      </c>
      <c r="M391">
        <f t="shared" si="58"/>
        <v>3.0462407462523933E-2</v>
      </c>
      <c r="N391">
        <f t="shared" si="59"/>
        <v>9.6138374899437107E-3</v>
      </c>
      <c r="O391">
        <f t="shared" si="60"/>
        <v>2.3848980474097559E-2</v>
      </c>
      <c r="P391">
        <f t="shared" si="61"/>
        <v>5.3571428571428381E-3</v>
      </c>
      <c r="Q391">
        <f t="shared" si="62"/>
        <v>3.1539629246846168E-4</v>
      </c>
      <c r="R391" s="15">
        <f t="shared" si="63"/>
        <v>1.2480245116318366E-2</v>
      </c>
    </row>
    <row r="392" spans="1:18" x14ac:dyDescent="0.2">
      <c r="A392" s="11">
        <v>45478</v>
      </c>
      <c r="B392" s="12">
        <v>15.74</v>
      </c>
      <c r="C392" s="12">
        <v>11.11</v>
      </c>
      <c r="D392" s="12">
        <v>277.10000000000002</v>
      </c>
      <c r="E392" s="12">
        <v>35.742545999999997</v>
      </c>
      <c r="F392" s="12">
        <v>248.6</v>
      </c>
      <c r="G392" s="12">
        <v>138.79</v>
      </c>
      <c r="H392" s="12">
        <v>11.2</v>
      </c>
      <c r="I392" s="12">
        <v>62.058433999999998</v>
      </c>
      <c r="J392">
        <f t="shared" si="55"/>
        <v>-1.2547051442910906E-2</v>
      </c>
      <c r="K392">
        <f t="shared" si="56"/>
        <v>-1.7969451931717506E-3</v>
      </c>
      <c r="L392">
        <f t="shared" si="57"/>
        <v>-2.1263068663464169E-2</v>
      </c>
      <c r="M392">
        <f t="shared" si="58"/>
        <v>-1.2848570267967929E-2</v>
      </c>
      <c r="N392">
        <f t="shared" si="59"/>
        <v>8.519269776876337E-3</v>
      </c>
      <c r="O392">
        <f t="shared" si="60"/>
        <v>4.9963794351919333E-3</v>
      </c>
      <c r="P392">
        <f t="shared" si="61"/>
        <v>-3.4482758620689724E-2</v>
      </c>
      <c r="Q392">
        <f t="shared" si="62"/>
        <v>2.5052478692624947E-2</v>
      </c>
      <c r="R392" s="15">
        <f t="shared" si="63"/>
        <v>-6.2786985464509358E-3</v>
      </c>
    </row>
    <row r="393" spans="1:18" x14ac:dyDescent="0.2">
      <c r="A393" s="13">
        <v>45477</v>
      </c>
      <c r="B393" s="14">
        <v>15.94</v>
      </c>
      <c r="C393" s="14">
        <v>11.13</v>
      </c>
      <c r="D393" s="14">
        <v>283.12</v>
      </c>
      <c r="E393" s="14">
        <v>36.207763999999997</v>
      </c>
      <c r="F393" s="14">
        <v>246.5</v>
      </c>
      <c r="G393" s="14">
        <v>138.1</v>
      </c>
      <c r="H393" s="14">
        <v>11.6</v>
      </c>
      <c r="I393" s="14">
        <v>60.541713999999999</v>
      </c>
      <c r="J393">
        <f t="shared" si="55"/>
        <v>3.7783375314861534E-3</v>
      </c>
      <c r="K393">
        <f t="shared" si="56"/>
        <v>-8.9766606822261341E-4</v>
      </c>
      <c r="L393">
        <f t="shared" si="57"/>
        <v>-3.3091600366119689E-3</v>
      </c>
      <c r="M393">
        <f t="shared" si="58"/>
        <v>-2.7262152728431133E-3</v>
      </c>
      <c r="N393">
        <f t="shared" si="59"/>
        <v>1.1240564489662042E-2</v>
      </c>
      <c r="O393">
        <f t="shared" si="60"/>
        <v>-5.9742316274383755E-3</v>
      </c>
      <c r="P393">
        <f t="shared" si="61"/>
        <v>-8.6132644272174375E-4</v>
      </c>
      <c r="Q393">
        <f t="shared" si="62"/>
        <v>-6.5831447825513978E-3</v>
      </c>
      <c r="R393" s="15">
        <f t="shared" si="63"/>
        <v>4.1211419318593588E-4</v>
      </c>
    </row>
    <row r="394" spans="1:18" x14ac:dyDescent="0.2">
      <c r="A394" s="11">
        <v>45476</v>
      </c>
      <c r="B394" s="12">
        <v>15.88</v>
      </c>
      <c r="C394" s="12">
        <v>11.14</v>
      </c>
      <c r="D394" s="12">
        <v>284.06</v>
      </c>
      <c r="E394" s="12">
        <v>36.306744000000002</v>
      </c>
      <c r="F394" s="12">
        <v>243.76</v>
      </c>
      <c r="G394" s="12">
        <v>138.93</v>
      </c>
      <c r="H394" s="12">
        <v>11.61</v>
      </c>
      <c r="I394" s="12">
        <v>60.942909999999998</v>
      </c>
      <c r="J394">
        <f t="shared" si="55"/>
        <v>2.5839793281653867E-2</v>
      </c>
      <c r="K394">
        <f t="shared" si="56"/>
        <v>-4.4682752457549935E-3</v>
      </c>
      <c r="L394">
        <f t="shared" si="57"/>
        <v>1.7625564233001434E-2</v>
      </c>
      <c r="M394">
        <f t="shared" si="58"/>
        <v>2.3152082497069015E-2</v>
      </c>
      <c r="N394">
        <f t="shared" si="59"/>
        <v>4.0198002901766561E-2</v>
      </c>
      <c r="O394">
        <f t="shared" si="60"/>
        <v>2.2822645954502008E-2</v>
      </c>
      <c r="P394">
        <f t="shared" si="61"/>
        <v>1.752848378615246E-2</v>
      </c>
      <c r="Q394">
        <f t="shared" si="62"/>
        <v>2.9591659861053943E-2</v>
      </c>
      <c r="R394" s="15">
        <f t="shared" si="63"/>
        <v>2.2758354393727136E-2</v>
      </c>
    </row>
    <row r="395" spans="1:18" x14ac:dyDescent="0.2">
      <c r="A395" s="13">
        <v>45475</v>
      </c>
      <c r="B395" s="14">
        <v>15.48</v>
      </c>
      <c r="C395" s="14">
        <v>11.19</v>
      </c>
      <c r="D395" s="14">
        <v>279.14</v>
      </c>
      <c r="E395" s="14">
        <v>35.485188000000001</v>
      </c>
      <c r="F395" s="14">
        <v>234.34</v>
      </c>
      <c r="G395" s="14">
        <v>135.83000000000001</v>
      </c>
      <c r="H395" s="14">
        <v>11.41</v>
      </c>
      <c r="I395" s="14">
        <v>59.191339999999997</v>
      </c>
      <c r="J395">
        <f t="shared" si="55"/>
        <v>-1.5893197711379536E-2</v>
      </c>
      <c r="K395">
        <f t="shared" si="56"/>
        <v>-3.3678756476683946E-2</v>
      </c>
      <c r="L395">
        <f t="shared" si="57"/>
        <v>-2.2961148057402903E-2</v>
      </c>
      <c r="M395">
        <f t="shared" si="58"/>
        <v>-1.2396728026604631E-2</v>
      </c>
      <c r="N395">
        <f t="shared" si="59"/>
        <v>-1.7483543666932166E-2</v>
      </c>
      <c r="O395">
        <f t="shared" si="60"/>
        <v>-1.8214672930972009E-2</v>
      </c>
      <c r="P395">
        <f t="shared" si="61"/>
        <v>-9.5486111111110494E-3</v>
      </c>
      <c r="Q395">
        <f t="shared" si="62"/>
        <v>-4.9350339329814474E-3</v>
      </c>
      <c r="R395" s="15">
        <f t="shared" si="63"/>
        <v>-1.708682730254759E-2</v>
      </c>
    </row>
    <row r="396" spans="1:18" x14ac:dyDescent="0.2">
      <c r="A396" s="11">
        <v>45474</v>
      </c>
      <c r="B396" s="12">
        <v>15.73</v>
      </c>
      <c r="C396" s="12">
        <v>11.58</v>
      </c>
      <c r="D396" s="12">
        <v>285.7</v>
      </c>
      <c r="E396" s="12">
        <v>35.930610000000001</v>
      </c>
      <c r="F396" s="12">
        <v>238.51</v>
      </c>
      <c r="G396" s="12">
        <v>138.35</v>
      </c>
      <c r="H396" s="12">
        <v>11.52</v>
      </c>
      <c r="I396" s="12">
        <v>59.484900000000003</v>
      </c>
      <c r="J396">
        <f t="shared" si="55"/>
        <v>1.0276172125883054E-2</v>
      </c>
      <c r="K396">
        <f t="shared" si="56"/>
        <v>-1.1101622544833489E-2</v>
      </c>
      <c r="L396">
        <f t="shared" si="57"/>
        <v>-1.6772660563282304E-3</v>
      </c>
      <c r="M396">
        <f t="shared" si="58"/>
        <v>1.7947270093372936E-2</v>
      </c>
      <c r="N396">
        <f t="shared" si="59"/>
        <v>3.196635120925384E-3</v>
      </c>
      <c r="O396">
        <f t="shared" si="60"/>
        <v>1.340462935833564E-2</v>
      </c>
      <c r="P396">
        <f t="shared" si="61"/>
        <v>-5.1813471502590858E-3</v>
      </c>
      <c r="Q396">
        <f t="shared" si="62"/>
        <v>1.6895311934635782E-2</v>
      </c>
      <c r="R396" s="15">
        <f t="shared" si="63"/>
        <v>4.0336350965712751E-3</v>
      </c>
    </row>
    <row r="397" spans="1:18" x14ac:dyDescent="0.2">
      <c r="A397" s="13">
        <v>45471</v>
      </c>
      <c r="B397" s="14">
        <v>15.57</v>
      </c>
      <c r="C397" s="14">
        <v>11.71</v>
      </c>
      <c r="D397" s="14">
        <v>286.18</v>
      </c>
      <c r="E397" s="14">
        <v>35.297122999999999</v>
      </c>
      <c r="F397" s="14">
        <v>237.75</v>
      </c>
      <c r="G397" s="14">
        <v>136.52000000000001</v>
      </c>
      <c r="H397" s="14">
        <v>11.58</v>
      </c>
      <c r="I397" s="14">
        <v>58.496581999999997</v>
      </c>
      <c r="J397">
        <f t="shared" si="55"/>
        <v>6.4641241111829117E-3</v>
      </c>
      <c r="K397">
        <f t="shared" si="56"/>
        <v>-1.7050298380221207E-3</v>
      </c>
      <c r="L397">
        <f t="shared" si="57"/>
        <v>3.6473311355826876E-3</v>
      </c>
      <c r="M397">
        <f t="shared" si="58"/>
        <v>-3.2030393980657879E-2</v>
      </c>
      <c r="N397">
        <f t="shared" si="59"/>
        <v>-2.1405187610172849E-3</v>
      </c>
      <c r="O397">
        <f t="shared" si="60"/>
        <v>1.6833010576493557E-2</v>
      </c>
      <c r="P397">
        <f t="shared" si="61"/>
        <v>-9.4097519247219319E-3</v>
      </c>
      <c r="Q397">
        <f t="shared" si="62"/>
        <v>-2.0963025654744616E-2</v>
      </c>
      <c r="R397" s="15">
        <f t="shared" si="63"/>
        <v>-3.4850664139639163E-3</v>
      </c>
    </row>
    <row r="398" spans="1:18" x14ac:dyDescent="0.2">
      <c r="A398" s="11">
        <v>45470</v>
      </c>
      <c r="B398" s="12">
        <v>15.47</v>
      </c>
      <c r="C398" s="12">
        <v>11.73</v>
      </c>
      <c r="D398" s="12">
        <v>285.14</v>
      </c>
      <c r="E398" s="12">
        <v>36.465114999999997</v>
      </c>
      <c r="F398" s="12">
        <v>238.26</v>
      </c>
      <c r="G398" s="12">
        <v>134.26</v>
      </c>
      <c r="H398" s="12">
        <v>11.69</v>
      </c>
      <c r="I398" s="12">
        <v>59.749104000000003</v>
      </c>
      <c r="J398">
        <f t="shared" si="55"/>
        <v>-1.2911555842478606E-3</v>
      </c>
      <c r="K398">
        <f t="shared" si="56"/>
        <v>9.4664371772805733E-3</v>
      </c>
      <c r="L398">
        <f t="shared" si="57"/>
        <v>1.5202762844020334E-2</v>
      </c>
      <c r="M398">
        <f t="shared" si="58"/>
        <v>-1.8385303967412225E-2</v>
      </c>
      <c r="N398">
        <f t="shared" si="59"/>
        <v>-4.5540004177981874E-3</v>
      </c>
      <c r="O398">
        <f t="shared" si="60"/>
        <v>-2.2924095771777897E-2</v>
      </c>
      <c r="P398">
        <f t="shared" si="61"/>
        <v>-1.1834319526627279E-2</v>
      </c>
      <c r="Q398">
        <f t="shared" si="62"/>
        <v>-5.0513509440497373E-3</v>
      </c>
      <c r="R398" s="15">
        <f t="shared" si="63"/>
        <v>-5.4739860638607684E-3</v>
      </c>
    </row>
    <row r="399" spans="1:18" x14ac:dyDescent="0.2">
      <c r="A399" s="13">
        <v>45469</v>
      </c>
      <c r="B399" s="14">
        <v>15.49</v>
      </c>
      <c r="C399" s="14">
        <v>11.62</v>
      </c>
      <c r="D399" s="14">
        <v>280.87</v>
      </c>
      <c r="E399" s="14">
        <v>37.148094</v>
      </c>
      <c r="F399" s="14">
        <v>239.35</v>
      </c>
      <c r="G399" s="14">
        <v>137.41</v>
      </c>
      <c r="H399" s="14">
        <v>11.83</v>
      </c>
      <c r="I399" s="14">
        <v>60.05245</v>
      </c>
      <c r="J399">
        <f t="shared" si="55"/>
        <v>1.3743455497382318E-2</v>
      </c>
      <c r="K399">
        <f t="shared" si="56"/>
        <v>6.0606060606058776E-3</v>
      </c>
      <c r="L399">
        <f t="shared" si="57"/>
        <v>-2.702047320469747E-2</v>
      </c>
      <c r="M399">
        <f t="shared" si="58"/>
        <v>-2.897808749839903E-2</v>
      </c>
      <c r="N399">
        <f t="shared" si="59"/>
        <v>-2.9160591543428982E-3</v>
      </c>
      <c r="O399">
        <f t="shared" si="60"/>
        <v>2.9751199040767284E-2</v>
      </c>
      <c r="P399">
        <f t="shared" si="61"/>
        <v>-1.9071310116086315E-2</v>
      </c>
      <c r="Q399">
        <f t="shared" si="62"/>
        <v>-4.8645143098455801E-3</v>
      </c>
      <c r="R399" s="15">
        <f t="shared" si="63"/>
        <v>-4.1628299741892864E-3</v>
      </c>
    </row>
    <row r="400" spans="1:18" x14ac:dyDescent="0.2">
      <c r="A400" s="11">
        <v>45468</v>
      </c>
      <c r="B400" s="12">
        <v>15.28</v>
      </c>
      <c r="C400" s="12">
        <v>11.55</v>
      </c>
      <c r="D400" s="12">
        <v>288.67</v>
      </c>
      <c r="E400" s="12">
        <v>38.256700000000002</v>
      </c>
      <c r="F400" s="12">
        <v>240.05</v>
      </c>
      <c r="G400" s="12">
        <v>133.44</v>
      </c>
      <c r="H400" s="12">
        <v>12.06</v>
      </c>
      <c r="I400" s="12">
        <v>60.346004000000001</v>
      </c>
      <c r="J400">
        <f t="shared" si="55"/>
        <v>7.9155672823219003E-3</v>
      </c>
      <c r="K400">
        <f t="shared" si="56"/>
        <v>6.0975609756097615E-3</v>
      </c>
      <c r="L400">
        <f t="shared" si="57"/>
        <v>-1.7327069716775556E-2</v>
      </c>
      <c r="M400">
        <f t="shared" si="58"/>
        <v>2.7379087245597011E-2</v>
      </c>
      <c r="N400">
        <f t="shared" si="59"/>
        <v>-1.4143683181495614E-3</v>
      </c>
      <c r="O400">
        <f t="shared" si="60"/>
        <v>1.1828935395814311E-2</v>
      </c>
      <c r="P400">
        <f t="shared" si="61"/>
        <v>8.3612040133778098E-3</v>
      </c>
      <c r="Q400">
        <f t="shared" si="62"/>
        <v>-7.882896453682231E-3</v>
      </c>
      <c r="R400" s="15">
        <f t="shared" si="63"/>
        <v>3.8386531505757351E-3</v>
      </c>
    </row>
    <row r="401" spans="1:18" x14ac:dyDescent="0.2">
      <c r="A401" s="13">
        <v>45467</v>
      </c>
      <c r="B401" s="14">
        <v>15.16</v>
      </c>
      <c r="C401" s="14">
        <v>11.48</v>
      </c>
      <c r="D401" s="14">
        <v>293.76</v>
      </c>
      <c r="E401" s="14">
        <v>37.237180000000002</v>
      </c>
      <c r="F401" s="14">
        <v>240.39</v>
      </c>
      <c r="G401" s="14">
        <v>131.88</v>
      </c>
      <c r="H401" s="14">
        <v>11.96</v>
      </c>
      <c r="I401" s="14">
        <v>60.825485</v>
      </c>
      <c r="J401">
        <f t="shared" si="55"/>
        <v>-8.5022890778285731E-3</v>
      </c>
      <c r="K401">
        <f t="shared" si="56"/>
        <v>3.4965034965035446E-3</v>
      </c>
      <c r="L401">
        <f t="shared" si="57"/>
        <v>-5.113963491042095E-3</v>
      </c>
      <c r="M401">
        <f t="shared" si="58"/>
        <v>-3.0412311675745651E-2</v>
      </c>
      <c r="N401">
        <f t="shared" si="59"/>
        <v>2.7530972343887683E-3</v>
      </c>
      <c r="O401">
        <f t="shared" si="60"/>
        <v>-5.7297949336548859E-3</v>
      </c>
      <c r="P401">
        <f t="shared" si="61"/>
        <v>3.1924072476272825E-2</v>
      </c>
      <c r="Q401">
        <f t="shared" si="62"/>
        <v>6.313709945062973E-3</v>
      </c>
      <c r="R401" s="15">
        <f t="shared" si="63"/>
        <v>2.0618168337283201E-3</v>
      </c>
    </row>
    <row r="402" spans="1:18" x14ac:dyDescent="0.2">
      <c r="A402" s="11">
        <v>45464</v>
      </c>
      <c r="B402" s="12">
        <v>15.29</v>
      </c>
      <c r="C402" s="12">
        <v>11.44</v>
      </c>
      <c r="D402" s="12">
        <v>295.27</v>
      </c>
      <c r="E402" s="12">
        <v>38.405169999999998</v>
      </c>
      <c r="F402" s="12">
        <v>239.73</v>
      </c>
      <c r="G402" s="12">
        <v>132.63999999999999</v>
      </c>
      <c r="H402" s="12">
        <v>11.59</v>
      </c>
      <c r="I402" s="12">
        <v>60.443860000000001</v>
      </c>
      <c r="J402">
        <f t="shared" si="55"/>
        <v>-1.0355987055016169E-2</v>
      </c>
      <c r="K402">
        <f t="shared" si="56"/>
        <v>-2.7210884353741527E-2</v>
      </c>
      <c r="L402">
        <f t="shared" si="57"/>
        <v>-2.0403423794041697E-2</v>
      </c>
      <c r="M402">
        <f t="shared" si="58"/>
        <v>5.6932742194838903E-2</v>
      </c>
      <c r="N402">
        <f t="shared" si="59"/>
        <v>-7.0669871297875608E-2</v>
      </c>
      <c r="O402">
        <f t="shared" si="60"/>
        <v>4.9246155011741788E-3</v>
      </c>
      <c r="P402">
        <f t="shared" si="61"/>
        <v>-4.1356492969396141E-2</v>
      </c>
      <c r="Q402">
        <f t="shared" si="62"/>
        <v>-1.2943478962284427E-2</v>
      </c>
      <c r="R402" s="15">
        <f t="shared" si="63"/>
        <v>-2.3363449225231956E-2</v>
      </c>
    </row>
    <row r="403" spans="1:18" x14ac:dyDescent="0.2">
      <c r="A403" s="13">
        <v>45463</v>
      </c>
      <c r="B403" s="14">
        <v>15.45</v>
      </c>
      <c r="C403" s="14">
        <v>11.76</v>
      </c>
      <c r="D403" s="14">
        <v>301.42</v>
      </c>
      <c r="E403" s="14">
        <v>36.336436999999997</v>
      </c>
      <c r="F403" s="14">
        <v>257.95999999999998</v>
      </c>
      <c r="G403" s="14">
        <v>131.99</v>
      </c>
      <c r="H403" s="14">
        <v>12.09</v>
      </c>
      <c r="I403" s="14">
        <v>61.236472999999997</v>
      </c>
      <c r="J403">
        <f t="shared" si="55"/>
        <v>-1.5296367112810683E-2</v>
      </c>
      <c r="K403">
        <f t="shared" si="56"/>
        <v>-1.9182652210175233E-2</v>
      </c>
      <c r="L403">
        <f t="shared" si="57"/>
        <v>3.982741453700811E-4</v>
      </c>
      <c r="M403">
        <f t="shared" si="58"/>
        <v>3.2795326920622703E-3</v>
      </c>
      <c r="N403">
        <f t="shared" si="59"/>
        <v>4.7553299492385737E-2</v>
      </c>
      <c r="O403">
        <f t="shared" si="60"/>
        <v>-6.3238726191372496E-3</v>
      </c>
      <c r="P403">
        <f t="shared" si="61"/>
        <v>-2.5000000000000022E-2</v>
      </c>
      <c r="Q403">
        <f t="shared" si="62"/>
        <v>-1.9890282849643337E-2</v>
      </c>
      <c r="R403" s="15">
        <f t="shared" si="63"/>
        <v>2.6877782633620323E-4</v>
      </c>
    </row>
    <row r="404" spans="1:18" x14ac:dyDescent="0.2">
      <c r="A404" s="11">
        <v>45462</v>
      </c>
      <c r="B404" s="12">
        <v>15.69</v>
      </c>
      <c r="C404" s="12">
        <v>11.99</v>
      </c>
      <c r="D404" s="12">
        <v>301.3</v>
      </c>
      <c r="E404" s="12">
        <v>36.217660000000002</v>
      </c>
      <c r="F404" s="12">
        <v>246.25</v>
      </c>
      <c r="G404" s="12">
        <v>132.83000000000001</v>
      </c>
      <c r="H404" s="12">
        <v>12.4</v>
      </c>
      <c r="I404" s="12">
        <v>62.479202000000001</v>
      </c>
      <c r="J404">
        <f t="shared" si="55"/>
        <v>3.8387715930900956E-3</v>
      </c>
      <c r="K404">
        <f t="shared" si="56"/>
        <v>3.3472803347280866E-3</v>
      </c>
      <c r="L404">
        <f t="shared" si="57"/>
        <v>-1.4618831147594546E-2</v>
      </c>
      <c r="M404">
        <f t="shared" si="58"/>
        <v>1.6953787948347232E-2</v>
      </c>
      <c r="N404">
        <f t="shared" si="59"/>
        <v>-8.6553945249597808E-3</v>
      </c>
      <c r="O404">
        <f t="shared" si="60"/>
        <v>4.3856332703213763E-3</v>
      </c>
      <c r="P404">
        <f t="shared" si="61"/>
        <v>1.1419249592169667E-2</v>
      </c>
      <c r="Q404">
        <f t="shared" si="62"/>
        <v>2.2090524416022772E-2</v>
      </c>
      <c r="R404" s="15">
        <f t="shared" si="63"/>
        <v>2.9517539334613071E-3</v>
      </c>
    </row>
    <row r="405" spans="1:18" x14ac:dyDescent="0.2">
      <c r="A405" s="13">
        <v>45461</v>
      </c>
      <c r="B405" s="14">
        <v>15.63</v>
      </c>
      <c r="C405" s="14">
        <v>11.95</v>
      </c>
      <c r="D405" s="14">
        <v>305.77</v>
      </c>
      <c r="E405" s="14">
        <v>35.613869999999999</v>
      </c>
      <c r="F405" s="14">
        <v>248.4</v>
      </c>
      <c r="G405" s="14">
        <v>132.25</v>
      </c>
      <c r="H405" s="14">
        <v>12.26</v>
      </c>
      <c r="I405" s="14">
        <v>61.128833999999998</v>
      </c>
      <c r="J405">
        <f t="shared" si="55"/>
        <v>-1.9157088122604415E-3</v>
      </c>
      <c r="K405">
        <f t="shared" si="56"/>
        <v>-8.2987551867220732E-3</v>
      </c>
      <c r="L405">
        <f t="shared" si="57"/>
        <v>1.1913823344474883E-2</v>
      </c>
      <c r="M405">
        <f t="shared" si="58"/>
        <v>2.5655713301024008E-2</v>
      </c>
      <c r="N405">
        <f t="shared" si="59"/>
        <v>3.8027580442958619E-2</v>
      </c>
      <c r="O405">
        <f t="shared" si="60"/>
        <v>2.8382581648522587E-2</v>
      </c>
      <c r="P405">
        <f t="shared" si="61"/>
        <v>-5.6772100567721306E-3</v>
      </c>
      <c r="Q405">
        <f t="shared" si="62"/>
        <v>5.6342916220033512E-3</v>
      </c>
      <c r="R405" s="15">
        <f t="shared" si="63"/>
        <v>1.4117524166832363E-2</v>
      </c>
    </row>
    <row r="406" spans="1:18" x14ac:dyDescent="0.2">
      <c r="A406" s="11">
        <v>45460</v>
      </c>
      <c r="B406" s="12">
        <v>15.66</v>
      </c>
      <c r="C406" s="12">
        <v>12.05</v>
      </c>
      <c r="D406" s="12">
        <v>302.17</v>
      </c>
      <c r="E406" s="12">
        <v>34.723025999999997</v>
      </c>
      <c r="F406" s="12">
        <v>239.3</v>
      </c>
      <c r="G406" s="12">
        <v>128.6</v>
      </c>
      <c r="H406" s="12">
        <v>12.33</v>
      </c>
      <c r="I406" s="12">
        <v>60.786346000000002</v>
      </c>
      <c r="J406">
        <f t="shared" si="55"/>
        <v>0</v>
      </c>
      <c r="K406">
        <f t="shared" si="56"/>
        <v>1.345668629100083E-2</v>
      </c>
      <c r="L406">
        <f t="shared" si="57"/>
        <v>-2.1058087925616364E-2</v>
      </c>
      <c r="M406">
        <f t="shared" si="58"/>
        <v>-1.7091576634260641E-2</v>
      </c>
      <c r="N406">
        <f t="shared" si="59"/>
        <v>-3.912753912753919E-3</v>
      </c>
      <c r="O406">
        <f t="shared" si="60"/>
        <v>1.2997243009058579E-2</v>
      </c>
      <c r="P406">
        <f t="shared" si="61"/>
        <v>-1.1226944667201311E-2</v>
      </c>
      <c r="Q406">
        <f t="shared" si="62"/>
        <v>-7.9846451141000196E-3</v>
      </c>
      <c r="R406" s="15">
        <f t="shared" si="63"/>
        <v>-4.1343934591096757E-3</v>
      </c>
    </row>
    <row r="407" spans="1:18" x14ac:dyDescent="0.2">
      <c r="A407" s="13">
        <v>45457</v>
      </c>
      <c r="B407" s="14">
        <v>15.66</v>
      </c>
      <c r="C407" s="14">
        <v>11.89</v>
      </c>
      <c r="D407" s="14">
        <v>308.67</v>
      </c>
      <c r="E407" s="14">
        <v>35.326816999999998</v>
      </c>
      <c r="F407" s="14">
        <v>240.24</v>
      </c>
      <c r="G407" s="14">
        <v>126.95</v>
      </c>
      <c r="H407" s="14">
        <v>12.47</v>
      </c>
      <c r="I407" s="14">
        <v>61.27561</v>
      </c>
      <c r="J407">
        <f t="shared" si="55"/>
        <v>7.0739549839227145E-3</v>
      </c>
      <c r="K407">
        <f t="shared" si="56"/>
        <v>-2.4610336341263195E-2</v>
      </c>
      <c r="L407">
        <f t="shared" si="57"/>
        <v>1.330046065010082E-3</v>
      </c>
      <c r="M407">
        <f t="shared" si="58"/>
        <v>-7.5083574314486201E-3</v>
      </c>
      <c r="N407">
        <f t="shared" si="59"/>
        <v>1.7513134851139256E-3</v>
      </c>
      <c r="O407">
        <f t="shared" si="60"/>
        <v>-6.495539208013712E-3</v>
      </c>
      <c r="P407">
        <f t="shared" si="61"/>
        <v>-1.6561514195583493E-2</v>
      </c>
      <c r="Q407">
        <f t="shared" si="62"/>
        <v>-6.9775037875065005E-3</v>
      </c>
      <c r="R407" s="15">
        <f t="shared" si="63"/>
        <v>-6.5726246133520089E-3</v>
      </c>
    </row>
    <row r="408" spans="1:18" x14ac:dyDescent="0.2">
      <c r="A408" s="11">
        <v>45456</v>
      </c>
      <c r="B408" s="12">
        <v>15.55</v>
      </c>
      <c r="C408" s="12">
        <v>12.19</v>
      </c>
      <c r="D408" s="12">
        <v>308.26</v>
      </c>
      <c r="E408" s="12">
        <v>35.594070000000002</v>
      </c>
      <c r="F408" s="12">
        <v>239.82</v>
      </c>
      <c r="G408" s="12">
        <v>127.78</v>
      </c>
      <c r="H408" s="12">
        <v>12.68</v>
      </c>
      <c r="I408" s="12">
        <v>61.706164999999999</v>
      </c>
      <c r="J408">
        <f t="shared" si="55"/>
        <v>-1.5822784810126556E-2</v>
      </c>
      <c r="K408">
        <f t="shared" si="56"/>
        <v>-1.6935483870967771E-2</v>
      </c>
      <c r="L408">
        <f t="shared" si="57"/>
        <v>1.7729208623592729E-2</v>
      </c>
      <c r="M408">
        <f t="shared" si="58"/>
        <v>4.1886722188368974E-3</v>
      </c>
      <c r="N408">
        <f t="shared" si="59"/>
        <v>-1.2110726643598579E-2</v>
      </c>
      <c r="O408">
        <f t="shared" si="60"/>
        <v>-1.5562403697996996E-2</v>
      </c>
      <c r="P408">
        <f t="shared" si="61"/>
        <v>-2.9839326702371882E-2</v>
      </c>
      <c r="Q408">
        <f t="shared" si="62"/>
        <v>-1.4841486828940376E-2</v>
      </c>
      <c r="R408" s="15">
        <f t="shared" si="63"/>
        <v>-1.1606234074683863E-2</v>
      </c>
    </row>
    <row r="409" spans="1:18" x14ac:dyDescent="0.2">
      <c r="A409" s="13">
        <v>45455</v>
      </c>
      <c r="B409" s="14">
        <v>15.8</v>
      </c>
      <c r="C409" s="14">
        <v>12.4</v>
      </c>
      <c r="D409" s="14">
        <v>302.89</v>
      </c>
      <c r="E409" s="14">
        <v>35.445599999999999</v>
      </c>
      <c r="F409" s="14">
        <v>242.76</v>
      </c>
      <c r="G409" s="14">
        <v>129.80000000000001</v>
      </c>
      <c r="H409" s="14">
        <v>13.07</v>
      </c>
      <c r="I409" s="14">
        <v>62.635773</v>
      </c>
      <c r="J409">
        <f t="shared" si="55"/>
        <v>6.3694267515923553E-3</v>
      </c>
      <c r="K409">
        <f t="shared" si="56"/>
        <v>3.8525963149078857E-2</v>
      </c>
      <c r="L409">
        <f t="shared" si="57"/>
        <v>2.7146025755619974E-3</v>
      </c>
      <c r="M409">
        <f t="shared" si="58"/>
        <v>2.7937927005816654E-4</v>
      </c>
      <c r="N409">
        <f t="shared" si="59"/>
        <v>6.0505594695399179E-3</v>
      </c>
      <c r="O409">
        <f t="shared" si="60"/>
        <v>-3.9514577475210699E-2</v>
      </c>
      <c r="P409">
        <f t="shared" si="61"/>
        <v>4.6118370484242721E-3</v>
      </c>
      <c r="Q409">
        <f t="shared" si="62"/>
        <v>1.5065074940243006E-2</v>
      </c>
      <c r="R409" s="15">
        <f t="shared" si="63"/>
        <v>2.826101465424188E-3</v>
      </c>
    </row>
    <row r="410" spans="1:18" x14ac:dyDescent="0.2">
      <c r="A410" s="11">
        <v>45454</v>
      </c>
      <c r="B410" s="12">
        <v>15.7</v>
      </c>
      <c r="C410" s="12">
        <v>11.94</v>
      </c>
      <c r="D410" s="12">
        <v>302.07</v>
      </c>
      <c r="E410" s="12">
        <v>35.435699999999997</v>
      </c>
      <c r="F410" s="12">
        <v>241.3</v>
      </c>
      <c r="G410" s="12">
        <v>135.13999999999999</v>
      </c>
      <c r="H410" s="12">
        <v>13.01</v>
      </c>
      <c r="I410" s="12">
        <v>61.706164999999999</v>
      </c>
      <c r="J410">
        <f t="shared" si="55"/>
        <v>1.0946555054732743E-2</v>
      </c>
      <c r="K410">
        <f t="shared" si="56"/>
        <v>-1.9704433497536922E-2</v>
      </c>
      <c r="L410">
        <f t="shared" si="57"/>
        <v>2.2562128803211845E-3</v>
      </c>
      <c r="M410">
        <f t="shared" si="58"/>
        <v>-5.0028261461054768E-3</v>
      </c>
      <c r="N410">
        <f t="shared" si="59"/>
        <v>2.0037199864727739E-2</v>
      </c>
      <c r="O410">
        <f t="shared" si="60"/>
        <v>1.4801657785667999E-4</v>
      </c>
      <c r="P410">
        <f t="shared" si="61"/>
        <v>7.6923076923085532E-4</v>
      </c>
      <c r="Q410">
        <f t="shared" si="62"/>
        <v>-1.0202477583005187E-2</v>
      </c>
      <c r="R410" s="15">
        <f t="shared" si="63"/>
        <v>2.0718332287601978E-3</v>
      </c>
    </row>
    <row r="411" spans="1:18" x14ac:dyDescent="0.2">
      <c r="A411" s="13">
        <v>45453</v>
      </c>
      <c r="B411" s="14">
        <v>15.53</v>
      </c>
      <c r="C411" s="14">
        <v>12.18</v>
      </c>
      <c r="D411" s="14">
        <v>301.39</v>
      </c>
      <c r="E411" s="14">
        <v>35.613869999999999</v>
      </c>
      <c r="F411" s="14">
        <v>236.56</v>
      </c>
      <c r="G411" s="14">
        <v>135.12</v>
      </c>
      <c r="H411" s="14">
        <v>13</v>
      </c>
      <c r="I411" s="14">
        <v>62.342210000000001</v>
      </c>
      <c r="J411">
        <f t="shared" si="55"/>
        <v>-2.080706179066838E-2</v>
      </c>
      <c r="K411">
        <f t="shared" si="56"/>
        <v>6.6115702479339067E-3</v>
      </c>
      <c r="L411">
        <f t="shared" si="57"/>
        <v>1.9380369343164228E-2</v>
      </c>
      <c r="M411">
        <f t="shared" si="58"/>
        <v>2.4487509859728585E-2</v>
      </c>
      <c r="N411">
        <f t="shared" si="59"/>
        <v>-2.0941975002069402E-2</v>
      </c>
      <c r="O411">
        <f t="shared" si="60"/>
        <v>6.6651855143295968E-4</v>
      </c>
      <c r="P411">
        <f t="shared" si="61"/>
        <v>1.7214397496087663E-2</v>
      </c>
      <c r="Q411">
        <f t="shared" si="62"/>
        <v>-2.9993969184962332E-2</v>
      </c>
      <c r="R411" s="15">
        <f t="shared" si="63"/>
        <v>-1.853441211215048E-4</v>
      </c>
    </row>
    <row r="412" spans="1:18" x14ac:dyDescent="0.2">
      <c r="A412" s="11">
        <v>45450</v>
      </c>
      <c r="B412" s="12">
        <v>15.86</v>
      </c>
      <c r="C412" s="12">
        <v>12.1</v>
      </c>
      <c r="D412" s="12">
        <v>295.66000000000003</v>
      </c>
      <c r="E412" s="12">
        <v>34.762619999999998</v>
      </c>
      <c r="F412" s="12">
        <v>241.62</v>
      </c>
      <c r="G412" s="12">
        <v>135.03</v>
      </c>
      <c r="H412" s="12">
        <v>12.78</v>
      </c>
      <c r="I412" s="12">
        <v>64.269919999999999</v>
      </c>
      <c r="J412">
        <f t="shared" si="55"/>
        <v>-1.8879798615482057E-3</v>
      </c>
      <c r="K412">
        <f t="shared" si="56"/>
        <v>-2.4979854955680891E-2</v>
      </c>
      <c r="L412">
        <f t="shared" si="57"/>
        <v>-7.3860202779828521E-3</v>
      </c>
      <c r="M412">
        <f t="shared" si="58"/>
        <v>-1.2928638074799381E-2</v>
      </c>
      <c r="N412">
        <f t="shared" si="59"/>
        <v>-6.4213787761425167E-2</v>
      </c>
      <c r="O412">
        <f t="shared" si="60"/>
        <v>-3.3843732112192271E-2</v>
      </c>
      <c r="P412">
        <f t="shared" si="61"/>
        <v>1.5673981191222097E-3</v>
      </c>
      <c r="Q412">
        <f t="shared" si="62"/>
        <v>-4.8115898069037044E-2</v>
      </c>
      <c r="R412" s="15">
        <f t="shared" si="63"/>
        <v>-2.6754554385017032E-2</v>
      </c>
    </row>
    <row r="413" spans="1:18" x14ac:dyDescent="0.2">
      <c r="A413" s="13">
        <v>45449</v>
      </c>
      <c r="B413" s="14">
        <v>15.89</v>
      </c>
      <c r="C413" s="14">
        <v>12.41</v>
      </c>
      <c r="D413" s="14">
        <v>297.86</v>
      </c>
      <c r="E413" s="14">
        <v>35.217939999999999</v>
      </c>
      <c r="F413" s="14">
        <v>258.2</v>
      </c>
      <c r="G413" s="14">
        <v>139.76</v>
      </c>
      <c r="H413" s="14">
        <v>12.76</v>
      </c>
      <c r="I413" s="14">
        <v>67.518640000000005</v>
      </c>
      <c r="J413">
        <f t="shared" si="55"/>
        <v>1.3392857142857206E-2</v>
      </c>
      <c r="K413">
        <f t="shared" si="56"/>
        <v>-1.6090104585679832E-3</v>
      </c>
      <c r="L413">
        <f t="shared" si="57"/>
        <v>2.6890988071433641E-2</v>
      </c>
      <c r="M413">
        <f t="shared" si="58"/>
        <v>-1.683517431733117E-3</v>
      </c>
      <c r="N413">
        <f t="shared" si="59"/>
        <v>2.3587710604558998E-2</v>
      </c>
      <c r="O413">
        <f t="shared" si="60"/>
        <v>5.1301338949902187E-2</v>
      </c>
      <c r="P413">
        <f t="shared" si="61"/>
        <v>1.5923566878980777E-2</v>
      </c>
      <c r="Q413">
        <f t="shared" si="62"/>
        <v>1.3811416707468327E-2</v>
      </c>
      <c r="R413" s="15">
        <f t="shared" si="63"/>
        <v>1.9917365806670053E-2</v>
      </c>
    </row>
    <row r="414" spans="1:18" x14ac:dyDescent="0.2">
      <c r="A414" s="11">
        <v>45448</v>
      </c>
      <c r="B414" s="12">
        <v>15.68</v>
      </c>
      <c r="C414" s="12">
        <v>12.43</v>
      </c>
      <c r="D414" s="12">
        <v>290.06</v>
      </c>
      <c r="E414" s="12">
        <v>35.277329999999999</v>
      </c>
      <c r="F414" s="12">
        <v>252.25</v>
      </c>
      <c r="G414" s="12">
        <v>132.94</v>
      </c>
      <c r="H414" s="12">
        <v>12.56</v>
      </c>
      <c r="I414" s="12">
        <v>66.598815999999999</v>
      </c>
      <c r="J414">
        <f t="shared" si="55"/>
        <v>-1.5693659761456424E-2</v>
      </c>
      <c r="K414">
        <f t="shared" si="56"/>
        <v>7.2933549432738776E-3</v>
      </c>
      <c r="L414">
        <f t="shared" si="57"/>
        <v>7.7476288086717471E-3</v>
      </c>
      <c r="M414">
        <f t="shared" si="58"/>
        <v>2.2497493688800052E-3</v>
      </c>
      <c r="N414">
        <f t="shared" si="59"/>
        <v>-8.3181494098083508E-4</v>
      </c>
      <c r="O414">
        <f t="shared" si="60"/>
        <v>3.0542635658914685E-2</v>
      </c>
      <c r="P414">
        <f t="shared" si="61"/>
        <v>2.1138211382113692E-2</v>
      </c>
      <c r="Q414">
        <f t="shared" si="62"/>
        <v>2.9471810614183358E-3</v>
      </c>
      <c r="R414" s="15">
        <f t="shared" si="63"/>
        <v>8.6095274375982984E-3</v>
      </c>
    </row>
    <row r="415" spans="1:18" x14ac:dyDescent="0.2">
      <c r="A415" s="13">
        <v>45447</v>
      </c>
      <c r="B415" s="14">
        <v>15.93</v>
      </c>
      <c r="C415" s="14">
        <v>12.34</v>
      </c>
      <c r="D415" s="14">
        <v>287.83</v>
      </c>
      <c r="E415" s="14">
        <v>35.198143000000002</v>
      </c>
      <c r="F415" s="14">
        <v>252.46</v>
      </c>
      <c r="G415" s="14">
        <v>129</v>
      </c>
      <c r="H415" s="14">
        <v>12.3</v>
      </c>
      <c r="I415" s="14">
        <v>66.403114000000002</v>
      </c>
      <c r="J415">
        <f t="shared" si="55"/>
        <v>4.7337278106508895E-2</v>
      </c>
      <c r="K415">
        <f t="shared" si="56"/>
        <v>1.8992568125516085E-2</v>
      </c>
      <c r="L415">
        <f t="shared" si="57"/>
        <v>-7.2088852097130784E-3</v>
      </c>
      <c r="M415">
        <f t="shared" si="58"/>
        <v>1.3683052853746158E-2</v>
      </c>
      <c r="N415">
        <f t="shared" si="59"/>
        <v>2.1691622824767443E-2</v>
      </c>
      <c r="O415">
        <f t="shared" si="60"/>
        <v>1.1288805268109048E-2</v>
      </c>
      <c r="P415">
        <f t="shared" si="61"/>
        <v>-4.5031055900621175E-2</v>
      </c>
      <c r="Q415">
        <f t="shared" si="62"/>
        <v>6.2470648424709063E-2</v>
      </c>
      <c r="R415" s="15">
        <f t="shared" si="63"/>
        <v>9.7206191756066193E-3</v>
      </c>
    </row>
    <row r="416" spans="1:18" x14ac:dyDescent="0.2">
      <c r="A416" s="11">
        <v>45446</v>
      </c>
      <c r="B416" s="12">
        <v>15.21</v>
      </c>
      <c r="C416" s="12">
        <v>12.11</v>
      </c>
      <c r="D416" s="12">
        <v>289.92</v>
      </c>
      <c r="E416" s="12">
        <v>34.723025999999997</v>
      </c>
      <c r="F416" s="12">
        <v>247.1</v>
      </c>
      <c r="G416" s="12">
        <v>127.56</v>
      </c>
      <c r="H416" s="12">
        <v>12.88</v>
      </c>
      <c r="I416" s="12">
        <v>62.498775000000002</v>
      </c>
      <c r="J416">
        <f t="shared" si="55"/>
        <v>-3.244274809160308E-2</v>
      </c>
      <c r="K416">
        <f t="shared" si="56"/>
        <v>-5.1683633516053318E-2</v>
      </c>
      <c r="L416">
        <f t="shared" si="57"/>
        <v>-9.1814679071515859E-2</v>
      </c>
      <c r="M416">
        <f t="shared" si="58"/>
        <v>-7.5869357625489409E-2</v>
      </c>
      <c r="N416">
        <f t="shared" si="59"/>
        <v>-7.9770594369134473E-2</v>
      </c>
      <c r="O416">
        <f t="shared" si="60"/>
        <v>-0.13412978550095023</v>
      </c>
      <c r="P416">
        <f t="shared" si="61"/>
        <v>-5.0147492625368661E-2</v>
      </c>
      <c r="Q416">
        <f t="shared" si="62"/>
        <v>-7.5018108540420125E-2</v>
      </c>
      <c r="R416" s="15">
        <f t="shared" si="63"/>
        <v>-7.6183140426167625E-2</v>
      </c>
    </row>
    <row r="417" spans="1:18" x14ac:dyDescent="0.2">
      <c r="A417" s="13">
        <v>45443</v>
      </c>
      <c r="B417" s="14">
        <v>15.72</v>
      </c>
      <c r="C417" s="14">
        <v>12.77</v>
      </c>
      <c r="D417" s="14">
        <v>319.23</v>
      </c>
      <c r="E417" s="14">
        <v>37.573720000000002</v>
      </c>
      <c r="F417" s="14">
        <v>268.52</v>
      </c>
      <c r="G417" s="14">
        <v>147.32</v>
      </c>
      <c r="H417" s="14">
        <v>13.56</v>
      </c>
      <c r="I417" s="14">
        <v>67.567565999999999</v>
      </c>
      <c r="J417">
        <f t="shared" si="55"/>
        <v>-2.0560747663551426E-2</v>
      </c>
      <c r="K417">
        <f t="shared" si="56"/>
        <v>-1.8447348193697199E-2</v>
      </c>
      <c r="L417">
        <f t="shared" si="57"/>
        <v>7.0664689737847119E-3</v>
      </c>
      <c r="M417">
        <f t="shared" si="58"/>
        <v>3.8009285906779322E-2</v>
      </c>
      <c r="N417">
        <f t="shared" si="59"/>
        <v>9.663470577176092E-3</v>
      </c>
      <c r="O417">
        <f t="shared" si="60"/>
        <v>1.202170776945799E-2</v>
      </c>
      <c r="P417">
        <f t="shared" si="61"/>
        <v>7.3800738007379074E-4</v>
      </c>
      <c r="Q417">
        <f t="shared" si="62"/>
        <v>5.3073020472464538E-2</v>
      </c>
      <c r="R417" s="15">
        <f t="shared" si="63"/>
        <v>8.6784146954143031E-3</v>
      </c>
    </row>
    <row r="418" spans="1:18" x14ac:dyDescent="0.2">
      <c r="A418" s="11">
        <v>45442</v>
      </c>
      <c r="B418" s="12">
        <v>16.05</v>
      </c>
      <c r="C418" s="12">
        <v>13.01</v>
      </c>
      <c r="D418" s="12">
        <v>316.99</v>
      </c>
      <c r="E418" s="12">
        <v>36.197865</v>
      </c>
      <c r="F418" s="12">
        <v>265.95</v>
      </c>
      <c r="G418" s="12">
        <v>145.57</v>
      </c>
      <c r="H418" s="12">
        <v>13.55</v>
      </c>
      <c r="I418" s="12">
        <v>64.162279999999996</v>
      </c>
      <c r="J418">
        <f t="shared" si="55"/>
        <v>6.9008782936010871E-3</v>
      </c>
      <c r="K418">
        <f t="shared" si="56"/>
        <v>2.0392156862744981E-2</v>
      </c>
      <c r="L418">
        <f t="shared" si="57"/>
        <v>9.040267388190415E-3</v>
      </c>
      <c r="M418">
        <f t="shared" si="58"/>
        <v>4.0990558061365645E-2</v>
      </c>
      <c r="N418">
        <f t="shared" si="59"/>
        <v>1.6745039568757836E-2</v>
      </c>
      <c r="O418">
        <f t="shared" si="60"/>
        <v>8.661308203991025E-3</v>
      </c>
      <c r="P418">
        <f t="shared" si="61"/>
        <v>0</v>
      </c>
      <c r="Q418">
        <f t="shared" si="62"/>
        <v>-6.0958157059964879E-4</v>
      </c>
      <c r="R418" s="15">
        <f t="shared" si="63"/>
        <v>1.224946476284571E-2</v>
      </c>
    </row>
    <row r="419" spans="1:18" x14ac:dyDescent="0.2">
      <c r="A419" s="13">
        <v>45441</v>
      </c>
      <c r="B419" s="14">
        <v>15.94</v>
      </c>
      <c r="C419" s="14">
        <v>12.75</v>
      </c>
      <c r="D419" s="14">
        <v>314.14999999999998</v>
      </c>
      <c r="E419" s="14">
        <v>34.77252</v>
      </c>
      <c r="F419" s="14">
        <v>261.57</v>
      </c>
      <c r="G419" s="14">
        <v>144.32</v>
      </c>
      <c r="H419" s="14">
        <v>13.55</v>
      </c>
      <c r="I419" s="14">
        <v>64.201415999999995</v>
      </c>
      <c r="J419">
        <f t="shared" si="55"/>
        <v>-1.3613861386138626E-2</v>
      </c>
      <c r="K419">
        <f t="shared" si="56"/>
        <v>7.8492935635798844E-4</v>
      </c>
      <c r="L419">
        <f t="shared" si="57"/>
        <v>2.4391039227834366E-2</v>
      </c>
      <c r="M419">
        <f t="shared" si="58"/>
        <v>1.9147087584258982E-2</v>
      </c>
      <c r="N419">
        <f t="shared" si="59"/>
        <v>-2.2862266054017755E-2</v>
      </c>
      <c r="O419">
        <f t="shared" si="60"/>
        <v>1.6409606310303415E-2</v>
      </c>
      <c r="P419">
        <f t="shared" si="61"/>
        <v>6.6864784546805112E-3</v>
      </c>
      <c r="Q419">
        <f t="shared" si="62"/>
        <v>1.0472736567383345E-2</v>
      </c>
      <c r="R419" s="15">
        <f t="shared" si="63"/>
        <v>3.1181851830168255E-3</v>
      </c>
    </row>
    <row r="420" spans="1:18" x14ac:dyDescent="0.2">
      <c r="A420" s="11">
        <v>45440</v>
      </c>
      <c r="B420" s="12">
        <v>16.16</v>
      </c>
      <c r="C420" s="12">
        <v>12.74</v>
      </c>
      <c r="D420" s="12">
        <v>306.67</v>
      </c>
      <c r="E420" s="12">
        <v>34.119236000000001</v>
      </c>
      <c r="F420" s="12">
        <v>267.69</v>
      </c>
      <c r="G420" s="12">
        <v>141.99</v>
      </c>
      <c r="H420" s="12">
        <v>13.46</v>
      </c>
      <c r="I420" s="12">
        <v>63.536020000000001</v>
      </c>
      <c r="J420">
        <f t="shared" si="55"/>
        <v>3.1036623215394687E-3</v>
      </c>
      <c r="K420">
        <f t="shared" si="56"/>
        <v>1.5723270440251014E-3</v>
      </c>
      <c r="L420">
        <f t="shared" si="57"/>
        <v>-2.7062182741116714E-2</v>
      </c>
      <c r="M420">
        <f t="shared" si="58"/>
        <v>1.085047255058802E-2</v>
      </c>
      <c r="N420">
        <f t="shared" si="59"/>
        <v>1.8839917789449601E-2</v>
      </c>
      <c r="O420">
        <f t="shared" si="60"/>
        <v>-2.1837971893083452E-2</v>
      </c>
      <c r="P420">
        <f t="shared" si="61"/>
        <v>8.239700374532033E-3</v>
      </c>
      <c r="Q420">
        <f t="shared" si="62"/>
        <v>-3.5298332277464706E-3</v>
      </c>
      <c r="R420" s="15">
        <f t="shared" si="63"/>
        <v>1.6775863738829492E-4</v>
      </c>
    </row>
    <row r="421" spans="1:18" x14ac:dyDescent="0.2">
      <c r="A421" s="13">
        <v>45439</v>
      </c>
      <c r="B421" s="14">
        <v>16.11</v>
      </c>
      <c r="C421" s="14">
        <v>12.72</v>
      </c>
      <c r="D421" s="14">
        <v>315.2</v>
      </c>
      <c r="E421" s="14">
        <v>33.753</v>
      </c>
      <c r="F421" s="14">
        <v>262.74</v>
      </c>
      <c r="G421" s="14">
        <v>145.16</v>
      </c>
      <c r="H421" s="14">
        <v>13.35</v>
      </c>
      <c r="I421" s="14">
        <v>63.761085999999999</v>
      </c>
      <c r="J421">
        <f t="shared" si="55"/>
        <v>-6.781750924784169E-3</v>
      </c>
      <c r="K421">
        <f t="shared" si="56"/>
        <v>0</v>
      </c>
      <c r="L421">
        <f t="shared" si="57"/>
        <v>-2.2211192455639739E-2</v>
      </c>
      <c r="M421">
        <f t="shared" si="58"/>
        <v>-9.2968129489688911E-3</v>
      </c>
      <c r="N421">
        <f t="shared" si="59"/>
        <v>9.1411891227530795E-3</v>
      </c>
      <c r="O421">
        <f t="shared" si="60"/>
        <v>2.624671916010568E-3</v>
      </c>
      <c r="P421">
        <f t="shared" si="61"/>
        <v>1.7530487804878092E-2</v>
      </c>
      <c r="Q421">
        <f t="shared" si="62"/>
        <v>-9.1990268724473356E-4</v>
      </c>
      <c r="R421" s="15">
        <f t="shared" si="63"/>
        <v>1.1490981618026207E-3</v>
      </c>
    </row>
    <row r="422" spans="1:18" x14ac:dyDescent="0.2">
      <c r="A422" s="11">
        <v>45436</v>
      </c>
      <c r="B422" s="12">
        <v>16.22</v>
      </c>
      <c r="C422" s="12">
        <v>12.72</v>
      </c>
      <c r="D422" s="12">
        <v>322.36</v>
      </c>
      <c r="E422" s="12">
        <v>34.069740000000003</v>
      </c>
      <c r="F422" s="12">
        <v>260.36</v>
      </c>
      <c r="G422" s="12">
        <v>144.78</v>
      </c>
      <c r="H422" s="12">
        <v>13.12</v>
      </c>
      <c r="I422" s="12">
        <v>63.819794000000002</v>
      </c>
      <c r="J422">
        <f t="shared" si="55"/>
        <v>-1.0372178157413203E-2</v>
      </c>
      <c r="K422">
        <f t="shared" si="56"/>
        <v>-7.8554595443836028E-4</v>
      </c>
      <c r="L422">
        <f t="shared" si="57"/>
        <v>-1.2407708097178394E-2</v>
      </c>
      <c r="M422">
        <f t="shared" si="58"/>
        <v>-1.063533029321817E-2</v>
      </c>
      <c r="N422">
        <f t="shared" si="59"/>
        <v>-5.6427354763889381E-2</v>
      </c>
      <c r="O422">
        <f t="shared" si="60"/>
        <v>-6.5870728694936709E-3</v>
      </c>
      <c r="P422">
        <f t="shared" si="61"/>
        <v>-2.5260029717682153E-2</v>
      </c>
      <c r="Q422">
        <f t="shared" si="62"/>
        <v>-2.5694690934916276E-2</v>
      </c>
      <c r="R422" s="15">
        <f t="shared" si="63"/>
        <v>-2.2484004034577468E-2</v>
      </c>
    </row>
    <row r="423" spans="1:18" x14ac:dyDescent="0.2">
      <c r="A423" s="13">
        <v>45435</v>
      </c>
      <c r="B423" s="14">
        <v>16.39</v>
      </c>
      <c r="C423" s="14">
        <v>12.73</v>
      </c>
      <c r="D423" s="14">
        <v>326.41000000000003</v>
      </c>
      <c r="E423" s="14">
        <v>34.435977999999999</v>
      </c>
      <c r="F423" s="14">
        <v>275.93</v>
      </c>
      <c r="G423" s="14">
        <v>145.74</v>
      </c>
      <c r="H423" s="14">
        <v>13.46</v>
      </c>
      <c r="I423" s="14">
        <v>65.502870000000001</v>
      </c>
      <c r="J423">
        <f t="shared" si="55"/>
        <v>-3.6474164133737386E-3</v>
      </c>
      <c r="K423">
        <f t="shared" si="56"/>
        <v>5.5292259083727924E-3</v>
      </c>
      <c r="L423">
        <f t="shared" si="57"/>
        <v>2.7956989247313047E-3</v>
      </c>
      <c r="M423">
        <f t="shared" si="58"/>
        <v>-1.4168319215456582E-2</v>
      </c>
      <c r="N423">
        <f t="shared" si="59"/>
        <v>9.5492463046977782E-3</v>
      </c>
      <c r="O423">
        <f t="shared" si="60"/>
        <v>-1.4337887190585707E-2</v>
      </c>
      <c r="P423">
        <f t="shared" si="61"/>
        <v>-4.1992882562277623E-2</v>
      </c>
      <c r="Q423">
        <f t="shared" si="62"/>
        <v>-9.0302886076608635E-3</v>
      </c>
      <c r="R423" s="15">
        <f t="shared" si="63"/>
        <v>-8.4864189284677583E-3</v>
      </c>
    </row>
    <row r="424" spans="1:18" x14ac:dyDescent="0.2">
      <c r="A424" s="11">
        <v>45434</v>
      </c>
      <c r="B424" s="12">
        <v>16.45</v>
      </c>
      <c r="C424" s="12">
        <v>12.66</v>
      </c>
      <c r="D424" s="12">
        <v>325.5</v>
      </c>
      <c r="E424" s="12">
        <v>34.930889999999998</v>
      </c>
      <c r="F424" s="12">
        <v>273.32</v>
      </c>
      <c r="G424" s="12">
        <v>147.86000000000001</v>
      </c>
      <c r="H424" s="12">
        <v>14.05</v>
      </c>
      <c r="I424" s="12">
        <v>66.099770000000007</v>
      </c>
      <c r="J424">
        <f t="shared" si="55"/>
        <v>5.5012224938875143E-3</v>
      </c>
      <c r="K424">
        <f t="shared" si="56"/>
        <v>-1.8604651162790753E-2</v>
      </c>
      <c r="L424">
        <f t="shared" si="57"/>
        <v>3.8860103626943143E-3</v>
      </c>
      <c r="M424">
        <f t="shared" si="58"/>
        <v>-3.1073832329731044E-3</v>
      </c>
      <c r="N424">
        <f t="shared" si="59"/>
        <v>3.8805062521378719E-2</v>
      </c>
      <c r="O424">
        <f t="shared" si="60"/>
        <v>1.6848909978681048E-2</v>
      </c>
      <c r="P424">
        <f t="shared" si="61"/>
        <v>2.1818181818181959E-2</v>
      </c>
      <c r="Q424">
        <f t="shared" si="62"/>
        <v>2.2255245743976193E-3</v>
      </c>
      <c r="R424" s="15">
        <f t="shared" si="63"/>
        <v>1.2975286325707377E-2</v>
      </c>
    </row>
    <row r="425" spans="1:18" x14ac:dyDescent="0.2">
      <c r="A425" s="13">
        <v>45433</v>
      </c>
      <c r="B425" s="14">
        <v>16.36</v>
      </c>
      <c r="C425" s="14">
        <v>12.9</v>
      </c>
      <c r="D425" s="14">
        <v>324.24</v>
      </c>
      <c r="E425" s="14">
        <v>35.039771999999999</v>
      </c>
      <c r="F425" s="14">
        <v>263.11</v>
      </c>
      <c r="G425" s="14">
        <v>145.41</v>
      </c>
      <c r="H425" s="14">
        <v>13.75</v>
      </c>
      <c r="I425" s="14">
        <v>65.95299</v>
      </c>
      <c r="J425">
        <f t="shared" si="55"/>
        <v>-3.6540803897686658E-3</v>
      </c>
      <c r="K425">
        <f t="shared" si="56"/>
        <v>-7.692307692307665E-3</v>
      </c>
      <c r="L425">
        <f t="shared" si="57"/>
        <v>-5.3377507822566228E-3</v>
      </c>
      <c r="M425">
        <f t="shared" si="58"/>
        <v>-2.3178774807873226E-2</v>
      </c>
      <c r="N425">
        <f t="shared" si="59"/>
        <v>-1.7989773448288671E-2</v>
      </c>
      <c r="O425">
        <f t="shared" si="60"/>
        <v>-5.2580140734949099E-2</v>
      </c>
      <c r="P425">
        <f t="shared" si="61"/>
        <v>-2.758132956152759E-2</v>
      </c>
      <c r="Q425">
        <f t="shared" si="62"/>
        <v>-1.7779104886606611E-2</v>
      </c>
      <c r="R425" s="15">
        <f t="shared" si="63"/>
        <v>-2.1115326647336438E-2</v>
      </c>
    </row>
    <row r="426" spans="1:18" x14ac:dyDescent="0.2">
      <c r="A426" s="11">
        <v>45432</v>
      </c>
      <c r="B426" s="12">
        <v>16.420000000000002</v>
      </c>
      <c r="C426" s="12">
        <v>13</v>
      </c>
      <c r="D426" s="12">
        <v>325.98</v>
      </c>
      <c r="E426" s="12">
        <v>35.871223000000001</v>
      </c>
      <c r="F426" s="12">
        <v>267.93</v>
      </c>
      <c r="G426" s="12">
        <v>153.47999999999999</v>
      </c>
      <c r="H426" s="12">
        <v>14.14</v>
      </c>
      <c r="I426" s="12">
        <v>67.146799999999999</v>
      </c>
      <c r="J426">
        <f t="shared" si="55"/>
        <v>1.2195121951221743E-3</v>
      </c>
      <c r="K426">
        <f t="shared" si="56"/>
        <v>6.9713400464754827E-3</v>
      </c>
      <c r="L426">
        <f t="shared" si="57"/>
        <v>1.3052396046988823E-2</v>
      </c>
      <c r="M426">
        <f t="shared" si="58"/>
        <v>-5.2154385300120509E-3</v>
      </c>
      <c r="N426">
        <f t="shared" si="59"/>
        <v>-1.8894869823135152E-2</v>
      </c>
      <c r="O426">
        <f t="shared" si="60"/>
        <v>-1.2164510523267169E-2</v>
      </c>
      <c r="P426">
        <f t="shared" si="61"/>
        <v>-2.9512697323267001E-2</v>
      </c>
      <c r="Q426">
        <f t="shared" si="62"/>
        <v>-2.6163444436622108E-3</v>
      </c>
      <c r="R426" s="15">
        <f t="shared" si="63"/>
        <v>-8.9361137979045019E-3</v>
      </c>
    </row>
    <row r="427" spans="1:18" x14ac:dyDescent="0.2">
      <c r="A427" s="13">
        <v>45429</v>
      </c>
      <c r="B427" s="14">
        <v>16.399999999999999</v>
      </c>
      <c r="C427" s="14">
        <v>12.91</v>
      </c>
      <c r="D427" s="14">
        <v>321.77999999999997</v>
      </c>
      <c r="E427" s="14">
        <v>36.059288000000002</v>
      </c>
      <c r="F427" s="14">
        <v>273.08999999999997</v>
      </c>
      <c r="G427" s="14">
        <v>155.37</v>
      </c>
      <c r="H427" s="14">
        <v>14.57</v>
      </c>
      <c r="I427" s="14">
        <v>67.322940000000003</v>
      </c>
      <c r="J427">
        <f t="shared" si="55"/>
        <v>-5.4578532443905203E-3</v>
      </c>
      <c r="K427">
        <f t="shared" si="56"/>
        <v>-1.072796934865905E-2</v>
      </c>
      <c r="L427">
        <f t="shared" si="57"/>
        <v>-7.3726748311072621E-3</v>
      </c>
      <c r="M427">
        <f t="shared" si="58"/>
        <v>-7.6273025888584645E-3</v>
      </c>
      <c r="N427">
        <f t="shared" si="59"/>
        <v>9.2097896504838683E-2</v>
      </c>
      <c r="O427">
        <f t="shared" si="60"/>
        <v>-8.8670579229394031E-3</v>
      </c>
      <c r="P427">
        <f t="shared" si="61"/>
        <v>2.3174157303370801E-2</v>
      </c>
      <c r="Q427">
        <f t="shared" si="62"/>
        <v>4.819775040348917E-3</v>
      </c>
      <c r="R427" s="15">
        <f t="shared" si="63"/>
        <v>1.9236475800971684E-2</v>
      </c>
    </row>
    <row r="428" spans="1:18" x14ac:dyDescent="0.2">
      <c r="A428" s="11">
        <v>45428</v>
      </c>
      <c r="B428" s="12">
        <v>16.489999999999998</v>
      </c>
      <c r="C428" s="12">
        <v>13.05</v>
      </c>
      <c r="D428" s="12">
        <v>324.17</v>
      </c>
      <c r="E428" s="12">
        <v>36.336436999999997</v>
      </c>
      <c r="F428" s="12">
        <v>250.06</v>
      </c>
      <c r="G428" s="12">
        <v>156.76</v>
      </c>
      <c r="H428" s="12">
        <v>14.24</v>
      </c>
      <c r="I428" s="12">
        <v>67.000015000000005</v>
      </c>
      <c r="J428">
        <f t="shared" si="55"/>
        <v>-1.0204081632653184E-2</v>
      </c>
      <c r="K428">
        <f t="shared" si="56"/>
        <v>-9.8634294385431254E-3</v>
      </c>
      <c r="L428">
        <f t="shared" si="57"/>
        <v>1.7195393642724932E-2</v>
      </c>
      <c r="M428">
        <f t="shared" si="58"/>
        <v>-1.3702385233943071E-2</v>
      </c>
      <c r="N428">
        <f t="shared" si="59"/>
        <v>-1.7291519295763558E-2</v>
      </c>
      <c r="O428">
        <f t="shared" si="60"/>
        <v>-7.7224965185466177E-3</v>
      </c>
      <c r="P428">
        <f t="shared" si="61"/>
        <v>-2.2649279341111828E-2</v>
      </c>
      <c r="Q428">
        <f t="shared" si="62"/>
        <v>3.2729900652947341E-2</v>
      </c>
      <c r="R428" s="15">
        <f t="shared" si="63"/>
        <v>-7.0154252032399809E-3</v>
      </c>
    </row>
    <row r="429" spans="1:18" x14ac:dyDescent="0.2">
      <c r="A429" s="13">
        <v>45427</v>
      </c>
      <c r="B429" s="14">
        <v>16.66</v>
      </c>
      <c r="C429" s="14">
        <v>13.18</v>
      </c>
      <c r="D429" s="14">
        <v>318.69</v>
      </c>
      <c r="E429" s="14">
        <v>36.841250000000002</v>
      </c>
      <c r="F429" s="14">
        <v>254.46</v>
      </c>
      <c r="G429" s="14">
        <v>157.97999999999999</v>
      </c>
      <c r="H429" s="14">
        <v>14.57</v>
      </c>
      <c r="I429" s="14">
        <v>64.876609999999999</v>
      </c>
      <c r="J429">
        <f t="shared" si="55"/>
        <v>-8.3333333333334147E-3</v>
      </c>
      <c r="K429">
        <f t="shared" si="56"/>
        <v>-4.5317220543806824E-3</v>
      </c>
      <c r="L429">
        <f t="shared" si="57"/>
        <v>8.4807442802443678E-3</v>
      </c>
      <c r="M429">
        <f t="shared" si="58"/>
        <v>-2.6794635550454471E-3</v>
      </c>
      <c r="N429">
        <f t="shared" si="59"/>
        <v>1.6579441492549307E-2</v>
      </c>
      <c r="O429">
        <f t="shared" si="60"/>
        <v>2.6577425433751412E-2</v>
      </c>
      <c r="P429">
        <f t="shared" si="61"/>
        <v>-1.2203389830508504E-2</v>
      </c>
      <c r="Q429">
        <f t="shared" si="62"/>
        <v>1.3594071642553107E-3</v>
      </c>
      <c r="R429" s="15">
        <f t="shared" si="63"/>
        <v>4.8480800771412173E-3</v>
      </c>
    </row>
    <row r="430" spans="1:18" x14ac:dyDescent="0.2">
      <c r="A430" s="11">
        <v>45426</v>
      </c>
      <c r="B430" s="12">
        <v>16.8</v>
      </c>
      <c r="C430" s="12">
        <v>13.24</v>
      </c>
      <c r="D430" s="12">
        <v>316.01</v>
      </c>
      <c r="E430" s="12">
        <v>36.94023</v>
      </c>
      <c r="F430" s="12">
        <v>250.31</v>
      </c>
      <c r="G430" s="12">
        <v>153.88999999999999</v>
      </c>
      <c r="H430" s="12">
        <v>14.75</v>
      </c>
      <c r="I430" s="12">
        <v>64.788535999999993</v>
      </c>
      <c r="J430">
        <f t="shared" si="55"/>
        <v>1.7889087656530744E-3</v>
      </c>
      <c r="K430">
        <f t="shared" si="56"/>
        <v>-8.9820359281436168E-3</v>
      </c>
      <c r="L430">
        <f t="shared" si="57"/>
        <v>-4.7444331983814703E-4</v>
      </c>
      <c r="M430">
        <f t="shared" si="58"/>
        <v>-1.4783594856786375E-2</v>
      </c>
      <c r="N430">
        <f t="shared" si="59"/>
        <v>-5.0085463290534538E-3</v>
      </c>
      <c r="O430">
        <f t="shared" si="60"/>
        <v>-1.4662568830836387E-2</v>
      </c>
      <c r="P430">
        <f t="shared" si="61"/>
        <v>2.8591352859135277E-2</v>
      </c>
      <c r="Q430">
        <f t="shared" si="62"/>
        <v>-4.8099226947635465E-3</v>
      </c>
      <c r="R430" s="15">
        <f t="shared" si="63"/>
        <v>-8.6118618128130898E-4</v>
      </c>
    </row>
    <row r="431" spans="1:18" x14ac:dyDescent="0.2">
      <c r="A431" s="13">
        <v>45425</v>
      </c>
      <c r="B431" s="14">
        <v>16.77</v>
      </c>
      <c r="C431" s="14">
        <v>13.36</v>
      </c>
      <c r="D431" s="14">
        <v>316.16000000000003</v>
      </c>
      <c r="E431" s="14">
        <v>37.494534000000002</v>
      </c>
      <c r="F431" s="14">
        <v>251.57</v>
      </c>
      <c r="G431" s="14">
        <v>156.18</v>
      </c>
      <c r="H431" s="14">
        <v>14.34</v>
      </c>
      <c r="I431" s="14">
        <v>65.101669999999999</v>
      </c>
      <c r="J431">
        <f t="shared" si="55"/>
        <v>-1.2948793407886905E-2</v>
      </c>
      <c r="K431">
        <f t="shared" si="56"/>
        <v>5.2671181339352113E-3</v>
      </c>
      <c r="L431">
        <f t="shared" si="57"/>
        <v>5.2142947984230581E-3</v>
      </c>
      <c r="M431">
        <f t="shared" si="58"/>
        <v>2.9123470730243461E-3</v>
      </c>
      <c r="N431">
        <f t="shared" si="59"/>
        <v>-8.3406148224640653E-4</v>
      </c>
      <c r="O431">
        <f t="shared" si="60"/>
        <v>2.4390243902439046E-3</v>
      </c>
      <c r="P431">
        <f t="shared" si="61"/>
        <v>-9.6685082872928207E-3</v>
      </c>
      <c r="Q431">
        <f t="shared" si="62"/>
        <v>0</v>
      </c>
      <c r="R431" s="15">
        <f t="shared" si="63"/>
        <v>-1.0460297709924994E-3</v>
      </c>
    </row>
    <row r="432" spans="1:18" x14ac:dyDescent="0.2">
      <c r="A432" s="11">
        <v>45422</v>
      </c>
      <c r="B432" s="12">
        <v>16.989999999999998</v>
      </c>
      <c r="C432" s="12">
        <v>13.29</v>
      </c>
      <c r="D432" s="12">
        <v>314.52</v>
      </c>
      <c r="E432" s="12">
        <v>37.385654000000002</v>
      </c>
      <c r="F432" s="12">
        <v>251.78</v>
      </c>
      <c r="G432" s="12">
        <v>155.80000000000001</v>
      </c>
      <c r="H432" s="12">
        <v>14.48</v>
      </c>
      <c r="I432" s="12">
        <v>65.101669999999999</v>
      </c>
      <c r="J432">
        <f t="shared" si="55"/>
        <v>-1.762632197414904E-3</v>
      </c>
      <c r="K432">
        <f t="shared" si="56"/>
        <v>4.5351473922901064E-3</v>
      </c>
      <c r="L432">
        <f t="shared" si="57"/>
        <v>-1.7309254514778494E-2</v>
      </c>
      <c r="M432">
        <f t="shared" si="58"/>
        <v>-4.743021343409648E-3</v>
      </c>
      <c r="N432">
        <f t="shared" si="59"/>
        <v>-6.157732691244977E-3</v>
      </c>
      <c r="O432">
        <f t="shared" si="60"/>
        <v>3.2841779895680379E-3</v>
      </c>
      <c r="P432">
        <f t="shared" si="61"/>
        <v>1.9718309859154903E-2</v>
      </c>
      <c r="Q432">
        <f t="shared" si="62"/>
        <v>-1.051033075471941E-3</v>
      </c>
      <c r="R432" s="15">
        <f t="shared" si="63"/>
        <v>2.8856425807509043E-4</v>
      </c>
    </row>
    <row r="433" spans="1:18" x14ac:dyDescent="0.2">
      <c r="A433" s="13">
        <v>45421</v>
      </c>
      <c r="B433" s="14">
        <v>17.02</v>
      </c>
      <c r="C433" s="14">
        <v>13.23</v>
      </c>
      <c r="D433" s="14">
        <v>320.06</v>
      </c>
      <c r="E433" s="14">
        <v>37.56382</v>
      </c>
      <c r="F433" s="14">
        <v>253.34</v>
      </c>
      <c r="G433" s="14">
        <v>155.29</v>
      </c>
      <c r="H433" s="14">
        <v>14.2</v>
      </c>
      <c r="I433" s="14">
        <v>65.170165999999995</v>
      </c>
      <c r="J433">
        <f t="shared" si="55"/>
        <v>2.1608643457383003E-2</v>
      </c>
      <c r="K433">
        <f t="shared" si="56"/>
        <v>9.1533180778031742E-3</v>
      </c>
      <c r="L433">
        <f t="shared" si="57"/>
        <v>1.8942408710324266E-2</v>
      </c>
      <c r="M433">
        <f t="shared" si="58"/>
        <v>1.0383349844087064E-2</v>
      </c>
      <c r="N433">
        <f t="shared" si="59"/>
        <v>-5.7299843014129159E-3</v>
      </c>
      <c r="O433">
        <f t="shared" si="60"/>
        <v>0</v>
      </c>
      <c r="P433">
        <f t="shared" si="61"/>
        <v>3.5335689045936647E-3</v>
      </c>
      <c r="Q433">
        <f t="shared" si="62"/>
        <v>3.127900662623162E-2</v>
      </c>
      <c r="R433" s="15">
        <f t="shared" si="63"/>
        <v>7.8428775369384779E-3</v>
      </c>
    </row>
    <row r="434" spans="1:18" x14ac:dyDescent="0.2">
      <c r="A434" s="11">
        <v>45420</v>
      </c>
      <c r="B434" s="12">
        <v>16.66</v>
      </c>
      <c r="C434" s="12">
        <v>13.11</v>
      </c>
      <c r="D434" s="12">
        <v>314.11</v>
      </c>
      <c r="E434" s="12">
        <v>37.177790000000002</v>
      </c>
      <c r="F434" s="12">
        <v>254.8</v>
      </c>
      <c r="G434" s="12">
        <v>155.29</v>
      </c>
      <c r="H434" s="12">
        <v>14.15</v>
      </c>
      <c r="I434" s="12">
        <v>63.193534999999997</v>
      </c>
      <c r="J434">
        <f t="shared" si="55"/>
        <v>3.6144578313253017E-3</v>
      </c>
      <c r="K434">
        <f t="shared" si="56"/>
        <v>-6.0652009097801329E-3</v>
      </c>
      <c r="L434">
        <f t="shared" si="57"/>
        <v>2.6173832551310561E-3</v>
      </c>
      <c r="M434">
        <f t="shared" si="58"/>
        <v>1.6508805422606798E-2</v>
      </c>
      <c r="N434">
        <f t="shared" si="59"/>
        <v>1.5584519111961459E-2</v>
      </c>
      <c r="O434">
        <f t="shared" si="60"/>
        <v>-8.6184882533196783E-3</v>
      </c>
      <c r="P434">
        <f t="shared" si="61"/>
        <v>-7.0621468926557185E-4</v>
      </c>
      <c r="Q434">
        <f t="shared" si="62"/>
        <v>1.909424860799569E-2</v>
      </c>
      <c r="R434" s="15">
        <f t="shared" si="63"/>
        <v>4.895507054592207E-3</v>
      </c>
    </row>
    <row r="435" spans="1:18" x14ac:dyDescent="0.2">
      <c r="A435" s="13">
        <v>45419</v>
      </c>
      <c r="B435" s="14">
        <v>16.600000000000001</v>
      </c>
      <c r="C435" s="14">
        <v>13.19</v>
      </c>
      <c r="D435" s="14">
        <v>313.29000000000002</v>
      </c>
      <c r="E435" s="14">
        <v>36.573996999999999</v>
      </c>
      <c r="F435" s="14">
        <v>250.89</v>
      </c>
      <c r="G435" s="14">
        <v>156.63999999999999</v>
      </c>
      <c r="H435" s="14">
        <v>14.16</v>
      </c>
      <c r="I435" s="14">
        <v>62.009509999999999</v>
      </c>
      <c r="J435">
        <f t="shared" si="55"/>
        <v>-5.3924505692031222E-3</v>
      </c>
      <c r="K435">
        <f t="shared" si="56"/>
        <v>-1.5671641791044855E-2</v>
      </c>
      <c r="L435">
        <f t="shared" si="57"/>
        <v>3.5556409763597419E-3</v>
      </c>
      <c r="M435">
        <f t="shared" si="58"/>
        <v>3.2581616569589134E-3</v>
      </c>
      <c r="N435">
        <f t="shared" si="59"/>
        <v>2.7978736160516604E-3</v>
      </c>
      <c r="O435">
        <f t="shared" si="60"/>
        <v>-1.2108980827447158E-2</v>
      </c>
      <c r="P435">
        <f t="shared" si="61"/>
        <v>-1.4104372355430161E-3</v>
      </c>
      <c r="Q435">
        <f t="shared" si="62"/>
        <v>-3.2519068152947028E-2</v>
      </c>
      <c r="R435" s="15">
        <f t="shared" si="63"/>
        <v>-5.3843688150115414E-3</v>
      </c>
    </row>
    <row r="436" spans="1:18" x14ac:dyDescent="0.2">
      <c r="A436" s="11">
        <v>45418</v>
      </c>
      <c r="B436" s="12">
        <v>16.690000000000001</v>
      </c>
      <c r="C436" s="12">
        <v>13.4</v>
      </c>
      <c r="D436" s="12">
        <v>312.18</v>
      </c>
      <c r="E436" s="12">
        <v>36.455219999999997</v>
      </c>
      <c r="F436" s="12">
        <v>250.19</v>
      </c>
      <c r="G436" s="12">
        <v>158.56</v>
      </c>
      <c r="H436" s="12">
        <v>14.18</v>
      </c>
      <c r="I436" s="12">
        <v>64.093779999999995</v>
      </c>
      <c r="J436">
        <f t="shared" si="55"/>
        <v>1.458966565349562E-2</v>
      </c>
      <c r="K436">
        <f t="shared" si="56"/>
        <v>-1.6874541452677971E-2</v>
      </c>
      <c r="L436">
        <f t="shared" si="57"/>
        <v>-1.4713408393038918E-3</v>
      </c>
      <c r="M436">
        <f t="shared" si="58"/>
        <v>4.6372042841849037E-3</v>
      </c>
      <c r="N436">
        <f t="shared" si="59"/>
        <v>-1.4689666036546867E-2</v>
      </c>
      <c r="O436">
        <f t="shared" si="60"/>
        <v>-7.7596996245307137E-3</v>
      </c>
      <c r="P436">
        <f t="shared" si="61"/>
        <v>-1.4593467685893091E-2</v>
      </c>
      <c r="Q436">
        <f t="shared" si="62"/>
        <v>-1.4296456794681722E-2</v>
      </c>
      <c r="R436" s="15">
        <f t="shared" si="63"/>
        <v>-8.2440326879402587E-3</v>
      </c>
    </row>
    <row r="437" spans="1:18" x14ac:dyDescent="0.2">
      <c r="A437" s="13">
        <v>45415</v>
      </c>
      <c r="B437" s="14">
        <v>16.45</v>
      </c>
      <c r="C437" s="14">
        <v>13.63</v>
      </c>
      <c r="D437" s="14">
        <v>312.64</v>
      </c>
      <c r="E437" s="14">
        <v>36.286949999999997</v>
      </c>
      <c r="F437" s="14">
        <v>253.92</v>
      </c>
      <c r="G437" s="14">
        <v>159.80000000000001</v>
      </c>
      <c r="H437" s="14">
        <v>14.39</v>
      </c>
      <c r="I437" s="14">
        <v>65.023383999999993</v>
      </c>
      <c r="J437">
        <f t="shared" si="55"/>
        <v>2.4283935242839449E-2</v>
      </c>
      <c r="K437">
        <f t="shared" si="56"/>
        <v>2.4042073628850469E-2</v>
      </c>
      <c r="L437">
        <f t="shared" si="57"/>
        <v>2.1797666367482371E-3</v>
      </c>
      <c r="M437">
        <f t="shared" si="58"/>
        <v>4.9342569868047192E-3</v>
      </c>
      <c r="N437">
        <f t="shared" si="59"/>
        <v>1.7266936420816448E-2</v>
      </c>
      <c r="O437">
        <f t="shared" si="60"/>
        <v>-1.2499999999999734E-3</v>
      </c>
      <c r="P437">
        <f t="shared" si="61"/>
        <v>6.2937062937062915E-3</v>
      </c>
      <c r="Q437">
        <f t="shared" si="62"/>
        <v>-4.1961254800729764E-3</v>
      </c>
      <c r="R437" s="15">
        <f t="shared" si="63"/>
        <v>9.4782947237186093E-3</v>
      </c>
    </row>
    <row r="438" spans="1:18" x14ac:dyDescent="0.2">
      <c r="A438" s="11">
        <v>45414</v>
      </c>
      <c r="B438" s="12">
        <v>16.059999999999999</v>
      </c>
      <c r="C438" s="12">
        <v>13.31</v>
      </c>
      <c r="D438" s="12">
        <v>311.95999999999998</v>
      </c>
      <c r="E438" s="12">
        <v>36.108780000000003</v>
      </c>
      <c r="F438" s="12">
        <v>249.61</v>
      </c>
      <c r="G438" s="12">
        <v>160</v>
      </c>
      <c r="H438" s="12">
        <v>14.3</v>
      </c>
      <c r="I438" s="12">
        <v>65.297380000000004</v>
      </c>
      <c r="J438">
        <f t="shared" si="55"/>
        <v>-1.5328019619865074E-2</v>
      </c>
      <c r="K438">
        <f t="shared" si="56"/>
        <v>-1.9159911569638921E-2</v>
      </c>
      <c r="L438">
        <f t="shared" si="57"/>
        <v>-1.9229536568166061E-4</v>
      </c>
      <c r="M438">
        <f t="shared" si="58"/>
        <v>-5.7236292462383709E-3</v>
      </c>
      <c r="N438">
        <f t="shared" si="59"/>
        <v>4.0223643457624192E-3</v>
      </c>
      <c r="O438">
        <f t="shared" si="60"/>
        <v>3.4126163391933861E-2</v>
      </c>
      <c r="P438">
        <f t="shared" si="61"/>
        <v>1.4904187366926891E-2</v>
      </c>
      <c r="Q438">
        <f t="shared" si="62"/>
        <v>-1.2285214465988625E-2</v>
      </c>
      <c r="R438" s="15">
        <f t="shared" si="63"/>
        <v>3.3012201642865901E-3</v>
      </c>
    </row>
    <row r="439" spans="1:18" x14ac:dyDescent="0.2">
      <c r="A439" s="13">
        <v>45412</v>
      </c>
      <c r="B439" s="14">
        <v>16.309999999999999</v>
      </c>
      <c r="C439" s="14">
        <v>13.57</v>
      </c>
      <c r="D439" s="14">
        <v>312.02</v>
      </c>
      <c r="E439" s="14">
        <v>36.316642999999999</v>
      </c>
      <c r="F439" s="14">
        <v>248.61</v>
      </c>
      <c r="G439" s="14">
        <v>154.72</v>
      </c>
      <c r="H439" s="14">
        <v>14.09</v>
      </c>
      <c r="I439" s="14">
        <v>66.109549999999999</v>
      </c>
      <c r="J439">
        <f t="shared" si="55"/>
        <v>-1.4501510574018273E-2</v>
      </c>
      <c r="K439">
        <f t="shared" si="56"/>
        <v>-1.8089725036179449E-2</v>
      </c>
      <c r="L439">
        <f t="shared" si="57"/>
        <v>-9.8375222137598861E-3</v>
      </c>
      <c r="M439">
        <f t="shared" si="58"/>
        <v>-1.0250873359922474E-2</v>
      </c>
      <c r="N439">
        <f t="shared" si="59"/>
        <v>-0.12387228643924431</v>
      </c>
      <c r="O439">
        <f t="shared" si="60"/>
        <v>1.1903204708960002E-2</v>
      </c>
      <c r="P439">
        <f t="shared" si="61"/>
        <v>-2.016689847009745E-2</v>
      </c>
      <c r="Q439">
        <f t="shared" si="62"/>
        <v>-4.3195162306235324E-2</v>
      </c>
      <c r="R439" s="15">
        <f t="shared" si="63"/>
        <v>-3.6483789085347704E-2</v>
      </c>
    </row>
    <row r="440" spans="1:18" x14ac:dyDescent="0.2">
      <c r="A440" s="11">
        <v>45411</v>
      </c>
      <c r="B440" s="12">
        <v>16.55</v>
      </c>
      <c r="C440" s="12">
        <v>13.82</v>
      </c>
      <c r="D440" s="12">
        <v>315.12</v>
      </c>
      <c r="E440" s="12">
        <v>36.692776000000002</v>
      </c>
      <c r="F440" s="12">
        <v>283.76</v>
      </c>
      <c r="G440" s="12">
        <v>152.9</v>
      </c>
      <c r="H440" s="12">
        <v>14.38</v>
      </c>
      <c r="I440" s="12">
        <v>69.094080000000005</v>
      </c>
      <c r="J440">
        <f t="shared" si="55"/>
        <v>2.2867737948084166E-2</v>
      </c>
      <c r="K440">
        <f t="shared" si="56"/>
        <v>-2.2630834512022635E-2</v>
      </c>
      <c r="L440">
        <f t="shared" si="57"/>
        <v>1.9713831478538335E-3</v>
      </c>
      <c r="M440">
        <f t="shared" si="58"/>
        <v>-9.6179897851268459E-3</v>
      </c>
      <c r="N440">
        <f t="shared" si="59"/>
        <v>-1.6974987875008729E-2</v>
      </c>
      <c r="O440">
        <f t="shared" si="60"/>
        <v>-9.4584089142265571E-3</v>
      </c>
      <c r="P440">
        <f t="shared" si="61"/>
        <v>-2.0435967302452229E-2</v>
      </c>
      <c r="Q440">
        <f t="shared" si="62"/>
        <v>-9.1214528241166937E-3</v>
      </c>
      <c r="R440" s="15">
        <f t="shared" si="63"/>
        <v>-1.0381781232484479E-2</v>
      </c>
    </row>
    <row r="441" spans="1:18" x14ac:dyDescent="0.2">
      <c r="A441" s="13">
        <v>45408</v>
      </c>
      <c r="B441" s="14">
        <v>16.18</v>
      </c>
      <c r="C441" s="14">
        <v>14.14</v>
      </c>
      <c r="D441" s="14">
        <v>314.5</v>
      </c>
      <c r="E441" s="14">
        <v>37.049114000000003</v>
      </c>
      <c r="F441" s="14">
        <v>288.66000000000003</v>
      </c>
      <c r="G441" s="14">
        <v>154.36000000000001</v>
      </c>
      <c r="H441" s="14">
        <v>14.68</v>
      </c>
      <c r="I441" s="14">
        <v>69.730119999999999</v>
      </c>
      <c r="J441">
        <f t="shared" si="55"/>
        <v>2.7954256670902122E-2</v>
      </c>
      <c r="K441">
        <f t="shared" si="56"/>
        <v>2.8368794326241176E-3</v>
      </c>
      <c r="L441">
        <f t="shared" si="57"/>
        <v>1.4483403761168967E-2</v>
      </c>
      <c r="M441">
        <f t="shared" si="58"/>
        <v>8.3513080901811421E-3</v>
      </c>
      <c r="N441">
        <f t="shared" si="59"/>
        <v>1.3090934615519689E-2</v>
      </c>
      <c r="O441">
        <f t="shared" si="60"/>
        <v>2.4490608614853748E-2</v>
      </c>
      <c r="P441">
        <f t="shared" si="61"/>
        <v>-2.1333333333333315E-2</v>
      </c>
      <c r="Q441">
        <f t="shared" si="62"/>
        <v>-6.4138278003137428E-3</v>
      </c>
      <c r="R441" s="15">
        <f t="shared" si="63"/>
        <v>7.0760320353642978E-3</v>
      </c>
    </row>
    <row r="442" spans="1:18" x14ac:dyDescent="0.2">
      <c r="A442" s="11">
        <v>45407</v>
      </c>
      <c r="B442" s="12">
        <v>15.74</v>
      </c>
      <c r="C442" s="12">
        <v>14.1</v>
      </c>
      <c r="D442" s="12">
        <v>310.01</v>
      </c>
      <c r="E442" s="12">
        <v>36.742268000000003</v>
      </c>
      <c r="F442" s="12">
        <v>284.93</v>
      </c>
      <c r="G442" s="12">
        <v>150.66999999999999</v>
      </c>
      <c r="H442" s="12">
        <v>15</v>
      </c>
      <c r="I442" s="12">
        <v>70.180244000000002</v>
      </c>
      <c r="J442">
        <f t="shared" si="55"/>
        <v>5.7507987220446477E-3</v>
      </c>
      <c r="K442">
        <f t="shared" si="56"/>
        <v>2.2480058013053084E-2</v>
      </c>
      <c r="L442">
        <f t="shared" si="57"/>
        <v>3.2196843577279033E-2</v>
      </c>
      <c r="M442">
        <f t="shared" si="58"/>
        <v>3.6292654672926083E-2</v>
      </c>
      <c r="N442">
        <f t="shared" si="59"/>
        <v>9.3520847355554881E-3</v>
      </c>
      <c r="O442">
        <f t="shared" si="60"/>
        <v>-5.7410584664114861E-3</v>
      </c>
      <c r="P442">
        <f t="shared" si="61"/>
        <v>1.8329938900203624E-2</v>
      </c>
      <c r="Q442">
        <f t="shared" si="62"/>
        <v>-4.1811945944703055E-4</v>
      </c>
      <c r="R442" s="15">
        <f t="shared" si="63"/>
        <v>1.4305660094484141E-2</v>
      </c>
    </row>
    <row r="443" spans="1:18" x14ac:dyDescent="0.2">
      <c r="A443" s="13">
        <v>45406</v>
      </c>
      <c r="B443" s="14">
        <v>15.65</v>
      </c>
      <c r="C443" s="14">
        <v>13.79</v>
      </c>
      <c r="D443" s="14">
        <v>300.33999999999997</v>
      </c>
      <c r="E443" s="14">
        <v>35.455494000000002</v>
      </c>
      <c r="F443" s="14">
        <v>282.29000000000002</v>
      </c>
      <c r="G443" s="14">
        <v>151.54</v>
      </c>
      <c r="H443" s="14">
        <v>14.73</v>
      </c>
      <c r="I443" s="14">
        <v>70.209599999999995</v>
      </c>
      <c r="J443">
        <f t="shared" si="55"/>
        <v>-1.2618296529968376E-2</v>
      </c>
      <c r="K443">
        <f t="shared" si="56"/>
        <v>-1.7806267806267817E-2</v>
      </c>
      <c r="L443">
        <f t="shared" si="57"/>
        <v>-9.3346967048192342E-3</v>
      </c>
      <c r="M443">
        <f t="shared" si="58"/>
        <v>-1.6474509000013571E-2</v>
      </c>
      <c r="N443">
        <f t="shared" si="59"/>
        <v>3.9972001178897765E-2</v>
      </c>
      <c r="O443">
        <f t="shared" si="60"/>
        <v>1.0334022268151166E-2</v>
      </c>
      <c r="P443">
        <f t="shared" si="61"/>
        <v>2.9350104821803003E-2</v>
      </c>
      <c r="Q443">
        <f t="shared" si="62"/>
        <v>-2.0862925530682475E-3</v>
      </c>
      <c r="R443" s="15">
        <f t="shared" si="63"/>
        <v>9.0924751849042855E-3</v>
      </c>
    </row>
    <row r="444" spans="1:18" x14ac:dyDescent="0.2">
      <c r="A444" s="11">
        <v>45405</v>
      </c>
      <c r="B444" s="12">
        <v>15.85</v>
      </c>
      <c r="C444" s="12">
        <v>14.04</v>
      </c>
      <c r="D444" s="12">
        <v>303.17</v>
      </c>
      <c r="E444" s="12">
        <v>36.049390000000002</v>
      </c>
      <c r="F444" s="12">
        <v>271.44</v>
      </c>
      <c r="G444" s="12">
        <v>149.99</v>
      </c>
      <c r="H444" s="12">
        <v>14.31</v>
      </c>
      <c r="I444" s="12">
        <v>70.356384000000006</v>
      </c>
      <c r="J444">
        <f t="shared" si="55"/>
        <v>1.2634238787112562E-3</v>
      </c>
      <c r="K444">
        <f t="shared" si="56"/>
        <v>0</v>
      </c>
      <c r="L444">
        <f t="shared" si="57"/>
        <v>0.1058947982782521</v>
      </c>
      <c r="M444">
        <f t="shared" si="58"/>
        <v>2.9686168909949462E-2</v>
      </c>
      <c r="N444">
        <f t="shared" si="59"/>
        <v>-1.0101746836366221E-2</v>
      </c>
      <c r="O444">
        <f t="shared" si="60"/>
        <v>-3.2010325911584259E-2</v>
      </c>
      <c r="P444">
        <f t="shared" si="61"/>
        <v>4.7584187408491907E-2</v>
      </c>
      <c r="Q444">
        <f t="shared" si="62"/>
        <v>3.1268023566183967E-2</v>
      </c>
      <c r="R444" s="15">
        <f t="shared" si="63"/>
        <v>1.9468146187062243E-2</v>
      </c>
    </row>
    <row r="445" spans="1:18" x14ac:dyDescent="0.2">
      <c r="A445" s="13">
        <v>45404</v>
      </c>
      <c r="B445" s="14">
        <v>15.83</v>
      </c>
      <c r="C445" s="14">
        <v>14.04</v>
      </c>
      <c r="D445" s="14">
        <v>274.14</v>
      </c>
      <c r="E445" s="14">
        <v>35.010075000000001</v>
      </c>
      <c r="F445" s="14">
        <v>274.20999999999998</v>
      </c>
      <c r="G445" s="14">
        <v>154.94999999999999</v>
      </c>
      <c r="H445" s="14">
        <v>13.66</v>
      </c>
      <c r="I445" s="14">
        <v>68.223179999999999</v>
      </c>
      <c r="J445">
        <f t="shared" si="55"/>
        <v>1.4093529788597126E-2</v>
      </c>
      <c r="K445">
        <f t="shared" si="56"/>
        <v>2.631578947368407E-2</v>
      </c>
      <c r="L445">
        <f t="shared" si="57"/>
        <v>3.0020665038512195E-2</v>
      </c>
      <c r="M445">
        <f t="shared" si="58"/>
        <v>3.1198076627185767E-3</v>
      </c>
      <c r="N445">
        <f t="shared" si="59"/>
        <v>-7.323915100716516E-2</v>
      </c>
      <c r="O445">
        <f t="shared" si="60"/>
        <v>3.9305117714132365E-2</v>
      </c>
      <c r="P445">
        <f t="shared" si="61"/>
        <v>2.9389600602863553E-2</v>
      </c>
      <c r="Q445">
        <f t="shared" si="62"/>
        <v>3.2888907998747774E-2</v>
      </c>
      <c r="R445" s="15">
        <f t="shared" si="63"/>
        <v>5.6553212303196276E-3</v>
      </c>
    </row>
    <row r="446" spans="1:18" x14ac:dyDescent="0.2">
      <c r="A446" s="11">
        <v>45401</v>
      </c>
      <c r="B446" s="12">
        <v>15.61</v>
      </c>
      <c r="C446" s="12">
        <v>13.68</v>
      </c>
      <c r="D446" s="12">
        <v>266.14999999999998</v>
      </c>
      <c r="E446" s="12">
        <v>34.90119</v>
      </c>
      <c r="F446" s="12">
        <v>295.88</v>
      </c>
      <c r="G446" s="12">
        <v>149.09</v>
      </c>
      <c r="H446" s="12">
        <v>13.27</v>
      </c>
      <c r="I446" s="12">
        <v>66.050839999999994</v>
      </c>
      <c r="J446">
        <f t="shared" si="55"/>
        <v>3.3090668431502213E-2</v>
      </c>
      <c r="K446">
        <f t="shared" si="56"/>
        <v>-5.0909090909091459E-3</v>
      </c>
      <c r="L446">
        <f t="shared" si="57"/>
        <v>-6.7585326474672858E-4</v>
      </c>
      <c r="M446">
        <f t="shared" si="58"/>
        <v>-2.8372069108695275E-4</v>
      </c>
      <c r="N446">
        <f t="shared" si="59"/>
        <v>-3.656670248445193E-2</v>
      </c>
      <c r="O446">
        <f t="shared" si="60"/>
        <v>-1.3106506917323069E-2</v>
      </c>
      <c r="P446">
        <f t="shared" si="61"/>
        <v>-1.5048908954100604E-3</v>
      </c>
      <c r="Q446">
        <f t="shared" si="62"/>
        <v>4.446431407083562E-4</v>
      </c>
      <c r="R446" s="15">
        <f t="shared" si="63"/>
        <v>-7.7535622705704396E-3</v>
      </c>
    </row>
    <row r="447" spans="1:18" x14ac:dyDescent="0.2">
      <c r="A447" s="13">
        <v>45400</v>
      </c>
      <c r="B447" s="14">
        <v>15.11</v>
      </c>
      <c r="C447" s="14">
        <v>13.75</v>
      </c>
      <c r="D447" s="14">
        <v>266.33</v>
      </c>
      <c r="E447" s="14">
        <v>34.911095000000003</v>
      </c>
      <c r="F447" s="14">
        <v>307.11</v>
      </c>
      <c r="G447" s="14">
        <v>151.07</v>
      </c>
      <c r="H447" s="14">
        <v>13.29</v>
      </c>
      <c r="I447" s="14">
        <v>66.021484000000001</v>
      </c>
      <c r="J447">
        <f t="shared" si="55"/>
        <v>-1.2418300653594838E-2</v>
      </c>
      <c r="K447">
        <f t="shared" si="56"/>
        <v>-1.2212643678160884E-2</v>
      </c>
      <c r="L447">
        <f t="shared" si="57"/>
        <v>1.5906316753127703E-2</v>
      </c>
      <c r="M447">
        <f t="shared" si="58"/>
        <v>3.1588244730680559E-2</v>
      </c>
      <c r="N447">
        <f t="shared" si="59"/>
        <v>6.2911628821391563E-3</v>
      </c>
      <c r="O447">
        <f t="shared" si="60"/>
        <v>-8.7270341207349444E-3</v>
      </c>
      <c r="P447">
        <f t="shared" si="61"/>
        <v>4.0720438527799496E-2</v>
      </c>
      <c r="Q447">
        <f t="shared" si="62"/>
        <v>1.397655865443026E-2</v>
      </c>
      <c r="R447" s="15">
        <f t="shared" si="63"/>
        <v>1.0554803849677956E-2</v>
      </c>
    </row>
    <row r="448" spans="1:18" x14ac:dyDescent="0.2">
      <c r="A448" s="11">
        <v>45399</v>
      </c>
      <c r="B448" s="12">
        <v>15.3</v>
      </c>
      <c r="C448" s="12">
        <v>13.92</v>
      </c>
      <c r="D448" s="12">
        <v>262.16000000000003</v>
      </c>
      <c r="E448" s="12">
        <v>33.842083000000002</v>
      </c>
      <c r="F448" s="12">
        <v>305.19</v>
      </c>
      <c r="G448" s="12">
        <v>152.4</v>
      </c>
      <c r="H448" s="12">
        <v>12.77</v>
      </c>
      <c r="I448" s="12">
        <v>65.111450000000005</v>
      </c>
      <c r="J448">
        <f t="shared" si="55"/>
        <v>1.5262110152621133E-2</v>
      </c>
      <c r="K448">
        <f t="shared" si="56"/>
        <v>-2.9288702928870314E-2</v>
      </c>
      <c r="L448">
        <f t="shared" si="57"/>
        <v>-2.6585474528441844E-2</v>
      </c>
      <c r="M448">
        <f t="shared" si="58"/>
        <v>-3.7443722792890988E-2</v>
      </c>
      <c r="N448">
        <f t="shared" si="59"/>
        <v>2.104382736701238E-2</v>
      </c>
      <c r="O448">
        <f t="shared" si="60"/>
        <v>-8.2644628099172168E-3</v>
      </c>
      <c r="P448">
        <f t="shared" si="61"/>
        <v>6.3280599500416201E-2</v>
      </c>
      <c r="Q448">
        <f t="shared" si="62"/>
        <v>5.2877172510232828E-3</v>
      </c>
      <c r="R448" s="15">
        <f t="shared" si="63"/>
        <v>5.8819177440975548E-3</v>
      </c>
    </row>
    <row r="449" spans="1:18" x14ac:dyDescent="0.2">
      <c r="A449" s="13">
        <v>45398</v>
      </c>
      <c r="B449" s="14">
        <v>15.07</v>
      </c>
      <c r="C449" s="14">
        <v>14.34</v>
      </c>
      <c r="D449" s="14">
        <v>269.32</v>
      </c>
      <c r="E449" s="14">
        <v>35.158549999999998</v>
      </c>
      <c r="F449" s="14">
        <v>298.89999999999998</v>
      </c>
      <c r="G449" s="14">
        <v>153.66999999999999</v>
      </c>
      <c r="H449" s="14">
        <v>12.01</v>
      </c>
      <c r="I449" s="14">
        <v>64.768969999999996</v>
      </c>
      <c r="J449">
        <f t="shared" si="55"/>
        <v>2.6613439787093185E-3</v>
      </c>
      <c r="K449">
        <f t="shared" si="56"/>
        <v>2.2824536376604865E-2</v>
      </c>
      <c r="L449">
        <f t="shared" si="57"/>
        <v>3.3155757553178233E-3</v>
      </c>
      <c r="M449">
        <f t="shared" si="58"/>
        <v>-8.6520108600505186E-3</v>
      </c>
      <c r="N449">
        <f t="shared" si="59"/>
        <v>-2.8630853725910788E-2</v>
      </c>
      <c r="O449">
        <f t="shared" si="60"/>
        <v>-5.8226046451446134E-3</v>
      </c>
      <c r="P449">
        <f t="shared" si="61"/>
        <v>-1.6625103906898753E-3</v>
      </c>
      <c r="Q449">
        <f t="shared" si="62"/>
        <v>-1.5469310153592875E-2</v>
      </c>
      <c r="R449" s="15">
        <f t="shared" si="63"/>
        <v>-6.0050208785093475E-3</v>
      </c>
    </row>
    <row r="450" spans="1:18" x14ac:dyDescent="0.2">
      <c r="A450" s="11">
        <v>45397</v>
      </c>
      <c r="B450" s="12">
        <v>15.03</v>
      </c>
      <c r="C450" s="12">
        <v>14.02</v>
      </c>
      <c r="D450" s="12">
        <v>268.43</v>
      </c>
      <c r="E450" s="12">
        <v>35.465397000000003</v>
      </c>
      <c r="F450" s="12">
        <v>307.70999999999998</v>
      </c>
      <c r="G450" s="12">
        <v>154.57</v>
      </c>
      <c r="H450" s="12">
        <v>12.03</v>
      </c>
      <c r="I450" s="12">
        <v>65.786643999999995</v>
      </c>
      <c r="J450">
        <f t="shared" si="55"/>
        <v>-3.3156498673740931E-3</v>
      </c>
      <c r="K450">
        <f t="shared" si="56"/>
        <v>-1.4064697609001531E-2</v>
      </c>
      <c r="L450">
        <f t="shared" si="57"/>
        <v>-1.1453192899756992E-2</v>
      </c>
      <c r="M450">
        <f t="shared" si="58"/>
        <v>-1.2947539716136158E-2</v>
      </c>
      <c r="N450">
        <f t="shared" si="59"/>
        <v>-5.697211155378501E-2</v>
      </c>
      <c r="O450">
        <f t="shared" si="60"/>
        <v>-1.0878607538235219E-2</v>
      </c>
      <c r="P450">
        <f t="shared" si="61"/>
        <v>2.6450511945392385E-2</v>
      </c>
      <c r="Q450">
        <f t="shared" si="62"/>
        <v>-2.6075620299638835E-2</v>
      </c>
      <c r="R450" s="15">
        <f t="shared" si="63"/>
        <v>-1.5428641523705371E-2</v>
      </c>
    </row>
    <row r="451" spans="1:18" x14ac:dyDescent="0.2">
      <c r="A451" s="13">
        <v>45394</v>
      </c>
      <c r="B451" s="14">
        <v>15.08</v>
      </c>
      <c r="C451" s="14">
        <v>14.22</v>
      </c>
      <c r="D451" s="14">
        <v>271.54000000000002</v>
      </c>
      <c r="E451" s="14">
        <v>35.930610000000001</v>
      </c>
      <c r="F451" s="14">
        <v>326.3</v>
      </c>
      <c r="G451" s="14">
        <v>156.27000000000001</v>
      </c>
      <c r="H451" s="14">
        <v>11.72</v>
      </c>
      <c r="I451" s="14">
        <v>67.548000000000002</v>
      </c>
      <c r="J451">
        <f t="shared" ref="J451:J501" si="64">B451/B452-1</f>
        <v>-1.4379084967320321E-2</v>
      </c>
      <c r="K451">
        <f t="shared" ref="K451:K501" si="65">C451/C452-1</f>
        <v>-9.0592334494772331E-3</v>
      </c>
      <c r="L451">
        <f t="shared" ref="L451:L501" si="66">D451/D452-1</f>
        <v>5.5919712624525886E-3</v>
      </c>
      <c r="M451">
        <f t="shared" ref="M451:M501" si="67">E451/E452-1</f>
        <v>-1.9184003880613143E-2</v>
      </c>
      <c r="N451">
        <f t="shared" ref="N451:N501" si="68">F451/F452-1</f>
        <v>2.8688524590164022E-2</v>
      </c>
      <c r="O451">
        <f t="shared" ref="O451:O501" si="69">G451/G452-1</f>
        <v>3.7898252826311651E-3</v>
      </c>
      <c r="P451">
        <f t="shared" ref="P451:P501" si="70">H451/H452-1</f>
        <v>-4.9472830494728282E-2</v>
      </c>
      <c r="Q451">
        <f t="shared" ref="Q451:Q501" si="71">I451/I452-1</f>
        <v>-5.6178733224180322E-3</v>
      </c>
      <c r="R451" s="15">
        <f t="shared" ref="R451:R501" si="72">SUMPRODUCT($T$2:$AA$2,J451:Q451)</f>
        <v>-5.5070116209834374E-3</v>
      </c>
    </row>
    <row r="452" spans="1:18" x14ac:dyDescent="0.2">
      <c r="A452" s="11">
        <v>45393</v>
      </c>
      <c r="B452" s="12">
        <v>15.3</v>
      </c>
      <c r="C452" s="12">
        <v>14.35</v>
      </c>
      <c r="D452" s="12">
        <v>270.02999999999997</v>
      </c>
      <c r="E452" s="12">
        <v>36.633384999999997</v>
      </c>
      <c r="F452" s="12">
        <v>317.2</v>
      </c>
      <c r="G452" s="12">
        <v>155.68</v>
      </c>
      <c r="H452" s="12">
        <v>12.33</v>
      </c>
      <c r="I452" s="12">
        <v>67.92962</v>
      </c>
      <c r="J452">
        <f t="shared" si="64"/>
        <v>6.5789473684212396E-3</v>
      </c>
      <c r="K452">
        <f t="shared" si="65"/>
        <v>1.4134275618374437E-2</v>
      </c>
      <c r="L452">
        <f t="shared" si="66"/>
        <v>3.8289962825277524E-3</v>
      </c>
      <c r="M452">
        <f t="shared" si="67"/>
        <v>1.0098256962568053E-2</v>
      </c>
      <c r="N452">
        <f t="shared" si="68"/>
        <v>1.29423277249896E-3</v>
      </c>
      <c r="O452">
        <f t="shared" si="69"/>
        <v>-3.4566636794264305E-3</v>
      </c>
      <c r="P452">
        <f t="shared" si="70"/>
        <v>-2.3752969121140222E-2</v>
      </c>
      <c r="Q452">
        <f t="shared" si="71"/>
        <v>-2.0183496295629544E-2</v>
      </c>
      <c r="R452" s="15">
        <f t="shared" si="72"/>
        <v>-2.4154196991097781E-3</v>
      </c>
    </row>
    <row r="453" spans="1:18" x14ac:dyDescent="0.2">
      <c r="A453" s="13">
        <v>45392</v>
      </c>
      <c r="B453" s="14">
        <v>15.2</v>
      </c>
      <c r="C453" s="14">
        <v>14.15</v>
      </c>
      <c r="D453" s="14">
        <v>269</v>
      </c>
      <c r="E453" s="14">
        <v>36.267150000000001</v>
      </c>
      <c r="F453" s="14">
        <v>316.79000000000002</v>
      </c>
      <c r="G453" s="14">
        <v>156.22</v>
      </c>
      <c r="H453" s="14">
        <v>12.63</v>
      </c>
      <c r="I453" s="14">
        <v>69.328919999999997</v>
      </c>
      <c r="J453">
        <f t="shared" si="64"/>
        <v>-1.9987105093488111E-2</v>
      </c>
      <c r="K453">
        <f t="shared" si="65"/>
        <v>-1.5994436717663429E-2</v>
      </c>
      <c r="L453">
        <f t="shared" si="66"/>
        <v>-1.0993051215118288E-2</v>
      </c>
      <c r="M453">
        <f t="shared" si="67"/>
        <v>-3.8067766303234385E-2</v>
      </c>
      <c r="N453">
        <f t="shared" si="68"/>
        <v>-2.6280199176246244E-2</v>
      </c>
      <c r="O453">
        <f t="shared" si="69"/>
        <v>-2.3869032741814511E-2</v>
      </c>
      <c r="P453">
        <f t="shared" si="70"/>
        <v>6.3745019920318224E-3</v>
      </c>
      <c r="Q453">
        <f t="shared" si="71"/>
        <v>-1.6382111070108785E-2</v>
      </c>
      <c r="R453" s="15">
        <f t="shared" si="72"/>
        <v>-1.7191031517356348E-2</v>
      </c>
    </row>
    <row r="454" spans="1:18" x14ac:dyDescent="0.2">
      <c r="A454" s="11">
        <v>45391</v>
      </c>
      <c r="B454" s="12">
        <v>15.51</v>
      </c>
      <c r="C454" s="12">
        <v>14.38</v>
      </c>
      <c r="D454" s="12">
        <v>271.99</v>
      </c>
      <c r="E454" s="12">
        <v>37.702396</v>
      </c>
      <c r="F454" s="12">
        <v>325.33999999999997</v>
      </c>
      <c r="G454" s="12">
        <v>160.04</v>
      </c>
      <c r="H454" s="12">
        <v>12.55</v>
      </c>
      <c r="I454" s="12">
        <v>70.483590000000007</v>
      </c>
      <c r="J454">
        <f t="shared" si="64"/>
        <v>-7.0422535211267512E-3</v>
      </c>
      <c r="K454">
        <f t="shared" si="65"/>
        <v>-1.1004126547455195E-2</v>
      </c>
      <c r="L454">
        <f t="shared" si="66"/>
        <v>-3.7510173749955689E-2</v>
      </c>
      <c r="M454">
        <f t="shared" si="67"/>
        <v>-7.8145559565448997E-3</v>
      </c>
      <c r="N454">
        <f t="shared" si="68"/>
        <v>1.767337107823197E-2</v>
      </c>
      <c r="O454">
        <f t="shared" si="69"/>
        <v>-1.0327128810834307E-2</v>
      </c>
      <c r="P454">
        <f t="shared" si="70"/>
        <v>-2.2585669781931439E-2</v>
      </c>
      <c r="Q454">
        <f t="shared" si="71"/>
        <v>-1.6631490116075787E-3</v>
      </c>
      <c r="R454" s="15">
        <f t="shared" si="72"/>
        <v>-8.6853709789389763E-3</v>
      </c>
    </row>
    <row r="455" spans="1:18" x14ac:dyDescent="0.2">
      <c r="A455" s="13">
        <v>45390</v>
      </c>
      <c r="B455" s="14">
        <v>15.62</v>
      </c>
      <c r="C455" s="14">
        <v>14.54</v>
      </c>
      <c r="D455" s="14">
        <v>282.58999999999997</v>
      </c>
      <c r="E455" s="14">
        <v>37.999344000000001</v>
      </c>
      <c r="F455" s="14">
        <v>319.69</v>
      </c>
      <c r="G455" s="14">
        <v>161.71</v>
      </c>
      <c r="H455" s="14">
        <v>12.84</v>
      </c>
      <c r="I455" s="14">
        <v>70.601010000000002</v>
      </c>
      <c r="J455">
        <f t="shared" si="64"/>
        <v>1.4944769330734076E-2</v>
      </c>
      <c r="K455">
        <f t="shared" si="65"/>
        <v>-1.3736263736264798E-3</v>
      </c>
      <c r="L455">
        <f t="shared" si="66"/>
        <v>-6.7190041728548699E-4</v>
      </c>
      <c r="M455">
        <f t="shared" si="67"/>
        <v>-1.8660442180644443E-2</v>
      </c>
      <c r="N455">
        <f t="shared" si="68"/>
        <v>3.0992002063983559E-2</v>
      </c>
      <c r="O455">
        <f t="shared" si="69"/>
        <v>-2.0981178648565857E-3</v>
      </c>
      <c r="P455">
        <f t="shared" si="70"/>
        <v>-1.2307692307692353E-2</v>
      </c>
      <c r="Q455">
        <f t="shared" si="71"/>
        <v>3.9925038090760312E-2</v>
      </c>
      <c r="R455" s="15">
        <f t="shared" si="72"/>
        <v>6.6006940863373052E-3</v>
      </c>
    </row>
    <row r="456" spans="1:18" x14ac:dyDescent="0.2">
      <c r="A456" s="11">
        <v>45387</v>
      </c>
      <c r="B456" s="12">
        <v>15.39</v>
      </c>
      <c r="C456" s="12">
        <v>14.56</v>
      </c>
      <c r="D456" s="12">
        <v>282.77999999999997</v>
      </c>
      <c r="E456" s="12">
        <v>38.721912000000003</v>
      </c>
      <c r="F456" s="12">
        <v>310.08</v>
      </c>
      <c r="G456" s="12">
        <v>162.05000000000001</v>
      </c>
      <c r="H456" s="12">
        <v>13</v>
      </c>
      <c r="I456" s="12">
        <v>67.890479999999997</v>
      </c>
      <c r="J456">
        <f t="shared" si="64"/>
        <v>-7.7369439071566237E-3</v>
      </c>
      <c r="K456">
        <f t="shared" si="65"/>
        <v>-1.3550135501354976E-2</v>
      </c>
      <c r="L456">
        <f t="shared" si="66"/>
        <v>6.0123092248034471E-3</v>
      </c>
      <c r="M456">
        <f t="shared" si="67"/>
        <v>1.0069625628040813E-2</v>
      </c>
      <c r="N456">
        <f t="shared" si="68"/>
        <v>6.1699650756693813E-2</v>
      </c>
      <c r="O456">
        <f t="shared" si="69"/>
        <v>-1.1588899054589707E-2</v>
      </c>
      <c r="P456">
        <f t="shared" si="70"/>
        <v>7.698229407235857E-4</v>
      </c>
      <c r="Q456">
        <f t="shared" si="71"/>
        <v>-8.9987936992096396E-3</v>
      </c>
      <c r="R456" s="15">
        <f t="shared" si="72"/>
        <v>1.0263720191027888E-2</v>
      </c>
    </row>
    <row r="457" spans="1:18" x14ac:dyDescent="0.2">
      <c r="A457" s="13">
        <v>45386</v>
      </c>
      <c r="B457" s="14">
        <v>15.51</v>
      </c>
      <c r="C457" s="14">
        <v>14.76</v>
      </c>
      <c r="D457" s="14">
        <v>281.08999999999997</v>
      </c>
      <c r="E457" s="14">
        <v>38.335884</v>
      </c>
      <c r="F457" s="14">
        <v>292.06</v>
      </c>
      <c r="G457" s="14">
        <v>163.95</v>
      </c>
      <c r="H457" s="14">
        <v>12.99</v>
      </c>
      <c r="I457" s="14">
        <v>68.506960000000007</v>
      </c>
      <c r="J457">
        <f t="shared" si="64"/>
        <v>9.1086532205595372E-3</v>
      </c>
      <c r="K457">
        <f t="shared" si="65"/>
        <v>-2.5742574257425765E-2</v>
      </c>
      <c r="L457">
        <f t="shared" si="66"/>
        <v>2.8578747072599553E-2</v>
      </c>
      <c r="M457">
        <f t="shared" si="67"/>
        <v>2.4332157380283936E-2</v>
      </c>
      <c r="N457">
        <f t="shared" si="68"/>
        <v>4.1100773535807322E-2</v>
      </c>
      <c r="O457">
        <f t="shared" si="69"/>
        <v>-6.0957025297181389E-4</v>
      </c>
      <c r="P457">
        <f t="shared" si="70"/>
        <v>-6.8807339449541427E-3</v>
      </c>
      <c r="Q457">
        <f t="shared" si="71"/>
        <v>-7.1357847058484136E-4</v>
      </c>
      <c r="R457" s="15">
        <f t="shared" si="72"/>
        <v>1.0835364461079921E-2</v>
      </c>
    </row>
    <row r="458" spans="1:18" x14ac:dyDescent="0.2">
      <c r="A458" s="11">
        <v>45385</v>
      </c>
      <c r="B458" s="12">
        <v>15.37</v>
      </c>
      <c r="C458" s="12">
        <v>15.15</v>
      </c>
      <c r="D458" s="12">
        <v>273.27999999999997</v>
      </c>
      <c r="E458" s="12">
        <v>37.425246999999999</v>
      </c>
      <c r="F458" s="12">
        <v>280.52999999999997</v>
      </c>
      <c r="G458" s="12">
        <v>164.05</v>
      </c>
      <c r="H458" s="12">
        <v>13.08</v>
      </c>
      <c r="I458" s="12">
        <v>68.555880000000002</v>
      </c>
      <c r="J458">
        <f t="shared" si="64"/>
        <v>-9.0264345583495054E-3</v>
      </c>
      <c r="K458">
        <f t="shared" si="65"/>
        <v>1.0673782521681163E-2</v>
      </c>
      <c r="L458">
        <f t="shared" si="66"/>
        <v>3.5621167052255487E-3</v>
      </c>
      <c r="M458">
        <f t="shared" si="67"/>
        <v>-6.5685756607376522E-3</v>
      </c>
      <c r="N458">
        <f t="shared" si="68"/>
        <v>6.5519598906107479E-2</v>
      </c>
      <c r="O458">
        <f t="shared" si="69"/>
        <v>2.811907818326409E-3</v>
      </c>
      <c r="P458">
        <f t="shared" si="70"/>
        <v>2.0280811232449292E-2</v>
      </c>
      <c r="Q458">
        <f t="shared" si="71"/>
        <v>-3.3121799562114251E-2</v>
      </c>
      <c r="R458" s="15">
        <f t="shared" si="72"/>
        <v>1.5239060317273153E-2</v>
      </c>
    </row>
    <row r="459" spans="1:18" x14ac:dyDescent="0.2">
      <c r="A459" s="13">
        <v>45384</v>
      </c>
      <c r="B459" s="14">
        <v>15.51</v>
      </c>
      <c r="C459" s="14">
        <v>14.99</v>
      </c>
      <c r="D459" s="14">
        <v>272.31</v>
      </c>
      <c r="E459" s="14">
        <v>37.672702999999998</v>
      </c>
      <c r="F459" s="14">
        <v>263.27999999999997</v>
      </c>
      <c r="G459" s="14">
        <v>163.59</v>
      </c>
      <c r="H459" s="14">
        <v>12.82</v>
      </c>
      <c r="I459" s="14">
        <v>70.904359999999997</v>
      </c>
      <c r="J459">
        <f t="shared" si="64"/>
        <v>-6.4061499039077541E-3</v>
      </c>
      <c r="K459">
        <f t="shared" si="65"/>
        <v>-3.3244680851063357E-3</v>
      </c>
      <c r="L459">
        <f t="shared" si="66"/>
        <v>1.4454420146779334E-2</v>
      </c>
      <c r="M459">
        <f t="shared" si="67"/>
        <v>0</v>
      </c>
      <c r="N459">
        <f t="shared" si="68"/>
        <v>2.0860798759208876E-2</v>
      </c>
      <c r="O459">
        <f t="shared" si="69"/>
        <v>-3.2900749405958551E-3</v>
      </c>
      <c r="P459">
        <f t="shared" si="70"/>
        <v>2.5600000000000067E-2</v>
      </c>
      <c r="Q459">
        <f t="shared" si="71"/>
        <v>4.8536976214661465E-3</v>
      </c>
      <c r="R459" s="15">
        <f t="shared" si="72"/>
        <v>9.5167999934069516E-3</v>
      </c>
    </row>
    <row r="460" spans="1:18" x14ac:dyDescent="0.2">
      <c r="A460" s="11">
        <v>45383</v>
      </c>
      <c r="B460" s="12">
        <v>15.61</v>
      </c>
      <c r="C460" s="12">
        <v>15.04</v>
      </c>
      <c r="D460" s="12">
        <v>268.43</v>
      </c>
      <c r="E460" s="12">
        <v>37.672702999999998</v>
      </c>
      <c r="F460" s="12">
        <v>257.89999999999998</v>
      </c>
      <c r="G460" s="12">
        <v>164.13</v>
      </c>
      <c r="H460" s="12">
        <v>12.5</v>
      </c>
      <c r="I460" s="12">
        <v>70.561874000000003</v>
      </c>
      <c r="J460">
        <f t="shared" si="64"/>
        <v>1.9255455712452463E-3</v>
      </c>
      <c r="K460">
        <f t="shared" si="65"/>
        <v>2.5221540558963751E-2</v>
      </c>
      <c r="L460">
        <f t="shared" si="66"/>
        <v>5.318152878169391E-3</v>
      </c>
      <c r="M460">
        <f t="shared" si="67"/>
        <v>-2.3601818816100462E-2</v>
      </c>
      <c r="N460">
        <f t="shared" si="68"/>
        <v>9.7586925990551965E-2</v>
      </c>
      <c r="O460">
        <f t="shared" si="69"/>
        <v>2.6880078196591661E-3</v>
      </c>
      <c r="P460">
        <f t="shared" si="70"/>
        <v>2.9654036243822013E-2</v>
      </c>
      <c r="Q460">
        <f t="shared" si="71"/>
        <v>-8.9334077961890079E-3</v>
      </c>
      <c r="R460" s="15">
        <f t="shared" si="72"/>
        <v>2.6638516849639738E-2</v>
      </c>
    </row>
    <row r="461" spans="1:18" x14ac:dyDescent="0.2">
      <c r="A461" s="13">
        <v>45378</v>
      </c>
      <c r="B461" s="14">
        <v>15.58</v>
      </c>
      <c r="C461" s="14">
        <v>14.67</v>
      </c>
      <c r="D461" s="14">
        <v>267.01</v>
      </c>
      <c r="E461" s="14">
        <v>38.58334</v>
      </c>
      <c r="F461" s="14">
        <v>234.97</v>
      </c>
      <c r="G461" s="14">
        <v>163.69</v>
      </c>
      <c r="H461" s="14">
        <v>12.14</v>
      </c>
      <c r="I461" s="14">
        <v>71.197913999999997</v>
      </c>
      <c r="J461">
        <f t="shared" si="64"/>
        <v>2.5000000000000133E-2</v>
      </c>
      <c r="K461">
        <f t="shared" si="65"/>
        <v>6.8212824010904782E-4</v>
      </c>
      <c r="L461">
        <f t="shared" si="66"/>
        <v>8.0033221337159066E-3</v>
      </c>
      <c r="M461">
        <f t="shared" si="67"/>
        <v>-1.0250904825143126E-3</v>
      </c>
      <c r="N461">
        <f t="shared" si="68"/>
        <v>1.9746549778665079E-2</v>
      </c>
      <c r="O461">
        <f t="shared" si="69"/>
        <v>3.0554876558297472E-4</v>
      </c>
      <c r="P461">
        <f t="shared" si="70"/>
        <v>9.9833610648918381E-3</v>
      </c>
      <c r="Q461">
        <f t="shared" si="71"/>
        <v>3.7205959155905077E-2</v>
      </c>
      <c r="R461" s="15">
        <f t="shared" si="72"/>
        <v>1.1806375013236928E-2</v>
      </c>
    </row>
    <row r="462" spans="1:18" x14ac:dyDescent="0.2">
      <c r="A462" s="11">
        <v>45377</v>
      </c>
      <c r="B462" s="12">
        <v>15.2</v>
      </c>
      <c r="C462" s="12">
        <v>14.66</v>
      </c>
      <c r="D462" s="12">
        <v>264.89</v>
      </c>
      <c r="E462" s="12">
        <v>38.622931999999999</v>
      </c>
      <c r="F462" s="12">
        <v>230.42</v>
      </c>
      <c r="G462" s="12">
        <v>163.63999999999999</v>
      </c>
      <c r="H462" s="12">
        <v>12.02</v>
      </c>
      <c r="I462" s="12">
        <v>68.643950000000004</v>
      </c>
      <c r="J462">
        <f t="shared" si="64"/>
        <v>-1.1060507482107962E-2</v>
      </c>
      <c r="K462">
        <f t="shared" si="65"/>
        <v>1.453287197231834E-2</v>
      </c>
      <c r="L462">
        <f t="shared" si="66"/>
        <v>2.6785022094735877E-2</v>
      </c>
      <c r="M462">
        <f t="shared" si="67"/>
        <v>4.1173485410985755E-3</v>
      </c>
      <c r="N462">
        <f t="shared" si="68"/>
        <v>1.3726352837659439E-2</v>
      </c>
      <c r="O462">
        <f t="shared" si="69"/>
        <v>1.702921068986929E-2</v>
      </c>
      <c r="P462">
        <f t="shared" si="70"/>
        <v>2.5020850708923348E-3</v>
      </c>
      <c r="Q462">
        <f t="shared" si="71"/>
        <v>-6.2331251040542712E-3</v>
      </c>
      <c r="R462" s="15">
        <f t="shared" si="72"/>
        <v>9.4918673846710964E-3</v>
      </c>
    </row>
    <row r="463" spans="1:18" x14ac:dyDescent="0.2">
      <c r="A463" s="13">
        <v>45376</v>
      </c>
      <c r="B463" s="14">
        <v>15.37</v>
      </c>
      <c r="C463" s="14">
        <v>14.45</v>
      </c>
      <c r="D463" s="14">
        <v>257.98</v>
      </c>
      <c r="E463" s="14">
        <v>38.464559999999999</v>
      </c>
      <c r="F463" s="14">
        <v>227.3</v>
      </c>
      <c r="G463" s="14">
        <v>160.9</v>
      </c>
      <c r="H463" s="14">
        <v>11.99</v>
      </c>
      <c r="I463" s="14">
        <v>69.0745</v>
      </c>
      <c r="J463">
        <f t="shared" si="64"/>
        <v>-5.1779935275081401E-3</v>
      </c>
      <c r="K463">
        <f t="shared" si="65"/>
        <v>3.4722222222220989E-3</v>
      </c>
      <c r="L463">
        <f t="shared" si="66"/>
        <v>-3.4765142150802175E-3</v>
      </c>
      <c r="M463">
        <f t="shared" si="67"/>
        <v>-9.1790762192530684E-3</v>
      </c>
      <c r="N463">
        <f t="shared" si="68"/>
        <v>2.120585856770596E-2</v>
      </c>
      <c r="O463">
        <f t="shared" si="69"/>
        <v>-1.4893881097181039E-3</v>
      </c>
      <c r="P463">
        <f t="shared" si="70"/>
        <v>-1.7213114754098258E-2</v>
      </c>
      <c r="Q463">
        <f t="shared" si="71"/>
        <v>-2.4024835050406868E-3</v>
      </c>
      <c r="R463" s="15">
        <f t="shared" si="72"/>
        <v>-1.4930582804086455E-4</v>
      </c>
    </row>
    <row r="464" spans="1:18" x14ac:dyDescent="0.2">
      <c r="A464" s="11">
        <v>45373</v>
      </c>
      <c r="B464" s="12">
        <v>15.45</v>
      </c>
      <c r="C464" s="12">
        <v>14.4</v>
      </c>
      <c r="D464" s="12">
        <v>258.88</v>
      </c>
      <c r="E464" s="12">
        <v>38.820900000000002</v>
      </c>
      <c r="F464" s="12">
        <v>222.58</v>
      </c>
      <c r="G464" s="12">
        <v>161.13999999999999</v>
      </c>
      <c r="H464" s="12">
        <v>12.2</v>
      </c>
      <c r="I464" s="12">
        <v>69.240849999999995</v>
      </c>
      <c r="J464">
        <f t="shared" si="64"/>
        <v>-1.5923566878980888E-2</v>
      </c>
      <c r="K464">
        <f t="shared" si="65"/>
        <v>1.1946591707659771E-2</v>
      </c>
      <c r="L464">
        <f t="shared" si="66"/>
        <v>3.1641029728221914E-2</v>
      </c>
      <c r="M464">
        <f t="shared" si="67"/>
        <v>9.2641122113448215E-3</v>
      </c>
      <c r="N464">
        <f t="shared" si="68"/>
        <v>-2.6717390353753978E-2</v>
      </c>
      <c r="O464">
        <f t="shared" si="69"/>
        <v>8.637956935403146E-3</v>
      </c>
      <c r="P464">
        <f t="shared" si="70"/>
        <v>4.1152263374484299E-3</v>
      </c>
      <c r="Q464">
        <f t="shared" si="71"/>
        <v>1.4480193704146327E-2</v>
      </c>
      <c r="R464" s="15">
        <f t="shared" si="72"/>
        <v>2.1275993742978115E-3</v>
      </c>
    </row>
    <row r="465" spans="1:18" x14ac:dyDescent="0.2">
      <c r="A465" s="13">
        <v>45372</v>
      </c>
      <c r="B465" s="14">
        <v>15.7</v>
      </c>
      <c r="C465" s="14">
        <v>14.23</v>
      </c>
      <c r="D465" s="14">
        <v>250.94</v>
      </c>
      <c r="E465" s="14">
        <v>38.464559999999999</v>
      </c>
      <c r="F465" s="14">
        <v>228.69</v>
      </c>
      <c r="G465" s="14">
        <v>159.76</v>
      </c>
      <c r="H465" s="14">
        <v>12.15</v>
      </c>
      <c r="I465" s="14">
        <v>68.252539999999996</v>
      </c>
      <c r="J465">
        <f t="shared" si="64"/>
        <v>-2.1197007481296715E-2</v>
      </c>
      <c r="K465">
        <f t="shared" si="65"/>
        <v>1.0653409090909172E-2</v>
      </c>
      <c r="L465">
        <f t="shared" si="66"/>
        <v>1.0371788734642173E-3</v>
      </c>
      <c r="M465">
        <f t="shared" si="67"/>
        <v>-6.1381136815302773E-3</v>
      </c>
      <c r="N465">
        <f t="shared" si="68"/>
        <v>9.758036029671624E-3</v>
      </c>
      <c r="O465">
        <f t="shared" si="69"/>
        <v>-6.0349654700428967E-3</v>
      </c>
      <c r="P465">
        <f t="shared" si="70"/>
        <v>2.3588879528222417E-2</v>
      </c>
      <c r="Q465">
        <f t="shared" si="71"/>
        <v>3.4527782404840668E-3</v>
      </c>
      <c r="R465" s="15">
        <f t="shared" si="72"/>
        <v>4.5387698144358241E-3</v>
      </c>
    </row>
    <row r="466" spans="1:18" x14ac:dyDescent="0.2">
      <c r="A466" s="11">
        <v>45371</v>
      </c>
      <c r="B466" s="12">
        <v>16.04</v>
      </c>
      <c r="C466" s="12">
        <v>14.08</v>
      </c>
      <c r="D466" s="12">
        <v>250.68</v>
      </c>
      <c r="E466" s="12">
        <v>38.702117999999999</v>
      </c>
      <c r="F466" s="12">
        <v>226.48</v>
      </c>
      <c r="G466" s="12">
        <v>160.72999999999999</v>
      </c>
      <c r="H466" s="12">
        <v>11.87</v>
      </c>
      <c r="I466" s="12">
        <v>68.017690000000002</v>
      </c>
      <c r="J466">
        <f t="shared" si="64"/>
        <v>2.4920127795527103E-2</v>
      </c>
      <c r="K466">
        <f t="shared" si="65"/>
        <v>1.0043041606886627E-2</v>
      </c>
      <c r="L466">
        <f t="shared" si="66"/>
        <v>2.1474267552259452E-2</v>
      </c>
      <c r="M466">
        <f t="shared" si="67"/>
        <v>1.5848202052331395E-2</v>
      </c>
      <c r="N466">
        <f t="shared" si="68"/>
        <v>2.3499638467100459E-2</v>
      </c>
      <c r="O466">
        <f t="shared" si="69"/>
        <v>7.1433047183406817E-3</v>
      </c>
      <c r="P466">
        <f t="shared" si="70"/>
        <v>3.1277150304083401E-2</v>
      </c>
      <c r="Q466">
        <f t="shared" si="71"/>
        <v>-7.4254452983391062E-3</v>
      </c>
      <c r="R466" s="15">
        <f t="shared" si="72"/>
        <v>1.7759661757866498E-2</v>
      </c>
    </row>
    <row r="467" spans="1:18" x14ac:dyDescent="0.2">
      <c r="A467" s="13">
        <v>45370</v>
      </c>
      <c r="B467" s="14">
        <v>15.65</v>
      </c>
      <c r="C467" s="14">
        <v>13.94</v>
      </c>
      <c r="D467" s="14">
        <v>245.41</v>
      </c>
      <c r="E467" s="14">
        <v>38.098328000000002</v>
      </c>
      <c r="F467" s="14">
        <v>221.28</v>
      </c>
      <c r="G467" s="14">
        <v>159.59</v>
      </c>
      <c r="H467" s="14">
        <v>11.51</v>
      </c>
      <c r="I467" s="14">
        <v>68.526529999999994</v>
      </c>
      <c r="J467">
        <f t="shared" si="64"/>
        <v>-7.609384908053185E-3</v>
      </c>
      <c r="K467">
        <f t="shared" si="65"/>
        <v>-1.7618040873854879E-2</v>
      </c>
      <c r="L467">
        <f t="shared" si="66"/>
        <v>-2.1686266693242917E-2</v>
      </c>
      <c r="M467">
        <f t="shared" si="67"/>
        <v>-1.8153086540856345E-3</v>
      </c>
      <c r="N467">
        <f t="shared" si="68"/>
        <v>-3.6320877972302101E-2</v>
      </c>
      <c r="O467">
        <f t="shared" si="69"/>
        <v>-5.304693526375126E-2</v>
      </c>
      <c r="P467">
        <f t="shared" si="70"/>
        <v>-1.7079419299743881E-2</v>
      </c>
      <c r="Q467">
        <f t="shared" si="71"/>
        <v>-1.5187687167646957E-2</v>
      </c>
      <c r="R467" s="15">
        <f t="shared" si="72"/>
        <v>-2.4484936636301982E-2</v>
      </c>
    </row>
    <row r="468" spans="1:18" x14ac:dyDescent="0.2">
      <c r="A468" s="11">
        <v>45366</v>
      </c>
      <c r="B468" s="12">
        <v>15.77</v>
      </c>
      <c r="C468" s="12">
        <v>14.19</v>
      </c>
      <c r="D468" s="12">
        <v>250.85</v>
      </c>
      <c r="E468" s="12">
        <v>38.167614</v>
      </c>
      <c r="F468" s="12">
        <v>229.62</v>
      </c>
      <c r="G468" s="12">
        <v>168.53</v>
      </c>
      <c r="H468" s="12">
        <v>11.71</v>
      </c>
      <c r="I468" s="12">
        <v>69.583340000000007</v>
      </c>
      <c r="J468">
        <f t="shared" si="64"/>
        <v>-2.6543209876543239E-2</v>
      </c>
      <c r="K468">
        <f t="shared" si="65"/>
        <v>1.0683760683760646E-2</v>
      </c>
      <c r="L468">
        <f t="shared" si="66"/>
        <v>1.0595439529449635E-2</v>
      </c>
      <c r="M468">
        <f t="shared" si="67"/>
        <v>-2.3286378595122059E-3</v>
      </c>
      <c r="N468">
        <f t="shared" si="68"/>
        <v>2.894784011471585E-2</v>
      </c>
      <c r="O468">
        <f t="shared" si="69"/>
        <v>2.7872651866308829E-2</v>
      </c>
      <c r="P468">
        <f t="shared" si="70"/>
        <v>-1.5966386554621792E-2</v>
      </c>
      <c r="Q468">
        <f t="shared" si="71"/>
        <v>3.1033732885588083E-3</v>
      </c>
      <c r="R468" s="15">
        <f t="shared" si="72"/>
        <v>7.6288340554406349E-3</v>
      </c>
    </row>
    <row r="469" spans="1:18" x14ac:dyDescent="0.2">
      <c r="A469" s="13">
        <v>45365</v>
      </c>
      <c r="B469" s="14">
        <v>16.2</v>
      </c>
      <c r="C469" s="14">
        <v>14.04</v>
      </c>
      <c r="D469" s="14">
        <v>248.22</v>
      </c>
      <c r="E469" s="14">
        <v>38.256700000000002</v>
      </c>
      <c r="F469" s="14">
        <v>223.16</v>
      </c>
      <c r="G469" s="14">
        <v>163.96</v>
      </c>
      <c r="H469" s="14">
        <v>11.9</v>
      </c>
      <c r="I469" s="14">
        <v>69.368065000000001</v>
      </c>
      <c r="J469">
        <f t="shared" si="64"/>
        <v>-4.3023970497848563E-3</v>
      </c>
      <c r="K469">
        <f t="shared" si="65"/>
        <v>3.616236162361619E-2</v>
      </c>
      <c r="L469">
        <f t="shared" si="66"/>
        <v>2.3039195482833952E-2</v>
      </c>
      <c r="M469">
        <f t="shared" si="67"/>
        <v>-1.5788059537764187E-2</v>
      </c>
      <c r="N469">
        <f t="shared" si="68"/>
        <v>7.1306074555463894E-3</v>
      </c>
      <c r="O469">
        <f t="shared" si="69"/>
        <v>1.2786459941936057E-2</v>
      </c>
      <c r="P469">
        <f t="shared" si="70"/>
        <v>-3.4090909090909061E-2</v>
      </c>
      <c r="Q469">
        <f t="shared" si="71"/>
        <v>-2.3419097088674401E-2</v>
      </c>
      <c r="R469" s="15">
        <f t="shared" si="72"/>
        <v>5.9599575914358522E-4</v>
      </c>
    </row>
    <row r="470" spans="1:18" x14ac:dyDescent="0.2">
      <c r="A470" s="11">
        <v>45364</v>
      </c>
      <c r="B470" s="12">
        <v>16.27</v>
      </c>
      <c r="C470" s="12">
        <v>13.55</v>
      </c>
      <c r="D470" s="12">
        <v>242.63</v>
      </c>
      <c r="E470" s="12">
        <v>38.870387999999998</v>
      </c>
      <c r="F470" s="12">
        <v>221.58</v>
      </c>
      <c r="G470" s="12">
        <v>161.88999999999999</v>
      </c>
      <c r="H470" s="12">
        <v>12.32</v>
      </c>
      <c r="I470" s="12">
        <v>71.031559999999999</v>
      </c>
      <c r="J470">
        <f t="shared" si="64"/>
        <v>1.055900621118E-2</v>
      </c>
      <c r="K470">
        <f t="shared" si="65"/>
        <v>1.4781966001480296E-3</v>
      </c>
      <c r="L470">
        <f t="shared" si="66"/>
        <v>1.5145809798753129E-2</v>
      </c>
      <c r="M470">
        <f t="shared" si="67"/>
        <v>1.7857225697208712E-3</v>
      </c>
      <c r="N470">
        <f t="shared" si="68"/>
        <v>2.1718079955733938E-2</v>
      </c>
      <c r="O470">
        <f t="shared" si="69"/>
        <v>6.9038437616617543E-3</v>
      </c>
      <c r="P470">
        <f t="shared" si="70"/>
        <v>2.3255813953488413E-2</v>
      </c>
      <c r="Q470">
        <f t="shared" si="71"/>
        <v>1.2271603308378065E-2</v>
      </c>
      <c r="R470" s="15">
        <f t="shared" si="72"/>
        <v>1.3448085884135985E-2</v>
      </c>
    </row>
    <row r="471" spans="1:18" x14ac:dyDescent="0.2">
      <c r="A471" s="13">
        <v>45363</v>
      </c>
      <c r="B471" s="14">
        <v>16.100000000000001</v>
      </c>
      <c r="C471" s="14">
        <v>13.53</v>
      </c>
      <c r="D471" s="14">
        <v>239.01</v>
      </c>
      <c r="E471" s="14">
        <v>38.801099999999998</v>
      </c>
      <c r="F471" s="14">
        <v>216.87</v>
      </c>
      <c r="G471" s="14">
        <v>160.78</v>
      </c>
      <c r="H471" s="14">
        <v>12.04</v>
      </c>
      <c r="I471" s="14">
        <v>70.170456000000001</v>
      </c>
      <c r="J471">
        <f t="shared" si="64"/>
        <v>1.0037641154328814E-2</v>
      </c>
      <c r="K471">
        <f t="shared" si="65"/>
        <v>-7.3367571533383691E-3</v>
      </c>
      <c r="L471">
        <f t="shared" si="66"/>
        <v>3.8219235615286618E-3</v>
      </c>
      <c r="M471">
        <f t="shared" si="67"/>
        <v>-6.8407280818266747E-3</v>
      </c>
      <c r="N471">
        <f t="shared" si="68"/>
        <v>8.6507604297474394E-3</v>
      </c>
      <c r="O471">
        <f t="shared" si="69"/>
        <v>-6.1197997156456907E-3</v>
      </c>
      <c r="P471">
        <f t="shared" si="70"/>
        <v>-2.0341741253051215E-2</v>
      </c>
      <c r="Q471">
        <f t="shared" si="71"/>
        <v>-1.5513371295519551E-2</v>
      </c>
      <c r="R471" s="15">
        <f t="shared" si="72"/>
        <v>-3.9003446811055826E-3</v>
      </c>
    </row>
    <row r="472" spans="1:18" x14ac:dyDescent="0.2">
      <c r="A472" s="11">
        <v>45362</v>
      </c>
      <c r="B472" s="12">
        <v>15.94</v>
      </c>
      <c r="C472" s="12">
        <v>13.63</v>
      </c>
      <c r="D472" s="12">
        <v>238.1</v>
      </c>
      <c r="E472" s="12">
        <v>39.068356000000001</v>
      </c>
      <c r="F472" s="12">
        <v>215.01</v>
      </c>
      <c r="G472" s="12">
        <v>161.77000000000001</v>
      </c>
      <c r="H472" s="12">
        <v>12.29</v>
      </c>
      <c r="I472" s="12">
        <v>71.27619</v>
      </c>
      <c r="J472">
        <f t="shared" si="64"/>
        <v>-8.0896079651524566E-3</v>
      </c>
      <c r="K472">
        <f t="shared" si="65"/>
        <v>2.3273273273273221E-2</v>
      </c>
      <c r="L472">
        <f t="shared" si="66"/>
        <v>-1.4259352457641761E-3</v>
      </c>
      <c r="M472">
        <f t="shared" si="67"/>
        <v>-2.7791394670910741E-3</v>
      </c>
      <c r="N472">
        <f t="shared" si="68"/>
        <v>6.6953834628709075E-3</v>
      </c>
      <c r="O472">
        <f t="shared" si="69"/>
        <v>-2.3435090965155947E-3</v>
      </c>
      <c r="P472">
        <f t="shared" si="70"/>
        <v>-8.0710250201776468E-3</v>
      </c>
      <c r="Q472">
        <f t="shared" si="71"/>
        <v>4.4124925492932121E-3</v>
      </c>
      <c r="R472" s="15">
        <f t="shared" si="72"/>
        <v>1.5505210455219239E-3</v>
      </c>
    </row>
    <row r="473" spans="1:18" x14ac:dyDescent="0.2">
      <c r="A473" s="13">
        <v>45359</v>
      </c>
      <c r="B473" s="14">
        <v>16.07</v>
      </c>
      <c r="C473" s="14">
        <v>13.32</v>
      </c>
      <c r="D473" s="14">
        <v>238.44</v>
      </c>
      <c r="E473" s="14">
        <v>39.177235000000003</v>
      </c>
      <c r="F473" s="14">
        <v>213.58</v>
      </c>
      <c r="G473" s="14">
        <v>162.15</v>
      </c>
      <c r="H473" s="14">
        <v>12.39</v>
      </c>
      <c r="I473" s="14">
        <v>70.963065999999998</v>
      </c>
      <c r="J473">
        <f t="shared" si="64"/>
        <v>5.632040050062459E-3</v>
      </c>
      <c r="K473">
        <f t="shared" si="65"/>
        <v>-4.484304932735439E-3</v>
      </c>
      <c r="L473">
        <f t="shared" si="66"/>
        <v>6.2948508120364011E-4</v>
      </c>
      <c r="M473">
        <f t="shared" si="67"/>
        <v>-4.276727417782511E-3</v>
      </c>
      <c r="N473">
        <f t="shared" si="68"/>
        <v>-1.1224394350387579E-3</v>
      </c>
      <c r="O473">
        <f t="shared" si="69"/>
        <v>1.3374164114742904E-2</v>
      </c>
      <c r="P473">
        <f t="shared" si="70"/>
        <v>-2.4154589371979673E-3</v>
      </c>
      <c r="Q473">
        <f t="shared" si="71"/>
        <v>-6.3030933081129614E-3</v>
      </c>
      <c r="R473" s="15">
        <f t="shared" si="72"/>
        <v>3.6971761428128533E-4</v>
      </c>
    </row>
    <row r="474" spans="1:18" x14ac:dyDescent="0.2">
      <c r="A474" s="11">
        <v>45358</v>
      </c>
      <c r="B474" s="12">
        <v>15.98</v>
      </c>
      <c r="C474" s="12">
        <v>13.38</v>
      </c>
      <c r="D474" s="12">
        <v>238.29</v>
      </c>
      <c r="E474" s="12">
        <v>39.345505000000003</v>
      </c>
      <c r="F474" s="12">
        <v>213.82</v>
      </c>
      <c r="G474" s="12">
        <v>160.01</v>
      </c>
      <c r="H474" s="12">
        <v>12.42</v>
      </c>
      <c r="I474" s="12">
        <v>71.41319</v>
      </c>
      <c r="J474">
        <f t="shared" si="64"/>
        <v>-1.4796547472256338E-2</v>
      </c>
      <c r="K474">
        <f t="shared" si="65"/>
        <v>8.2893745290129051E-3</v>
      </c>
      <c r="L474">
        <f t="shared" si="66"/>
        <v>-5.4259359739555757E-3</v>
      </c>
      <c r="M474">
        <f t="shared" si="67"/>
        <v>9.3956351671029559E-3</v>
      </c>
      <c r="N474">
        <f t="shared" si="68"/>
        <v>-7.7958236658932645E-3</v>
      </c>
      <c r="O474">
        <f t="shared" si="69"/>
        <v>9.0811628933593624E-3</v>
      </c>
      <c r="P474">
        <f t="shared" si="70"/>
        <v>-2.5117739403453743E-2</v>
      </c>
      <c r="Q474">
        <f t="shared" si="71"/>
        <v>1.0103697555562174E-2</v>
      </c>
      <c r="R474" s="15">
        <f t="shared" si="72"/>
        <v>-3.9048778103339277E-3</v>
      </c>
    </row>
    <row r="475" spans="1:18" x14ac:dyDescent="0.2">
      <c r="A475" s="13">
        <v>45357</v>
      </c>
      <c r="B475" s="14">
        <v>16.22</v>
      </c>
      <c r="C475" s="14">
        <v>13.27</v>
      </c>
      <c r="D475" s="14">
        <v>239.59</v>
      </c>
      <c r="E475" s="14">
        <v>38.97927</v>
      </c>
      <c r="F475" s="14">
        <v>215.5</v>
      </c>
      <c r="G475" s="14">
        <v>158.57</v>
      </c>
      <c r="H475" s="14">
        <v>12.74</v>
      </c>
      <c r="I475" s="14">
        <v>70.698869999999999</v>
      </c>
      <c r="J475">
        <f t="shared" si="64"/>
        <v>5.5796652200867936E-3</v>
      </c>
      <c r="K475">
        <f t="shared" si="65"/>
        <v>1.2977099236641143E-2</v>
      </c>
      <c r="L475">
        <f t="shared" si="66"/>
        <v>6.4269511887760089E-3</v>
      </c>
      <c r="M475">
        <f t="shared" si="67"/>
        <v>-4.2982780755785877E-3</v>
      </c>
      <c r="N475">
        <f t="shared" si="68"/>
        <v>-6.7751302023321136E-3</v>
      </c>
      <c r="O475">
        <f t="shared" si="69"/>
        <v>-2.4424756982896478E-2</v>
      </c>
      <c r="P475">
        <f t="shared" si="70"/>
        <v>3.6615134255492343E-2</v>
      </c>
      <c r="Q475">
        <f t="shared" si="71"/>
        <v>1.4035072118122383E-2</v>
      </c>
      <c r="R475" s="15">
        <f t="shared" si="72"/>
        <v>4.7633785222767561E-3</v>
      </c>
    </row>
    <row r="476" spans="1:18" x14ac:dyDescent="0.2">
      <c r="A476" s="11">
        <v>45356</v>
      </c>
      <c r="B476" s="12">
        <v>16.13</v>
      </c>
      <c r="C476" s="12">
        <v>13.1</v>
      </c>
      <c r="D476" s="12">
        <v>238.06</v>
      </c>
      <c r="E476" s="12">
        <v>39.147537</v>
      </c>
      <c r="F476" s="12">
        <v>216.97</v>
      </c>
      <c r="G476" s="12">
        <v>162.54</v>
      </c>
      <c r="H476" s="12">
        <v>12.29</v>
      </c>
      <c r="I476" s="12">
        <v>69.720339999999993</v>
      </c>
      <c r="J476">
        <f t="shared" si="64"/>
        <v>0</v>
      </c>
      <c r="K476">
        <f t="shared" si="65"/>
        <v>-9.8261526832955637E-3</v>
      </c>
      <c r="L476">
        <f t="shared" si="66"/>
        <v>-1.8996991799563157E-2</v>
      </c>
      <c r="M476">
        <f t="shared" si="67"/>
        <v>1.7730323133713366E-3</v>
      </c>
      <c r="N476">
        <f t="shared" si="68"/>
        <v>1.6872100107794052E-2</v>
      </c>
      <c r="O476">
        <f t="shared" si="69"/>
        <v>1.2836490528414846E-2</v>
      </c>
      <c r="P476">
        <f t="shared" si="70"/>
        <v>1.8227009113504389E-2</v>
      </c>
      <c r="Q476">
        <f t="shared" si="71"/>
        <v>-4.6184579074223575E-2</v>
      </c>
      <c r="R476" s="15">
        <f t="shared" si="72"/>
        <v>1.54313201706602E-3</v>
      </c>
    </row>
    <row r="477" spans="1:18" x14ac:dyDescent="0.2">
      <c r="A477" s="13">
        <v>45355</v>
      </c>
      <c r="B477" s="14">
        <v>16.13</v>
      </c>
      <c r="C477" s="14">
        <v>13.23</v>
      </c>
      <c r="D477" s="14">
        <v>242.67</v>
      </c>
      <c r="E477" s="14">
        <v>39.078249999999997</v>
      </c>
      <c r="F477" s="14">
        <v>213.37</v>
      </c>
      <c r="G477" s="14">
        <v>160.47999999999999</v>
      </c>
      <c r="H477" s="14">
        <v>12.07</v>
      </c>
      <c r="I477" s="14">
        <v>73.096260000000001</v>
      </c>
      <c r="J477">
        <f t="shared" si="64"/>
        <v>1.2554927809165006E-2</v>
      </c>
      <c r="K477">
        <f t="shared" si="65"/>
        <v>-1.2686567164179152E-2</v>
      </c>
      <c r="L477">
        <f t="shared" si="66"/>
        <v>-3.3803153368370809E-2</v>
      </c>
      <c r="M477">
        <f t="shared" si="67"/>
        <v>-7.7909670302204193E-3</v>
      </c>
      <c r="N477">
        <f t="shared" si="68"/>
        <v>-1.9033607650222883E-2</v>
      </c>
      <c r="O477">
        <f t="shared" si="69"/>
        <v>-8.648381517173287E-3</v>
      </c>
      <c r="P477">
        <f t="shared" si="70"/>
        <v>-2.425222312045261E-2</v>
      </c>
      <c r="Q477">
        <f t="shared" si="71"/>
        <v>-1.1102197197122687E-2</v>
      </c>
      <c r="R477" s="15">
        <f t="shared" si="72"/>
        <v>-1.5367578325448664E-2</v>
      </c>
    </row>
    <row r="478" spans="1:18" x14ac:dyDescent="0.2">
      <c r="A478" s="11">
        <v>45352</v>
      </c>
      <c r="B478" s="12">
        <v>15.93</v>
      </c>
      <c r="C478" s="12">
        <v>13.4</v>
      </c>
      <c r="D478" s="12">
        <v>251.16</v>
      </c>
      <c r="E478" s="12">
        <v>39.385097999999999</v>
      </c>
      <c r="F478" s="12">
        <v>217.51</v>
      </c>
      <c r="G478" s="12">
        <v>161.88</v>
      </c>
      <c r="H478" s="12">
        <v>12.37</v>
      </c>
      <c r="I478" s="12">
        <v>73.916899999999998</v>
      </c>
      <c r="J478">
        <f t="shared" si="64"/>
        <v>-1.87969924812037E-3</v>
      </c>
      <c r="K478">
        <f t="shared" si="65"/>
        <v>2.8396009209516571E-2</v>
      </c>
      <c r="L478">
        <f t="shared" si="66"/>
        <v>-2.0264632256525861E-3</v>
      </c>
      <c r="M478">
        <f t="shared" si="67"/>
        <v>-1.5055843674978142E-3</v>
      </c>
      <c r="N478">
        <f t="shared" si="68"/>
        <v>1.8400599307051069E-2</v>
      </c>
      <c r="O478">
        <f t="shared" si="69"/>
        <v>1.7921146953405076E-2</v>
      </c>
      <c r="P478">
        <f t="shared" si="70"/>
        <v>-2.4193548387098085E-3</v>
      </c>
      <c r="Q478">
        <f t="shared" si="71"/>
        <v>-1.0573069807050972E-2</v>
      </c>
      <c r="R478" s="15">
        <f t="shared" si="72"/>
        <v>7.7104574138567696E-3</v>
      </c>
    </row>
    <row r="479" spans="1:18" x14ac:dyDescent="0.2">
      <c r="A479" s="13">
        <v>45351</v>
      </c>
      <c r="B479" s="14">
        <v>15.96</v>
      </c>
      <c r="C479" s="14">
        <v>13.03</v>
      </c>
      <c r="D479" s="14">
        <v>251.67</v>
      </c>
      <c r="E479" s="14">
        <v>39.444485</v>
      </c>
      <c r="F479" s="14">
        <v>213.58</v>
      </c>
      <c r="G479" s="14">
        <v>159.03</v>
      </c>
      <c r="H479" s="14">
        <v>12.4</v>
      </c>
      <c r="I479" s="14">
        <v>74.706779999999995</v>
      </c>
      <c r="J479">
        <f t="shared" si="64"/>
        <v>-1.4814814814814725E-2</v>
      </c>
      <c r="K479">
        <f t="shared" si="65"/>
        <v>-1.2878787878787823E-2</v>
      </c>
      <c r="L479">
        <f t="shared" si="66"/>
        <v>9.9927763062845898E-3</v>
      </c>
      <c r="M479">
        <f t="shared" si="67"/>
        <v>-2.5089734007754938E-4</v>
      </c>
      <c r="N479">
        <f t="shared" si="68"/>
        <v>-1.5427048758822615E-3</v>
      </c>
      <c r="O479">
        <f t="shared" si="69"/>
        <v>3.6604607131587308E-3</v>
      </c>
      <c r="P479">
        <f t="shared" si="70"/>
        <v>-6.4102564102563875E-3</v>
      </c>
      <c r="Q479">
        <f t="shared" si="71"/>
        <v>5.1468586743352418E-2</v>
      </c>
      <c r="R479" s="15">
        <f t="shared" si="72"/>
        <v>1.7909403699268873E-3</v>
      </c>
    </row>
    <row r="480" spans="1:18" x14ac:dyDescent="0.2">
      <c r="A480" s="11">
        <v>45350</v>
      </c>
      <c r="B480" s="12">
        <v>16.2</v>
      </c>
      <c r="C480" s="12">
        <v>13.2</v>
      </c>
      <c r="D480" s="12">
        <v>249.18</v>
      </c>
      <c r="E480" s="12">
        <v>39.454383999999997</v>
      </c>
      <c r="F480" s="12">
        <v>213.91</v>
      </c>
      <c r="G480" s="12">
        <v>158.44999999999999</v>
      </c>
      <c r="H480" s="12">
        <v>12.48</v>
      </c>
      <c r="I480" s="12">
        <v>71.049940000000007</v>
      </c>
      <c r="J480">
        <f t="shared" si="64"/>
        <v>-2.0556227327690468E-2</v>
      </c>
      <c r="K480">
        <f t="shared" si="65"/>
        <v>-3.3674963396779001E-2</v>
      </c>
      <c r="L480">
        <f t="shared" si="66"/>
        <v>-2.755229472369658E-2</v>
      </c>
      <c r="M480">
        <f t="shared" si="67"/>
        <v>-3.8359512965300047E-2</v>
      </c>
      <c r="N480">
        <f t="shared" si="68"/>
        <v>-1.1597819055540137E-2</v>
      </c>
      <c r="O480">
        <f t="shared" si="69"/>
        <v>-3.9347641566630398E-2</v>
      </c>
      <c r="P480">
        <f t="shared" si="70"/>
        <v>-7.1599045346062429E-3</v>
      </c>
      <c r="Q480">
        <f t="shared" si="71"/>
        <v>-1.646866131512581E-2</v>
      </c>
      <c r="R480" s="15">
        <f t="shared" si="72"/>
        <v>-2.2586264190666332E-2</v>
      </c>
    </row>
    <row r="481" spans="1:18" x14ac:dyDescent="0.2">
      <c r="A481" s="13">
        <v>45349</v>
      </c>
      <c r="B481" s="14">
        <v>16.54</v>
      </c>
      <c r="C481" s="14">
        <v>13.66</v>
      </c>
      <c r="D481" s="14">
        <v>256.24</v>
      </c>
      <c r="E481" s="14">
        <v>41.028205999999997</v>
      </c>
      <c r="F481" s="14">
        <v>216.42</v>
      </c>
      <c r="G481" s="14">
        <v>164.94</v>
      </c>
      <c r="H481" s="14">
        <v>12.57</v>
      </c>
      <c r="I481" s="14">
        <v>72.239630000000005</v>
      </c>
      <c r="J481">
        <f t="shared" si="64"/>
        <v>-1.8105009052504784E-3</v>
      </c>
      <c r="K481">
        <f t="shared" si="65"/>
        <v>-1.6558675305975545E-2</v>
      </c>
      <c r="L481">
        <f t="shared" si="66"/>
        <v>-1.0961865060984954E-2</v>
      </c>
      <c r="M481">
        <f t="shared" si="67"/>
        <v>-1.003099850810496E-2</v>
      </c>
      <c r="N481">
        <f t="shared" si="68"/>
        <v>8.5278903956380603E-3</v>
      </c>
      <c r="O481">
        <f t="shared" si="69"/>
        <v>2.4919467574302523E-3</v>
      </c>
      <c r="P481">
        <f t="shared" si="70"/>
        <v>3.9936102236421966E-3</v>
      </c>
      <c r="Q481">
        <f t="shared" si="71"/>
        <v>-1.0287229159959055E-2</v>
      </c>
      <c r="R481" s="15">
        <f t="shared" si="72"/>
        <v>-2.1888430947783121E-3</v>
      </c>
    </row>
    <row r="482" spans="1:18" x14ac:dyDescent="0.2">
      <c r="A482" s="11">
        <v>45348</v>
      </c>
      <c r="B482" s="12">
        <v>16.57</v>
      </c>
      <c r="C482" s="12">
        <v>13.89</v>
      </c>
      <c r="D482" s="12">
        <v>259.08</v>
      </c>
      <c r="E482" s="12">
        <v>41.443930000000002</v>
      </c>
      <c r="F482" s="12">
        <v>214.59</v>
      </c>
      <c r="G482" s="12">
        <v>164.53</v>
      </c>
      <c r="H482" s="12">
        <v>12.52</v>
      </c>
      <c r="I482" s="12">
        <v>72.990499999999997</v>
      </c>
      <c r="J482">
        <f t="shared" si="64"/>
        <v>1.8137847642081262E-3</v>
      </c>
      <c r="K482">
        <f t="shared" si="65"/>
        <v>-7.1479628305932685E-3</v>
      </c>
      <c r="L482">
        <f t="shared" si="66"/>
        <v>-1.3254113345521068E-2</v>
      </c>
      <c r="M482">
        <f t="shared" si="67"/>
        <v>-9.9314478377114934E-3</v>
      </c>
      <c r="N482">
        <f t="shared" si="68"/>
        <v>4.0707467714766743E-3</v>
      </c>
      <c r="O482">
        <f t="shared" si="69"/>
        <v>-5.1396783166041127E-3</v>
      </c>
      <c r="P482">
        <f t="shared" si="70"/>
        <v>-8.7094220110848219E-3</v>
      </c>
      <c r="Q482">
        <f t="shared" si="71"/>
        <v>6.5894682143867733E-3</v>
      </c>
      <c r="R482" s="15">
        <f t="shared" si="72"/>
        <v>-3.9436394641331239E-3</v>
      </c>
    </row>
    <row r="483" spans="1:18" x14ac:dyDescent="0.2">
      <c r="A483" s="13">
        <v>45345</v>
      </c>
      <c r="B483" s="14">
        <v>16.54</v>
      </c>
      <c r="C483" s="14">
        <v>13.99</v>
      </c>
      <c r="D483" s="14">
        <v>262.56</v>
      </c>
      <c r="E483" s="14">
        <v>41.859656999999999</v>
      </c>
      <c r="F483" s="14">
        <v>213.72</v>
      </c>
      <c r="G483" s="14">
        <v>165.38</v>
      </c>
      <c r="H483" s="14">
        <v>12.63</v>
      </c>
      <c r="I483" s="14">
        <v>72.512680000000003</v>
      </c>
      <c r="J483">
        <f t="shared" si="64"/>
        <v>1.7846153846153845E-2</v>
      </c>
      <c r="K483">
        <f t="shared" si="65"/>
        <v>2.116788321167884E-2</v>
      </c>
      <c r="L483">
        <f t="shared" si="66"/>
        <v>-5.8687668017114447E-3</v>
      </c>
      <c r="M483">
        <f t="shared" si="67"/>
        <v>3.3213901316324623E-3</v>
      </c>
      <c r="N483">
        <f t="shared" si="68"/>
        <v>3.6158722704859869E-3</v>
      </c>
      <c r="O483">
        <f t="shared" si="69"/>
        <v>8.5991339879245565E-3</v>
      </c>
      <c r="P483">
        <f t="shared" si="70"/>
        <v>0</v>
      </c>
      <c r="Q483">
        <f t="shared" si="71"/>
        <v>-1.344411653055877E-4</v>
      </c>
      <c r="R483" s="15">
        <f t="shared" si="72"/>
        <v>5.3032891985055767E-3</v>
      </c>
    </row>
    <row r="484" spans="1:18" x14ac:dyDescent="0.2">
      <c r="A484" s="11">
        <v>45344</v>
      </c>
      <c r="B484" s="12">
        <v>16.25</v>
      </c>
      <c r="C484" s="12">
        <v>13.7</v>
      </c>
      <c r="D484" s="12">
        <v>264.11</v>
      </c>
      <c r="E484" s="12">
        <v>41.721085000000002</v>
      </c>
      <c r="F484" s="12">
        <v>212.95</v>
      </c>
      <c r="G484" s="12">
        <v>163.97</v>
      </c>
      <c r="H484" s="12">
        <v>12.63</v>
      </c>
      <c r="I484" s="12">
        <v>72.52243</v>
      </c>
      <c r="J484">
        <f t="shared" si="64"/>
        <v>1.6260162601626105E-2</v>
      </c>
      <c r="K484">
        <f t="shared" si="65"/>
        <v>1.2564671101256364E-2</v>
      </c>
      <c r="L484">
        <f t="shared" si="66"/>
        <v>1.8392843371635825E-2</v>
      </c>
      <c r="M484">
        <f t="shared" si="67"/>
        <v>1.3708569718460017E-2</v>
      </c>
      <c r="N484">
        <f t="shared" si="68"/>
        <v>-1.0409405641526148E-2</v>
      </c>
      <c r="O484">
        <f t="shared" si="69"/>
        <v>2.0166218528478996E-3</v>
      </c>
      <c r="P484">
        <f t="shared" si="70"/>
        <v>5.5732484076433941E-3</v>
      </c>
      <c r="Q484">
        <f t="shared" si="71"/>
        <v>2.9485129889358141E-2</v>
      </c>
      <c r="R484" s="15">
        <f t="shared" si="72"/>
        <v>7.5264538036522322E-3</v>
      </c>
    </row>
    <row r="485" spans="1:18" x14ac:dyDescent="0.2">
      <c r="A485" s="13">
        <v>45343</v>
      </c>
      <c r="B485" s="14">
        <v>15.99</v>
      </c>
      <c r="C485" s="14">
        <v>13.53</v>
      </c>
      <c r="D485" s="14">
        <v>259.33999999999997</v>
      </c>
      <c r="E485" s="14">
        <v>41.156883000000001</v>
      </c>
      <c r="F485" s="14">
        <v>215.19</v>
      </c>
      <c r="G485" s="14">
        <v>163.63999999999999</v>
      </c>
      <c r="H485" s="14">
        <v>12.56</v>
      </c>
      <c r="I485" s="14">
        <v>70.445340000000002</v>
      </c>
      <c r="J485">
        <f t="shared" si="64"/>
        <v>1.5238095238095273E-2</v>
      </c>
      <c r="K485">
        <f t="shared" si="65"/>
        <v>6.6964285714286031E-3</v>
      </c>
      <c r="L485">
        <f t="shared" si="66"/>
        <v>-1.5264277035237139E-2</v>
      </c>
      <c r="M485">
        <f t="shared" si="67"/>
        <v>-2.0955983286195967E-2</v>
      </c>
      <c r="N485">
        <f t="shared" si="68"/>
        <v>-3.0576789437108953E-3</v>
      </c>
      <c r="O485">
        <f t="shared" si="69"/>
        <v>1.9593436198872549E-3</v>
      </c>
      <c r="P485">
        <f t="shared" si="70"/>
        <v>-2.8615622583139877E-2</v>
      </c>
      <c r="Q485">
        <f t="shared" si="71"/>
        <v>4.3097647321816979E-3</v>
      </c>
      <c r="R485" s="15">
        <f t="shared" si="72"/>
        <v>-6.6497761100356417E-3</v>
      </c>
    </row>
    <row r="486" spans="1:18" x14ac:dyDescent="0.2">
      <c r="A486" s="11">
        <v>45342</v>
      </c>
      <c r="B486" s="12">
        <v>15.75</v>
      </c>
      <c r="C486" s="12">
        <v>13.44</v>
      </c>
      <c r="D486" s="12">
        <v>263.36</v>
      </c>
      <c r="E486" s="12">
        <v>42.037827</v>
      </c>
      <c r="F486" s="12">
        <v>215.85</v>
      </c>
      <c r="G486" s="12">
        <v>163.32</v>
      </c>
      <c r="H486" s="12">
        <v>12.93</v>
      </c>
      <c r="I486" s="12">
        <v>70.143039999999999</v>
      </c>
      <c r="J486">
        <f t="shared" si="64"/>
        <v>-6.3091482649841879E-3</v>
      </c>
      <c r="K486">
        <f t="shared" si="65"/>
        <v>-3.7064492216457579E-3</v>
      </c>
      <c r="L486">
        <f t="shared" si="66"/>
        <v>1.8564356435643692E-2</v>
      </c>
      <c r="M486">
        <f t="shared" si="67"/>
        <v>-5.8520361765590501E-3</v>
      </c>
      <c r="N486">
        <f t="shared" si="68"/>
        <v>-1.0044028618602097E-2</v>
      </c>
      <c r="O486">
        <f t="shared" si="69"/>
        <v>-8.9805825242719184E-3</v>
      </c>
      <c r="P486">
        <f t="shared" si="70"/>
        <v>1.491365777080067E-2</v>
      </c>
      <c r="Q486">
        <f t="shared" si="71"/>
        <v>-1.9359197044615972E-2</v>
      </c>
      <c r="R486" s="15">
        <f t="shared" si="72"/>
        <v>-1.5913432650305123E-3</v>
      </c>
    </row>
    <row r="487" spans="1:18" x14ac:dyDescent="0.2">
      <c r="A487" s="13">
        <v>45341</v>
      </c>
      <c r="B487" s="14">
        <v>15.85</v>
      </c>
      <c r="C487" s="14">
        <v>13.49</v>
      </c>
      <c r="D487" s="14">
        <v>258.56</v>
      </c>
      <c r="E487" s="14">
        <v>42.285282000000002</v>
      </c>
      <c r="F487" s="14">
        <v>218.04</v>
      </c>
      <c r="G487" s="14">
        <v>164.8</v>
      </c>
      <c r="H487" s="14">
        <v>12.74</v>
      </c>
      <c r="I487" s="14">
        <v>71.527760000000001</v>
      </c>
      <c r="J487">
        <f t="shared" si="64"/>
        <v>1.6677357280307836E-2</v>
      </c>
      <c r="K487">
        <f t="shared" si="65"/>
        <v>5.2160953800297616E-3</v>
      </c>
      <c r="L487">
        <f t="shared" si="66"/>
        <v>-2.8992038455760705E-2</v>
      </c>
      <c r="M487">
        <f t="shared" si="67"/>
        <v>7.072250789683876E-3</v>
      </c>
      <c r="N487">
        <f t="shared" si="68"/>
        <v>6.462333825701716E-3</v>
      </c>
      <c r="O487">
        <f t="shared" si="69"/>
        <v>3.4096444227960099E-3</v>
      </c>
      <c r="P487">
        <f t="shared" si="70"/>
        <v>-7.8431372549014888E-4</v>
      </c>
      <c r="Q487">
        <f t="shared" si="71"/>
        <v>1.4803427995008667E-2</v>
      </c>
      <c r="R487" s="15">
        <f t="shared" si="72"/>
        <v>1.9507982594643349E-3</v>
      </c>
    </row>
    <row r="488" spans="1:18" x14ac:dyDescent="0.2">
      <c r="A488" s="11">
        <v>45338</v>
      </c>
      <c r="B488" s="12">
        <v>15.59</v>
      </c>
      <c r="C488" s="12">
        <v>13.42</v>
      </c>
      <c r="D488" s="12">
        <v>266.27999999999997</v>
      </c>
      <c r="E488" s="12">
        <v>41.988329999999998</v>
      </c>
      <c r="F488" s="12">
        <v>216.64</v>
      </c>
      <c r="G488" s="12">
        <v>164.24</v>
      </c>
      <c r="H488" s="12">
        <v>12.75</v>
      </c>
      <c r="I488" s="12">
        <v>70.484350000000006</v>
      </c>
      <c r="J488">
        <f t="shared" si="64"/>
        <v>1.962066710268151E-2</v>
      </c>
      <c r="K488">
        <f t="shared" si="65"/>
        <v>1.7437452615618021E-2</v>
      </c>
      <c r="L488">
        <f t="shared" si="66"/>
        <v>9.7737012254706102E-4</v>
      </c>
      <c r="M488">
        <f t="shared" si="67"/>
        <v>-5.6259323367725544E-3</v>
      </c>
      <c r="N488">
        <f t="shared" si="68"/>
        <v>-1.3845940831680448E-4</v>
      </c>
      <c r="O488">
        <f t="shared" si="69"/>
        <v>1.0334645669291431E-2</v>
      </c>
      <c r="P488">
        <f t="shared" si="70"/>
        <v>5.5205047318611644E-3</v>
      </c>
      <c r="Q488">
        <f t="shared" si="71"/>
        <v>7.9486893114124602E-3</v>
      </c>
      <c r="R488" s="15">
        <f t="shared" si="72"/>
        <v>6.0908785276122873E-3</v>
      </c>
    </row>
    <row r="489" spans="1:18" x14ac:dyDescent="0.2">
      <c r="A489" s="13">
        <v>45337</v>
      </c>
      <c r="B489" s="14">
        <v>15.29</v>
      </c>
      <c r="C489" s="14">
        <v>13.19</v>
      </c>
      <c r="D489" s="14">
        <v>266.02</v>
      </c>
      <c r="E489" s="14">
        <v>42.22589</v>
      </c>
      <c r="F489" s="14">
        <v>216.67</v>
      </c>
      <c r="G489" s="14">
        <v>162.56</v>
      </c>
      <c r="H489" s="14">
        <v>12.68</v>
      </c>
      <c r="I489" s="14">
        <v>69.928510000000003</v>
      </c>
      <c r="J489">
        <f t="shared" si="64"/>
        <v>1.865423051299131E-2</v>
      </c>
      <c r="K489">
        <f t="shared" si="65"/>
        <v>1.3056835637480724E-2</v>
      </c>
      <c r="L489">
        <f t="shared" si="66"/>
        <v>-2.0258103241297398E-3</v>
      </c>
      <c r="M489">
        <f t="shared" si="67"/>
        <v>5.1837584772280731E-3</v>
      </c>
      <c r="N489">
        <f t="shared" si="68"/>
        <v>-6.4572667312401411E-4</v>
      </c>
      <c r="O489">
        <f t="shared" si="69"/>
        <v>1.0631022691949044E-2</v>
      </c>
      <c r="P489">
        <f t="shared" si="70"/>
        <v>1.9292604501607746E-2</v>
      </c>
      <c r="Q489">
        <f t="shared" si="71"/>
        <v>-3.7511498848654679E-3</v>
      </c>
      <c r="R489" s="15">
        <f t="shared" si="72"/>
        <v>7.4844227352180454E-3</v>
      </c>
    </row>
    <row r="490" spans="1:18" x14ac:dyDescent="0.2">
      <c r="A490" s="11">
        <v>45336</v>
      </c>
      <c r="B490" s="12">
        <v>15.01</v>
      </c>
      <c r="C490" s="12">
        <v>13.02</v>
      </c>
      <c r="D490" s="12">
        <v>266.56</v>
      </c>
      <c r="E490" s="12">
        <v>42.008130000000001</v>
      </c>
      <c r="F490" s="12">
        <v>216.81</v>
      </c>
      <c r="G490" s="12">
        <v>160.85</v>
      </c>
      <c r="H490" s="12">
        <v>12.44</v>
      </c>
      <c r="I490" s="12">
        <v>70.191810000000004</v>
      </c>
      <c r="J490">
        <f t="shared" si="64"/>
        <v>2.9492455418381303E-2</v>
      </c>
      <c r="K490">
        <f t="shared" si="65"/>
        <v>-8.3777608530084535E-3</v>
      </c>
      <c r="L490">
        <f t="shared" si="66"/>
        <v>-1.0468483183606825E-2</v>
      </c>
      <c r="M490">
        <f t="shared" si="67"/>
        <v>3.5469234733576105E-3</v>
      </c>
      <c r="N490">
        <f t="shared" si="68"/>
        <v>8.3248069946981751E-3</v>
      </c>
      <c r="O490">
        <f t="shared" si="69"/>
        <v>-9.9372709769574019E-4</v>
      </c>
      <c r="P490">
        <f t="shared" si="70"/>
        <v>1.7170891251022002E-2</v>
      </c>
      <c r="Q490">
        <f t="shared" si="71"/>
        <v>1.0245763758990334E-2</v>
      </c>
      <c r="R490" s="15">
        <f t="shared" si="72"/>
        <v>5.8486481588111211E-3</v>
      </c>
    </row>
    <row r="491" spans="1:18" x14ac:dyDescent="0.2">
      <c r="A491" s="13">
        <v>45335</v>
      </c>
      <c r="B491" s="14">
        <v>14.58</v>
      </c>
      <c r="C491" s="14">
        <v>13.13</v>
      </c>
      <c r="D491" s="14">
        <v>269.38</v>
      </c>
      <c r="E491" s="14">
        <v>41.859656999999999</v>
      </c>
      <c r="F491" s="14">
        <v>215.02</v>
      </c>
      <c r="G491" s="14">
        <v>161.01</v>
      </c>
      <c r="H491" s="14">
        <v>12.23</v>
      </c>
      <c r="I491" s="14">
        <v>69.479934999999998</v>
      </c>
      <c r="J491">
        <f t="shared" si="64"/>
        <v>-7.4880871341047595E-3</v>
      </c>
      <c r="K491">
        <f t="shared" si="65"/>
        <v>-1.3523666416228375E-2</v>
      </c>
      <c r="L491">
        <f t="shared" si="66"/>
        <v>-9.3409826419535991E-3</v>
      </c>
      <c r="M491">
        <f t="shared" si="67"/>
        <v>-1.6053919370716985E-2</v>
      </c>
      <c r="N491">
        <f t="shared" si="68"/>
        <v>-1.4438282073612196E-2</v>
      </c>
      <c r="O491">
        <f t="shared" si="69"/>
        <v>-2.4772864930345251E-2</v>
      </c>
      <c r="P491">
        <f t="shared" si="70"/>
        <v>-5.1937984496124079E-2</v>
      </c>
      <c r="Q491">
        <f t="shared" si="71"/>
        <v>-2.5707642186449942E-2</v>
      </c>
      <c r="R491" s="15">
        <f t="shared" si="72"/>
        <v>-2.203873000187645E-2</v>
      </c>
    </row>
    <row r="492" spans="1:18" x14ac:dyDescent="0.2">
      <c r="A492" s="11">
        <v>45334</v>
      </c>
      <c r="B492" s="12">
        <v>14.69</v>
      </c>
      <c r="C492" s="12">
        <v>13.31</v>
      </c>
      <c r="D492" s="12">
        <v>271.92</v>
      </c>
      <c r="E492" s="12">
        <v>42.542633000000002</v>
      </c>
      <c r="F492" s="12">
        <v>218.17</v>
      </c>
      <c r="G492" s="12">
        <v>165.1</v>
      </c>
      <c r="H492" s="12">
        <v>12.9</v>
      </c>
      <c r="I492" s="12">
        <v>71.313230000000004</v>
      </c>
      <c r="J492">
        <f t="shared" si="64"/>
        <v>1.3633265167007913E-3</v>
      </c>
      <c r="K492">
        <f t="shared" si="65"/>
        <v>1.3709063214013772E-2</v>
      </c>
      <c r="L492">
        <f t="shared" si="66"/>
        <v>-2.8232435136873679E-2</v>
      </c>
      <c r="M492">
        <f t="shared" si="67"/>
        <v>8.6833632078604506E-3</v>
      </c>
      <c r="N492">
        <f t="shared" si="68"/>
        <v>1.2061047455582896E-2</v>
      </c>
      <c r="O492">
        <f t="shared" si="69"/>
        <v>-1.9071950567405405E-2</v>
      </c>
      <c r="P492">
        <f t="shared" si="70"/>
        <v>7.0257611241217877E-3</v>
      </c>
      <c r="Q492">
        <f t="shared" si="71"/>
        <v>8.5504402290865755E-3</v>
      </c>
      <c r="R492" s="15">
        <f t="shared" si="72"/>
        <v>7.5183504282345861E-4</v>
      </c>
    </row>
    <row r="493" spans="1:18" x14ac:dyDescent="0.2">
      <c r="A493" s="13">
        <v>45331</v>
      </c>
      <c r="B493" s="14">
        <v>14.67</v>
      </c>
      <c r="C493" s="14">
        <v>13.13</v>
      </c>
      <c r="D493" s="14">
        <v>279.82</v>
      </c>
      <c r="E493" s="14">
        <v>42.176400000000001</v>
      </c>
      <c r="F493" s="14">
        <v>215.57</v>
      </c>
      <c r="G493" s="14">
        <v>168.31</v>
      </c>
      <c r="H493" s="14">
        <v>12.81</v>
      </c>
      <c r="I493" s="14">
        <v>70.708640000000003</v>
      </c>
      <c r="J493">
        <f t="shared" si="64"/>
        <v>-1.2121212121212088E-2</v>
      </c>
      <c r="K493">
        <f t="shared" si="65"/>
        <v>-3.6683785766691068E-2</v>
      </c>
      <c r="L493">
        <f t="shared" si="66"/>
        <v>-9.4165958651940551E-3</v>
      </c>
      <c r="M493">
        <f t="shared" si="67"/>
        <v>-6.7599311878804302E-3</v>
      </c>
      <c r="N493">
        <f t="shared" si="68"/>
        <v>-7.6873503958756473E-3</v>
      </c>
      <c r="O493">
        <f t="shared" si="69"/>
        <v>7.0603721653803575E-3</v>
      </c>
      <c r="P493">
        <f t="shared" si="70"/>
        <v>-8.5139318885448789E-3</v>
      </c>
      <c r="Q493">
        <f t="shared" si="71"/>
        <v>3.3209982025579343E-3</v>
      </c>
      <c r="R493" s="15">
        <f t="shared" si="72"/>
        <v>-8.5508787595941389E-3</v>
      </c>
    </row>
    <row r="494" spans="1:18" x14ac:dyDescent="0.2">
      <c r="A494" s="11">
        <v>45330</v>
      </c>
      <c r="B494" s="12">
        <v>14.85</v>
      </c>
      <c r="C494" s="12">
        <v>13.63</v>
      </c>
      <c r="D494" s="12">
        <v>282.48</v>
      </c>
      <c r="E494" s="12">
        <v>42.463450000000002</v>
      </c>
      <c r="F494" s="12">
        <v>217.24</v>
      </c>
      <c r="G494" s="12">
        <v>167.13</v>
      </c>
      <c r="H494" s="12">
        <v>12.92</v>
      </c>
      <c r="I494" s="12">
        <v>70.474593999999996</v>
      </c>
      <c r="J494">
        <f t="shared" si="64"/>
        <v>-2.5590551181102428E-2</v>
      </c>
      <c r="K494">
        <f t="shared" si="65"/>
        <v>-8.2772543741588045E-2</v>
      </c>
      <c r="L494">
        <f t="shared" si="66"/>
        <v>-6.0145055722615748E-4</v>
      </c>
      <c r="M494">
        <f t="shared" si="67"/>
        <v>7.0423203253768829E-3</v>
      </c>
      <c r="N494">
        <f t="shared" si="68"/>
        <v>-1.3755845099196473E-2</v>
      </c>
      <c r="O494">
        <f t="shared" si="69"/>
        <v>3.4221902017290695E-3</v>
      </c>
      <c r="P494">
        <f t="shared" si="70"/>
        <v>-1.1476664116296886E-2</v>
      </c>
      <c r="Q494">
        <f t="shared" si="71"/>
        <v>-1.162476221356934E-2</v>
      </c>
      <c r="R494" s="15">
        <f t="shared" si="72"/>
        <v>-1.588122386309131E-2</v>
      </c>
    </row>
    <row r="495" spans="1:18" x14ac:dyDescent="0.2">
      <c r="A495" s="13">
        <v>45329</v>
      </c>
      <c r="B495" s="14">
        <v>15.24</v>
      </c>
      <c r="C495" s="14">
        <v>14.86</v>
      </c>
      <c r="D495" s="14">
        <v>282.64999999999998</v>
      </c>
      <c r="E495" s="14">
        <v>42.166499999999999</v>
      </c>
      <c r="F495" s="14">
        <v>220.27</v>
      </c>
      <c r="G495" s="14">
        <v>166.56</v>
      </c>
      <c r="H495" s="14">
        <v>13.07</v>
      </c>
      <c r="I495" s="14">
        <v>71.303479999999993</v>
      </c>
      <c r="J495">
        <f t="shared" si="64"/>
        <v>-8.4580351333766179E-3</v>
      </c>
      <c r="K495">
        <f t="shared" si="65"/>
        <v>5.412719891745521E-3</v>
      </c>
      <c r="L495">
        <f t="shared" si="66"/>
        <v>-1.4401283213613225E-2</v>
      </c>
      <c r="M495">
        <f t="shared" si="67"/>
        <v>3.8011559145475937E-2</v>
      </c>
      <c r="N495">
        <f t="shared" si="68"/>
        <v>-7.4798359843193385E-3</v>
      </c>
      <c r="O495">
        <f t="shared" si="69"/>
        <v>2.7957785595260187E-2</v>
      </c>
      <c r="P495">
        <f t="shared" si="70"/>
        <v>-2.9695619896065395E-2</v>
      </c>
      <c r="Q495">
        <f t="shared" si="71"/>
        <v>5.9154251224216026E-3</v>
      </c>
      <c r="R495" s="15">
        <f t="shared" si="72"/>
        <v>-6.2005423102689866E-4</v>
      </c>
    </row>
    <row r="496" spans="1:18" x14ac:dyDescent="0.2">
      <c r="A496" s="11">
        <v>45328</v>
      </c>
      <c r="B496" s="12">
        <v>15.37</v>
      </c>
      <c r="C496" s="12">
        <v>14.78</v>
      </c>
      <c r="D496" s="12">
        <v>286.77999999999997</v>
      </c>
      <c r="E496" s="12">
        <v>40.62238</v>
      </c>
      <c r="F496" s="12">
        <v>221.93</v>
      </c>
      <c r="G496" s="12">
        <v>162.03</v>
      </c>
      <c r="H496" s="12">
        <v>13.47</v>
      </c>
      <c r="I496" s="12">
        <v>70.884169999999997</v>
      </c>
      <c r="J496">
        <f t="shared" si="64"/>
        <v>-9.0264345583495054E-3</v>
      </c>
      <c r="K496">
        <f t="shared" si="65"/>
        <v>4.7586675730795225E-3</v>
      </c>
      <c r="L496">
        <f t="shared" si="66"/>
        <v>2.6634209207417436E-2</v>
      </c>
      <c r="M496">
        <f t="shared" si="67"/>
        <v>1.2333597757386183E-2</v>
      </c>
      <c r="N496">
        <f t="shared" si="68"/>
        <v>2.3237585873023381E-2</v>
      </c>
      <c r="O496">
        <f t="shared" si="69"/>
        <v>6.7934782608713995E-4</v>
      </c>
      <c r="P496">
        <f t="shared" si="70"/>
        <v>-2.8138528138528018E-2</v>
      </c>
      <c r="Q496">
        <f t="shared" si="71"/>
        <v>2.3514674890188658E-2</v>
      </c>
      <c r="R496" s="15">
        <f t="shared" si="72"/>
        <v>6.1800935080780755E-3</v>
      </c>
    </row>
    <row r="497" spans="1:18" x14ac:dyDescent="0.2">
      <c r="A497" s="13">
        <v>45324</v>
      </c>
      <c r="B497" s="14">
        <v>15.51</v>
      </c>
      <c r="C497" s="14">
        <v>14.71</v>
      </c>
      <c r="D497" s="14">
        <v>279.33999999999997</v>
      </c>
      <c r="E497" s="14">
        <v>40.127464000000003</v>
      </c>
      <c r="F497" s="14">
        <v>216.89</v>
      </c>
      <c r="G497" s="14">
        <v>161.91999999999999</v>
      </c>
      <c r="H497" s="14">
        <v>13.86</v>
      </c>
      <c r="I497" s="14">
        <v>69.255645999999999</v>
      </c>
      <c r="J497">
        <f t="shared" si="64"/>
        <v>1.2911555842478606E-3</v>
      </c>
      <c r="K497">
        <f t="shared" si="65"/>
        <v>2.0110957004160879E-2</v>
      </c>
      <c r="L497">
        <f t="shared" si="66"/>
        <v>3.6627453890970996E-2</v>
      </c>
      <c r="M497">
        <f t="shared" si="67"/>
        <v>-1.2318504169402944E-3</v>
      </c>
      <c r="N497">
        <f t="shared" si="68"/>
        <v>-3.5572946773978376E-2</v>
      </c>
      <c r="O497">
        <f t="shared" si="69"/>
        <v>1.2253063265816433E-2</v>
      </c>
      <c r="P497">
        <f t="shared" si="70"/>
        <v>6.5359477124182774E-3</v>
      </c>
      <c r="Q497">
        <f t="shared" si="71"/>
        <v>1.254624546734262E-2</v>
      </c>
      <c r="R497" s="15">
        <f t="shared" si="72"/>
        <v>2.9598464297667781E-3</v>
      </c>
    </row>
    <row r="498" spans="1:18" x14ac:dyDescent="0.2">
      <c r="A498" s="11">
        <v>45323</v>
      </c>
      <c r="B498" s="12">
        <v>15.49</v>
      </c>
      <c r="C498" s="12">
        <v>14.42</v>
      </c>
      <c r="D498" s="12">
        <v>269.47000000000003</v>
      </c>
      <c r="E498" s="12">
        <v>40.176955999999997</v>
      </c>
      <c r="F498" s="12">
        <v>224.89</v>
      </c>
      <c r="G498" s="12">
        <v>159.96</v>
      </c>
      <c r="H498" s="12">
        <v>13.77</v>
      </c>
      <c r="I498" s="12">
        <v>68.397514000000001</v>
      </c>
      <c r="J498">
        <f t="shared" si="64"/>
        <v>-3.8585209003215715E-3</v>
      </c>
      <c r="K498">
        <f t="shared" si="65"/>
        <v>8.3916083916082407E-3</v>
      </c>
      <c r="L498">
        <f t="shared" si="66"/>
        <v>5.6727001306215996E-3</v>
      </c>
      <c r="M498">
        <f t="shared" si="67"/>
        <v>4.4543600784692217E-3</v>
      </c>
      <c r="N498">
        <f t="shared" si="68"/>
        <v>-6.4062914199877197E-3</v>
      </c>
      <c r="O498">
        <f t="shared" si="69"/>
        <v>1.3145539906103121E-3</v>
      </c>
      <c r="P498">
        <f t="shared" si="70"/>
        <v>7.2674418604656843E-4</v>
      </c>
      <c r="Q498">
        <f t="shared" si="71"/>
        <v>-1.1137697791395507E-2</v>
      </c>
      <c r="R498" s="15">
        <f t="shared" si="72"/>
        <v>-2.3274127740769888E-4</v>
      </c>
    </row>
    <row r="499" spans="1:18" x14ac:dyDescent="0.2">
      <c r="A499" s="13">
        <v>45322</v>
      </c>
      <c r="B499" s="14">
        <v>15.55</v>
      </c>
      <c r="C499" s="14">
        <v>14.3</v>
      </c>
      <c r="D499" s="14">
        <v>267.95</v>
      </c>
      <c r="E499" s="14">
        <v>39.998787</v>
      </c>
      <c r="F499" s="14">
        <v>226.34</v>
      </c>
      <c r="G499" s="14">
        <v>159.75</v>
      </c>
      <c r="H499" s="14">
        <v>13.76</v>
      </c>
      <c r="I499" s="14">
        <v>69.167884999999998</v>
      </c>
      <c r="J499">
        <f t="shared" si="64"/>
        <v>-1.2845215157353262E-3</v>
      </c>
      <c r="K499">
        <f t="shared" si="65"/>
        <v>-5.5632823365785455E-3</v>
      </c>
      <c r="L499">
        <f t="shared" si="66"/>
        <v>-1.3438880706922118E-2</v>
      </c>
      <c r="M499">
        <f t="shared" si="67"/>
        <v>-5.4147608385104462E-3</v>
      </c>
      <c r="N499">
        <f t="shared" si="68"/>
        <v>-2.5320816467143237E-2</v>
      </c>
      <c r="O499">
        <f t="shared" si="69"/>
        <v>-1.089715807070768E-2</v>
      </c>
      <c r="P499">
        <f t="shared" si="70"/>
        <v>-8.6455331412104153E-3</v>
      </c>
      <c r="Q499">
        <f t="shared" si="71"/>
        <v>2.4999975919099526E-2</v>
      </c>
      <c r="R499" s="15">
        <f t="shared" si="72"/>
        <v>-9.1274330870560229E-3</v>
      </c>
    </row>
    <row r="500" spans="1:18" x14ac:dyDescent="0.2">
      <c r="A500" s="11">
        <v>45321</v>
      </c>
      <c r="B500" s="12">
        <v>15.57</v>
      </c>
      <c r="C500" s="12">
        <v>14.38</v>
      </c>
      <c r="D500" s="12">
        <v>271.60000000000002</v>
      </c>
      <c r="E500" s="12">
        <v>40.216549999999998</v>
      </c>
      <c r="F500" s="12">
        <v>232.22</v>
      </c>
      <c r="G500" s="12">
        <v>161.51</v>
      </c>
      <c r="H500" s="12">
        <v>13.88</v>
      </c>
      <c r="I500" s="12">
        <v>67.480864999999994</v>
      </c>
      <c r="J500">
        <f t="shared" si="64"/>
        <v>5.1646223369916644E-3</v>
      </c>
      <c r="K500">
        <f t="shared" si="65"/>
        <v>6.2981105668300508E-3</v>
      </c>
      <c r="L500">
        <f t="shared" si="66"/>
        <v>-1.4656798722971875E-2</v>
      </c>
      <c r="M500">
        <f t="shared" si="67"/>
        <v>-1.4744784578067938E-3</v>
      </c>
      <c r="N500">
        <f t="shared" si="68"/>
        <v>-2.6983993966311903E-2</v>
      </c>
      <c r="O500">
        <f t="shared" si="69"/>
        <v>1.629750818021658E-2</v>
      </c>
      <c r="P500">
        <f t="shared" si="70"/>
        <v>-3.2078103207810238E-2</v>
      </c>
      <c r="Q500">
        <f t="shared" si="71"/>
        <v>-1.3410096685448458E-2</v>
      </c>
      <c r="R500" s="15">
        <f t="shared" si="72"/>
        <v>-1.0696629826507393E-2</v>
      </c>
    </row>
    <row r="501" spans="1:18" x14ac:dyDescent="0.2">
      <c r="A501" s="13">
        <v>45320</v>
      </c>
      <c r="B501" s="14">
        <v>15.49</v>
      </c>
      <c r="C501" s="14">
        <v>14.29</v>
      </c>
      <c r="D501" s="14">
        <v>275.64</v>
      </c>
      <c r="E501" s="14">
        <v>40.275936000000002</v>
      </c>
      <c r="F501" s="14">
        <v>238.66</v>
      </c>
      <c r="G501" s="14">
        <v>158.91999999999999</v>
      </c>
      <c r="H501" s="14">
        <v>14.34</v>
      </c>
      <c r="I501" s="14">
        <v>68.398089999999996</v>
      </c>
      <c r="J501">
        <f t="shared" si="64"/>
        <v>1.2928248222365823E-3</v>
      </c>
      <c r="K501">
        <f t="shared" si="65"/>
        <v>9.8939929328620835E-3</v>
      </c>
      <c r="L501">
        <f t="shared" si="66"/>
        <v>1.2080044060950756E-2</v>
      </c>
      <c r="M501">
        <f t="shared" si="67"/>
        <v>1.969860551426672E-3</v>
      </c>
      <c r="N501">
        <f t="shared" si="68"/>
        <v>7.2147349505840008E-2</v>
      </c>
      <c r="O501">
        <f t="shared" si="69"/>
        <v>-5.4446460980036582E-3</v>
      </c>
      <c r="P501">
        <f t="shared" si="70"/>
        <v>2.501786990707644E-2</v>
      </c>
      <c r="Q501">
        <f t="shared" si="71"/>
        <v>-1.987376080067671E-2</v>
      </c>
      <c r="R501" s="15">
        <f t="shared" si="72"/>
        <v>1.9870487907990998E-2</v>
      </c>
    </row>
    <row r="502" spans="1:18" x14ac:dyDescent="0.2">
      <c r="A502" s="11">
        <v>45317</v>
      </c>
      <c r="B502" s="12">
        <v>15.47</v>
      </c>
      <c r="C502" s="12">
        <v>14.15</v>
      </c>
      <c r="D502" s="12">
        <v>272.35000000000002</v>
      </c>
      <c r="E502" s="12">
        <v>40.196753999999999</v>
      </c>
      <c r="F502" s="12">
        <v>222.6</v>
      </c>
      <c r="G502" s="12">
        <v>159.79</v>
      </c>
      <c r="H502" s="12">
        <v>13.99</v>
      </c>
      <c r="I502" s="12">
        <v>69.784980000000004</v>
      </c>
      <c r="R502" s="15"/>
    </row>
  </sheetData>
  <mergeCells count="1">
    <mergeCell ref="J1:Q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08C5-B23E-4BF2-A0D0-0D2B87F145F2}">
  <dimension ref="A1:AA502"/>
  <sheetViews>
    <sheetView topLeftCell="N1" zoomScale="180" zoomScaleNormal="180" workbookViewId="0">
      <selection activeCell="T12" sqref="T12"/>
    </sheetView>
  </sheetViews>
  <sheetFormatPr baseColWidth="10" defaultRowHeight="12.75" x14ac:dyDescent="0.2"/>
  <cols>
    <col min="2" max="2" width="6" hidden="1" customWidth="1"/>
    <col min="3" max="3" width="7.42578125" hidden="1" customWidth="1"/>
    <col min="4" max="4" width="7.140625" hidden="1" customWidth="1"/>
    <col min="5" max="5" width="10.140625" hidden="1" customWidth="1"/>
    <col min="6" max="6" width="9.85546875" hidden="1" customWidth="1"/>
    <col min="7" max="7" width="10.7109375" hidden="1" customWidth="1"/>
    <col min="8" max="8" width="9" hidden="1" customWidth="1"/>
    <col min="9" max="9" width="17.85546875" hidden="1" customWidth="1"/>
    <col min="20" max="20" width="16" bestFit="1" customWidth="1"/>
    <col min="21" max="22" width="12.140625" bestFit="1" customWidth="1"/>
    <col min="23" max="23" width="12.28515625" bestFit="1" customWidth="1"/>
  </cols>
  <sheetData>
    <row r="1" spans="1:27" x14ac:dyDescent="0.2">
      <c r="A1" t="s">
        <v>38</v>
      </c>
      <c r="B1" t="s">
        <v>37</v>
      </c>
      <c r="C1" t="s">
        <v>39</v>
      </c>
      <c r="D1" t="s">
        <v>40</v>
      </c>
      <c r="E1" t="s">
        <v>26</v>
      </c>
      <c r="F1" t="s">
        <v>27</v>
      </c>
      <c r="G1" t="s">
        <v>31</v>
      </c>
      <c r="H1" t="s">
        <v>28</v>
      </c>
      <c r="I1" t="s">
        <v>41</v>
      </c>
      <c r="J1" s="21" t="s">
        <v>42</v>
      </c>
      <c r="K1" s="21"/>
      <c r="L1" s="21"/>
      <c r="M1" s="21"/>
      <c r="N1" s="21"/>
      <c r="O1" s="21"/>
      <c r="P1" s="21"/>
      <c r="Q1" s="21"/>
      <c r="R1" s="1" t="s">
        <v>43</v>
      </c>
    </row>
    <row r="2" spans="1:27" x14ac:dyDescent="0.2">
      <c r="A2" s="11">
        <v>46048</v>
      </c>
      <c r="B2" s="12">
        <v>17.89</v>
      </c>
      <c r="C2" s="12">
        <v>22.1</v>
      </c>
      <c r="D2" s="12">
        <v>486.29</v>
      </c>
      <c r="E2" s="12">
        <v>38.18</v>
      </c>
      <c r="F2" s="12">
        <v>1109.2</v>
      </c>
      <c r="G2" s="12">
        <v>155.19</v>
      </c>
      <c r="H2" s="12">
        <v>16.37</v>
      </c>
      <c r="I2" s="12">
        <v>80.349999999999994</v>
      </c>
      <c r="J2">
        <f>B2/B3-1</f>
        <v>-8.8642659279778435E-3</v>
      </c>
      <c r="K2">
        <f t="shared" ref="K2:Q17" si="0">C2/C3-1</f>
        <v>-1.6466399643969676E-2</v>
      </c>
      <c r="L2">
        <f t="shared" si="0"/>
        <v>9.4030222517436091E-3</v>
      </c>
      <c r="M2">
        <f t="shared" si="0"/>
        <v>-5.2356020942412318E-4</v>
      </c>
      <c r="N2">
        <f t="shared" si="0"/>
        <v>3.2322912691838734E-2</v>
      </c>
      <c r="O2">
        <f t="shared" si="0"/>
        <v>8.70978225544361E-3</v>
      </c>
      <c r="P2">
        <f t="shared" si="0"/>
        <v>-1.147342995169065E-2</v>
      </c>
      <c r="Q2">
        <f t="shared" si="0"/>
        <v>-4.4604138272829053E-3</v>
      </c>
      <c r="R2" s="15">
        <f>SUMPRODUCT($T$2:$AA$2,J2:Q2)</f>
        <v>4.2606619993643671E-3</v>
      </c>
      <c r="T2" s="9">
        <v>0.08</v>
      </c>
      <c r="U2" s="9">
        <v>0.11</v>
      </c>
      <c r="V2" s="9">
        <v>0.12</v>
      </c>
      <c r="W2" s="9">
        <v>0.09</v>
      </c>
      <c r="X2" s="9">
        <v>0.21</v>
      </c>
      <c r="Y2" s="9">
        <v>0.14000000000000001</v>
      </c>
      <c r="Z2" s="9">
        <v>0.17</v>
      </c>
      <c r="AA2" s="9">
        <v>0.08</v>
      </c>
    </row>
    <row r="3" spans="1:27" x14ac:dyDescent="0.2">
      <c r="A3" s="13">
        <v>46045</v>
      </c>
      <c r="B3" s="14">
        <v>18.05</v>
      </c>
      <c r="C3" s="14">
        <v>22.47</v>
      </c>
      <c r="D3" s="14">
        <v>481.76</v>
      </c>
      <c r="E3" s="14">
        <v>38.200000000000003</v>
      </c>
      <c r="F3" s="14">
        <v>1074.47</v>
      </c>
      <c r="G3" s="14">
        <v>153.85</v>
      </c>
      <c r="H3" s="14">
        <v>16.559999999999999</v>
      </c>
      <c r="I3" s="14">
        <v>80.709999999999994</v>
      </c>
      <c r="J3">
        <f t="shared" ref="J3:Q47" si="1">B3/B4-1</f>
        <v>-4.4125758411471816E-3</v>
      </c>
      <c r="K3">
        <f t="shared" si="0"/>
        <v>-4.8715677590788209E-3</v>
      </c>
      <c r="L3">
        <f t="shared" si="0"/>
        <v>-2.258110328876628E-2</v>
      </c>
      <c r="M3">
        <f t="shared" si="0"/>
        <v>-8.0498571799531016E-3</v>
      </c>
      <c r="N3">
        <f t="shared" si="0"/>
        <v>3.1369327146606452E-3</v>
      </c>
      <c r="O3">
        <f t="shared" si="0"/>
        <v>5.0300496472430734E-3</v>
      </c>
      <c r="P3">
        <f t="shared" si="0"/>
        <v>-1.2522361359570744E-2</v>
      </c>
      <c r="Q3">
        <f t="shared" si="0"/>
        <v>8.7489063867014494E-3</v>
      </c>
      <c r="R3" s="15">
        <f t="shared" ref="R3:R66" si="2">SUMPRODUCT($T$2:$AA$2,J3:Q3)</f>
        <v>-4.3890241611363222E-3</v>
      </c>
    </row>
    <row r="4" spans="1:27" x14ac:dyDescent="0.2">
      <c r="A4" s="11">
        <v>46044</v>
      </c>
      <c r="B4" s="12">
        <v>18.13</v>
      </c>
      <c r="C4" s="12">
        <v>22.58</v>
      </c>
      <c r="D4" s="12">
        <v>492.89</v>
      </c>
      <c r="E4" s="12">
        <v>38.51</v>
      </c>
      <c r="F4" s="12">
        <v>1071.1099999999999</v>
      </c>
      <c r="G4" s="12">
        <v>153.08000000000001</v>
      </c>
      <c r="H4" s="12">
        <v>16.77</v>
      </c>
      <c r="I4" s="12">
        <v>80.010000000000005</v>
      </c>
      <c r="J4">
        <f t="shared" si="1"/>
        <v>1.6574585635358297E-3</v>
      </c>
      <c r="K4">
        <f t="shared" si="0"/>
        <v>-1.7683465959329459E-3</v>
      </c>
      <c r="L4">
        <f t="shared" si="0"/>
        <v>1.7947129285419194E-2</v>
      </c>
      <c r="M4">
        <f t="shared" si="0"/>
        <v>7.3240910279885885E-3</v>
      </c>
      <c r="N4">
        <f t="shared" si="0"/>
        <v>-1.8275972686861319E-2</v>
      </c>
      <c r="O4">
        <f t="shared" si="0"/>
        <v>4.1714869003062427E-2</v>
      </c>
      <c r="P4">
        <f t="shared" si="0"/>
        <v>7.4311338885330036E-2</v>
      </c>
      <c r="Q4">
        <f t="shared" si="0"/>
        <v>-4.1075429424943799E-3</v>
      </c>
      <c r="R4" s="15">
        <f t="shared" si="2"/>
        <v>1.7057353837593939E-2</v>
      </c>
    </row>
    <row r="5" spans="1:27" x14ac:dyDescent="0.2">
      <c r="A5" s="13">
        <v>46043</v>
      </c>
      <c r="B5" s="14">
        <v>18.100000000000001</v>
      </c>
      <c r="C5" s="14">
        <v>22.62</v>
      </c>
      <c r="D5" s="14">
        <v>484.2</v>
      </c>
      <c r="E5" s="14">
        <v>38.229999999999997</v>
      </c>
      <c r="F5" s="14">
        <v>1091.05</v>
      </c>
      <c r="G5" s="14">
        <v>146.94999999999999</v>
      </c>
      <c r="H5" s="14">
        <v>15.61</v>
      </c>
      <c r="I5" s="14">
        <v>80.34</v>
      </c>
      <c r="J5">
        <f t="shared" si="1"/>
        <v>-3.3039647577092213E-3</v>
      </c>
      <c r="K5">
        <f t="shared" si="0"/>
        <v>2.7247956403269713E-2</v>
      </c>
      <c r="L5">
        <f t="shared" si="0"/>
        <v>2.3051406114644291E-2</v>
      </c>
      <c r="M5">
        <f t="shared" si="0"/>
        <v>2.8856243441761631E-3</v>
      </c>
      <c r="N5">
        <f t="shared" si="0"/>
        <v>-2.5430541660711792E-2</v>
      </c>
      <c r="O5">
        <f t="shared" si="0"/>
        <v>2.2901294723653098E-2</v>
      </c>
      <c r="P5">
        <f t="shared" si="0"/>
        <v>5.1513200257566893E-3</v>
      </c>
      <c r="Q5">
        <f t="shared" si="0"/>
        <v>-1.2900847769996227E-2</v>
      </c>
      <c r="R5" s="15">
        <f t="shared" si="2"/>
        <v>3.4682570438169967E-3</v>
      </c>
    </row>
    <row r="6" spans="1:27" x14ac:dyDescent="0.2">
      <c r="A6" s="11">
        <v>46042</v>
      </c>
      <c r="B6" s="12">
        <v>18.16</v>
      </c>
      <c r="C6" s="12">
        <v>22.02</v>
      </c>
      <c r="D6" s="12">
        <v>473.29</v>
      </c>
      <c r="E6" s="12">
        <v>38.119999999999997</v>
      </c>
      <c r="F6" s="12">
        <v>1119.52</v>
      </c>
      <c r="G6" s="12">
        <v>143.66</v>
      </c>
      <c r="H6" s="12">
        <v>15.53</v>
      </c>
      <c r="I6" s="12">
        <v>81.39</v>
      </c>
      <c r="J6">
        <f t="shared" si="1"/>
        <v>6.0941828254847952E-3</v>
      </c>
      <c r="K6">
        <f t="shared" si="0"/>
        <v>-7.6611086074809265E-3</v>
      </c>
      <c r="L6">
        <f t="shared" si="0"/>
        <v>3.5034006167034892E-2</v>
      </c>
      <c r="M6">
        <f t="shared" si="0"/>
        <v>2.8939752696659493E-3</v>
      </c>
      <c r="N6">
        <f t="shared" si="0"/>
        <v>3.1663533488149209E-2</v>
      </c>
      <c r="O6">
        <f t="shared" si="0"/>
        <v>2.7537372147915073E-2</v>
      </c>
      <c r="P6">
        <f t="shared" si="0"/>
        <v>3.8795986622073508E-2</v>
      </c>
      <c r="Q6">
        <f t="shared" si="0"/>
        <v>-3.2338604208774213E-2</v>
      </c>
      <c r="R6" s="15">
        <f t="shared" si="2"/>
        <v>1.8622154715800008E-2</v>
      </c>
      <c r="U6" t="s">
        <v>44</v>
      </c>
      <c r="V6" t="s">
        <v>45</v>
      </c>
      <c r="W6" t="s">
        <v>46</v>
      </c>
      <c r="Y6" t="s">
        <v>47</v>
      </c>
      <c r="Z6" t="s">
        <v>48</v>
      </c>
      <c r="AA6" t="s">
        <v>49</v>
      </c>
    </row>
    <row r="7" spans="1:27" x14ac:dyDescent="0.2">
      <c r="A7" s="13">
        <v>46041</v>
      </c>
      <c r="B7" s="14">
        <v>18.05</v>
      </c>
      <c r="C7" s="14">
        <v>22.19</v>
      </c>
      <c r="D7" s="14">
        <v>457.27</v>
      </c>
      <c r="E7" s="14">
        <v>38.01</v>
      </c>
      <c r="F7" s="14">
        <v>1085.1600000000001</v>
      </c>
      <c r="G7" s="14">
        <v>139.81</v>
      </c>
      <c r="H7" s="14">
        <v>14.95</v>
      </c>
      <c r="I7" s="14">
        <v>84.11</v>
      </c>
      <c r="J7">
        <f t="shared" si="1"/>
        <v>-5.5370985603531153E-4</v>
      </c>
      <c r="K7">
        <f t="shared" si="0"/>
        <v>5.4372451291346824E-3</v>
      </c>
      <c r="L7">
        <f t="shared" si="0"/>
        <v>-1.4992568338970003E-2</v>
      </c>
      <c r="M7">
        <f t="shared" si="0"/>
        <v>7.898894154818592E-4</v>
      </c>
      <c r="N7">
        <f t="shared" si="0"/>
        <v>1.8403641311998564E-2</v>
      </c>
      <c r="O7">
        <f t="shared" si="0"/>
        <v>-2.5985787933677007E-2</v>
      </c>
      <c r="P7">
        <f t="shared" si="0"/>
        <v>-2.8589993502274313E-2</v>
      </c>
      <c r="Q7">
        <f t="shared" si="0"/>
        <v>-6.6139128380772183E-3</v>
      </c>
      <c r="R7" s="15">
        <f t="shared" si="2"/>
        <v>-6.3368755351889371E-3</v>
      </c>
    </row>
    <row r="8" spans="1:27" x14ac:dyDescent="0.2">
      <c r="A8" s="11">
        <v>46038</v>
      </c>
      <c r="B8" s="12">
        <v>18.059999999999999</v>
      </c>
      <c r="C8" s="12">
        <v>22.07</v>
      </c>
      <c r="D8" s="12">
        <v>464.23</v>
      </c>
      <c r="E8" s="12">
        <v>37.979999999999997</v>
      </c>
      <c r="F8" s="12">
        <v>1065.55</v>
      </c>
      <c r="G8" s="12">
        <v>143.54</v>
      </c>
      <c r="H8" s="12">
        <v>15.39</v>
      </c>
      <c r="I8" s="12">
        <v>84.67</v>
      </c>
      <c r="J8">
        <f t="shared" si="1"/>
        <v>2.7888446215139417E-2</v>
      </c>
      <c r="K8">
        <f t="shared" si="0"/>
        <v>1.2385321100917501E-2</v>
      </c>
      <c r="L8">
        <f t="shared" si="0"/>
        <v>2.1363196338995083E-2</v>
      </c>
      <c r="M8">
        <f t="shared" si="0"/>
        <v>0</v>
      </c>
      <c r="N8">
        <f t="shared" si="0"/>
        <v>1.6833506694277078E-2</v>
      </c>
      <c r="O8">
        <f t="shared" si="0"/>
        <v>1.4632077472255478E-2</v>
      </c>
      <c r="P8">
        <f t="shared" si="0"/>
        <v>-2.0992366412213692E-2</v>
      </c>
      <c r="Q8">
        <f t="shared" si="0"/>
        <v>3.5085574572127243E-2</v>
      </c>
      <c r="R8" s="15">
        <f t="shared" si="2"/>
        <v>1.0978715506599296E-2</v>
      </c>
    </row>
    <row r="9" spans="1:27" x14ac:dyDescent="0.2">
      <c r="A9" s="13">
        <v>46037</v>
      </c>
      <c r="B9" s="14">
        <v>17.57</v>
      </c>
      <c r="C9" s="14">
        <v>21.8</v>
      </c>
      <c r="D9" s="14">
        <v>454.52</v>
      </c>
      <c r="E9" s="14">
        <v>37.979999999999997</v>
      </c>
      <c r="F9" s="14">
        <v>1047.9100000000001</v>
      </c>
      <c r="G9" s="14">
        <v>141.47</v>
      </c>
      <c r="H9" s="14">
        <v>15.72</v>
      </c>
      <c r="I9" s="14">
        <v>81.8</v>
      </c>
      <c r="J9">
        <f t="shared" si="1"/>
        <v>-3.6732456140350811E-2</v>
      </c>
      <c r="K9">
        <f t="shared" si="0"/>
        <v>-2.4608501118568271E-2</v>
      </c>
      <c r="L9">
        <f t="shared" si="0"/>
        <v>-2.6640397464450905E-2</v>
      </c>
      <c r="M9">
        <f t="shared" si="0"/>
        <v>-1.8604651162790864E-2</v>
      </c>
      <c r="N9">
        <f t="shared" si="0"/>
        <v>-1.8240926380483025E-2</v>
      </c>
      <c r="O9">
        <f t="shared" si="0"/>
        <v>-1.715992774767261E-2</v>
      </c>
      <c r="P9">
        <f t="shared" si="0"/>
        <v>1.0282776349614497E-2</v>
      </c>
      <c r="Q9">
        <f t="shared" si="0"/>
        <v>9.378084896347394E-3</v>
      </c>
      <c r="R9" s="15">
        <f t="shared" si="2"/>
        <v>-1.4251463568089205E-2</v>
      </c>
      <c r="U9" t="s">
        <v>50</v>
      </c>
    </row>
    <row r="10" spans="1:27" x14ac:dyDescent="0.2">
      <c r="A10" s="11">
        <v>46036</v>
      </c>
      <c r="B10" s="12">
        <v>18.239999999999998</v>
      </c>
      <c r="C10" s="12">
        <v>22.35</v>
      </c>
      <c r="D10" s="12">
        <v>466.96</v>
      </c>
      <c r="E10" s="12">
        <v>38.700000000000003</v>
      </c>
      <c r="F10" s="12">
        <v>1067.3800000000001</v>
      </c>
      <c r="G10" s="12">
        <v>143.94</v>
      </c>
      <c r="H10" s="12">
        <v>15.56</v>
      </c>
      <c r="I10" s="12">
        <v>81.040000000000006</v>
      </c>
      <c r="J10">
        <f t="shared" si="1"/>
        <v>5.4854635216661229E-4</v>
      </c>
      <c r="K10">
        <f t="shared" si="0"/>
        <v>1.3605442176870763E-2</v>
      </c>
      <c r="L10">
        <f t="shared" si="0"/>
        <v>-1.3165958705805281E-2</v>
      </c>
      <c r="M10">
        <f t="shared" si="0"/>
        <v>9.6530133055050538E-3</v>
      </c>
      <c r="N10">
        <f t="shared" si="0"/>
        <v>4.422780140776128E-3</v>
      </c>
      <c r="O10">
        <f t="shared" si="0"/>
        <v>2.2155943757989016E-2</v>
      </c>
      <c r="P10">
        <f t="shared" si="0"/>
        <v>-4.5398773006134929E-2</v>
      </c>
      <c r="Q10">
        <f t="shared" si="0"/>
        <v>2.1040695476880478E-2</v>
      </c>
      <c r="R10" s="15">
        <f t="shared" si="2"/>
        <v>-1.1745813167831165E-3</v>
      </c>
    </row>
    <row r="11" spans="1:27" x14ac:dyDescent="0.2">
      <c r="A11" s="13">
        <v>46035</v>
      </c>
      <c r="B11" s="14">
        <v>18.23</v>
      </c>
      <c r="C11" s="14">
        <v>22.05</v>
      </c>
      <c r="D11" s="14">
        <v>473.19</v>
      </c>
      <c r="E11" s="14">
        <v>38.33</v>
      </c>
      <c r="F11" s="14">
        <v>1062.68</v>
      </c>
      <c r="G11" s="14">
        <v>140.82</v>
      </c>
      <c r="H11" s="14">
        <v>16.3</v>
      </c>
      <c r="I11" s="14">
        <v>79.37</v>
      </c>
      <c r="J11">
        <f t="shared" si="1"/>
        <v>-5.4555373704309185E-3</v>
      </c>
      <c r="K11">
        <f t="shared" si="0"/>
        <v>-9.4339622641509413E-3</v>
      </c>
      <c r="L11">
        <f t="shared" si="0"/>
        <v>-1.4987822394304628E-2</v>
      </c>
      <c r="M11">
        <f t="shared" si="0"/>
        <v>-4.674110620618066E-3</v>
      </c>
      <c r="N11">
        <f t="shared" si="0"/>
        <v>-1.0613734544912767E-2</v>
      </c>
      <c r="O11">
        <f t="shared" si="0"/>
        <v>-2.9736618521666314E-3</v>
      </c>
      <c r="P11">
        <f t="shared" si="0"/>
        <v>-1.5105740181268867E-2</v>
      </c>
      <c r="Q11">
        <f t="shared" si="0"/>
        <v>-8.4946908182385039E-3</v>
      </c>
      <c r="R11" s="15">
        <f t="shared" si="2"/>
        <v>-9.5861354918730553E-3</v>
      </c>
      <c r="T11" s="1" t="s">
        <v>51</v>
      </c>
    </row>
    <row r="12" spans="1:27" x14ac:dyDescent="0.2">
      <c r="A12" s="11">
        <v>46034</v>
      </c>
      <c r="B12" s="12">
        <v>18.329999999999998</v>
      </c>
      <c r="C12" s="12">
        <v>22.26</v>
      </c>
      <c r="D12" s="12">
        <v>480.39</v>
      </c>
      <c r="E12" s="12">
        <v>38.51</v>
      </c>
      <c r="F12" s="12">
        <v>1074.08</v>
      </c>
      <c r="G12" s="12">
        <v>141.24</v>
      </c>
      <c r="H12" s="12">
        <v>16.55</v>
      </c>
      <c r="I12" s="12">
        <v>80.05</v>
      </c>
      <c r="J12">
        <f t="shared" si="1"/>
        <v>3.284072249589487E-3</v>
      </c>
      <c r="K12">
        <f t="shared" si="0"/>
        <v>-4.472271914132242E-3</v>
      </c>
      <c r="L12">
        <f t="shared" si="0"/>
        <v>2.3996327518569505E-3</v>
      </c>
      <c r="M12">
        <f t="shared" si="0"/>
        <v>4.6960605270023326E-3</v>
      </c>
      <c r="N12">
        <f t="shared" si="0"/>
        <v>8.7896282791451341E-2</v>
      </c>
      <c r="O12">
        <f t="shared" si="0"/>
        <v>1.0806555499892845E-2</v>
      </c>
      <c r="P12">
        <f t="shared" si="0"/>
        <v>-2.3022432113341207E-2</v>
      </c>
      <c r="Q12">
        <f t="shared" si="0"/>
        <v>5.7796205553459767E-3</v>
      </c>
      <c r="R12" s="15">
        <f t="shared" si="2"/>
        <v>1.7001070588415112E-2</v>
      </c>
      <c r="T12" s="16">
        <f>PERCENTILE(R2:R501,0.05)</f>
        <v>-1.9799543673876624E-2</v>
      </c>
      <c r="U12" t="s">
        <v>52</v>
      </c>
    </row>
    <row r="13" spans="1:27" x14ac:dyDescent="0.2">
      <c r="A13" s="13">
        <v>46031</v>
      </c>
      <c r="B13" s="14">
        <v>18.27</v>
      </c>
      <c r="C13" s="14">
        <v>22.36</v>
      </c>
      <c r="D13" s="14">
        <v>479.24</v>
      </c>
      <c r="E13" s="14">
        <v>38.33</v>
      </c>
      <c r="F13" s="14">
        <v>987.3</v>
      </c>
      <c r="G13" s="14">
        <v>139.72999999999999</v>
      </c>
      <c r="H13" s="14">
        <v>16.940000000000001</v>
      </c>
      <c r="I13" s="14">
        <v>79.59</v>
      </c>
      <c r="J13">
        <f t="shared" si="1"/>
        <v>-8.1433224755701472E-3</v>
      </c>
      <c r="K13">
        <f t="shared" si="0"/>
        <v>1.4979573309123806E-2</v>
      </c>
      <c r="L13">
        <f t="shared" si="0"/>
        <v>-1.4781160701436979E-2</v>
      </c>
      <c r="M13">
        <f t="shared" si="0"/>
        <v>-1.08387096774194E-2</v>
      </c>
      <c r="N13">
        <f t="shared" si="0"/>
        <v>2.8566070758844875E-2</v>
      </c>
      <c r="O13">
        <f t="shared" si="0"/>
        <v>-1.3275898594732216E-2</v>
      </c>
      <c r="P13">
        <f t="shared" si="0"/>
        <v>0</v>
      </c>
      <c r="Q13">
        <f t="shared" si="0"/>
        <v>1.7514702122219505E-2</v>
      </c>
      <c r="R13" s="15">
        <f t="shared" si="2"/>
        <v>3.7884893366902971E-3</v>
      </c>
      <c r="T13" s="17">
        <f>T12*350000000</f>
        <v>-6929840.2858568188</v>
      </c>
      <c r="U13" t="s">
        <v>53</v>
      </c>
    </row>
    <row r="14" spans="1:27" x14ac:dyDescent="0.2">
      <c r="A14" s="11">
        <v>46030</v>
      </c>
      <c r="B14" s="12">
        <v>18.420000000000002</v>
      </c>
      <c r="C14" s="12">
        <v>22.03</v>
      </c>
      <c r="D14" s="12">
        <v>486.43</v>
      </c>
      <c r="E14" s="12">
        <v>38.75</v>
      </c>
      <c r="F14" s="12">
        <v>959.88</v>
      </c>
      <c r="G14" s="12">
        <v>141.61000000000001</v>
      </c>
      <c r="H14" s="12">
        <v>16.940000000000001</v>
      </c>
      <c r="I14" s="12">
        <v>78.22</v>
      </c>
      <c r="J14">
        <f t="shared" si="1"/>
        <v>1.0976948408342624E-2</v>
      </c>
      <c r="K14">
        <f t="shared" si="0"/>
        <v>6.1175337186897938E-2</v>
      </c>
      <c r="L14">
        <f t="shared" si="0"/>
        <v>1.3121446274967141E-2</v>
      </c>
      <c r="M14">
        <f t="shared" si="0"/>
        <v>1.5195179460309127E-2</v>
      </c>
      <c r="N14">
        <f t="shared" si="0"/>
        <v>8.7965444398903081E-3</v>
      </c>
      <c r="O14">
        <f t="shared" si="0"/>
        <v>1.0778015703069466E-2</v>
      </c>
      <c r="P14">
        <f t="shared" si="0"/>
        <v>1.558752997601931E-2</v>
      </c>
      <c r="Q14">
        <f t="shared" si="0"/>
        <v>2.2216414009409435E-2</v>
      </c>
      <c r="R14" s="15">
        <f t="shared" si="2"/>
        <v>1.8332972415132789E-2</v>
      </c>
    </row>
    <row r="15" spans="1:27" x14ac:dyDescent="0.2">
      <c r="A15" s="13">
        <v>46029</v>
      </c>
      <c r="B15" s="14">
        <v>18.22</v>
      </c>
      <c r="C15" s="14">
        <v>20.76</v>
      </c>
      <c r="D15" s="14">
        <v>480.13</v>
      </c>
      <c r="E15" s="14">
        <v>38.17</v>
      </c>
      <c r="F15" s="14">
        <v>951.51</v>
      </c>
      <c r="G15" s="14">
        <v>140.1</v>
      </c>
      <c r="H15" s="14">
        <v>16.68</v>
      </c>
      <c r="I15" s="14">
        <v>76.52</v>
      </c>
      <c r="J15">
        <f t="shared" si="1"/>
        <v>2.2002200220021528E-3</v>
      </c>
      <c r="K15">
        <f t="shared" si="0"/>
        <v>-2.8089887640449285E-2</v>
      </c>
      <c r="L15">
        <f t="shared" si="0"/>
        <v>3.8890166642273627E-3</v>
      </c>
      <c r="M15">
        <f t="shared" si="0"/>
        <v>6.8583487206543836E-3</v>
      </c>
      <c r="N15">
        <f t="shared" si="0"/>
        <v>-1.9577335627659731E-2</v>
      </c>
      <c r="O15">
        <f t="shared" si="0"/>
        <v>2.3150514861608018E-2</v>
      </c>
      <c r="P15">
        <f t="shared" si="0"/>
        <v>4.2143287176399369E-3</v>
      </c>
      <c r="Q15">
        <f t="shared" si="0"/>
        <v>-1.0730446024563634E-2</v>
      </c>
      <c r="R15" s="15">
        <f t="shared" si="2"/>
        <v>-2.8421048552727925E-3</v>
      </c>
    </row>
    <row r="16" spans="1:27" x14ac:dyDescent="0.2">
      <c r="A16" s="11">
        <v>46028</v>
      </c>
      <c r="B16" s="12">
        <v>18.18</v>
      </c>
      <c r="C16" s="12">
        <v>21.36</v>
      </c>
      <c r="D16" s="12">
        <v>478.27</v>
      </c>
      <c r="E16" s="12">
        <v>37.909999999999997</v>
      </c>
      <c r="F16" s="12">
        <v>970.51</v>
      </c>
      <c r="G16" s="12">
        <v>136.93</v>
      </c>
      <c r="H16" s="12">
        <v>16.61</v>
      </c>
      <c r="I16" s="12">
        <v>77.349999999999994</v>
      </c>
      <c r="J16">
        <f t="shared" si="1"/>
        <v>-2.6766595289079209E-2</v>
      </c>
      <c r="K16">
        <f t="shared" si="0"/>
        <v>8.4985835694051381E-3</v>
      </c>
      <c r="L16">
        <f t="shared" si="0"/>
        <v>1.5349014945652106E-2</v>
      </c>
      <c r="M16">
        <f t="shared" si="0"/>
        <v>-1.0441138084051338E-2</v>
      </c>
      <c r="N16">
        <f t="shared" si="0"/>
        <v>2.3043272018131056E-2</v>
      </c>
      <c r="O16">
        <f t="shared" si="0"/>
        <v>-3.5296604198957193E-2</v>
      </c>
      <c r="P16">
        <f t="shared" si="0"/>
        <v>-7.1727435744173285E-3</v>
      </c>
      <c r="Q16">
        <f t="shared" si="0"/>
        <v>-2.4097905627050387E-2</v>
      </c>
      <c r="R16" s="15">
        <f t="shared" si="2"/>
        <v>-3.5539403864396023E-3</v>
      </c>
    </row>
    <row r="17" spans="1:18" x14ac:dyDescent="0.2">
      <c r="A17" s="13">
        <v>46027</v>
      </c>
      <c r="B17" s="14">
        <v>18.68</v>
      </c>
      <c r="C17" s="14">
        <v>21.18</v>
      </c>
      <c r="D17" s="14">
        <v>471.04</v>
      </c>
      <c r="E17" s="14">
        <v>38.31</v>
      </c>
      <c r="F17" s="14">
        <v>948.65</v>
      </c>
      <c r="G17" s="14">
        <v>141.94</v>
      </c>
      <c r="H17" s="14">
        <v>16.73</v>
      </c>
      <c r="I17" s="14">
        <v>79.260000000000005</v>
      </c>
      <c r="J17">
        <f t="shared" si="1"/>
        <v>8.0949811117105863E-3</v>
      </c>
      <c r="K17">
        <f t="shared" si="0"/>
        <v>2.4177949709864643E-2</v>
      </c>
      <c r="L17">
        <f t="shared" si="0"/>
        <v>9.1479743771023525E-3</v>
      </c>
      <c r="M17">
        <f t="shared" si="0"/>
        <v>1.0284810126582222E-2</v>
      </c>
      <c r="N17">
        <f t="shared" si="0"/>
        <v>4.5367391016881919E-2</v>
      </c>
      <c r="O17">
        <f t="shared" si="0"/>
        <v>-7.0402703463812166E-4</v>
      </c>
      <c r="P17">
        <f t="shared" si="0"/>
        <v>2.5122549019607865E-2</v>
      </c>
      <c r="Q17">
        <f t="shared" si="0"/>
        <v>3.8249934503536753E-2</v>
      </c>
      <c r="R17" s="15">
        <f t="shared" si="2"/>
        <v>2.2089979215978783E-2</v>
      </c>
    </row>
    <row r="18" spans="1:18" x14ac:dyDescent="0.2">
      <c r="A18" s="11">
        <v>46024</v>
      </c>
      <c r="B18" s="12">
        <v>18.53</v>
      </c>
      <c r="C18" s="12">
        <v>20.68</v>
      </c>
      <c r="D18" s="12">
        <v>466.77</v>
      </c>
      <c r="E18" s="12">
        <v>37.92</v>
      </c>
      <c r="F18" s="12">
        <v>907.48</v>
      </c>
      <c r="G18" s="12">
        <v>142.04</v>
      </c>
      <c r="H18" s="12">
        <v>16.32</v>
      </c>
      <c r="I18" s="12">
        <v>76.34</v>
      </c>
      <c r="J18">
        <f t="shared" si="1"/>
        <v>-5.3676865271067298E-3</v>
      </c>
      <c r="K18">
        <f t="shared" si="1"/>
        <v>4.8379293662303979E-4</v>
      </c>
      <c r="L18">
        <f t="shared" si="1"/>
        <v>-1.3296410603306219E-2</v>
      </c>
      <c r="M18">
        <f t="shared" si="1"/>
        <v>-2.2932233960319515E-2</v>
      </c>
      <c r="N18">
        <f t="shared" si="1"/>
        <v>-4.1468618628134446E-2</v>
      </c>
      <c r="O18">
        <f t="shared" si="1"/>
        <v>-4.345997476517649E-3</v>
      </c>
      <c r="P18">
        <f t="shared" si="1"/>
        <v>2.1276595744680771E-2</v>
      </c>
      <c r="Q18">
        <f t="shared" si="1"/>
        <v>1.1930010604453978E-2</v>
      </c>
      <c r="R18" s="15">
        <f t="shared" si="2"/>
        <v>-8.7810954616341589E-3</v>
      </c>
    </row>
    <row r="19" spans="1:18" x14ac:dyDescent="0.2">
      <c r="A19" s="13">
        <v>46022</v>
      </c>
      <c r="B19" s="14">
        <v>18.63</v>
      </c>
      <c r="C19" s="14">
        <v>20.67</v>
      </c>
      <c r="D19" s="14">
        <v>473.06</v>
      </c>
      <c r="E19" s="14">
        <v>38.81</v>
      </c>
      <c r="F19" s="14">
        <v>946.74</v>
      </c>
      <c r="G19" s="14">
        <v>142.66</v>
      </c>
      <c r="H19" s="14">
        <v>15.98</v>
      </c>
      <c r="I19" s="14">
        <v>75.44</v>
      </c>
      <c r="J19">
        <f t="shared" si="1"/>
        <v>-6.9296375266525434E-3</v>
      </c>
      <c r="K19">
        <f t="shared" si="1"/>
        <v>-1.0531354715174635E-2</v>
      </c>
      <c r="L19">
        <f t="shared" si="1"/>
        <v>-2.004177127064799E-3</v>
      </c>
      <c r="M19">
        <f t="shared" si="1"/>
        <v>1.5171331415119171E-2</v>
      </c>
      <c r="N19">
        <f t="shared" si="1"/>
        <v>-9.3545956805625163E-3</v>
      </c>
      <c r="O19">
        <f t="shared" si="1"/>
        <v>7.1302506177197689E-3</v>
      </c>
      <c r="P19">
        <f t="shared" si="1"/>
        <v>0</v>
      </c>
      <c r="Q19">
        <f t="shared" si="1"/>
        <v>-3.8123167155425297E-2</v>
      </c>
      <c r="R19" s="15">
        <f t="shared" si="2"/>
        <v>-4.6039848275598481E-3</v>
      </c>
    </row>
    <row r="20" spans="1:18" x14ac:dyDescent="0.2">
      <c r="A20" s="11">
        <v>46021</v>
      </c>
      <c r="B20" s="12">
        <v>18.760000000000002</v>
      </c>
      <c r="C20" s="12">
        <v>20.89</v>
      </c>
      <c r="D20" s="12">
        <v>474.01</v>
      </c>
      <c r="E20" s="12">
        <v>38.229999999999997</v>
      </c>
      <c r="F20" s="12">
        <v>955.68</v>
      </c>
      <c r="G20" s="12">
        <v>141.65</v>
      </c>
      <c r="H20" s="12">
        <v>15.98</v>
      </c>
      <c r="I20" s="12">
        <v>78.430000000000007</v>
      </c>
      <c r="J20">
        <f t="shared" si="1"/>
        <v>0</v>
      </c>
      <c r="K20">
        <f t="shared" si="1"/>
        <v>-1.7865538316878204E-2</v>
      </c>
      <c r="L20">
        <f t="shared" si="1"/>
        <v>-1.834862385321101E-2</v>
      </c>
      <c r="M20">
        <f t="shared" si="1"/>
        <v>-2.2250639386189319E-2</v>
      </c>
      <c r="N20">
        <f t="shared" si="1"/>
        <v>-2.6772711997311571E-2</v>
      </c>
      <c r="O20">
        <f t="shared" si="1"/>
        <v>-2.1821697396588569E-2</v>
      </c>
      <c r="P20">
        <f t="shared" si="1"/>
        <v>-1.1750154607297558E-2</v>
      </c>
      <c r="Q20">
        <f t="shared" si="1"/>
        <v>-7.6442858962910698E-4</v>
      </c>
      <c r="R20" s="15">
        <f t="shared" si="2"/>
        <v>-1.690558934736771E-2</v>
      </c>
    </row>
    <row r="21" spans="1:18" x14ac:dyDescent="0.2">
      <c r="A21" s="13">
        <v>46020</v>
      </c>
      <c r="B21" s="14">
        <v>18.760000000000002</v>
      </c>
      <c r="C21" s="14">
        <v>21.27</v>
      </c>
      <c r="D21" s="14">
        <v>482.87</v>
      </c>
      <c r="E21" s="14">
        <v>39.1</v>
      </c>
      <c r="F21" s="14">
        <v>981.97</v>
      </c>
      <c r="G21" s="14">
        <v>144.81</v>
      </c>
      <c r="H21" s="14">
        <v>16.170000000000002</v>
      </c>
      <c r="I21" s="14">
        <v>78.489999999999995</v>
      </c>
      <c r="J21">
        <f t="shared" si="1"/>
        <v>5.8981233243968756E-3</v>
      </c>
      <c r="K21">
        <f t="shared" si="1"/>
        <v>-7.0028011204482654E-3</v>
      </c>
      <c r="L21">
        <f t="shared" si="1"/>
        <v>-7.9100920447074952E-3</v>
      </c>
      <c r="M21">
        <f t="shared" si="1"/>
        <v>-1.1877685114986103E-2</v>
      </c>
      <c r="N21">
        <f t="shared" si="1"/>
        <v>2.6650057180199749E-3</v>
      </c>
      <c r="O21">
        <f t="shared" si="1"/>
        <v>3.4647633566626812E-3</v>
      </c>
      <c r="P21">
        <f t="shared" si="1"/>
        <v>-2.4728588661037221E-2</v>
      </c>
      <c r="Q21">
        <f t="shared" si="1"/>
        <v>1.3297185644203457E-2</v>
      </c>
      <c r="R21" s="15">
        <f t="shared" si="2"/>
        <v>-4.4120281131342894E-3</v>
      </c>
    </row>
    <row r="22" spans="1:18" x14ac:dyDescent="0.2">
      <c r="A22" s="11">
        <v>46017</v>
      </c>
      <c r="B22" s="12">
        <v>18.649999999999999</v>
      </c>
      <c r="C22" s="12">
        <v>21.42</v>
      </c>
      <c r="D22" s="12">
        <v>486.72</v>
      </c>
      <c r="E22" s="12">
        <v>39.57</v>
      </c>
      <c r="F22" s="12">
        <v>979.36</v>
      </c>
      <c r="G22" s="12">
        <v>144.31</v>
      </c>
      <c r="H22" s="12">
        <v>16.579999999999998</v>
      </c>
      <c r="I22" s="12">
        <v>77.459999999999994</v>
      </c>
      <c r="J22">
        <f t="shared" si="1"/>
        <v>-5.8635394456291179E-3</v>
      </c>
      <c r="K22">
        <f t="shared" si="1"/>
        <v>6.106153123532243E-3</v>
      </c>
      <c r="L22">
        <f t="shared" si="1"/>
        <v>2.4302838077192579E-3</v>
      </c>
      <c r="M22">
        <f t="shared" si="1"/>
        <v>1.072796934865905E-2</v>
      </c>
      <c r="N22">
        <f t="shared" si="1"/>
        <v>2.4220874294080597E-2</v>
      </c>
      <c r="O22">
        <f t="shared" si="1"/>
        <v>-1.4410599644857136E-2</v>
      </c>
      <c r="P22">
        <f t="shared" si="1"/>
        <v>-1.4854426619132499E-2</v>
      </c>
      <c r="Q22">
        <f t="shared" si="1"/>
        <v>8.9878858929268723E-3</v>
      </c>
      <c r="R22" s="15">
        <f t="shared" si="2"/>
        <v>2.7224229839023935E-3</v>
      </c>
    </row>
    <row r="23" spans="1:18" x14ac:dyDescent="0.2">
      <c r="A23" s="13">
        <v>46015</v>
      </c>
      <c r="B23" s="14">
        <v>18.760000000000002</v>
      </c>
      <c r="C23" s="14">
        <v>21.29</v>
      </c>
      <c r="D23" s="14">
        <v>485.54</v>
      </c>
      <c r="E23" s="14">
        <v>39.15</v>
      </c>
      <c r="F23" s="14">
        <v>956.2</v>
      </c>
      <c r="G23" s="14">
        <v>146.41999999999999</v>
      </c>
      <c r="H23" s="14">
        <v>16.829999999999998</v>
      </c>
      <c r="I23" s="14">
        <v>76.77</v>
      </c>
      <c r="J23">
        <f t="shared" si="1"/>
        <v>4.282655246252709E-3</v>
      </c>
      <c r="K23">
        <f t="shared" si="1"/>
        <v>-4.6948356807519076E-4</v>
      </c>
      <c r="L23">
        <f t="shared" si="1"/>
        <v>-1.3985438690304886E-3</v>
      </c>
      <c r="M23">
        <f t="shared" si="1"/>
        <v>5.9095580678314441E-3</v>
      </c>
      <c r="N23">
        <f t="shared" si="1"/>
        <v>-3.3977445646509175E-3</v>
      </c>
      <c r="O23">
        <f t="shared" si="1"/>
        <v>-6.3115032236172874E-3</v>
      </c>
      <c r="P23">
        <f t="shared" si="1"/>
        <v>1.6304347826086918E-2</v>
      </c>
      <c r="Q23">
        <f t="shared" si="1"/>
        <v>1.5879317189360975E-2</v>
      </c>
      <c r="R23" s="15">
        <f t="shared" si="2"/>
        <v>3.0999518847336584E-3</v>
      </c>
    </row>
    <row r="24" spans="1:18" x14ac:dyDescent="0.2">
      <c r="A24" s="11">
        <v>46014</v>
      </c>
      <c r="B24" s="12">
        <v>18.68</v>
      </c>
      <c r="C24" s="12">
        <v>21.3</v>
      </c>
      <c r="D24" s="12">
        <v>486.22</v>
      </c>
      <c r="E24" s="12">
        <v>38.92</v>
      </c>
      <c r="F24" s="12">
        <v>959.46</v>
      </c>
      <c r="G24" s="12">
        <v>147.35</v>
      </c>
      <c r="H24" s="12">
        <v>16.559999999999999</v>
      </c>
      <c r="I24" s="12">
        <v>75.569999999999993</v>
      </c>
      <c r="J24">
        <f t="shared" si="1"/>
        <v>9.1842247433817636E-3</v>
      </c>
      <c r="K24">
        <f t="shared" si="1"/>
        <v>8.0454330336015012E-3</v>
      </c>
      <c r="L24">
        <f t="shared" si="1"/>
        <v>9.2158246502553887E-3</v>
      </c>
      <c r="M24">
        <f t="shared" si="1"/>
        <v>1.6453382084095081E-2</v>
      </c>
      <c r="N24">
        <f t="shared" si="1"/>
        <v>2.4155930104714729E-2</v>
      </c>
      <c r="O24">
        <f t="shared" si="1"/>
        <v>2.2199098161637121E-2</v>
      </c>
      <c r="P24">
        <f t="shared" si="1"/>
        <v>-2.416028285209193E-2</v>
      </c>
      <c r="Q24">
        <f t="shared" si="1"/>
        <v>6.9287141905396421E-3</v>
      </c>
      <c r="R24" s="15">
        <f t="shared" si="2"/>
        <v>8.8341070737727422E-3</v>
      </c>
    </row>
    <row r="25" spans="1:18" x14ac:dyDescent="0.2">
      <c r="A25" s="13">
        <v>46013</v>
      </c>
      <c r="B25" s="14">
        <v>18.510000000000002</v>
      </c>
      <c r="C25" s="14">
        <v>21.13</v>
      </c>
      <c r="D25" s="14">
        <v>481.78</v>
      </c>
      <c r="E25" s="14">
        <v>38.29</v>
      </c>
      <c r="F25" s="14">
        <v>936.83</v>
      </c>
      <c r="G25" s="14">
        <v>144.15</v>
      </c>
      <c r="H25" s="14">
        <v>16.97</v>
      </c>
      <c r="I25" s="14">
        <v>75.05</v>
      </c>
      <c r="J25">
        <f t="shared" si="1"/>
        <v>1.5359297860669363E-2</v>
      </c>
      <c r="K25">
        <f t="shared" si="1"/>
        <v>8.1106870229006311E-3</v>
      </c>
      <c r="L25">
        <f t="shared" si="1"/>
        <v>-4.1958620119468826E-3</v>
      </c>
      <c r="M25">
        <f t="shared" si="1"/>
        <v>-7.0020746887967666E-3</v>
      </c>
      <c r="N25">
        <f t="shared" si="1"/>
        <v>7.6828469292750556E-2</v>
      </c>
      <c r="O25">
        <f t="shared" si="1"/>
        <v>-2.9051670471050839E-3</v>
      </c>
      <c r="P25">
        <f t="shared" si="1"/>
        <v>-1.1771630370805974E-3</v>
      </c>
      <c r="Q25">
        <f t="shared" si="1"/>
        <v>-5.3015241882041764E-3</v>
      </c>
      <c r="R25" s="15">
        <f t="shared" si="2"/>
        <v>1.6090244751470154E-2</v>
      </c>
    </row>
    <row r="26" spans="1:18" x14ac:dyDescent="0.2">
      <c r="A26" s="11">
        <v>46010</v>
      </c>
      <c r="B26" s="12">
        <v>18.23</v>
      </c>
      <c r="C26" s="12">
        <v>20.96</v>
      </c>
      <c r="D26" s="12">
        <v>483.81</v>
      </c>
      <c r="E26" s="12">
        <v>38.56</v>
      </c>
      <c r="F26" s="12">
        <v>869.99</v>
      </c>
      <c r="G26" s="12">
        <v>144.57</v>
      </c>
      <c r="H26" s="12">
        <v>16.989999999999998</v>
      </c>
      <c r="I26" s="12">
        <v>75.45</v>
      </c>
      <c r="J26">
        <f t="shared" si="1"/>
        <v>-1.8837459634014952E-2</v>
      </c>
      <c r="K26">
        <f t="shared" si="1"/>
        <v>4.3124101581217822E-3</v>
      </c>
      <c r="L26">
        <f t="shared" si="1"/>
        <v>1.451068380548981E-2</v>
      </c>
      <c r="M26">
        <f t="shared" si="1"/>
        <v>-1.9079114729076529E-2</v>
      </c>
      <c r="N26">
        <f t="shared" si="1"/>
        <v>8.3127910161599594E-2</v>
      </c>
      <c r="O26">
        <f t="shared" si="1"/>
        <v>4.4580924855491144E-2</v>
      </c>
      <c r="P26">
        <f t="shared" si="1"/>
        <v>0.14103425117528534</v>
      </c>
      <c r="Q26">
        <f t="shared" si="1"/>
        <v>2.6810016330974351E-2</v>
      </c>
      <c r="R26" s="15">
        <f t="shared" si="2"/>
        <v>4.881034469769522E-2</v>
      </c>
    </row>
    <row r="27" spans="1:18" x14ac:dyDescent="0.2">
      <c r="A27" s="13">
        <v>46009</v>
      </c>
      <c r="B27" s="14">
        <v>18.579999999999998</v>
      </c>
      <c r="C27" s="14">
        <v>20.87</v>
      </c>
      <c r="D27" s="14">
        <v>476.89</v>
      </c>
      <c r="E27" s="14">
        <v>39.31</v>
      </c>
      <c r="F27" s="14">
        <v>803.22</v>
      </c>
      <c r="G27" s="14">
        <v>138.4</v>
      </c>
      <c r="H27" s="14">
        <v>14.89</v>
      </c>
      <c r="I27" s="14">
        <v>73.48</v>
      </c>
      <c r="J27">
        <f t="shared" si="1"/>
        <v>8.138903960933197E-3</v>
      </c>
      <c r="K27">
        <f t="shared" si="1"/>
        <v>3.8308457711442756E-2</v>
      </c>
      <c r="L27">
        <f t="shared" si="1"/>
        <v>1.91046051928625E-2</v>
      </c>
      <c r="M27">
        <f t="shared" si="1"/>
        <v>8.2072326237496718E-3</v>
      </c>
      <c r="N27">
        <f t="shared" si="1"/>
        <v>1.0848225522275268E-2</v>
      </c>
      <c r="O27">
        <f t="shared" si="1"/>
        <v>4.3541364296080243E-3</v>
      </c>
      <c r="P27">
        <f t="shared" si="1"/>
        <v>5.1553672316384302E-2</v>
      </c>
      <c r="Q27">
        <f t="shared" si="1"/>
        <v>2.3683477291724708E-2</v>
      </c>
      <c r="R27" s="15">
        <f t="shared" si="2"/>
        <v>2.1442755161360568E-2</v>
      </c>
    </row>
    <row r="28" spans="1:18" x14ac:dyDescent="0.2">
      <c r="A28" s="11">
        <v>46008</v>
      </c>
      <c r="B28" s="12">
        <v>18.43</v>
      </c>
      <c r="C28" s="12">
        <v>20.100000000000001</v>
      </c>
      <c r="D28" s="12">
        <v>467.95</v>
      </c>
      <c r="E28" s="12">
        <v>38.99</v>
      </c>
      <c r="F28" s="12">
        <v>794.6</v>
      </c>
      <c r="G28" s="12">
        <v>137.80000000000001</v>
      </c>
      <c r="H28" s="12">
        <v>14.16</v>
      </c>
      <c r="I28" s="12">
        <v>71.78</v>
      </c>
      <c r="J28">
        <f t="shared" si="1"/>
        <v>-1.8114011720831158E-2</v>
      </c>
      <c r="K28">
        <f t="shared" si="1"/>
        <v>-2.663438256658579E-2</v>
      </c>
      <c r="L28">
        <f t="shared" si="1"/>
        <v>3.1817780913741434E-2</v>
      </c>
      <c r="M28">
        <f t="shared" si="1"/>
        <v>-3.7996545768566481E-2</v>
      </c>
      <c r="N28">
        <f t="shared" si="1"/>
        <v>1.1559221916692231E-2</v>
      </c>
      <c r="O28">
        <f t="shared" si="1"/>
        <v>8.9324937765411505E-3</v>
      </c>
      <c r="P28">
        <f t="shared" si="1"/>
        <v>1.8705035971223083E-2</v>
      </c>
      <c r="Q28">
        <f t="shared" si="1"/>
        <v>-1.1158561785369892E-2</v>
      </c>
      <c r="R28" s="15">
        <f t="shared" si="2"/>
        <v>1.9846984739865219E-3</v>
      </c>
    </row>
    <row r="29" spans="1:18" x14ac:dyDescent="0.2">
      <c r="A29" s="13">
        <v>46007</v>
      </c>
      <c r="B29" s="14">
        <v>18.77</v>
      </c>
      <c r="C29" s="14">
        <v>20.65</v>
      </c>
      <c r="D29" s="14">
        <v>453.52</v>
      </c>
      <c r="E29" s="14">
        <v>40.53</v>
      </c>
      <c r="F29" s="14">
        <v>785.52</v>
      </c>
      <c r="G29" s="14">
        <v>136.58000000000001</v>
      </c>
      <c r="H29" s="14">
        <v>13.9</v>
      </c>
      <c r="I29" s="14">
        <v>72.59</v>
      </c>
      <c r="J29">
        <f t="shared" si="1"/>
        <v>-1.2624934245134223E-2</v>
      </c>
      <c r="K29">
        <f t="shared" si="1"/>
        <v>-1.5259895088221231E-2</v>
      </c>
      <c r="L29">
        <f t="shared" si="1"/>
        <v>-8.6344459745995028E-3</v>
      </c>
      <c r="M29">
        <f t="shared" si="1"/>
        <v>-4.1769041769041948E-3</v>
      </c>
      <c r="N29">
        <f t="shared" si="1"/>
        <v>2.0665901262917341E-3</v>
      </c>
      <c r="O29">
        <f t="shared" si="1"/>
        <v>-7.4849211539859128E-3</v>
      </c>
      <c r="P29">
        <f t="shared" si="1"/>
        <v>-7.1890726096335289E-4</v>
      </c>
      <c r="Q29">
        <f t="shared" si="1"/>
        <v>-5.2076195696860728E-3</v>
      </c>
      <c r="R29" s="15">
        <f t="shared" si="2"/>
        <v>-5.2533669271638116E-3</v>
      </c>
    </row>
    <row r="30" spans="1:18" x14ac:dyDescent="0.2">
      <c r="A30" s="11">
        <v>46006</v>
      </c>
      <c r="B30" s="12">
        <v>19.010000000000002</v>
      </c>
      <c r="C30" s="12">
        <v>20.97</v>
      </c>
      <c r="D30" s="12">
        <v>457.47</v>
      </c>
      <c r="E30" s="12">
        <v>40.700000000000003</v>
      </c>
      <c r="F30" s="12">
        <v>783.9</v>
      </c>
      <c r="G30" s="12">
        <v>137.61000000000001</v>
      </c>
      <c r="H30" s="12">
        <v>13.91</v>
      </c>
      <c r="I30" s="12">
        <v>72.97</v>
      </c>
      <c r="J30">
        <f t="shared" si="1"/>
        <v>-1.5025906735751215E-2</v>
      </c>
      <c r="K30">
        <f t="shared" si="1"/>
        <v>4.2764793635007514E-2</v>
      </c>
      <c r="L30">
        <f t="shared" si="1"/>
        <v>-2.1601043693992295E-2</v>
      </c>
      <c r="M30">
        <f t="shared" si="1"/>
        <v>-6.34765625E-3</v>
      </c>
      <c r="N30">
        <f t="shared" si="1"/>
        <v>-2.3250598086124397E-2</v>
      </c>
      <c r="O30">
        <f t="shared" si="1"/>
        <v>-3.2754621494341718E-2</v>
      </c>
      <c r="P30">
        <f t="shared" si="1"/>
        <v>-1.2073863636363646E-2</v>
      </c>
      <c r="Q30">
        <f t="shared" si="1"/>
        <v>-2.0514223194748604E-3</v>
      </c>
      <c r="R30" s="15">
        <f t="shared" si="2"/>
        <v>-1.1346302755822119E-2</v>
      </c>
    </row>
    <row r="31" spans="1:18" x14ac:dyDescent="0.2">
      <c r="A31" s="13">
        <v>46002</v>
      </c>
      <c r="B31" s="14">
        <v>19.3</v>
      </c>
      <c r="C31" s="14">
        <v>20.11</v>
      </c>
      <c r="D31" s="14">
        <v>467.57</v>
      </c>
      <c r="E31" s="14">
        <v>40.96</v>
      </c>
      <c r="F31" s="14">
        <v>802.56</v>
      </c>
      <c r="G31" s="14">
        <v>142.27000000000001</v>
      </c>
      <c r="H31" s="14">
        <v>14.08</v>
      </c>
      <c r="I31" s="14">
        <v>73.12</v>
      </c>
      <c r="J31">
        <f t="shared" si="1"/>
        <v>-1.0351966873706209E-3</v>
      </c>
      <c r="K31">
        <f t="shared" si="1"/>
        <v>1.9260010136847416E-2</v>
      </c>
      <c r="L31">
        <f t="shared" si="1"/>
        <v>6.0947108075605216E-2</v>
      </c>
      <c r="M31">
        <f t="shared" si="1"/>
        <v>1.8145662440964605E-2</v>
      </c>
      <c r="N31">
        <f t="shared" si="1"/>
        <v>2.4222159830521228E-2</v>
      </c>
      <c r="O31">
        <f t="shared" si="1"/>
        <v>3.4389995637632786E-2</v>
      </c>
      <c r="P31">
        <f t="shared" si="1"/>
        <v>2.5491624180626449E-2</v>
      </c>
      <c r="Q31">
        <f t="shared" si="1"/>
        <v>1.1341632088520237E-2</v>
      </c>
      <c r="R31" s="15">
        <f t="shared" si="2"/>
        <v>2.6124707600289173E-2</v>
      </c>
    </row>
    <row r="32" spans="1:18" x14ac:dyDescent="0.2">
      <c r="A32" s="11">
        <v>46001</v>
      </c>
      <c r="B32" s="12">
        <v>19.32</v>
      </c>
      <c r="C32" s="12">
        <v>19.73</v>
      </c>
      <c r="D32" s="12">
        <v>440.71</v>
      </c>
      <c r="E32" s="12">
        <v>40.229999999999997</v>
      </c>
      <c r="F32" s="12">
        <v>783.58</v>
      </c>
      <c r="G32" s="12">
        <v>137.54</v>
      </c>
      <c r="H32" s="12">
        <v>13.73</v>
      </c>
      <c r="I32" s="12">
        <v>72.3</v>
      </c>
      <c r="J32">
        <f t="shared" si="1"/>
        <v>-2.0661157024792765E-3</v>
      </c>
      <c r="K32">
        <f t="shared" si="1"/>
        <v>-1.053159478435306E-2</v>
      </c>
      <c r="L32">
        <f t="shared" si="1"/>
        <v>8.3281854165235814E-3</v>
      </c>
      <c r="M32">
        <f t="shared" si="1"/>
        <v>-8.6249383932972545E-3</v>
      </c>
      <c r="N32">
        <f t="shared" si="1"/>
        <v>2.9952383390507986E-3</v>
      </c>
      <c r="O32">
        <f t="shared" si="1"/>
        <v>-1.1783302198591805E-2</v>
      </c>
      <c r="P32">
        <f t="shared" si="1"/>
        <v>-8.664259927797735E-3</v>
      </c>
      <c r="Q32">
        <f t="shared" si="1"/>
        <v>-2.6916066867420763E-2</v>
      </c>
      <c r="R32" s="15">
        <f t="shared" si="2"/>
        <v>-5.7474986816125635E-3</v>
      </c>
    </row>
    <row r="33" spans="1:18" x14ac:dyDescent="0.2">
      <c r="A33" s="13">
        <v>46000</v>
      </c>
      <c r="B33" s="14">
        <v>19.36</v>
      </c>
      <c r="C33" s="14">
        <v>19.940000000000001</v>
      </c>
      <c r="D33" s="14">
        <v>437.07</v>
      </c>
      <c r="E33" s="14">
        <v>40.58</v>
      </c>
      <c r="F33" s="14">
        <v>781.24</v>
      </c>
      <c r="G33" s="14">
        <v>139.18</v>
      </c>
      <c r="H33" s="14">
        <v>13.85</v>
      </c>
      <c r="I33" s="14">
        <v>74.299859999999995</v>
      </c>
      <c r="J33">
        <f t="shared" si="1"/>
        <v>-9.7186700767264433E-3</v>
      </c>
      <c r="K33">
        <f t="shared" si="1"/>
        <v>-4.9900199600797501E-3</v>
      </c>
      <c r="L33">
        <f t="shared" si="1"/>
        <v>1.1736111111111169E-2</v>
      </c>
      <c r="M33">
        <f t="shared" si="1"/>
        <v>0</v>
      </c>
      <c r="N33">
        <f t="shared" si="1"/>
        <v>7.8435419784304017E-3</v>
      </c>
      <c r="O33">
        <f t="shared" si="1"/>
        <v>4.6196044463693298E-3</v>
      </c>
      <c r="P33">
        <f t="shared" si="1"/>
        <v>2.6686434395848835E-2</v>
      </c>
      <c r="Q33">
        <f t="shared" si="1"/>
        <v>1.7010386255249754E-2</v>
      </c>
      <c r="R33" s="15">
        <f t="shared" si="2"/>
        <v>8.2733507172628243E-3</v>
      </c>
    </row>
    <row r="34" spans="1:18" x14ac:dyDescent="0.2">
      <c r="A34" s="11">
        <v>45999</v>
      </c>
      <c r="B34" s="12">
        <v>19.55</v>
      </c>
      <c r="C34" s="12">
        <v>20.04</v>
      </c>
      <c r="D34" s="12">
        <v>432</v>
      </c>
      <c r="E34" s="12">
        <v>40.58</v>
      </c>
      <c r="F34" s="12">
        <v>775.16</v>
      </c>
      <c r="G34" s="12">
        <v>138.54</v>
      </c>
      <c r="H34" s="12">
        <v>13.49</v>
      </c>
      <c r="I34" s="12">
        <v>73.057130000000001</v>
      </c>
      <c r="J34">
        <f t="shared" si="1"/>
        <v>-2.5510204081633514E-3</v>
      </c>
      <c r="K34">
        <f t="shared" si="1"/>
        <v>1.9328585961342792E-2</v>
      </c>
      <c r="L34">
        <f t="shared" si="1"/>
        <v>4.3780806030733643E-2</v>
      </c>
      <c r="M34">
        <f t="shared" si="1"/>
        <v>-6.6095471236230496E-3</v>
      </c>
      <c r="N34">
        <f t="shared" si="1"/>
        <v>-1.5769826557302191E-2</v>
      </c>
      <c r="O34">
        <f t="shared" si="1"/>
        <v>2.9682183450372435E-3</v>
      </c>
      <c r="P34">
        <f t="shared" si="1"/>
        <v>-1.8195050946142599E-2</v>
      </c>
      <c r="Q34">
        <f t="shared" si="1"/>
        <v>-6.3880091645470705E-3</v>
      </c>
      <c r="R34" s="15">
        <f t="shared" si="2"/>
        <v>8.058790292034886E-5</v>
      </c>
    </row>
    <row r="35" spans="1:18" x14ac:dyDescent="0.2">
      <c r="A35" s="13">
        <v>45996</v>
      </c>
      <c r="B35" s="14">
        <v>19.600000000000001</v>
      </c>
      <c r="C35" s="14">
        <v>19.66</v>
      </c>
      <c r="D35" s="14">
        <v>413.88</v>
      </c>
      <c r="E35" s="14">
        <v>40.85</v>
      </c>
      <c r="F35" s="14">
        <v>787.58</v>
      </c>
      <c r="G35" s="14">
        <v>138.13</v>
      </c>
      <c r="H35" s="14">
        <v>13.74</v>
      </c>
      <c r="I35" s="14">
        <v>73.526820000000001</v>
      </c>
      <c r="J35">
        <f t="shared" si="1"/>
        <v>-1.3588324106693528E-2</v>
      </c>
      <c r="K35">
        <f t="shared" si="1"/>
        <v>-1.6016016016015988E-2</v>
      </c>
      <c r="L35">
        <f t="shared" si="1"/>
        <v>-9.3824796553375611E-3</v>
      </c>
      <c r="M35">
        <f t="shared" si="1"/>
        <v>-1.2569494802997294E-2</v>
      </c>
      <c r="N35">
        <f t="shared" si="1"/>
        <v>-7.1603257443965118E-3</v>
      </c>
      <c r="O35">
        <f t="shared" si="1"/>
        <v>3.1955842835353909E-3</v>
      </c>
      <c r="P35">
        <f t="shared" si="1"/>
        <v>-3.7815126050420145E-2</v>
      </c>
      <c r="Q35">
        <f t="shared" si="1"/>
        <v>1.0897278536655675E-2</v>
      </c>
      <c r="R35" s="15">
        <f t="shared" si="2"/>
        <v>-1.1719055533474789E-2</v>
      </c>
    </row>
    <row r="36" spans="1:18" x14ac:dyDescent="0.2">
      <c r="A36" s="11">
        <v>45995</v>
      </c>
      <c r="B36" s="12">
        <v>19.87</v>
      </c>
      <c r="C36" s="12">
        <v>19.98</v>
      </c>
      <c r="D36" s="12">
        <v>417.8</v>
      </c>
      <c r="E36" s="12">
        <v>41.37</v>
      </c>
      <c r="F36" s="12">
        <v>793.26</v>
      </c>
      <c r="G36" s="12">
        <v>137.69</v>
      </c>
      <c r="H36" s="12">
        <v>14.28</v>
      </c>
      <c r="I36" s="12">
        <v>72.734215000000006</v>
      </c>
      <c r="J36">
        <f t="shared" si="1"/>
        <v>3.0287733467946332E-3</v>
      </c>
      <c r="K36">
        <f t="shared" si="1"/>
        <v>7.0564516129032473E-3</v>
      </c>
      <c r="L36">
        <f t="shared" si="1"/>
        <v>-1.3505855685681856E-2</v>
      </c>
      <c r="M36">
        <f t="shared" si="1"/>
        <v>-9.5762508977736971E-3</v>
      </c>
      <c r="N36">
        <f t="shared" si="1"/>
        <v>1.119212726901897E-2</v>
      </c>
      <c r="O36">
        <f t="shared" si="1"/>
        <v>2.1106259097525282E-3</v>
      </c>
      <c r="P36">
        <f t="shared" si="1"/>
        <v>-1.1080332409972304E-2</v>
      </c>
      <c r="Q36">
        <f t="shared" si="1"/>
        <v>1.9056798987486578E-2</v>
      </c>
      <c r="R36" s="15">
        <f t="shared" si="2"/>
        <v>8.2266804524444462E-4</v>
      </c>
    </row>
    <row r="37" spans="1:18" x14ac:dyDescent="0.2">
      <c r="A37" s="13">
        <v>45994</v>
      </c>
      <c r="B37" s="14">
        <v>19.809999999999999</v>
      </c>
      <c r="C37" s="14">
        <v>19.84</v>
      </c>
      <c r="D37" s="14">
        <v>423.52</v>
      </c>
      <c r="E37" s="14">
        <v>41.77</v>
      </c>
      <c r="F37" s="14">
        <v>784.48</v>
      </c>
      <c r="G37" s="14">
        <v>137.4</v>
      </c>
      <c r="H37" s="14">
        <v>14.44</v>
      </c>
      <c r="I37" s="14">
        <v>71.374054000000001</v>
      </c>
      <c r="J37">
        <f t="shared" si="1"/>
        <v>-3.1295843520782407E-2</v>
      </c>
      <c r="K37">
        <f t="shared" si="1"/>
        <v>1.1728709841917428E-2</v>
      </c>
      <c r="L37">
        <f t="shared" si="1"/>
        <v>-6.1482142019054775E-3</v>
      </c>
      <c r="M37">
        <f t="shared" si="1"/>
        <v>1.0157194679564663E-2</v>
      </c>
      <c r="N37">
        <f t="shared" si="1"/>
        <v>-4.9216094170175806E-3</v>
      </c>
      <c r="O37">
        <f t="shared" si="1"/>
        <v>-4.3478260869564966E-3</v>
      </c>
      <c r="P37">
        <f t="shared" si="1"/>
        <v>3.2904148783976961E-2</v>
      </c>
      <c r="Q37">
        <f t="shared" si="1"/>
        <v>-3.9504909523864096E-2</v>
      </c>
      <c r="R37" s="15">
        <f t="shared" si="2"/>
        <v>-2.4606868050015829E-4</v>
      </c>
    </row>
    <row r="38" spans="1:18" x14ac:dyDescent="0.2">
      <c r="A38" s="11">
        <v>45993</v>
      </c>
      <c r="B38" s="12">
        <v>20.45</v>
      </c>
      <c r="C38" s="12">
        <v>19.61</v>
      </c>
      <c r="D38" s="12">
        <v>426.14</v>
      </c>
      <c r="E38" s="12">
        <v>41.35</v>
      </c>
      <c r="F38" s="12">
        <v>788.36</v>
      </c>
      <c r="G38" s="12">
        <v>138</v>
      </c>
      <c r="H38" s="12">
        <v>13.98</v>
      </c>
      <c r="I38" s="12">
        <v>74.309650000000005</v>
      </c>
      <c r="J38">
        <f t="shared" si="1"/>
        <v>5.902606984751646E-3</v>
      </c>
      <c r="K38">
        <f t="shared" si="1"/>
        <v>1.3436692506459735E-2</v>
      </c>
      <c r="L38">
        <f t="shared" si="1"/>
        <v>-2.0074964932048744E-2</v>
      </c>
      <c r="M38">
        <f t="shared" si="1"/>
        <v>7.3081607795373316E-3</v>
      </c>
      <c r="N38">
        <f t="shared" si="1"/>
        <v>-4.003701719351227E-2</v>
      </c>
      <c r="O38">
        <f t="shared" si="1"/>
        <v>2.0031044423091116E-2</v>
      </c>
      <c r="P38">
        <f t="shared" si="1"/>
        <v>4.1728763040238537E-2</v>
      </c>
      <c r="Q38">
        <f t="shared" si="1"/>
        <v>-1.3159412013774574E-4</v>
      </c>
      <c r="R38" s="15">
        <f t="shared" si="2"/>
        <v>1.6789182086279263E-3</v>
      </c>
    </row>
    <row r="39" spans="1:18" x14ac:dyDescent="0.2">
      <c r="A39" s="13">
        <v>45992</v>
      </c>
      <c r="B39" s="14">
        <v>20.329999999999998</v>
      </c>
      <c r="C39" s="14">
        <v>19.350000000000001</v>
      </c>
      <c r="D39" s="14">
        <v>434.87</v>
      </c>
      <c r="E39" s="14">
        <v>41.05</v>
      </c>
      <c r="F39" s="14">
        <v>821.24</v>
      </c>
      <c r="G39" s="14">
        <v>135.29</v>
      </c>
      <c r="H39" s="14">
        <v>13.42</v>
      </c>
      <c r="I39" s="14">
        <v>74.319429999999997</v>
      </c>
      <c r="J39">
        <f t="shared" si="1"/>
        <v>-3.2365540218943556E-2</v>
      </c>
      <c r="K39">
        <f t="shared" si="1"/>
        <v>-1.0325245224573898E-3</v>
      </c>
      <c r="L39">
        <f t="shared" si="1"/>
        <v>-2.5545073610146241E-2</v>
      </c>
      <c r="M39">
        <f t="shared" si="1"/>
        <v>5.6344928956393314E-3</v>
      </c>
      <c r="N39">
        <f t="shared" si="1"/>
        <v>6.2708662232459522E-2</v>
      </c>
      <c r="O39">
        <f t="shared" si="1"/>
        <v>-7.3372954728886386E-3</v>
      </c>
      <c r="P39">
        <f t="shared" si="1"/>
        <v>1.3595166163141936E-2</v>
      </c>
      <c r="Q39">
        <f t="shared" si="1"/>
        <v>-2.7155044165169784E-2</v>
      </c>
      <c r="R39" s="15">
        <f t="shared" si="2"/>
        <v>7.0192470295368306E-3</v>
      </c>
    </row>
    <row r="40" spans="1:18" x14ac:dyDescent="0.2">
      <c r="A40" s="11">
        <v>45989</v>
      </c>
      <c r="B40" s="12">
        <v>21.01</v>
      </c>
      <c r="C40" s="12">
        <v>19.37</v>
      </c>
      <c r="D40" s="12">
        <v>446.27</v>
      </c>
      <c r="E40" s="12">
        <v>40.82</v>
      </c>
      <c r="F40" s="12">
        <v>772.78</v>
      </c>
      <c r="G40" s="12">
        <v>136.29</v>
      </c>
      <c r="H40" s="12">
        <v>13.24</v>
      </c>
      <c r="I40" s="12">
        <v>76.393910000000005</v>
      </c>
      <c r="J40">
        <f t="shared" si="1"/>
        <v>1.1555127587867142E-2</v>
      </c>
      <c r="K40">
        <f t="shared" si="1"/>
        <v>2.3784355179703898E-2</v>
      </c>
      <c r="L40">
        <f t="shared" si="1"/>
        <v>1.8300057045065543E-2</v>
      </c>
      <c r="M40">
        <f t="shared" si="1"/>
        <v>8.8976767177459948E-3</v>
      </c>
      <c r="N40">
        <f t="shared" si="1"/>
        <v>1.6040390228509782E-2</v>
      </c>
      <c r="O40">
        <f t="shared" si="1"/>
        <v>-5.8355824640747844E-3</v>
      </c>
      <c r="P40">
        <f t="shared" si="1"/>
        <v>9.1463414634147533E-3</v>
      </c>
      <c r="Q40">
        <f t="shared" si="1"/>
        <v>1.4159404582560597E-2</v>
      </c>
      <c r="R40" s="15">
        <f t="shared" si="2"/>
        <v>1.1776617845203747E-2</v>
      </c>
    </row>
    <row r="41" spans="1:18" x14ac:dyDescent="0.2">
      <c r="A41" s="13">
        <v>45988</v>
      </c>
      <c r="B41" s="14">
        <v>20.77</v>
      </c>
      <c r="C41" s="14">
        <v>18.920000000000002</v>
      </c>
      <c r="D41" s="14">
        <v>438.25</v>
      </c>
      <c r="E41" s="14">
        <v>40.46</v>
      </c>
      <c r="F41" s="14">
        <v>760.58</v>
      </c>
      <c r="G41" s="14">
        <v>137.09</v>
      </c>
      <c r="H41" s="14">
        <v>13.12</v>
      </c>
      <c r="I41" s="14">
        <v>75.32732</v>
      </c>
      <c r="J41">
        <f t="shared" si="1"/>
        <v>-1.18934348239772E-2</v>
      </c>
      <c r="K41">
        <f t="shared" si="1"/>
        <v>-2.1716649431230528E-2</v>
      </c>
      <c r="L41">
        <f t="shared" si="1"/>
        <v>7.9578647162996674E-3</v>
      </c>
      <c r="M41">
        <f t="shared" si="1"/>
        <v>-7.1165644171778952E-3</v>
      </c>
      <c r="N41">
        <f t="shared" si="1"/>
        <v>-2.3695830766070958E-2</v>
      </c>
      <c r="O41">
        <f t="shared" si="1"/>
        <v>-1.4662545820455675E-2</v>
      </c>
      <c r="P41">
        <f t="shared" si="1"/>
        <v>-5.3070507960576441E-3</v>
      </c>
      <c r="Q41">
        <f t="shared" si="1"/>
        <v>5.7485790108171564E-3</v>
      </c>
      <c r="R41" s="15">
        <f t="shared" si="2"/>
        <v>-1.0497046445146707E-2</v>
      </c>
    </row>
    <row r="42" spans="1:18" x14ac:dyDescent="0.2">
      <c r="A42" s="11">
        <v>45987</v>
      </c>
      <c r="B42" s="12">
        <v>21.02</v>
      </c>
      <c r="C42" s="12">
        <v>19.34</v>
      </c>
      <c r="D42" s="12">
        <v>434.79</v>
      </c>
      <c r="E42" s="12">
        <v>40.75</v>
      </c>
      <c r="F42" s="12">
        <v>779.04</v>
      </c>
      <c r="G42" s="12">
        <v>139.13</v>
      </c>
      <c r="H42" s="12">
        <v>13.19</v>
      </c>
      <c r="I42" s="12">
        <v>74.896770000000004</v>
      </c>
      <c r="J42">
        <f t="shared" si="1"/>
        <v>-1.2682010333489924E-2</v>
      </c>
      <c r="K42">
        <f t="shared" si="1"/>
        <v>8.8680229525299747E-3</v>
      </c>
      <c r="L42">
        <f t="shared" si="1"/>
        <v>-9.4209558823521444E-4</v>
      </c>
      <c r="M42">
        <f t="shared" si="1"/>
        <v>6.6699604743083452E-3</v>
      </c>
      <c r="N42">
        <f t="shared" si="1"/>
        <v>3.7709962303358102E-2</v>
      </c>
      <c r="O42">
        <f t="shared" si="1"/>
        <v>-3.2953649974927224E-3</v>
      </c>
      <c r="P42">
        <f t="shared" si="1"/>
        <v>3.2889584964761243E-2</v>
      </c>
      <c r="Q42">
        <f t="shared" si="1"/>
        <v>-1.0983260255621463E-2</v>
      </c>
      <c r="R42" s="15">
        <f t="shared" si="2"/>
        <v>1.2618476277814544E-2</v>
      </c>
    </row>
    <row r="43" spans="1:18" x14ac:dyDescent="0.2">
      <c r="A43" s="13">
        <v>45986</v>
      </c>
      <c r="B43" s="14">
        <v>21.29</v>
      </c>
      <c r="C43" s="14">
        <v>19.170000000000002</v>
      </c>
      <c r="D43" s="14">
        <v>435.2</v>
      </c>
      <c r="E43" s="14">
        <v>40.479999999999997</v>
      </c>
      <c r="F43" s="14">
        <v>750.73</v>
      </c>
      <c r="G43" s="14">
        <v>139.59</v>
      </c>
      <c r="H43" s="14">
        <v>12.77</v>
      </c>
      <c r="I43" s="14">
        <v>75.728515999999999</v>
      </c>
      <c r="J43">
        <f t="shared" si="1"/>
        <v>-7.9217148182666453E-3</v>
      </c>
      <c r="K43">
        <f t="shared" si="1"/>
        <v>3.0645161290322687E-2</v>
      </c>
      <c r="L43">
        <f t="shared" si="1"/>
        <v>1.8607372732592165E-2</v>
      </c>
      <c r="M43">
        <f t="shared" si="1"/>
        <v>1.5554440541896586E-2</v>
      </c>
      <c r="N43">
        <f t="shared" si="1"/>
        <v>-1.5074387971976577E-2</v>
      </c>
      <c r="O43">
        <f t="shared" si="1"/>
        <v>8.4525357607283524E-3</v>
      </c>
      <c r="P43">
        <f t="shared" si="1"/>
        <v>9.332191780821919E-2</v>
      </c>
      <c r="Q43">
        <f t="shared" si="1"/>
        <v>-3.8615623250508602E-3</v>
      </c>
      <c r="R43" s="15">
        <f t="shared" si="2"/>
        <v>1.9943549506936002E-2</v>
      </c>
    </row>
    <row r="44" spans="1:18" x14ac:dyDescent="0.2">
      <c r="A44" s="11">
        <v>45985</v>
      </c>
      <c r="B44" s="12">
        <v>21.46</v>
      </c>
      <c r="C44" s="12">
        <v>18.600000000000001</v>
      </c>
      <c r="D44" s="12">
        <v>427.25</v>
      </c>
      <c r="E44" s="12">
        <v>39.86</v>
      </c>
      <c r="F44" s="12">
        <v>762.22</v>
      </c>
      <c r="G44" s="12">
        <v>138.41999999999999</v>
      </c>
      <c r="H44" s="12">
        <v>11.68</v>
      </c>
      <c r="I44" s="12">
        <v>76.022080000000003</v>
      </c>
      <c r="J44">
        <f t="shared" si="1"/>
        <v>2.0446980504041923E-2</v>
      </c>
      <c r="K44">
        <f t="shared" si="1"/>
        <v>1.0764262648010892E-3</v>
      </c>
      <c r="L44">
        <f t="shared" si="1"/>
        <v>2.6697745950881924E-2</v>
      </c>
      <c r="M44">
        <f t="shared" si="1"/>
        <v>-2.2320333578611851E-2</v>
      </c>
      <c r="N44">
        <f t="shared" si="1"/>
        <v>4.581315258702312E-2</v>
      </c>
      <c r="O44">
        <f t="shared" si="1"/>
        <v>3.5525266439497827E-3</v>
      </c>
      <c r="P44">
        <f t="shared" si="1"/>
        <v>4.2992261392948983E-3</v>
      </c>
      <c r="Q44">
        <f t="shared" si="1"/>
        <v>4.7853542729701104E-3</v>
      </c>
      <c r="R44" s="15">
        <f t="shared" si="2"/>
        <v>1.4180877380427805E-2</v>
      </c>
    </row>
    <row r="45" spans="1:18" x14ac:dyDescent="0.2">
      <c r="A45" s="13">
        <v>45982</v>
      </c>
      <c r="B45" s="14">
        <v>21.03</v>
      </c>
      <c r="C45" s="14">
        <v>18.579999999999998</v>
      </c>
      <c r="D45" s="14">
        <v>416.14</v>
      </c>
      <c r="E45" s="14">
        <v>40.770000000000003</v>
      </c>
      <c r="F45" s="14">
        <v>728.83</v>
      </c>
      <c r="G45" s="14">
        <v>137.93</v>
      </c>
      <c r="H45" s="14">
        <v>11.63</v>
      </c>
      <c r="I45" s="14">
        <v>75.660020000000003</v>
      </c>
      <c r="J45">
        <f t="shared" si="1"/>
        <v>6.7017711823840198E-3</v>
      </c>
      <c r="K45">
        <f t="shared" si="1"/>
        <v>-1.2752391073326375E-2</v>
      </c>
      <c r="L45">
        <f t="shared" si="1"/>
        <v>2.2431881280558175E-2</v>
      </c>
      <c r="M45">
        <f t="shared" si="1"/>
        <v>1.7215568862275488E-2</v>
      </c>
      <c r="N45">
        <f t="shared" si="1"/>
        <v>1.2306068308401752E-2</v>
      </c>
      <c r="O45">
        <f t="shared" si="1"/>
        <v>1.8008709129825107E-2</v>
      </c>
      <c r="P45">
        <f t="shared" si="1"/>
        <v>-2.572898799313883E-3</v>
      </c>
      <c r="Q45">
        <f t="shared" si="1"/>
        <v>1.7636266685460811E-2</v>
      </c>
      <c r="R45" s="15">
        <f t="shared" si="2"/>
        <v>9.4536077896899828E-3</v>
      </c>
    </row>
    <row r="46" spans="1:18" x14ac:dyDescent="0.2">
      <c r="A46" s="11">
        <v>45981</v>
      </c>
      <c r="B46" s="12">
        <v>20.89</v>
      </c>
      <c r="C46" s="12">
        <v>18.82</v>
      </c>
      <c r="D46" s="12">
        <v>407.01</v>
      </c>
      <c r="E46" s="12">
        <v>40.08</v>
      </c>
      <c r="F46" s="12">
        <v>719.97</v>
      </c>
      <c r="G46" s="12">
        <v>135.49</v>
      </c>
      <c r="H46" s="12">
        <v>11.66</v>
      </c>
      <c r="I46" s="12">
        <v>74.348785000000007</v>
      </c>
      <c r="J46">
        <f t="shared" si="1"/>
        <v>-1.5551366635249697E-2</v>
      </c>
      <c r="K46">
        <f t="shared" si="1"/>
        <v>-5.8108821975699776E-3</v>
      </c>
      <c r="L46">
        <f t="shared" si="1"/>
        <v>4.9133376129573136E-3</v>
      </c>
      <c r="M46">
        <f t="shared" si="1"/>
        <v>-1.5958752762091799E-2</v>
      </c>
      <c r="N46">
        <f t="shared" si="1"/>
        <v>-1.3226062882048195E-2</v>
      </c>
      <c r="O46">
        <f t="shared" si="1"/>
        <v>-2.5392029923752002E-2</v>
      </c>
      <c r="P46">
        <f t="shared" si="1"/>
        <v>-1.7691659646166702E-2</v>
      </c>
      <c r="Q46">
        <f t="shared" si="1"/>
        <v>-1.5930551277434146E-2</v>
      </c>
      <c r="R46" s="15">
        <f t="shared" si="2"/>
        <v>-1.334437724418453E-2</v>
      </c>
    </row>
    <row r="47" spans="1:18" x14ac:dyDescent="0.2">
      <c r="A47" s="13">
        <v>45980</v>
      </c>
      <c r="B47" s="14">
        <v>21.22</v>
      </c>
      <c r="C47" s="14">
        <v>18.93</v>
      </c>
      <c r="D47" s="14">
        <v>405.02</v>
      </c>
      <c r="E47" s="14">
        <v>40.729999999999997</v>
      </c>
      <c r="F47" s="14">
        <v>729.62</v>
      </c>
      <c r="G47" s="14">
        <v>139.02000000000001</v>
      </c>
      <c r="H47" s="14">
        <v>11.87</v>
      </c>
      <c r="I47" s="14">
        <v>75.552375999999995</v>
      </c>
      <c r="J47">
        <f t="shared" si="1"/>
        <v>-9.7993467102193144E-3</v>
      </c>
      <c r="K47">
        <f t="shared" si="1"/>
        <v>1.1217948717948678E-2</v>
      </c>
      <c r="L47">
        <f t="shared" si="1"/>
        <v>3.1952047160230812E-3</v>
      </c>
      <c r="M47">
        <f t="shared" si="1"/>
        <v>-2.6934378060726738E-3</v>
      </c>
      <c r="N47">
        <f t="shared" si="1"/>
        <v>1.8780457154027763E-2</v>
      </c>
      <c r="O47">
        <f t="shared" si="1"/>
        <v>1.2243428159885994E-3</v>
      </c>
      <c r="P47">
        <f t="shared" si="1"/>
        <v>1.8884120171673624E-2</v>
      </c>
      <c r="Q47">
        <f t="shared" si="1"/>
        <v>-1.7059357860064406E-2</v>
      </c>
      <c r="R47" s="15">
        <f t="shared" si="2"/>
        <v>6.5518975824966352E-3</v>
      </c>
    </row>
    <row r="48" spans="1:18" x14ac:dyDescent="0.2">
      <c r="A48" s="11">
        <v>45979</v>
      </c>
      <c r="B48" s="12">
        <v>21.43</v>
      </c>
      <c r="C48" s="12">
        <v>18.72</v>
      </c>
      <c r="D48" s="12">
        <v>403.73</v>
      </c>
      <c r="E48" s="12">
        <v>40.840000000000003</v>
      </c>
      <c r="F48" s="12">
        <v>716.17</v>
      </c>
      <c r="G48" s="12">
        <v>138.85</v>
      </c>
      <c r="H48" s="12">
        <v>11.65</v>
      </c>
      <c r="I48" s="12">
        <v>76.863619999999997</v>
      </c>
      <c r="J48">
        <f t="shared" ref="J48:Q79" si="3">B48/B49-1</f>
        <v>1.0372465818010213E-2</v>
      </c>
      <c r="K48">
        <f t="shared" si="3"/>
        <v>1.0799136069114423E-2</v>
      </c>
      <c r="L48">
        <f t="shared" si="3"/>
        <v>-4.8803332429566693E-3</v>
      </c>
      <c r="M48">
        <f t="shared" si="3"/>
        <v>9.1425747467259733E-3</v>
      </c>
      <c r="N48">
        <f t="shared" si="3"/>
        <v>-1.3635048962221452E-2</v>
      </c>
      <c r="O48">
        <f t="shared" si="3"/>
        <v>-1.5387888242802572E-2</v>
      </c>
      <c r="P48">
        <f t="shared" si="3"/>
        <v>-2.6733500417710943E-2</v>
      </c>
      <c r="Q48">
        <f t="shared" si="3"/>
        <v>1.0289456773516781E-2</v>
      </c>
      <c r="R48" s="15">
        <f t="shared" si="2"/>
        <v>-6.4843091940944425E-3</v>
      </c>
    </row>
    <row r="49" spans="1:18" x14ac:dyDescent="0.2">
      <c r="A49" s="13">
        <v>45975</v>
      </c>
      <c r="B49" s="14">
        <v>21.21</v>
      </c>
      <c r="C49" s="14">
        <v>18.52</v>
      </c>
      <c r="D49" s="14">
        <v>405.71</v>
      </c>
      <c r="E49" s="14">
        <v>40.47</v>
      </c>
      <c r="F49" s="14">
        <v>726.07</v>
      </c>
      <c r="G49" s="14">
        <v>141.02000000000001</v>
      </c>
      <c r="H49" s="14">
        <v>11.97</v>
      </c>
      <c r="I49" s="14">
        <v>76.080789999999993</v>
      </c>
      <c r="J49">
        <f t="shared" si="3"/>
        <v>-3.2894736842105088E-3</v>
      </c>
      <c r="K49">
        <f t="shared" si="3"/>
        <v>-8.0342795929299049E-3</v>
      </c>
      <c r="L49">
        <f t="shared" si="3"/>
        <v>2.3589665960238149E-2</v>
      </c>
      <c r="M49">
        <f t="shared" si="3"/>
        <v>-6.139489194499026E-3</v>
      </c>
      <c r="N49">
        <f t="shared" si="3"/>
        <v>-2.9746234949821537E-2</v>
      </c>
      <c r="O49">
        <f t="shared" si="3"/>
        <v>-1.673406777297437E-2</v>
      </c>
      <c r="P49">
        <f t="shared" si="3"/>
        <v>-1.4003294892915963E-2</v>
      </c>
      <c r="Q49">
        <f t="shared" si="3"/>
        <v>7.9077811050518587E-3</v>
      </c>
      <c r="R49" s="15">
        <f t="shared" si="2"/>
        <v>-9.2061392333059652E-3</v>
      </c>
    </row>
    <row r="50" spans="1:18" x14ac:dyDescent="0.2">
      <c r="A50" s="11">
        <v>45974</v>
      </c>
      <c r="B50" s="12">
        <v>21.28</v>
      </c>
      <c r="C50" s="12">
        <v>18.670000000000002</v>
      </c>
      <c r="D50" s="12">
        <v>396.36</v>
      </c>
      <c r="E50" s="12">
        <v>40.72</v>
      </c>
      <c r="F50" s="12">
        <v>748.33</v>
      </c>
      <c r="G50" s="12">
        <v>143.41999999999999</v>
      </c>
      <c r="H50" s="12">
        <v>12.14</v>
      </c>
      <c r="I50" s="12">
        <v>75.483879999999999</v>
      </c>
      <c r="J50">
        <f t="shared" si="3"/>
        <v>9.4073377234238365E-4</v>
      </c>
      <c r="K50">
        <f t="shared" si="3"/>
        <v>-1.5295358649789037E-2</v>
      </c>
      <c r="L50">
        <f t="shared" si="3"/>
        <v>-1.410863650105787E-3</v>
      </c>
      <c r="M50">
        <f t="shared" si="3"/>
        <v>-1.4997581035317009E-2</v>
      </c>
      <c r="N50">
        <f t="shared" si="3"/>
        <v>1.005560954540563E-2</v>
      </c>
      <c r="O50">
        <f t="shared" si="3"/>
        <v>-2.1568218186878152E-3</v>
      </c>
      <c r="P50">
        <f t="shared" si="3"/>
        <v>-2.0967741935483897E-2</v>
      </c>
      <c r="Q50">
        <f t="shared" si="3"/>
        <v>9.4216537229168118E-3</v>
      </c>
      <c r="R50" s="15">
        <f t="shared" si="2"/>
        <v>-4.1273775621606581E-3</v>
      </c>
    </row>
    <row r="51" spans="1:18" x14ac:dyDescent="0.2">
      <c r="A51" s="13">
        <v>45973</v>
      </c>
      <c r="B51" s="14">
        <v>21.26</v>
      </c>
      <c r="C51" s="14">
        <v>18.96</v>
      </c>
      <c r="D51" s="14">
        <v>396.92</v>
      </c>
      <c r="E51" s="14">
        <v>41.34</v>
      </c>
      <c r="F51" s="14">
        <v>740.88</v>
      </c>
      <c r="G51" s="14">
        <v>143.72999999999999</v>
      </c>
      <c r="H51" s="14">
        <v>12.4</v>
      </c>
      <c r="I51" s="14">
        <v>74.779335000000003</v>
      </c>
      <c r="J51">
        <f t="shared" si="3"/>
        <v>-1.1162790697674341E-2</v>
      </c>
      <c r="K51">
        <f t="shared" si="3"/>
        <v>-1.6597510373444035E-2</v>
      </c>
      <c r="L51">
        <f t="shared" si="3"/>
        <v>-2.0616483129682894E-3</v>
      </c>
      <c r="M51">
        <f t="shared" si="3"/>
        <v>1.1005135730007387E-2</v>
      </c>
      <c r="N51">
        <f t="shared" si="3"/>
        <v>-2.4708747449483259E-2</v>
      </c>
      <c r="O51">
        <f t="shared" si="3"/>
        <v>-9.9194048357098552E-3</v>
      </c>
      <c r="P51">
        <f t="shared" si="3"/>
        <v>-1.6103059581320522E-3</v>
      </c>
      <c r="Q51">
        <f t="shared" si="3"/>
        <v>-1.3171532318853707E-2</v>
      </c>
      <c r="R51" s="15">
        <f t="shared" si="2"/>
        <v>-9.8807132185299296E-3</v>
      </c>
    </row>
    <row r="52" spans="1:18" x14ac:dyDescent="0.2">
      <c r="A52" s="11">
        <v>45972</v>
      </c>
      <c r="B52" s="12">
        <v>21.5</v>
      </c>
      <c r="C52" s="12">
        <v>19.28</v>
      </c>
      <c r="D52" s="12">
        <v>397.74</v>
      </c>
      <c r="E52" s="12">
        <v>40.89</v>
      </c>
      <c r="F52" s="12">
        <v>759.65</v>
      </c>
      <c r="G52" s="12">
        <v>145.16999999999999</v>
      </c>
      <c r="H52" s="12">
        <v>12.42</v>
      </c>
      <c r="I52" s="12">
        <v>75.777439999999999</v>
      </c>
      <c r="J52">
        <f t="shared" si="3"/>
        <v>1.3672795851013664E-2</v>
      </c>
      <c r="K52">
        <f t="shared" si="3"/>
        <v>1.6341591987348636E-2</v>
      </c>
      <c r="L52">
        <f t="shared" si="3"/>
        <v>1.0158988164778782E-2</v>
      </c>
      <c r="M52">
        <f t="shared" si="3"/>
        <v>7.3421439060217253E-4</v>
      </c>
      <c r="N52">
        <f t="shared" si="3"/>
        <v>1.1922205941121478E-2</v>
      </c>
      <c r="O52">
        <f t="shared" si="3"/>
        <v>4.589337175792485E-2</v>
      </c>
      <c r="P52">
        <f t="shared" si="3"/>
        <v>2.6446280991735627E-2</v>
      </c>
      <c r="Q52">
        <f t="shared" si="3"/>
        <v>7.4150807341908376E-3</v>
      </c>
      <c r="R52" s="15">
        <f t="shared" si="2"/>
        <v>1.8194366182692406E-2</v>
      </c>
    </row>
    <row r="53" spans="1:18" x14ac:dyDescent="0.2">
      <c r="A53" s="13">
        <v>45971</v>
      </c>
      <c r="B53" s="14">
        <v>21.21</v>
      </c>
      <c r="C53" s="14">
        <v>18.97</v>
      </c>
      <c r="D53" s="14">
        <v>393.74</v>
      </c>
      <c r="E53" s="14">
        <v>40.86</v>
      </c>
      <c r="F53" s="14">
        <v>750.7</v>
      </c>
      <c r="G53" s="14">
        <v>138.80000000000001</v>
      </c>
      <c r="H53" s="14">
        <v>12.1</v>
      </c>
      <c r="I53" s="14">
        <v>75.219679999999997</v>
      </c>
      <c r="J53">
        <f t="shared" si="3"/>
        <v>-9.8039215686275272E-3</v>
      </c>
      <c r="K53">
        <f t="shared" si="3"/>
        <v>8.5061137692716837E-3</v>
      </c>
      <c r="L53">
        <f t="shared" si="3"/>
        <v>-1.1696787148594345E-2</v>
      </c>
      <c r="M53">
        <f t="shared" si="3"/>
        <v>-3.4146341463414664E-3</v>
      </c>
      <c r="N53">
        <f t="shared" si="3"/>
        <v>3.3111306836948184E-2</v>
      </c>
      <c r="O53">
        <f t="shared" si="3"/>
        <v>-5.0406855332318923E-4</v>
      </c>
      <c r="P53">
        <f t="shared" si="3"/>
        <v>-1.8653690186536953E-2</v>
      </c>
      <c r="Q53">
        <f t="shared" si="3"/>
        <v>-6.3340200868808871E-3</v>
      </c>
      <c r="R53" s="15">
        <f t="shared" si="2"/>
        <v>1.6453831577597482E-3</v>
      </c>
    </row>
    <row r="54" spans="1:18" x14ac:dyDescent="0.2">
      <c r="A54" s="11">
        <v>45968</v>
      </c>
      <c r="B54" s="12">
        <v>21.42</v>
      </c>
      <c r="C54" s="12">
        <v>18.809999999999999</v>
      </c>
      <c r="D54" s="12">
        <v>398.4</v>
      </c>
      <c r="E54" s="12">
        <v>41</v>
      </c>
      <c r="F54" s="12">
        <v>726.64</v>
      </c>
      <c r="G54" s="12">
        <v>138.87</v>
      </c>
      <c r="H54" s="12">
        <v>12.33</v>
      </c>
      <c r="I54" s="12">
        <v>75.699160000000006</v>
      </c>
      <c r="J54">
        <f t="shared" si="3"/>
        <v>1.5165876777251119E-2</v>
      </c>
      <c r="K54">
        <f t="shared" si="3"/>
        <v>-9.4786729857819774E-3</v>
      </c>
      <c r="L54">
        <f t="shared" si="3"/>
        <v>-1.2296707655692241E-2</v>
      </c>
      <c r="M54">
        <f t="shared" si="3"/>
        <v>-1.3237063778579916E-2</v>
      </c>
      <c r="N54">
        <f t="shared" si="3"/>
        <v>5.8275542267072211E-3</v>
      </c>
      <c r="O54">
        <f t="shared" si="3"/>
        <v>5.7213209733486536E-3</v>
      </c>
      <c r="P54">
        <f t="shared" si="3"/>
        <v>-1.5175718849840258E-2</v>
      </c>
      <c r="Q54">
        <f t="shared" si="3"/>
        <v>7.0294629227460881E-3</v>
      </c>
      <c r="R54" s="15">
        <f t="shared" si="2"/>
        <v>-2.4890683917870183E-3</v>
      </c>
    </row>
    <row r="55" spans="1:18" x14ac:dyDescent="0.2">
      <c r="A55" s="13">
        <v>45967</v>
      </c>
      <c r="B55" s="14">
        <v>21.1</v>
      </c>
      <c r="C55" s="14">
        <v>18.989999999999998</v>
      </c>
      <c r="D55" s="14">
        <v>403.36</v>
      </c>
      <c r="E55" s="14">
        <v>41.55</v>
      </c>
      <c r="F55" s="14">
        <v>722.43</v>
      </c>
      <c r="G55" s="14">
        <v>138.08000000000001</v>
      </c>
      <c r="H55" s="14">
        <v>12.52</v>
      </c>
      <c r="I55" s="14">
        <v>75.170749999999998</v>
      </c>
      <c r="J55">
        <f t="shared" si="3"/>
        <v>-1.3557737260401992E-2</v>
      </c>
      <c r="K55">
        <f t="shared" si="3"/>
        <v>-6.7991631799164676E-3</v>
      </c>
      <c r="L55">
        <f t="shared" si="3"/>
        <v>-2.6950179255779139E-3</v>
      </c>
      <c r="M55">
        <f t="shared" si="3"/>
        <v>2.8964518464880129E-3</v>
      </c>
      <c r="N55">
        <f t="shared" si="3"/>
        <v>-6.2450995226763784E-3</v>
      </c>
      <c r="O55">
        <f t="shared" si="3"/>
        <v>-7.2614853691853609E-3</v>
      </c>
      <c r="P55">
        <f t="shared" si="3"/>
        <v>-7.1371927042029881E-3</v>
      </c>
      <c r="Q55">
        <f t="shared" si="3"/>
        <v>2.0592630246115462E-2</v>
      </c>
      <c r="R55" s="15">
        <f t="shared" si="2"/>
        <v>-3.7892396069816609E-3</v>
      </c>
    </row>
    <row r="56" spans="1:18" x14ac:dyDescent="0.2">
      <c r="A56" s="11">
        <v>45966</v>
      </c>
      <c r="B56" s="12">
        <v>21.39</v>
      </c>
      <c r="C56" s="12">
        <v>19.12</v>
      </c>
      <c r="D56" s="12">
        <v>404.45</v>
      </c>
      <c r="E56" s="12">
        <v>41.43</v>
      </c>
      <c r="F56" s="12">
        <v>726.97</v>
      </c>
      <c r="G56" s="12">
        <v>139.09</v>
      </c>
      <c r="H56" s="12">
        <v>12.61</v>
      </c>
      <c r="I56" s="12">
        <v>73.654020000000003</v>
      </c>
      <c r="J56">
        <f t="shared" si="3"/>
        <v>9.9150141643060685E-3</v>
      </c>
      <c r="K56">
        <f t="shared" si="3"/>
        <v>1.7021276595744705E-2</v>
      </c>
      <c r="L56">
        <f t="shared" si="3"/>
        <v>1.9073775448498198E-2</v>
      </c>
      <c r="M56">
        <f t="shared" si="3"/>
        <v>2.0192070918493066E-2</v>
      </c>
      <c r="N56">
        <f t="shared" si="3"/>
        <v>1.1718043281608859E-2</v>
      </c>
      <c r="O56">
        <f t="shared" si="3"/>
        <v>4.0002990877822553E-2</v>
      </c>
      <c r="P56">
        <f t="shared" si="3"/>
        <v>4.6473029045642988E-2</v>
      </c>
      <c r="Q56">
        <f t="shared" si="3"/>
        <v>1.4420442548269685E-2</v>
      </c>
      <c r="R56" s="15">
        <f t="shared" si="2"/>
        <v>2.3886939148814464E-2</v>
      </c>
    </row>
    <row r="57" spans="1:18" x14ac:dyDescent="0.2">
      <c r="A57" s="13">
        <v>45965</v>
      </c>
      <c r="B57" s="14">
        <v>21.18</v>
      </c>
      <c r="C57" s="14">
        <v>18.8</v>
      </c>
      <c r="D57" s="14">
        <v>396.88</v>
      </c>
      <c r="E57" s="14">
        <v>40.61</v>
      </c>
      <c r="F57" s="14">
        <v>718.55</v>
      </c>
      <c r="G57" s="14">
        <v>133.74</v>
      </c>
      <c r="H57" s="14">
        <v>12.05</v>
      </c>
      <c r="I57" s="14">
        <v>72.606994999999998</v>
      </c>
      <c r="J57">
        <f t="shared" si="3"/>
        <v>1.7779913503123579E-2</v>
      </c>
      <c r="K57">
        <f t="shared" si="3"/>
        <v>1.5982951518380695E-3</v>
      </c>
      <c r="L57">
        <f t="shared" si="3"/>
        <v>9.0768096412499055E-3</v>
      </c>
      <c r="M57">
        <f t="shared" si="3"/>
        <v>1.3476416271524849E-2</v>
      </c>
      <c r="N57">
        <f t="shared" si="3"/>
        <v>-2.5457060706342016E-2</v>
      </c>
      <c r="O57">
        <f t="shared" si="3"/>
        <v>-1.9402985074625789E-3</v>
      </c>
      <c r="P57">
        <f t="shared" si="3"/>
        <v>-8.2304526748970819E-3</v>
      </c>
      <c r="Q57">
        <f t="shared" si="3"/>
        <v>1.2554536358153179E-2</v>
      </c>
      <c r="R57" s="15">
        <f t="shared" si="2"/>
        <v>-2.1121384171175353E-3</v>
      </c>
    </row>
    <row r="58" spans="1:18" x14ac:dyDescent="0.2">
      <c r="A58" s="11">
        <v>45964</v>
      </c>
      <c r="B58" s="12">
        <v>20.81</v>
      </c>
      <c r="C58" s="12">
        <v>18.77</v>
      </c>
      <c r="D58" s="12">
        <v>393.31</v>
      </c>
      <c r="E58" s="12">
        <v>40.07</v>
      </c>
      <c r="F58" s="12">
        <v>737.32</v>
      </c>
      <c r="G58" s="12">
        <v>134</v>
      </c>
      <c r="H58" s="12">
        <v>12.15</v>
      </c>
      <c r="I58" s="12">
        <v>71.70675</v>
      </c>
      <c r="J58">
        <f t="shared" si="3"/>
        <v>-1.7932987258140742E-2</v>
      </c>
      <c r="K58">
        <f t="shared" si="3"/>
        <v>-5.8262711864406347E-3</v>
      </c>
      <c r="L58">
        <f t="shared" si="3"/>
        <v>1.5596353964933973E-2</v>
      </c>
      <c r="M58">
        <f t="shared" si="3"/>
        <v>-3.9771314939098801E-3</v>
      </c>
      <c r="N58">
        <f t="shared" si="3"/>
        <v>-4.1308559466382344E-2</v>
      </c>
      <c r="O58">
        <f t="shared" si="3"/>
        <v>-3.1161882727206991E-2</v>
      </c>
      <c r="P58">
        <f t="shared" si="3"/>
        <v>-1.6990291262135804E-2</v>
      </c>
      <c r="Q58">
        <f t="shared" si="3"/>
        <v>-1.2265760626338218E-2</v>
      </c>
      <c r="R58" s="15">
        <f t="shared" si="2"/>
        <v>-1.746897960423896E-2</v>
      </c>
    </row>
    <row r="59" spans="1:18" x14ac:dyDescent="0.2">
      <c r="A59" s="13">
        <v>45961</v>
      </c>
      <c r="B59" s="14">
        <v>21.19</v>
      </c>
      <c r="C59" s="14">
        <v>18.88</v>
      </c>
      <c r="D59" s="14">
        <v>387.27</v>
      </c>
      <c r="E59" s="14">
        <v>40.229999999999997</v>
      </c>
      <c r="F59" s="14">
        <v>769.09</v>
      </c>
      <c r="G59" s="14">
        <v>138.31</v>
      </c>
      <c r="H59" s="14">
        <v>12.36</v>
      </c>
      <c r="I59" s="14">
        <v>72.597210000000004</v>
      </c>
      <c r="J59">
        <f t="shared" si="3"/>
        <v>9.4473311289555717E-4</v>
      </c>
      <c r="K59">
        <f t="shared" si="3"/>
        <v>3.1880977683313994E-3</v>
      </c>
      <c r="L59">
        <f t="shared" si="3"/>
        <v>3.0303030303029388E-3</v>
      </c>
      <c r="M59">
        <f t="shared" si="3"/>
        <v>-4.9468216670789378E-3</v>
      </c>
      <c r="N59">
        <f t="shared" si="3"/>
        <v>1.8540836191712318E-2</v>
      </c>
      <c r="O59">
        <f t="shared" si="3"/>
        <v>1.9759640197596351E-2</v>
      </c>
      <c r="P59">
        <f t="shared" si="3"/>
        <v>3.5175879396984966E-2</v>
      </c>
      <c r="Q59">
        <f t="shared" si="3"/>
        <v>4.6039196833964624E-3</v>
      </c>
      <c r="R59" s="15">
        <f t="shared" si="2"/>
        <v>1.3352830117229585E-2</v>
      </c>
    </row>
    <row r="60" spans="1:18" x14ac:dyDescent="0.2">
      <c r="A60" s="11">
        <v>45960</v>
      </c>
      <c r="B60" s="12">
        <v>21.17</v>
      </c>
      <c r="C60" s="12">
        <v>18.82</v>
      </c>
      <c r="D60" s="12">
        <v>386.1</v>
      </c>
      <c r="E60" s="12">
        <v>40.43</v>
      </c>
      <c r="F60" s="12">
        <v>755.09</v>
      </c>
      <c r="G60" s="12">
        <v>135.63</v>
      </c>
      <c r="H60" s="12">
        <v>11.94</v>
      </c>
      <c r="I60" s="12">
        <v>72.264510000000001</v>
      </c>
      <c r="J60">
        <f t="shared" si="3"/>
        <v>-1.885902876001877E-3</v>
      </c>
      <c r="K60">
        <f t="shared" si="3"/>
        <v>-1.1554621848739455E-2</v>
      </c>
      <c r="L60">
        <f t="shared" si="3"/>
        <v>-3.1675569934542125E-2</v>
      </c>
      <c r="M60">
        <f t="shared" si="3"/>
        <v>4.9492699826791942E-4</v>
      </c>
      <c r="N60">
        <f t="shared" si="3"/>
        <v>1.1818778726198298E-2</v>
      </c>
      <c r="O60">
        <f t="shared" si="3"/>
        <v>-1.6461203770848476E-2</v>
      </c>
      <c r="P60">
        <f t="shared" si="3"/>
        <v>-4.17014178482078E-3</v>
      </c>
      <c r="Q60">
        <f t="shared" si="3"/>
        <v>-2.9702072812296532E-3</v>
      </c>
      <c r="R60" s="15">
        <f t="shared" si="2"/>
        <v>-5.9475712770774812E-3</v>
      </c>
    </row>
    <row r="61" spans="1:18" x14ac:dyDescent="0.2">
      <c r="A61" s="13">
        <v>45959</v>
      </c>
      <c r="B61" s="14">
        <v>21.21</v>
      </c>
      <c r="C61" s="14">
        <v>19.04</v>
      </c>
      <c r="D61" s="14">
        <v>398.73</v>
      </c>
      <c r="E61" s="14">
        <v>40.409999999999997</v>
      </c>
      <c r="F61" s="14">
        <v>746.27</v>
      </c>
      <c r="G61" s="14">
        <v>137.9</v>
      </c>
      <c r="H61" s="14">
        <v>11.99</v>
      </c>
      <c r="I61" s="14">
        <v>72.479789999999994</v>
      </c>
      <c r="J61">
        <f t="shared" si="3"/>
        <v>-1.8823529411764461E-3</v>
      </c>
      <c r="K61">
        <f t="shared" si="3"/>
        <v>4.749340369393229E-3</v>
      </c>
      <c r="L61">
        <f t="shared" si="3"/>
        <v>6.2078885608298773E-3</v>
      </c>
      <c r="M61">
        <f t="shared" si="3"/>
        <v>7.4794315632011887E-3</v>
      </c>
      <c r="N61">
        <f t="shared" si="3"/>
        <v>-7.6321568207382562E-4</v>
      </c>
      <c r="O61">
        <f t="shared" si="3"/>
        <v>-2.3440266270094212E-2</v>
      </c>
      <c r="P61">
        <f t="shared" si="3"/>
        <v>-4.689984101748812E-2</v>
      </c>
      <c r="Q61">
        <f t="shared" si="3"/>
        <v>1.5770698630275248E-2</v>
      </c>
      <c r="R61" s="15">
        <f t="shared" si="2"/>
        <v>-8.3632949802728233E-3</v>
      </c>
    </row>
    <row r="62" spans="1:18" x14ac:dyDescent="0.2">
      <c r="A62" s="11">
        <v>45958</v>
      </c>
      <c r="B62" s="12">
        <v>21.25</v>
      </c>
      <c r="C62" s="12">
        <v>18.95</v>
      </c>
      <c r="D62" s="12">
        <v>396.27</v>
      </c>
      <c r="E62" s="12">
        <v>40.11</v>
      </c>
      <c r="F62" s="12">
        <v>746.84</v>
      </c>
      <c r="G62" s="12">
        <v>141.21</v>
      </c>
      <c r="H62" s="12">
        <v>12.58</v>
      </c>
      <c r="I62" s="12">
        <v>71.354479999999995</v>
      </c>
      <c r="J62">
        <f t="shared" si="3"/>
        <v>1.6260162601626105E-2</v>
      </c>
      <c r="K62">
        <f t="shared" si="3"/>
        <v>0.10302677532013971</v>
      </c>
      <c r="L62">
        <f t="shared" si="3"/>
        <v>-5.6458897922312401E-3</v>
      </c>
      <c r="M62">
        <f t="shared" si="3"/>
        <v>-2.4925224327010387E-4</v>
      </c>
      <c r="N62">
        <f t="shared" si="3"/>
        <v>-1.3356232247836775E-2</v>
      </c>
      <c r="O62">
        <f t="shared" si="3"/>
        <v>4.4298180742493809E-2</v>
      </c>
      <c r="P62">
        <f t="shared" si="3"/>
        <v>-1.795472287275568E-2</v>
      </c>
      <c r="Q62">
        <f t="shared" si="3"/>
        <v>-3.5529103225997449E-3</v>
      </c>
      <c r="R62" s="15">
        <f t="shared" si="2"/>
        <v>1.1994219634110362E-2</v>
      </c>
    </row>
    <row r="63" spans="1:18" x14ac:dyDescent="0.2">
      <c r="A63" s="13">
        <v>45957</v>
      </c>
      <c r="B63" s="14">
        <v>20.91</v>
      </c>
      <c r="C63" s="14">
        <v>17.18</v>
      </c>
      <c r="D63" s="14">
        <v>398.52</v>
      </c>
      <c r="E63" s="14">
        <v>40.119999999999997</v>
      </c>
      <c r="F63" s="14">
        <v>756.95</v>
      </c>
      <c r="G63" s="14">
        <v>135.22</v>
      </c>
      <c r="H63" s="14">
        <v>12.81</v>
      </c>
      <c r="I63" s="14">
        <v>71.608900000000006</v>
      </c>
      <c r="J63">
        <f t="shared" si="3"/>
        <v>3.3589251439538614E-3</v>
      </c>
      <c r="K63">
        <f t="shared" si="3"/>
        <v>-1.7431725740848503E-3</v>
      </c>
      <c r="L63">
        <f t="shared" si="3"/>
        <v>-4.3471743366811921E-3</v>
      </c>
      <c r="M63">
        <f t="shared" si="3"/>
        <v>3.6157024793388448E-2</v>
      </c>
      <c r="N63">
        <f t="shared" si="3"/>
        <v>3.0915900578821986E-2</v>
      </c>
      <c r="O63">
        <f t="shared" si="3"/>
        <v>1.2732174955062847E-2</v>
      </c>
      <c r="P63">
        <f t="shared" si="3"/>
        <v>2.0717131474103478E-2</v>
      </c>
      <c r="Q63">
        <f t="shared" si="3"/>
        <v>1.1611889369972817E-2</v>
      </c>
      <c r="R63" s="15">
        <f t="shared" si="2"/>
        <v>1.5535143454827025E-2</v>
      </c>
    </row>
    <row r="64" spans="1:18" x14ac:dyDescent="0.2">
      <c r="A64" s="11">
        <v>45954</v>
      </c>
      <c r="B64" s="12">
        <v>20.84</v>
      </c>
      <c r="C64" s="12">
        <v>17.21</v>
      </c>
      <c r="D64" s="12">
        <v>400.26</v>
      </c>
      <c r="E64" s="12">
        <v>38.72</v>
      </c>
      <c r="F64" s="12">
        <v>734.25</v>
      </c>
      <c r="G64" s="12">
        <v>133.52000000000001</v>
      </c>
      <c r="H64" s="12">
        <v>12.55</v>
      </c>
      <c r="I64" s="12">
        <v>70.786929999999998</v>
      </c>
      <c r="J64">
        <f t="shared" si="3"/>
        <v>-9.5877277085332224E-4</v>
      </c>
      <c r="K64">
        <f t="shared" si="3"/>
        <v>4.0840140023337135E-3</v>
      </c>
      <c r="L64">
        <f t="shared" si="3"/>
        <v>5.8553011836253166E-3</v>
      </c>
      <c r="M64">
        <f t="shared" si="3"/>
        <v>-4.115226337448652E-3</v>
      </c>
      <c r="N64">
        <f t="shared" si="3"/>
        <v>-3.8637791976537161E-2</v>
      </c>
      <c r="O64">
        <f t="shared" si="3"/>
        <v>-3.7307864497836407E-3</v>
      </c>
      <c r="P64">
        <f t="shared" si="3"/>
        <v>-4.7799696509863376E-2</v>
      </c>
      <c r="Q64">
        <f t="shared" si="3"/>
        <v>-2.2432413508998383E-2</v>
      </c>
      <c r="R64" s="15">
        <f t="shared" si="2"/>
        <v>-1.7851982415186055E-2</v>
      </c>
    </row>
    <row r="65" spans="1:18" x14ac:dyDescent="0.2">
      <c r="A65" s="13">
        <v>45953</v>
      </c>
      <c r="B65" s="14">
        <v>20.86</v>
      </c>
      <c r="C65" s="14">
        <v>17.14</v>
      </c>
      <c r="D65" s="14">
        <v>397.93</v>
      </c>
      <c r="E65" s="14">
        <v>38.880000000000003</v>
      </c>
      <c r="F65" s="14">
        <v>763.76</v>
      </c>
      <c r="G65" s="14">
        <v>134.02000000000001</v>
      </c>
      <c r="H65" s="14">
        <v>13.18</v>
      </c>
      <c r="I65" s="14">
        <v>72.411289999999994</v>
      </c>
      <c r="J65">
        <f t="shared" si="3"/>
        <v>8.2165297245044844E-3</v>
      </c>
      <c r="K65">
        <f t="shared" si="3"/>
        <v>1.001767825574551E-2</v>
      </c>
      <c r="L65">
        <f t="shared" si="3"/>
        <v>-1.279991968677785E-3</v>
      </c>
      <c r="M65">
        <f t="shared" si="3"/>
        <v>-3.379721669980118E-2</v>
      </c>
      <c r="N65">
        <f t="shared" si="3"/>
        <v>1.0747896295906223E-3</v>
      </c>
      <c r="O65">
        <f t="shared" si="3"/>
        <v>4.7983205877943913E-3</v>
      </c>
      <c r="P65">
        <f t="shared" si="3"/>
        <v>2.488335925349916E-2</v>
      </c>
      <c r="Q65">
        <f t="shared" si="3"/>
        <v>2.4788804710802692E-2</v>
      </c>
      <c r="R65" s="15">
        <f t="shared" si="2"/>
        <v>5.674664601333243E-3</v>
      </c>
    </row>
    <row r="66" spans="1:18" x14ac:dyDescent="0.2">
      <c r="A66" s="11">
        <v>45952</v>
      </c>
      <c r="B66" s="12">
        <v>20.69</v>
      </c>
      <c r="C66" s="12">
        <v>16.97</v>
      </c>
      <c r="D66" s="12">
        <v>398.44</v>
      </c>
      <c r="E66" s="12">
        <v>40.24</v>
      </c>
      <c r="F66" s="12">
        <v>762.94</v>
      </c>
      <c r="G66" s="12">
        <v>133.38</v>
      </c>
      <c r="H66" s="12">
        <v>12.86</v>
      </c>
      <c r="I66" s="12">
        <v>70.659719999999993</v>
      </c>
      <c r="J66">
        <f t="shared" si="3"/>
        <v>7.3028237585199829E-3</v>
      </c>
      <c r="K66">
        <f t="shared" si="3"/>
        <v>9.5181439619274055E-3</v>
      </c>
      <c r="L66">
        <f t="shared" si="3"/>
        <v>2.6933683857831348E-2</v>
      </c>
      <c r="M66">
        <f t="shared" si="3"/>
        <v>1.4932802389249211E-3</v>
      </c>
      <c r="N66">
        <f t="shared" si="3"/>
        <v>2.5097565141980471E-3</v>
      </c>
      <c r="O66">
        <f t="shared" si="3"/>
        <v>3.0079711234771711E-3</v>
      </c>
      <c r="P66">
        <f t="shared" si="3"/>
        <v>2.6336791699920203E-2</v>
      </c>
      <c r="Q66">
        <f t="shared" si="3"/>
        <v>1.1202843858270528E-2</v>
      </c>
      <c r="R66" s="15">
        <f t="shared" si="2"/>
        <v>1.1319305943853089E-2</v>
      </c>
    </row>
    <row r="67" spans="1:18" x14ac:dyDescent="0.2">
      <c r="A67" s="13">
        <v>45951</v>
      </c>
      <c r="B67" s="14">
        <v>20.54</v>
      </c>
      <c r="C67" s="14">
        <v>16.809999999999999</v>
      </c>
      <c r="D67" s="14">
        <v>387.99</v>
      </c>
      <c r="E67" s="14">
        <v>40.18</v>
      </c>
      <c r="F67" s="14">
        <v>761.03</v>
      </c>
      <c r="G67" s="14">
        <v>132.97999999999999</v>
      </c>
      <c r="H67" s="14">
        <v>12.53</v>
      </c>
      <c r="I67" s="14">
        <v>69.876900000000006</v>
      </c>
      <c r="J67">
        <f t="shared" si="3"/>
        <v>4.8709206039920794E-4</v>
      </c>
      <c r="K67">
        <f t="shared" si="3"/>
        <v>-4.5428733674048871E-2</v>
      </c>
      <c r="L67">
        <f t="shared" si="3"/>
        <v>-4.0246376094592584E-2</v>
      </c>
      <c r="M67">
        <f t="shared" si="3"/>
        <v>-2.309749574519826E-2</v>
      </c>
      <c r="N67">
        <f t="shared" si="3"/>
        <v>-4.05693322071079E-2</v>
      </c>
      <c r="O67">
        <f t="shared" si="3"/>
        <v>-5.5339515405324891E-3</v>
      </c>
      <c r="P67">
        <f t="shared" si="3"/>
        <v>-9.4861660079051946E-3</v>
      </c>
      <c r="Q67">
        <f t="shared" si="3"/>
        <v>-1.9566117523250881E-3</v>
      </c>
      <c r="R67" s="15">
        <f t="shared" ref="R67:R130" si="4">SUMPRODUCT($T$2:$AA$2,J67:Q67)</f>
        <v>-2.2930023228429488E-2</v>
      </c>
    </row>
    <row r="68" spans="1:18" x14ac:dyDescent="0.2">
      <c r="A68" s="11">
        <v>45950</v>
      </c>
      <c r="B68" s="12">
        <v>20.53</v>
      </c>
      <c r="C68" s="12">
        <v>17.61</v>
      </c>
      <c r="D68" s="12">
        <v>404.26</v>
      </c>
      <c r="E68" s="12">
        <v>41.13</v>
      </c>
      <c r="F68" s="12">
        <v>793.21</v>
      </c>
      <c r="G68" s="12">
        <v>133.72</v>
      </c>
      <c r="H68" s="12">
        <v>12.65</v>
      </c>
      <c r="I68" s="12">
        <v>70.013890000000004</v>
      </c>
      <c r="J68">
        <f t="shared" si="3"/>
        <v>-5.3294573643410947E-3</v>
      </c>
      <c r="K68">
        <f t="shared" si="3"/>
        <v>-6.7681895093063549E-3</v>
      </c>
      <c r="L68">
        <f t="shared" si="3"/>
        <v>-1.134751773049647E-2</v>
      </c>
      <c r="M68">
        <f t="shared" si="3"/>
        <v>6.6079295154186646E-3</v>
      </c>
      <c r="N68">
        <f t="shared" si="3"/>
        <v>-3.0247652656123503E-4</v>
      </c>
      <c r="O68">
        <f t="shared" si="3"/>
        <v>2.412499042659122E-2</v>
      </c>
      <c r="P68">
        <f t="shared" si="3"/>
        <v>-1.7857142857142905E-2</v>
      </c>
      <c r="Q68">
        <f t="shared" si="3"/>
        <v>-4.8679875304563636E-3</v>
      </c>
      <c r="R68" s="15">
        <f t="shared" si="4"/>
        <v>-2.0490206054487739E-3</v>
      </c>
    </row>
    <row r="69" spans="1:18" x14ac:dyDescent="0.2">
      <c r="A69" s="13">
        <v>45947</v>
      </c>
      <c r="B69" s="14">
        <v>20.64</v>
      </c>
      <c r="C69" s="14">
        <v>17.73</v>
      </c>
      <c r="D69" s="14">
        <v>408.9</v>
      </c>
      <c r="E69" s="14">
        <v>40.86</v>
      </c>
      <c r="F69" s="14">
        <v>793.45</v>
      </c>
      <c r="G69" s="14">
        <v>130.57</v>
      </c>
      <c r="H69" s="14">
        <v>12.88</v>
      </c>
      <c r="I69" s="14">
        <v>70.356384000000006</v>
      </c>
      <c r="J69">
        <f t="shared" si="3"/>
        <v>-1.4513788098694524E-3</v>
      </c>
      <c r="K69">
        <f t="shared" si="3"/>
        <v>-1.2806236080178168E-2</v>
      </c>
      <c r="L69">
        <f t="shared" si="3"/>
        <v>-3.0476654882359844E-3</v>
      </c>
      <c r="M69">
        <f t="shared" si="3"/>
        <v>-1.9438444924406051E-2</v>
      </c>
      <c r="N69">
        <f t="shared" si="3"/>
        <v>-4.3575216972034703E-2</v>
      </c>
      <c r="O69">
        <f t="shared" si="3"/>
        <v>-3.9078598763614969E-2</v>
      </c>
      <c r="P69">
        <f t="shared" si="3"/>
        <v>-2.4981074943224879E-2</v>
      </c>
      <c r="Q69">
        <f t="shared" si="3"/>
        <v>5.5667713920515283E-4</v>
      </c>
      <c r="R69" s="15">
        <f t="shared" si="4"/>
        <v>-2.2464024135639218E-2</v>
      </c>
    </row>
    <row r="70" spans="1:18" x14ac:dyDescent="0.2">
      <c r="A70" s="11">
        <v>45946</v>
      </c>
      <c r="B70" s="12">
        <v>20.67</v>
      </c>
      <c r="C70" s="12">
        <v>17.96</v>
      </c>
      <c r="D70" s="12">
        <v>410.15</v>
      </c>
      <c r="E70" s="12">
        <v>41.67</v>
      </c>
      <c r="F70" s="12">
        <v>829.6</v>
      </c>
      <c r="G70" s="12">
        <v>135.88</v>
      </c>
      <c r="H70" s="12">
        <v>13.21</v>
      </c>
      <c r="I70" s="12">
        <v>70.317239999999998</v>
      </c>
      <c r="J70">
        <f t="shared" si="3"/>
        <v>4.3412417970722039E-2</v>
      </c>
      <c r="K70">
        <f t="shared" si="3"/>
        <v>-1.2101210121012063E-2</v>
      </c>
      <c r="L70">
        <f t="shared" si="3"/>
        <v>-1.8310196266156153E-2</v>
      </c>
      <c r="M70">
        <f t="shared" si="3"/>
        <v>2.4840137727496492E-2</v>
      </c>
      <c r="N70">
        <f t="shared" si="3"/>
        <v>2.7432039135550257E-2</v>
      </c>
      <c r="O70">
        <f t="shared" si="3"/>
        <v>-2.5810151993117203E-2</v>
      </c>
      <c r="P70">
        <f t="shared" si="3"/>
        <v>1.9290123456790154E-2</v>
      </c>
      <c r="Q70">
        <f t="shared" si="3"/>
        <v>8.5613466600995558E-3</v>
      </c>
      <c r="R70" s="15">
        <f t="shared" si="4"/>
        <v>8.2917848277738165E-3</v>
      </c>
    </row>
    <row r="71" spans="1:18" x14ac:dyDescent="0.2">
      <c r="A71" s="13">
        <v>45945</v>
      </c>
      <c r="B71" s="14">
        <v>19.809999999999999</v>
      </c>
      <c r="C71" s="14">
        <v>18.18</v>
      </c>
      <c r="D71" s="14">
        <v>417.8</v>
      </c>
      <c r="E71" s="14">
        <v>40.659999999999997</v>
      </c>
      <c r="F71" s="14">
        <v>807.45</v>
      </c>
      <c r="G71" s="14">
        <v>139.47999999999999</v>
      </c>
      <c r="H71" s="14">
        <v>12.96</v>
      </c>
      <c r="I71" s="14">
        <v>69.720339999999993</v>
      </c>
      <c r="J71">
        <f t="shared" si="3"/>
        <v>2.4831867563372967E-2</v>
      </c>
      <c r="K71">
        <f t="shared" si="3"/>
        <v>3.1196823596143064E-2</v>
      </c>
      <c r="L71">
        <f t="shared" si="3"/>
        <v>1.2038853765472535E-2</v>
      </c>
      <c r="M71">
        <f t="shared" si="3"/>
        <v>1.0437375745526722E-2</v>
      </c>
      <c r="N71">
        <f t="shared" si="3"/>
        <v>2.2839835652488372E-3</v>
      </c>
      <c r="O71">
        <f t="shared" si="3"/>
        <v>-3.6431173655262494E-3</v>
      </c>
      <c r="P71">
        <f t="shared" si="3"/>
        <v>1.0920436817472678E-2</v>
      </c>
      <c r="Q71">
        <f t="shared" si="3"/>
        <v>-1.0554038784616804E-2</v>
      </c>
      <c r="R71" s="15">
        <f t="shared" si="4"/>
        <v>8.7839775433292758E-3</v>
      </c>
    </row>
    <row r="72" spans="1:18" x14ac:dyDescent="0.2">
      <c r="A72" s="11">
        <v>45944</v>
      </c>
      <c r="B72" s="12">
        <v>19.329999999999998</v>
      </c>
      <c r="C72" s="12">
        <v>17.63</v>
      </c>
      <c r="D72" s="12">
        <v>412.83</v>
      </c>
      <c r="E72" s="12">
        <v>40.24</v>
      </c>
      <c r="F72" s="12">
        <v>805.61</v>
      </c>
      <c r="G72" s="12">
        <v>139.99</v>
      </c>
      <c r="H72" s="12">
        <v>12.82</v>
      </c>
      <c r="I72" s="12">
        <v>70.464020000000005</v>
      </c>
      <c r="J72">
        <f t="shared" si="3"/>
        <v>-2.0273694880892146E-2</v>
      </c>
      <c r="K72">
        <f t="shared" si="3"/>
        <v>2.5596276905177184E-2</v>
      </c>
      <c r="L72">
        <f t="shared" si="3"/>
        <v>5.1373198285935562E-3</v>
      </c>
      <c r="M72">
        <f t="shared" si="3"/>
        <v>-2.6373094604403513E-2</v>
      </c>
      <c r="N72">
        <f t="shared" si="3"/>
        <v>-2.1985626183654627E-2</v>
      </c>
      <c r="O72">
        <f t="shared" si="3"/>
        <v>-2.1869759642258235E-2</v>
      </c>
      <c r="P72">
        <f t="shared" si="3"/>
        <v>1.746031746031762E-2</v>
      </c>
      <c r="Q72">
        <f t="shared" si="3"/>
        <v>-1.8803613036328715E-2</v>
      </c>
      <c r="R72" s="15">
        <f t="shared" si="4"/>
        <v>-6.7781881890028968E-3</v>
      </c>
    </row>
    <row r="73" spans="1:18" x14ac:dyDescent="0.2">
      <c r="A73" s="13">
        <v>45943</v>
      </c>
      <c r="B73" s="14">
        <v>19.73</v>
      </c>
      <c r="C73" s="14">
        <v>17.190000000000001</v>
      </c>
      <c r="D73" s="14">
        <v>410.72</v>
      </c>
      <c r="E73" s="14">
        <v>41.33</v>
      </c>
      <c r="F73" s="14">
        <v>823.72</v>
      </c>
      <c r="G73" s="14">
        <v>143.12</v>
      </c>
      <c r="H73" s="14">
        <v>12.6</v>
      </c>
      <c r="I73" s="14">
        <v>71.814390000000003</v>
      </c>
      <c r="J73">
        <f t="shared" si="3"/>
        <v>5.6065239551477131E-3</v>
      </c>
      <c r="K73">
        <f t="shared" si="3"/>
        <v>1.3561320754716943E-2</v>
      </c>
      <c r="L73">
        <f t="shared" si="3"/>
        <v>-1.9527333492480148E-2</v>
      </c>
      <c r="M73">
        <f t="shared" si="3"/>
        <v>1.7729623245505977E-2</v>
      </c>
      <c r="N73">
        <f t="shared" si="3"/>
        <v>5.250245965526501E-2</v>
      </c>
      <c r="O73">
        <f t="shared" si="3"/>
        <v>8.9531194924217239E-3</v>
      </c>
      <c r="P73">
        <f t="shared" si="3"/>
        <v>2.3558082859463703E-2</v>
      </c>
      <c r="Q73">
        <f t="shared" si="3"/>
        <v>2.8735727271770095E-2</v>
      </c>
      <c r="R73" s="15">
        <f t="shared" si="4"/>
        <v>1.9775338796823732E-2</v>
      </c>
    </row>
    <row r="74" spans="1:18" x14ac:dyDescent="0.2">
      <c r="A74" s="11">
        <v>45940</v>
      </c>
      <c r="B74" s="12">
        <v>19.62</v>
      </c>
      <c r="C74" s="12">
        <v>16.96</v>
      </c>
      <c r="D74" s="12">
        <v>418.9</v>
      </c>
      <c r="E74" s="12">
        <v>40.61</v>
      </c>
      <c r="F74" s="12">
        <v>782.63</v>
      </c>
      <c r="G74" s="12">
        <v>141.85</v>
      </c>
      <c r="H74" s="12">
        <v>12.31</v>
      </c>
      <c r="I74" s="12">
        <v>69.808395000000004</v>
      </c>
      <c r="J74">
        <f t="shared" si="3"/>
        <v>6.1538461538461764E-3</v>
      </c>
      <c r="K74">
        <f t="shared" si="3"/>
        <v>1.0125074449076843E-2</v>
      </c>
      <c r="L74">
        <f t="shared" si="3"/>
        <v>5.3760860173761582E-3</v>
      </c>
      <c r="M74">
        <f t="shared" si="3"/>
        <v>1.4489133150137334E-2</v>
      </c>
      <c r="N74">
        <f t="shared" si="3"/>
        <v>-1.4630154233553627E-2</v>
      </c>
      <c r="O74">
        <f t="shared" si="3"/>
        <v>-3.3521836887647427E-2</v>
      </c>
      <c r="P74">
        <f t="shared" si="3"/>
        <v>-1.1244979919678655E-2</v>
      </c>
      <c r="Q74">
        <f t="shared" si="3"/>
        <v>-3.9192052183489978E-2</v>
      </c>
      <c r="R74" s="15">
        <f t="shared" si="4"/>
        <v>-9.2571821270378257E-3</v>
      </c>
    </row>
    <row r="75" spans="1:18" x14ac:dyDescent="0.2">
      <c r="A75" s="13">
        <v>45939</v>
      </c>
      <c r="B75" s="14">
        <v>19.5</v>
      </c>
      <c r="C75" s="14">
        <v>16.79</v>
      </c>
      <c r="D75" s="14">
        <v>416.66</v>
      </c>
      <c r="E75" s="14">
        <v>40.03</v>
      </c>
      <c r="F75" s="14">
        <v>794.25</v>
      </c>
      <c r="G75" s="14">
        <v>146.77000000000001</v>
      </c>
      <c r="H75" s="14">
        <v>12.45</v>
      </c>
      <c r="I75" s="14">
        <v>72.655929999999998</v>
      </c>
      <c r="J75">
        <f t="shared" si="3"/>
        <v>5.1546391752577136E-3</v>
      </c>
      <c r="K75">
        <f t="shared" si="3"/>
        <v>-8.269344359125852E-3</v>
      </c>
      <c r="L75">
        <f t="shared" si="3"/>
        <v>-1.4475613794408315E-2</v>
      </c>
      <c r="M75">
        <f t="shared" si="3"/>
        <v>-9.1584158415840555E-3</v>
      </c>
      <c r="N75">
        <f t="shared" si="3"/>
        <v>-3.8129162538097505E-3</v>
      </c>
      <c r="O75">
        <f t="shared" si="3"/>
        <v>-2.4330253273947999E-2</v>
      </c>
      <c r="P75">
        <f t="shared" si="3"/>
        <v>-1.1904761904761973E-2</v>
      </c>
      <c r="Q75">
        <f t="shared" si="3"/>
        <v>-3.2218070957407141E-3</v>
      </c>
      <c r="R75" s="15">
        <f t="shared" si="4"/>
        <v>-9.5470897896763503E-3</v>
      </c>
    </row>
    <row r="76" spans="1:18" x14ac:dyDescent="0.2">
      <c r="A76" s="11">
        <v>45938</v>
      </c>
      <c r="B76" s="12">
        <v>19.399999999999999</v>
      </c>
      <c r="C76" s="12">
        <v>16.93</v>
      </c>
      <c r="D76" s="12">
        <v>422.78</v>
      </c>
      <c r="E76" s="12">
        <v>40.4</v>
      </c>
      <c r="F76" s="12">
        <v>797.29</v>
      </c>
      <c r="G76" s="12">
        <v>150.43</v>
      </c>
      <c r="H76" s="12">
        <v>12.6</v>
      </c>
      <c r="I76" s="12">
        <v>72.890770000000003</v>
      </c>
      <c r="J76">
        <f t="shared" si="3"/>
        <v>1.8907563025210017E-2</v>
      </c>
      <c r="K76">
        <f t="shared" si="3"/>
        <v>1.4988009592326046E-2</v>
      </c>
      <c r="L76">
        <f t="shared" si="3"/>
        <v>-8.2716895516754541E-4</v>
      </c>
      <c r="M76">
        <f t="shared" si="3"/>
        <v>1.5075376884422065E-2</v>
      </c>
      <c r="N76">
        <f t="shared" si="3"/>
        <v>5.058637501647123E-2</v>
      </c>
      <c r="O76">
        <f t="shared" si="3"/>
        <v>-3.0734536082474118E-2</v>
      </c>
      <c r="P76">
        <f t="shared" si="3"/>
        <v>1.2861736334405238E-2</v>
      </c>
      <c r="Q76">
        <f t="shared" si="3"/>
        <v>-1.0625651522390478E-2</v>
      </c>
      <c r="R76" s="15">
        <f t="shared" si="4"/>
        <v>1.2075556499120779E-2</v>
      </c>
    </row>
    <row r="77" spans="1:18" x14ac:dyDescent="0.2">
      <c r="A77" s="13">
        <v>45937</v>
      </c>
      <c r="B77" s="14">
        <v>19.04</v>
      </c>
      <c r="C77" s="14">
        <v>16.68</v>
      </c>
      <c r="D77" s="14">
        <v>423.13</v>
      </c>
      <c r="E77" s="14">
        <v>39.799999999999997</v>
      </c>
      <c r="F77" s="14">
        <v>758.9</v>
      </c>
      <c r="G77" s="14">
        <v>155.19999999999999</v>
      </c>
      <c r="H77" s="14">
        <v>12.44</v>
      </c>
      <c r="I77" s="14">
        <v>73.673599999999993</v>
      </c>
      <c r="J77">
        <f t="shared" si="3"/>
        <v>-6.7814293166407191E-3</v>
      </c>
      <c r="K77">
        <f t="shared" si="3"/>
        <v>1.2750455373406355E-2</v>
      </c>
      <c r="L77">
        <f t="shared" si="3"/>
        <v>1.1933802075859701E-2</v>
      </c>
      <c r="M77">
        <f t="shared" si="3"/>
        <v>-3.0686799805163312E-2</v>
      </c>
      <c r="N77">
        <f t="shared" si="3"/>
        <v>-2.9378285392712367E-2</v>
      </c>
      <c r="O77">
        <f t="shared" si="3"/>
        <v>-4.7794343211240098E-2</v>
      </c>
      <c r="P77">
        <f t="shared" si="3"/>
        <v>-1.9700551615445261E-2</v>
      </c>
      <c r="Q77">
        <f t="shared" si="3"/>
        <v>2.1297106262316845E-3</v>
      </c>
      <c r="R77" s="15">
        <f t="shared" si="4"/>
        <v>-1.6509084894188463E-2</v>
      </c>
    </row>
    <row r="78" spans="1:18" x14ac:dyDescent="0.2">
      <c r="A78" s="11">
        <v>45936</v>
      </c>
      <c r="B78" s="12">
        <v>19.170000000000002</v>
      </c>
      <c r="C78" s="12">
        <v>16.47</v>
      </c>
      <c r="D78" s="12">
        <v>418.14</v>
      </c>
      <c r="E78" s="12">
        <v>41.06</v>
      </c>
      <c r="F78" s="12">
        <v>781.87</v>
      </c>
      <c r="G78" s="12">
        <v>162.99</v>
      </c>
      <c r="H78" s="12">
        <v>12.69</v>
      </c>
      <c r="I78" s="12">
        <v>73.517030000000005</v>
      </c>
      <c r="J78">
        <f t="shared" si="3"/>
        <v>-4.6728971962616273E-3</v>
      </c>
      <c r="K78">
        <f t="shared" si="3"/>
        <v>-1.1404561824729931E-2</v>
      </c>
      <c r="L78">
        <f t="shared" si="3"/>
        <v>-1.041321531689321E-2</v>
      </c>
      <c r="M78">
        <f t="shared" si="3"/>
        <v>2.44140625E-3</v>
      </c>
      <c r="N78">
        <f t="shared" si="3"/>
        <v>-2.0335797519107857E-2</v>
      </c>
      <c r="O78">
        <f t="shared" si="3"/>
        <v>3.0603857097692089E-2</v>
      </c>
      <c r="P78">
        <f t="shared" si="3"/>
        <v>-2.3584905660378741E-3</v>
      </c>
      <c r="Q78">
        <f t="shared" si="3"/>
        <v>-3.4488136834065486E-3</v>
      </c>
      <c r="R78" s="15">
        <f t="shared" si="4"/>
        <v>-3.3210188281831265E-3</v>
      </c>
    </row>
    <row r="79" spans="1:18" x14ac:dyDescent="0.2">
      <c r="A79" s="13">
        <v>45933</v>
      </c>
      <c r="B79" s="14">
        <v>19.260000000000002</v>
      </c>
      <c r="C79" s="14">
        <v>16.66</v>
      </c>
      <c r="D79" s="14">
        <v>422.54</v>
      </c>
      <c r="E79" s="14">
        <v>40.96</v>
      </c>
      <c r="F79" s="14">
        <v>798.1</v>
      </c>
      <c r="G79" s="14">
        <v>158.15</v>
      </c>
      <c r="H79" s="14">
        <v>12.72</v>
      </c>
      <c r="I79" s="14">
        <v>73.771454000000006</v>
      </c>
      <c r="J79">
        <f t="shared" si="3"/>
        <v>-7.7279752704790816E-3</v>
      </c>
      <c r="K79">
        <f t="shared" si="3"/>
        <v>6.006006006007425E-4</v>
      </c>
      <c r="L79">
        <f t="shared" si="3"/>
        <v>-1.5264862849285632E-2</v>
      </c>
      <c r="M79">
        <f t="shared" si="3"/>
        <v>-1.6566626650660221E-2</v>
      </c>
      <c r="N79">
        <f t="shared" si="3"/>
        <v>-2.287700173765117E-3</v>
      </c>
      <c r="O79">
        <f t="shared" si="3"/>
        <v>-1.8494383417116511E-2</v>
      </c>
      <c r="P79">
        <f t="shared" si="3"/>
        <v>-1.0116731517509692E-2</v>
      </c>
      <c r="Q79">
        <f t="shared" ref="Q79:Q142" si="5">I79/I80-1</f>
        <v>2.5853929734354075E-2</v>
      </c>
      <c r="R79" s="15">
        <f t="shared" si="4"/>
        <v>-6.5961125901612492E-3</v>
      </c>
    </row>
    <row r="80" spans="1:18" x14ac:dyDescent="0.2">
      <c r="A80" s="11">
        <v>45932</v>
      </c>
      <c r="B80" s="12">
        <v>19.41</v>
      </c>
      <c r="C80" s="12">
        <v>16.649999999999999</v>
      </c>
      <c r="D80" s="12">
        <v>429.09</v>
      </c>
      <c r="E80" s="12">
        <v>41.65</v>
      </c>
      <c r="F80" s="12">
        <v>799.93</v>
      </c>
      <c r="G80" s="12">
        <v>161.13</v>
      </c>
      <c r="H80" s="12">
        <v>12.85</v>
      </c>
      <c r="I80" s="12">
        <v>71.912239999999997</v>
      </c>
      <c r="J80">
        <f t="shared" ref="J80:P116" si="6">B80/B81-1</f>
        <v>2.2116903633491392E-2</v>
      </c>
      <c r="K80">
        <f t="shared" si="6"/>
        <v>2.1472392638036686E-2</v>
      </c>
      <c r="L80">
        <f t="shared" si="6"/>
        <v>6.5296984678520076E-4</v>
      </c>
      <c r="M80">
        <f t="shared" si="6"/>
        <v>-3.8772213247172838E-2</v>
      </c>
      <c r="N80">
        <f t="shared" si="6"/>
        <v>-2.7053983293854333E-3</v>
      </c>
      <c r="O80">
        <f t="shared" si="6"/>
        <v>4.3632737019259071E-3</v>
      </c>
      <c r="P80">
        <f t="shared" si="6"/>
        <v>1.2608353033884967E-2</v>
      </c>
      <c r="Q80">
        <f t="shared" si="5"/>
        <v>-8.0982783848022599E-3</v>
      </c>
      <c r="R80" s="15">
        <f t="shared" si="4"/>
        <v>2.2584550843069671E-3</v>
      </c>
    </row>
    <row r="81" spans="1:18" x14ac:dyDescent="0.2">
      <c r="A81" s="13">
        <v>45931</v>
      </c>
      <c r="B81" s="14">
        <v>18.989999999999998</v>
      </c>
      <c r="C81" s="14">
        <v>16.3</v>
      </c>
      <c r="D81" s="14">
        <v>428.81</v>
      </c>
      <c r="E81" s="14">
        <v>43.33</v>
      </c>
      <c r="F81" s="14">
        <v>802.1</v>
      </c>
      <c r="G81" s="14">
        <v>160.43</v>
      </c>
      <c r="H81" s="14">
        <v>12.69</v>
      </c>
      <c r="I81" s="14">
        <v>72.499359999999996</v>
      </c>
      <c r="J81">
        <f t="shared" si="6"/>
        <v>-9.3896713615024829E-3</v>
      </c>
      <c r="K81">
        <f t="shared" si="6"/>
        <v>-6.0975609756096505E-3</v>
      </c>
      <c r="L81">
        <f t="shared" si="6"/>
        <v>-9.4479094479094083E-3</v>
      </c>
      <c r="M81">
        <f t="shared" si="6"/>
        <v>9.7879282218598096E-3</v>
      </c>
      <c r="N81">
        <f t="shared" si="6"/>
        <v>-2.0036652412950495E-2</v>
      </c>
      <c r="O81">
        <f t="shared" si="6"/>
        <v>-2.693030872808877E-2</v>
      </c>
      <c r="P81">
        <f t="shared" si="6"/>
        <v>-3.2036613272311221E-2</v>
      </c>
      <c r="Q81">
        <f t="shared" si="5"/>
        <v>-1.1869864701983146E-2</v>
      </c>
      <c r="R81" s="15">
        <f t="shared" si="4"/>
        <v>-1.6048494671122598E-2</v>
      </c>
    </row>
    <row r="82" spans="1:18" x14ac:dyDescent="0.2">
      <c r="A82" s="11">
        <v>45930</v>
      </c>
      <c r="B82" s="12">
        <v>19.170000000000002</v>
      </c>
      <c r="C82" s="12">
        <v>16.399999999999999</v>
      </c>
      <c r="D82" s="12">
        <v>432.9</v>
      </c>
      <c r="E82" s="12">
        <v>42.91</v>
      </c>
      <c r="F82" s="12">
        <v>818.5</v>
      </c>
      <c r="G82" s="12">
        <v>164.87</v>
      </c>
      <c r="H82" s="12">
        <v>13.11</v>
      </c>
      <c r="I82" s="12">
        <v>73.370255</v>
      </c>
      <c r="J82">
        <f t="shared" si="6"/>
        <v>2.090956612650352E-3</v>
      </c>
      <c r="K82">
        <f t="shared" si="6"/>
        <v>-1.0259505129752711E-2</v>
      </c>
      <c r="L82">
        <f t="shared" si="6"/>
        <v>-2.9459241323648189E-2</v>
      </c>
      <c r="M82">
        <f t="shared" si="6"/>
        <v>1.0836277974086928E-2</v>
      </c>
      <c r="N82">
        <f t="shared" si="6"/>
        <v>2.0968204667639601E-2</v>
      </c>
      <c r="O82">
        <f t="shared" si="6"/>
        <v>4.8924799592823476E-2</v>
      </c>
      <c r="P82">
        <f t="shared" si="6"/>
        <v>4.1302621127879302E-2</v>
      </c>
      <c r="Q82">
        <f t="shared" si="5"/>
        <v>2.7545533189521354E-2</v>
      </c>
      <c r="R82" s="15">
        <f t="shared" si="4"/>
        <v>1.6956770193670062E-2</v>
      </c>
    </row>
    <row r="83" spans="1:18" x14ac:dyDescent="0.2">
      <c r="A83" s="13">
        <v>45929</v>
      </c>
      <c r="B83" s="14">
        <v>19.13</v>
      </c>
      <c r="C83" s="14">
        <v>16.57</v>
      </c>
      <c r="D83" s="14">
        <v>446.04</v>
      </c>
      <c r="E83" s="14">
        <v>42.45</v>
      </c>
      <c r="F83" s="14">
        <v>801.69</v>
      </c>
      <c r="G83" s="14">
        <v>157.18</v>
      </c>
      <c r="H83" s="14">
        <v>12.59</v>
      </c>
      <c r="I83" s="14">
        <v>71.403409999999994</v>
      </c>
      <c r="J83">
        <f t="shared" si="6"/>
        <v>0</v>
      </c>
      <c r="K83">
        <f t="shared" si="6"/>
        <v>1.2084592145014117E-3</v>
      </c>
      <c r="L83">
        <f t="shared" si="6"/>
        <v>-2.1756294411790389E-2</v>
      </c>
      <c r="M83">
        <f t="shared" si="6"/>
        <v>7.117437722420128E-3</v>
      </c>
      <c r="N83">
        <f t="shared" si="6"/>
        <v>-5.1128677976196579E-3</v>
      </c>
      <c r="O83">
        <f t="shared" si="6"/>
        <v>4.4092274266727127E-3</v>
      </c>
      <c r="P83">
        <f t="shared" si="6"/>
        <v>8.8141025641024218E-3</v>
      </c>
      <c r="Q83">
        <f t="shared" si="5"/>
        <v>1.2628462236860205E-2</v>
      </c>
      <c r="R83" s="15">
        <f t="shared" si="4"/>
        <v>2.1500859627839974E-4</v>
      </c>
    </row>
    <row r="84" spans="1:18" x14ac:dyDescent="0.2">
      <c r="A84" s="11">
        <v>45926</v>
      </c>
      <c r="B84" s="12">
        <v>19.13</v>
      </c>
      <c r="C84" s="12">
        <v>16.55</v>
      </c>
      <c r="D84" s="12">
        <v>455.96</v>
      </c>
      <c r="E84" s="12">
        <v>42.15</v>
      </c>
      <c r="F84" s="12">
        <v>805.81</v>
      </c>
      <c r="G84" s="12">
        <v>156.49</v>
      </c>
      <c r="H84" s="12">
        <v>12.48</v>
      </c>
      <c r="I84" s="12">
        <v>70.51294</v>
      </c>
      <c r="J84">
        <f t="shared" si="6"/>
        <v>1.0031678986272219E-2</v>
      </c>
      <c r="K84">
        <f t="shared" si="6"/>
        <v>-6.602641056422498E-3</v>
      </c>
      <c r="L84">
        <f t="shared" si="6"/>
        <v>-5.1275337653553521E-3</v>
      </c>
      <c r="M84">
        <f t="shared" si="6"/>
        <v>0</v>
      </c>
      <c r="N84">
        <f t="shared" si="6"/>
        <v>4.8759196907344204E-3</v>
      </c>
      <c r="O84">
        <f t="shared" si="6"/>
        <v>-1.3490512513395836E-2</v>
      </c>
      <c r="P84">
        <f t="shared" si="6"/>
        <v>2.4096385542169418E-3</v>
      </c>
      <c r="Q84">
        <f t="shared" si="5"/>
        <v>1.0800883882785994E-2</v>
      </c>
      <c r="R84" s="15">
        <f t="shared" si="4"/>
        <v>-1.3007960112876868E-4</v>
      </c>
    </row>
    <row r="85" spans="1:18" x14ac:dyDescent="0.2">
      <c r="A85" s="13">
        <v>45925</v>
      </c>
      <c r="B85" s="14">
        <v>18.940000000000001</v>
      </c>
      <c r="C85" s="14">
        <v>16.66</v>
      </c>
      <c r="D85" s="14">
        <v>458.31</v>
      </c>
      <c r="E85" s="14">
        <v>42.15</v>
      </c>
      <c r="F85" s="14">
        <v>801.9</v>
      </c>
      <c r="G85" s="14">
        <v>158.63</v>
      </c>
      <c r="H85" s="14">
        <v>12.45</v>
      </c>
      <c r="I85" s="14">
        <v>69.759476000000006</v>
      </c>
      <c r="J85">
        <f t="shared" si="6"/>
        <v>1.5864621893177944E-3</v>
      </c>
      <c r="K85">
        <f t="shared" si="6"/>
        <v>7.8644888082273212E-3</v>
      </c>
      <c r="L85">
        <f t="shared" si="6"/>
        <v>1.1386957960940247E-2</v>
      </c>
      <c r="M85">
        <f t="shared" si="6"/>
        <v>-4.2523033309709302E-3</v>
      </c>
      <c r="N85">
        <f t="shared" si="6"/>
        <v>2.2792495185133266E-2</v>
      </c>
      <c r="O85">
        <f t="shared" si="6"/>
        <v>-1.3188180404354655E-2</v>
      </c>
      <c r="P85">
        <f t="shared" si="6"/>
        <v>0</v>
      </c>
      <c r="Q85">
        <f t="shared" si="5"/>
        <v>-7.9321088256590899E-3</v>
      </c>
      <c r="R85" s="15">
        <f t="shared" si="4"/>
        <v>4.2812484257914807E-3</v>
      </c>
    </row>
    <row r="86" spans="1:18" x14ac:dyDescent="0.2">
      <c r="A86" s="11">
        <v>45924</v>
      </c>
      <c r="B86" s="12">
        <v>18.91</v>
      </c>
      <c r="C86" s="12">
        <v>16.53</v>
      </c>
      <c r="D86" s="12">
        <v>453.15</v>
      </c>
      <c r="E86" s="12">
        <v>42.33</v>
      </c>
      <c r="F86" s="12">
        <v>784.03</v>
      </c>
      <c r="G86" s="12">
        <v>160.75</v>
      </c>
      <c r="H86" s="12">
        <v>12.45</v>
      </c>
      <c r="I86" s="12">
        <v>70.317239999999998</v>
      </c>
      <c r="J86">
        <f t="shared" si="6"/>
        <v>-3.0753459764223501E-2</v>
      </c>
      <c r="K86">
        <f t="shared" si="6"/>
        <v>-1.4898688915375491E-2</v>
      </c>
      <c r="L86">
        <f t="shared" si="6"/>
        <v>-3.0653717806109482E-2</v>
      </c>
      <c r="M86">
        <f t="shared" si="6"/>
        <v>1.3406751256882732E-2</v>
      </c>
      <c r="N86">
        <f t="shared" si="6"/>
        <v>1.0816873807436345E-2</v>
      </c>
      <c r="O86">
        <f t="shared" si="6"/>
        <v>1.8888255054826608E-2</v>
      </c>
      <c r="P86">
        <f t="shared" si="6"/>
        <v>-2.2762951334379999E-2</v>
      </c>
      <c r="Q86">
        <f t="shared" si="5"/>
        <v>1.3924555648081594E-4</v>
      </c>
      <c r="R86" s="15">
        <f t="shared" si="4"/>
        <v>-5.5136339605316529E-3</v>
      </c>
    </row>
    <row r="87" spans="1:18" x14ac:dyDescent="0.2">
      <c r="A87" s="13">
        <v>45923</v>
      </c>
      <c r="B87" s="14">
        <v>19.510000000000002</v>
      </c>
      <c r="C87" s="14">
        <v>16.78</v>
      </c>
      <c r="D87" s="14">
        <v>467.48</v>
      </c>
      <c r="E87" s="14">
        <v>41.77</v>
      </c>
      <c r="F87" s="14">
        <v>775.64</v>
      </c>
      <c r="G87" s="14">
        <v>157.77000000000001</v>
      </c>
      <c r="H87" s="14">
        <v>12.74</v>
      </c>
      <c r="I87" s="14">
        <v>70.307450000000003</v>
      </c>
      <c r="J87">
        <f t="shared" si="6"/>
        <v>3.6112586298460148E-2</v>
      </c>
      <c r="K87">
        <f t="shared" si="6"/>
        <v>-8.2742316784870651E-3</v>
      </c>
      <c r="L87">
        <f t="shared" si="6"/>
        <v>3.637842117651946E-4</v>
      </c>
      <c r="M87">
        <f t="shared" si="6"/>
        <v>1.2851600387972839E-2</v>
      </c>
      <c r="N87">
        <f t="shared" si="6"/>
        <v>-7.6761680569059632E-3</v>
      </c>
      <c r="O87">
        <f t="shared" si="6"/>
        <v>1.1022108298622157E-2</v>
      </c>
      <c r="P87">
        <f t="shared" si="6"/>
        <v>3.1496062992126816E-3</v>
      </c>
      <c r="Q87">
        <f t="shared" si="5"/>
        <v>9.8383453160530987E-3</v>
      </c>
      <c r="R87" s="15">
        <f t="shared" si="4"/>
        <v>4.4327401255798678E-3</v>
      </c>
    </row>
    <row r="88" spans="1:18" x14ac:dyDescent="0.2">
      <c r="A88" s="11">
        <v>45922</v>
      </c>
      <c r="B88" s="12">
        <v>18.829999999999998</v>
      </c>
      <c r="C88" s="12">
        <v>16.920000000000002</v>
      </c>
      <c r="D88" s="12">
        <v>467.31</v>
      </c>
      <c r="E88" s="12">
        <v>41.24</v>
      </c>
      <c r="F88" s="12">
        <v>781.64</v>
      </c>
      <c r="G88" s="12">
        <v>156.05000000000001</v>
      </c>
      <c r="H88" s="12">
        <v>12.7</v>
      </c>
      <c r="I88" s="12">
        <v>69.622479999999996</v>
      </c>
      <c r="J88">
        <f t="shared" si="6"/>
        <v>2.2258414766557877E-2</v>
      </c>
      <c r="K88">
        <f t="shared" si="6"/>
        <v>1.8050541516245522E-2</v>
      </c>
      <c r="L88">
        <f t="shared" si="6"/>
        <v>1.2435816885846052E-2</v>
      </c>
      <c r="M88">
        <f t="shared" si="6"/>
        <v>1.3018914271677673E-2</v>
      </c>
      <c r="N88">
        <f t="shared" si="6"/>
        <v>5.9448616118626063E-2</v>
      </c>
      <c r="O88">
        <f t="shared" si="6"/>
        <v>1.7739516076436423E-2</v>
      </c>
      <c r="P88">
        <f t="shared" si="6"/>
        <v>1.8444266238973439E-2</v>
      </c>
      <c r="Q88">
        <f t="shared" si="5"/>
        <v>-2.9066580203397918E-2</v>
      </c>
      <c r="R88" s="15">
        <f t="shared" si="4"/>
        <v>2.2208173538830381E-2</v>
      </c>
    </row>
    <row r="89" spans="1:18" x14ac:dyDescent="0.2">
      <c r="A89" s="13">
        <v>45919</v>
      </c>
      <c r="B89" s="14">
        <v>18.420000000000002</v>
      </c>
      <c r="C89" s="14">
        <v>16.62</v>
      </c>
      <c r="D89" s="14">
        <v>461.57</v>
      </c>
      <c r="E89" s="14">
        <v>40.71</v>
      </c>
      <c r="F89" s="14">
        <v>737.78</v>
      </c>
      <c r="G89" s="14">
        <v>153.33000000000001</v>
      </c>
      <c r="H89" s="14">
        <v>12.47</v>
      </c>
      <c r="I89" s="14">
        <v>71.70675</v>
      </c>
      <c r="J89">
        <f t="shared" si="6"/>
        <v>-1.7075773745997669E-2</v>
      </c>
      <c r="K89">
        <f t="shared" si="6"/>
        <v>-3.0903790087463467E-2</v>
      </c>
      <c r="L89">
        <f t="shared" si="6"/>
        <v>-1.8813251448837054E-3</v>
      </c>
      <c r="M89">
        <f t="shared" si="6"/>
        <v>-4.8387096774193505E-2</v>
      </c>
      <c r="N89">
        <f t="shared" si="6"/>
        <v>3.3522448693703133E-2</v>
      </c>
      <c r="O89">
        <f t="shared" si="6"/>
        <v>6.6307773109244295E-3</v>
      </c>
      <c r="P89">
        <f t="shared" si="6"/>
        <v>1.547231270358318E-2</v>
      </c>
      <c r="Q89">
        <f t="shared" si="5"/>
        <v>3.3131288972901851E-2</v>
      </c>
      <c r="R89" s="15">
        <f t="shared" si="4"/>
        <v>3.9027427902841119E-3</v>
      </c>
    </row>
    <row r="90" spans="1:18" x14ac:dyDescent="0.2">
      <c r="A90" s="11">
        <v>45918</v>
      </c>
      <c r="B90" s="12">
        <v>18.739999999999998</v>
      </c>
      <c r="C90" s="12">
        <v>17.149999999999999</v>
      </c>
      <c r="D90" s="12">
        <v>462.44</v>
      </c>
      <c r="E90" s="12">
        <v>42.78</v>
      </c>
      <c r="F90" s="12">
        <v>713.85</v>
      </c>
      <c r="G90" s="12">
        <v>152.32</v>
      </c>
      <c r="H90" s="12">
        <v>12.28</v>
      </c>
      <c r="I90" s="12">
        <v>69.407200000000003</v>
      </c>
      <c r="J90">
        <f t="shared" si="6"/>
        <v>0</v>
      </c>
      <c r="K90">
        <f t="shared" si="6"/>
        <v>-8.0971659919029104E-3</v>
      </c>
      <c r="L90">
        <f t="shared" si="6"/>
        <v>1.0444434733207997E-2</v>
      </c>
      <c r="M90">
        <f t="shared" si="6"/>
        <v>-5.5788005578800703E-3</v>
      </c>
      <c r="N90">
        <f t="shared" si="6"/>
        <v>-3.1450551537929194E-2</v>
      </c>
      <c r="O90">
        <f t="shared" si="6"/>
        <v>4.484304932735439E-3</v>
      </c>
      <c r="P90">
        <f t="shared" si="6"/>
        <v>9.8684210526314153E-3</v>
      </c>
      <c r="Q90">
        <f t="shared" si="5"/>
        <v>-1.2254599548501943E-2</v>
      </c>
      <c r="R90" s="15">
        <f t="shared" si="4"/>
        <v>-5.4189976586485507E-3</v>
      </c>
    </row>
    <row r="91" spans="1:18" x14ac:dyDescent="0.2">
      <c r="A91" s="13">
        <v>45917</v>
      </c>
      <c r="B91" s="14">
        <v>18.739999999999998</v>
      </c>
      <c r="C91" s="14">
        <v>17.29</v>
      </c>
      <c r="D91" s="14">
        <v>457.66</v>
      </c>
      <c r="E91" s="14">
        <v>43.02</v>
      </c>
      <c r="F91" s="14">
        <v>737.03</v>
      </c>
      <c r="G91" s="14">
        <v>151.63999999999999</v>
      </c>
      <c r="H91" s="14">
        <v>12.16</v>
      </c>
      <c r="I91" s="14">
        <v>70.26831</v>
      </c>
      <c r="J91">
        <f t="shared" si="6"/>
        <v>-1.5982951518380695E-3</v>
      </c>
      <c r="K91">
        <f t="shared" si="6"/>
        <v>-5.7504312823462023E-3</v>
      </c>
      <c r="L91">
        <f t="shared" si="6"/>
        <v>-6.7495713696636983E-3</v>
      </c>
      <c r="M91">
        <f t="shared" si="6"/>
        <v>-2.3239600278868178E-4</v>
      </c>
      <c r="N91">
        <f t="shared" si="6"/>
        <v>-4.695218144671176E-2</v>
      </c>
      <c r="O91">
        <f t="shared" si="6"/>
        <v>-2.7699410105155309E-2</v>
      </c>
      <c r="P91">
        <f t="shared" si="6"/>
        <v>6.6666666666666652E-2</v>
      </c>
      <c r="Q91">
        <f t="shared" si="5"/>
        <v>-2.2232199756677673E-3</v>
      </c>
      <c r="R91" s="15">
        <f t="shared" si="4"/>
        <v>-4.1736750410670542E-3</v>
      </c>
    </row>
    <row r="92" spans="1:18" x14ac:dyDescent="0.2">
      <c r="A92" s="11">
        <v>45915</v>
      </c>
      <c r="B92" s="12">
        <v>18.77</v>
      </c>
      <c r="C92" s="12">
        <v>17.39</v>
      </c>
      <c r="D92" s="12">
        <v>460.77</v>
      </c>
      <c r="E92" s="12">
        <v>43.03</v>
      </c>
      <c r="F92" s="12">
        <v>773.34</v>
      </c>
      <c r="G92" s="12">
        <v>155.96</v>
      </c>
      <c r="H92" s="12">
        <v>11.4</v>
      </c>
      <c r="I92" s="12">
        <v>70.424880000000002</v>
      </c>
      <c r="J92">
        <f t="shared" si="6"/>
        <v>2.6709401709401615E-3</v>
      </c>
      <c r="K92">
        <f t="shared" si="6"/>
        <v>7.5318655851679406E-3</v>
      </c>
      <c r="L92">
        <f t="shared" si="6"/>
        <v>-2.1595107657026436E-2</v>
      </c>
      <c r="M92">
        <f t="shared" si="6"/>
        <v>2.3293733985558784E-3</v>
      </c>
      <c r="N92">
        <f t="shared" si="6"/>
        <v>-1.598167705814979E-2</v>
      </c>
      <c r="O92">
        <f t="shared" si="6"/>
        <v>1.8414522659004895E-2</v>
      </c>
      <c r="P92">
        <f t="shared" si="6"/>
        <v>9.7431355181578638E-3</v>
      </c>
      <c r="Q92">
        <f t="shared" si="5"/>
        <v>4.1707199549056995E-4</v>
      </c>
      <c r="R92" s="15">
        <f t="shared" si="4"/>
        <v>-4.2800909715414419E-4</v>
      </c>
    </row>
    <row r="93" spans="1:18" x14ac:dyDescent="0.2">
      <c r="A93" s="13">
        <v>45912</v>
      </c>
      <c r="B93" s="14">
        <v>18.72</v>
      </c>
      <c r="C93" s="14">
        <v>17.260000000000002</v>
      </c>
      <c r="D93" s="14">
        <v>470.94</v>
      </c>
      <c r="E93" s="14">
        <v>42.93</v>
      </c>
      <c r="F93" s="14">
        <v>785.9</v>
      </c>
      <c r="G93" s="14">
        <v>153.13999999999999</v>
      </c>
      <c r="H93" s="14">
        <v>11.29</v>
      </c>
      <c r="I93" s="14">
        <v>70.395520000000005</v>
      </c>
      <c r="J93">
        <f t="shared" si="6"/>
        <v>5.3705692803436289E-3</v>
      </c>
      <c r="K93">
        <f t="shared" si="6"/>
        <v>-1.0321100917431214E-2</v>
      </c>
      <c r="L93">
        <f t="shared" si="6"/>
        <v>-8.5473684210526368E-3</v>
      </c>
      <c r="M93">
        <f t="shared" si="6"/>
        <v>-9.3088201070512522E-4</v>
      </c>
      <c r="N93">
        <f t="shared" si="6"/>
        <v>-1.5828887720089169E-2</v>
      </c>
      <c r="O93">
        <f t="shared" si="6"/>
        <v>1.896333754740831E-2</v>
      </c>
      <c r="P93">
        <f t="shared" si="6"/>
        <v>-2.3356401384083125E-2</v>
      </c>
      <c r="Q93">
        <f t="shared" si="5"/>
        <v>2.7813480475291641E-4</v>
      </c>
      <c r="R93" s="15">
        <f t="shared" si="4"/>
        <v>-6.4326757654751812E-3</v>
      </c>
    </row>
    <row r="94" spans="1:18" x14ac:dyDescent="0.2">
      <c r="A94" s="11">
        <v>45911</v>
      </c>
      <c r="B94" s="12">
        <v>18.62</v>
      </c>
      <c r="C94" s="12">
        <v>17.440000000000001</v>
      </c>
      <c r="D94" s="12">
        <v>475</v>
      </c>
      <c r="E94" s="12">
        <v>42.97</v>
      </c>
      <c r="F94" s="12">
        <v>798.54</v>
      </c>
      <c r="G94" s="12">
        <v>150.29</v>
      </c>
      <c r="H94" s="12">
        <v>11.56</v>
      </c>
      <c r="I94" s="12">
        <v>70.375945999999999</v>
      </c>
      <c r="J94">
        <f t="shared" si="6"/>
        <v>1.1956521739130643E-2</v>
      </c>
      <c r="K94">
        <f t="shared" si="6"/>
        <v>2.5279247501469815E-2</v>
      </c>
      <c r="L94">
        <f t="shared" si="6"/>
        <v>3.5219248539795966E-2</v>
      </c>
      <c r="M94">
        <f t="shared" si="6"/>
        <v>9.396288466055891E-3</v>
      </c>
      <c r="N94">
        <f t="shared" si="6"/>
        <v>2.7708781096768442E-2</v>
      </c>
      <c r="O94">
        <f t="shared" si="6"/>
        <v>1.7466657639970018E-2</v>
      </c>
      <c r="P94">
        <f t="shared" si="6"/>
        <v>1.0489510489510634E-2</v>
      </c>
      <c r="Q94">
        <f t="shared" si="5"/>
        <v>2.6255618719554841E-2</v>
      </c>
      <c r="R94" s="15">
        <f t="shared" si="4"/>
        <v>2.0957057131711043E-2</v>
      </c>
    </row>
    <row r="95" spans="1:18" x14ac:dyDescent="0.2">
      <c r="A95" s="13">
        <v>45910</v>
      </c>
      <c r="B95" s="14">
        <v>18.399999999999999</v>
      </c>
      <c r="C95" s="14">
        <v>17.010000000000002</v>
      </c>
      <c r="D95" s="14">
        <v>458.84</v>
      </c>
      <c r="E95" s="14">
        <v>42.57</v>
      </c>
      <c r="F95" s="14">
        <v>777.01</v>
      </c>
      <c r="G95" s="14">
        <v>147.71</v>
      </c>
      <c r="H95" s="14">
        <v>11.44</v>
      </c>
      <c r="I95" s="14">
        <v>68.575455000000005</v>
      </c>
      <c r="J95">
        <f t="shared" si="6"/>
        <v>-1.0857763300762269E-3</v>
      </c>
      <c r="K95">
        <f t="shared" si="6"/>
        <v>-2.7999999999999914E-2</v>
      </c>
      <c r="L95">
        <f t="shared" si="6"/>
        <v>-2.2871502193449467E-2</v>
      </c>
      <c r="M95">
        <f t="shared" si="6"/>
        <v>-2.8109627547434624E-3</v>
      </c>
      <c r="N95">
        <f t="shared" si="6"/>
        <v>4.9162840939778407E-2</v>
      </c>
      <c r="O95">
        <f t="shared" si="6"/>
        <v>7.434183603874045E-3</v>
      </c>
      <c r="P95">
        <f t="shared" si="6"/>
        <v>2.877697841726623E-2</v>
      </c>
      <c r="Q95">
        <f t="shared" si="5"/>
        <v>-1.490008502760054E-2</v>
      </c>
      <c r="R95" s="15">
        <f t="shared" si="4"/>
        <v>8.9006328130761102E-3</v>
      </c>
    </row>
    <row r="96" spans="1:18" x14ac:dyDescent="0.2">
      <c r="A96" s="11">
        <v>45909</v>
      </c>
      <c r="B96" s="12">
        <v>18.420000000000002</v>
      </c>
      <c r="C96" s="12">
        <v>17.5</v>
      </c>
      <c r="D96" s="12">
        <v>469.58</v>
      </c>
      <c r="E96" s="12">
        <v>42.69</v>
      </c>
      <c r="F96" s="12">
        <v>740.6</v>
      </c>
      <c r="G96" s="12">
        <v>146.62</v>
      </c>
      <c r="H96" s="12">
        <v>11.12</v>
      </c>
      <c r="I96" s="12">
        <v>69.612690000000001</v>
      </c>
      <c r="J96">
        <f t="shared" si="6"/>
        <v>3.814713896457711E-3</v>
      </c>
      <c r="K96">
        <f t="shared" si="6"/>
        <v>-7.3737946681792232E-3</v>
      </c>
      <c r="L96">
        <f t="shared" si="6"/>
        <v>2.027185626186867E-3</v>
      </c>
      <c r="M96">
        <f t="shared" si="6"/>
        <v>2.3479690068088921E-3</v>
      </c>
      <c r="N96">
        <f t="shared" si="6"/>
        <v>-2.9214965601733756E-3</v>
      </c>
      <c r="O96">
        <f t="shared" si="6"/>
        <v>-6.1682369687521277E-3</v>
      </c>
      <c r="P96">
        <f t="shared" si="6"/>
        <v>-6.2555853440572351E-3</v>
      </c>
      <c r="Q96">
        <f t="shared" si="5"/>
        <v>-4.3387754798468459E-3</v>
      </c>
      <c r="R96" s="15">
        <f t="shared" si="4"/>
        <v>-2.938979816167058E-3</v>
      </c>
    </row>
    <row r="97" spans="1:18" x14ac:dyDescent="0.2">
      <c r="A97" s="13">
        <v>45908</v>
      </c>
      <c r="B97" s="14">
        <v>18.350000000000001</v>
      </c>
      <c r="C97" s="14">
        <v>17.63</v>
      </c>
      <c r="D97" s="14">
        <v>468.63</v>
      </c>
      <c r="E97" s="14">
        <v>42.59</v>
      </c>
      <c r="F97" s="14">
        <v>742.77</v>
      </c>
      <c r="G97" s="14">
        <v>147.53</v>
      </c>
      <c r="H97" s="14">
        <v>11.19</v>
      </c>
      <c r="I97" s="14">
        <v>69.916039999999995</v>
      </c>
      <c r="J97">
        <f t="shared" si="6"/>
        <v>2.732240437158584E-3</v>
      </c>
      <c r="K97">
        <f t="shared" si="6"/>
        <v>2.2740193291641564E-3</v>
      </c>
      <c r="L97">
        <f t="shared" si="6"/>
        <v>4.8028474023886769E-3</v>
      </c>
      <c r="M97">
        <f t="shared" si="6"/>
        <v>4.7180938900683866E-3</v>
      </c>
      <c r="N97">
        <f t="shared" si="6"/>
        <v>3.0079880179730401E-2</v>
      </c>
      <c r="O97">
        <f t="shared" si="6"/>
        <v>1.0548667716966831E-2</v>
      </c>
      <c r="P97">
        <f t="shared" si="6"/>
        <v>-2.6956521739130435E-2</v>
      </c>
      <c r="Q97">
        <f t="shared" si="5"/>
        <v>-1.9555185550148568E-3</v>
      </c>
      <c r="R97" s="15">
        <f t="shared" si="4"/>
        <v>4.5242296376389185E-3</v>
      </c>
    </row>
    <row r="98" spans="1:18" x14ac:dyDescent="0.2">
      <c r="A98" s="11">
        <v>45905</v>
      </c>
      <c r="B98" s="12">
        <v>18.3</v>
      </c>
      <c r="C98" s="12">
        <v>17.59</v>
      </c>
      <c r="D98" s="12">
        <v>466.39</v>
      </c>
      <c r="E98" s="12">
        <v>42.39</v>
      </c>
      <c r="F98" s="12">
        <v>721.08</v>
      </c>
      <c r="G98" s="12">
        <v>145.99</v>
      </c>
      <c r="H98" s="12">
        <v>11.5</v>
      </c>
      <c r="I98" s="12">
        <v>70.053030000000007</v>
      </c>
      <c r="J98">
        <f t="shared" si="6"/>
        <v>1.6420361247948545E-3</v>
      </c>
      <c r="K98">
        <f t="shared" si="6"/>
        <v>1.5588914549653499E-2</v>
      </c>
      <c r="L98">
        <f t="shared" si="6"/>
        <v>9.7425794020220557E-3</v>
      </c>
      <c r="M98">
        <f t="shared" si="6"/>
        <v>8.8053307948594561E-3</v>
      </c>
      <c r="N98">
        <f t="shared" si="6"/>
        <v>4.1120415824429601E-2</v>
      </c>
      <c r="O98">
        <f t="shared" si="6"/>
        <v>-8.2129902128535992E-4</v>
      </c>
      <c r="P98">
        <f t="shared" si="6"/>
        <v>6.1242344706911034E-3</v>
      </c>
      <c r="Q98">
        <f t="shared" si="5"/>
        <v>1.7626179098818806E-2</v>
      </c>
      <c r="R98" s="15">
        <f t="shared" si="4"/>
        <v>1.477925243829873E-2</v>
      </c>
    </row>
    <row r="99" spans="1:18" x14ac:dyDescent="0.2">
      <c r="A99" s="13">
        <v>45904</v>
      </c>
      <c r="B99" s="14">
        <v>18.27</v>
      </c>
      <c r="C99" s="14">
        <v>17.32</v>
      </c>
      <c r="D99" s="14">
        <v>461.89</v>
      </c>
      <c r="E99" s="14">
        <v>42.02</v>
      </c>
      <c r="F99" s="14">
        <v>692.6</v>
      </c>
      <c r="G99" s="14">
        <v>146.11000000000001</v>
      </c>
      <c r="H99" s="14">
        <v>11.43</v>
      </c>
      <c r="I99" s="14">
        <v>68.839650000000006</v>
      </c>
      <c r="J99">
        <f t="shared" si="6"/>
        <v>5.4764512595828485E-4</v>
      </c>
      <c r="K99">
        <f t="shared" si="6"/>
        <v>1.0501750291715295E-2</v>
      </c>
      <c r="L99">
        <f t="shared" si="6"/>
        <v>2.0503303064448364E-2</v>
      </c>
      <c r="M99">
        <f t="shared" si="6"/>
        <v>2.8639618138426304E-3</v>
      </c>
      <c r="N99">
        <f t="shared" si="6"/>
        <v>-4.0082049007650444E-2</v>
      </c>
      <c r="O99">
        <f t="shared" si="6"/>
        <v>-2.2806313536650635E-2</v>
      </c>
      <c r="P99">
        <f t="shared" si="6"/>
        <v>-6.0869565217391841E-3</v>
      </c>
      <c r="Q99">
        <f t="shared" si="5"/>
        <v>9.180836244565338E-3</v>
      </c>
      <c r="R99" s="15">
        <f t="shared" si="4"/>
        <v>-7.9932728227231301E-3</v>
      </c>
    </row>
    <row r="100" spans="1:18" x14ac:dyDescent="0.2">
      <c r="A100" s="11">
        <v>45903</v>
      </c>
      <c r="B100" s="12">
        <v>18.260000000000002</v>
      </c>
      <c r="C100" s="12">
        <v>17.14</v>
      </c>
      <c r="D100" s="12">
        <v>452.61</v>
      </c>
      <c r="E100" s="12">
        <v>41.9</v>
      </c>
      <c r="F100" s="12">
        <v>721.52</v>
      </c>
      <c r="G100" s="12">
        <v>149.52000000000001</v>
      </c>
      <c r="H100" s="12">
        <v>11.5</v>
      </c>
      <c r="I100" s="12">
        <v>68.213393999999994</v>
      </c>
      <c r="J100">
        <f t="shared" si="6"/>
        <v>-2.24839400428265E-2</v>
      </c>
      <c r="K100">
        <f t="shared" si="6"/>
        <v>-1.7472335468842193E-3</v>
      </c>
      <c r="L100">
        <f t="shared" si="6"/>
        <v>-4.8153034300791875E-3</v>
      </c>
      <c r="M100">
        <f t="shared" si="6"/>
        <v>2.1525950729490706E-3</v>
      </c>
      <c r="N100">
        <f t="shared" si="6"/>
        <v>9.61518010421889E-2</v>
      </c>
      <c r="O100">
        <f t="shared" si="6"/>
        <v>-1.3358268768366433E-3</v>
      </c>
      <c r="P100">
        <f t="shared" si="6"/>
        <v>7.0052539404552583E-3</v>
      </c>
      <c r="Q100">
        <f t="shared" si="5"/>
        <v>-5.2797462299012388E-3</v>
      </c>
      <c r="R100" s="15">
        <f t="shared" si="4"/>
        <v>1.8398362178960365E-2</v>
      </c>
    </row>
    <row r="101" spans="1:18" x14ac:dyDescent="0.2">
      <c r="A101" s="13">
        <v>45902</v>
      </c>
      <c r="B101" s="14">
        <v>18.68</v>
      </c>
      <c r="C101" s="14">
        <v>17.170000000000002</v>
      </c>
      <c r="D101" s="14">
        <v>454.8</v>
      </c>
      <c r="E101" s="14">
        <v>41.81</v>
      </c>
      <c r="F101" s="14">
        <v>658.23</v>
      </c>
      <c r="G101" s="14">
        <v>149.72</v>
      </c>
      <c r="H101" s="14">
        <v>11.42</v>
      </c>
      <c r="I101" s="14">
        <v>68.575455000000005</v>
      </c>
      <c r="J101">
        <f t="shared" si="6"/>
        <v>1.6322089227421177E-2</v>
      </c>
      <c r="K101">
        <f t="shared" si="6"/>
        <v>2.8759736369083244E-2</v>
      </c>
      <c r="L101">
        <f t="shared" si="6"/>
        <v>-6.5919578114703725E-4</v>
      </c>
      <c r="M101">
        <f t="shared" si="6"/>
        <v>-4.0495474035253665E-3</v>
      </c>
      <c r="N101">
        <f t="shared" si="6"/>
        <v>7.2559882678833176E-2</v>
      </c>
      <c r="O101">
        <f t="shared" si="6"/>
        <v>2.3586518082997054E-2</v>
      </c>
      <c r="P101">
        <f t="shared" si="6"/>
        <v>0</v>
      </c>
      <c r="Q101">
        <f t="shared" si="5"/>
        <v>1.067223000639772E-2</v>
      </c>
      <c r="R101" s="15">
        <f t="shared" si="4"/>
        <v>2.3419241673424296E-2</v>
      </c>
    </row>
    <row r="102" spans="1:18" x14ac:dyDescent="0.2">
      <c r="A102" s="11">
        <v>45901</v>
      </c>
      <c r="B102" s="12">
        <v>18.38</v>
      </c>
      <c r="C102" s="12">
        <v>16.690000000000001</v>
      </c>
      <c r="D102" s="12">
        <v>455.1</v>
      </c>
      <c r="E102" s="12">
        <v>41.98</v>
      </c>
      <c r="F102" s="12">
        <v>613.70000000000005</v>
      </c>
      <c r="G102" s="12">
        <v>146.27000000000001</v>
      </c>
      <c r="H102" s="12">
        <v>11.42</v>
      </c>
      <c r="I102" s="12">
        <v>67.851330000000004</v>
      </c>
      <c r="J102">
        <f t="shared" si="6"/>
        <v>-1.076426264800856E-2</v>
      </c>
      <c r="K102">
        <f t="shared" si="6"/>
        <v>-1.1841326228537508E-2</v>
      </c>
      <c r="L102">
        <f t="shared" si="6"/>
        <v>1.3901884774762729E-2</v>
      </c>
      <c r="M102">
        <f t="shared" si="6"/>
        <v>-1.6646848989299023E-3</v>
      </c>
      <c r="N102">
        <f t="shared" si="6"/>
        <v>8.5787536155665922E-3</v>
      </c>
      <c r="O102">
        <f t="shared" si="6"/>
        <v>7.1610548784688532E-3</v>
      </c>
      <c r="P102">
        <f t="shared" si="6"/>
        <v>-5.2264808362370019E-3</v>
      </c>
      <c r="Q102">
        <f t="shared" si="5"/>
        <v>7.4093991458941133E-3</v>
      </c>
      <c r="R102" s="15">
        <f t="shared" si="4"/>
        <v>1.863053766853888E-3</v>
      </c>
    </row>
    <row r="103" spans="1:18" x14ac:dyDescent="0.2">
      <c r="A103" s="13">
        <v>45898</v>
      </c>
      <c r="B103" s="14">
        <v>18.579999999999998</v>
      </c>
      <c r="C103" s="14">
        <v>16.89</v>
      </c>
      <c r="D103" s="14">
        <v>448.86</v>
      </c>
      <c r="E103" s="14">
        <v>42.05</v>
      </c>
      <c r="F103" s="14">
        <v>608.48</v>
      </c>
      <c r="G103" s="14">
        <v>145.22999999999999</v>
      </c>
      <c r="H103" s="14">
        <v>11.48</v>
      </c>
      <c r="I103" s="14">
        <v>67.352289999999996</v>
      </c>
      <c r="J103">
        <f t="shared" si="6"/>
        <v>-1.2227538543328031E-2</v>
      </c>
      <c r="K103">
        <f t="shared" si="6"/>
        <v>-1.1827321111768097E-3</v>
      </c>
      <c r="L103">
        <f t="shared" si="6"/>
        <v>-1.8477619120509048E-2</v>
      </c>
      <c r="M103">
        <f t="shared" si="6"/>
        <v>9.6038415366146435E-3</v>
      </c>
      <c r="N103">
        <f t="shared" si="6"/>
        <v>-1.5165493242696448E-2</v>
      </c>
      <c r="O103">
        <f t="shared" si="6"/>
        <v>-4.8176187198911702E-4</v>
      </c>
      <c r="P103">
        <f t="shared" si="6"/>
        <v>0</v>
      </c>
      <c r="Q103">
        <f t="shared" si="5"/>
        <v>-1.6573710368246064E-2</v>
      </c>
      <c r="R103" s="15">
        <f t="shared" si="4"/>
        <v>-7.0393692443658749E-3</v>
      </c>
    </row>
    <row r="104" spans="1:18" x14ac:dyDescent="0.2">
      <c r="A104" s="11">
        <v>45897</v>
      </c>
      <c r="B104" s="12">
        <v>18.809999999999999</v>
      </c>
      <c r="C104" s="12">
        <v>16.91</v>
      </c>
      <c r="D104" s="12">
        <v>457.31</v>
      </c>
      <c r="E104" s="12">
        <v>41.65</v>
      </c>
      <c r="F104" s="12">
        <v>617.85</v>
      </c>
      <c r="G104" s="12">
        <v>145.30000000000001</v>
      </c>
      <c r="H104" s="12">
        <v>11.48</v>
      </c>
      <c r="I104" s="12">
        <v>68.487380000000002</v>
      </c>
      <c r="J104">
        <f t="shared" si="6"/>
        <v>1.0746910263299325E-2</v>
      </c>
      <c r="K104">
        <f t="shared" si="6"/>
        <v>1.7448856799037182E-2</v>
      </c>
      <c r="L104">
        <f t="shared" si="6"/>
        <v>8.3568530605044877E-3</v>
      </c>
      <c r="M104">
        <f t="shared" si="6"/>
        <v>9.452253999030491E-3</v>
      </c>
      <c r="N104">
        <f t="shared" si="6"/>
        <v>8.2750644025024966E-2</v>
      </c>
      <c r="O104">
        <f t="shared" si="6"/>
        <v>2.5529565997377546E-3</v>
      </c>
      <c r="P104">
        <f t="shared" si="6"/>
        <v>9.674582233949014E-3</v>
      </c>
      <c r="Q104">
        <f t="shared" si="5"/>
        <v>6.7606512486795278E-3</v>
      </c>
      <c r="R104" s="15">
        <f t="shared" si="4"/>
        <v>2.4553232545015541E-2</v>
      </c>
    </row>
    <row r="105" spans="1:18" x14ac:dyDescent="0.2">
      <c r="A105" s="13">
        <v>45896</v>
      </c>
      <c r="B105" s="14">
        <v>18.61</v>
      </c>
      <c r="C105" s="14">
        <v>16.62</v>
      </c>
      <c r="D105" s="14">
        <v>453.52</v>
      </c>
      <c r="E105" s="14">
        <v>41.26</v>
      </c>
      <c r="F105" s="14">
        <v>570.63</v>
      </c>
      <c r="G105" s="14">
        <v>144.93</v>
      </c>
      <c r="H105" s="14">
        <v>11.37</v>
      </c>
      <c r="I105" s="14">
        <v>68.027469999999994</v>
      </c>
      <c r="J105">
        <f t="shared" si="6"/>
        <v>-2.1447721179623791E-3</v>
      </c>
      <c r="K105">
        <f t="shared" si="6"/>
        <v>-4.1941282204913666E-3</v>
      </c>
      <c r="L105">
        <f t="shared" si="6"/>
        <v>9.3025326033737699E-3</v>
      </c>
      <c r="M105">
        <f t="shared" si="6"/>
        <v>-1.8320247442303206E-2</v>
      </c>
      <c r="N105">
        <f t="shared" si="6"/>
        <v>6.7735718428980407E-2</v>
      </c>
      <c r="O105">
        <f t="shared" si="6"/>
        <v>3.8924731182795824E-2</v>
      </c>
      <c r="P105">
        <f t="shared" si="6"/>
        <v>6.1946902654865799E-3</v>
      </c>
      <c r="Q105">
        <f t="shared" si="5"/>
        <v>-2.8686730814952988E-3</v>
      </c>
      <c r="R105" s="15">
        <f t="shared" si="4"/>
        <v>1.933211250319692E-2</v>
      </c>
    </row>
    <row r="106" spans="1:18" x14ac:dyDescent="0.2">
      <c r="A106" s="11">
        <v>45895</v>
      </c>
      <c r="B106" s="12">
        <v>18.649999999999999</v>
      </c>
      <c r="C106" s="12">
        <v>16.690000000000001</v>
      </c>
      <c r="D106" s="12">
        <v>449.34</v>
      </c>
      <c r="E106" s="12">
        <v>42.03</v>
      </c>
      <c r="F106" s="12">
        <v>534.42999999999995</v>
      </c>
      <c r="G106" s="12">
        <v>139.5</v>
      </c>
      <c r="H106" s="12">
        <v>11.3</v>
      </c>
      <c r="I106" s="12">
        <v>68.223179999999999</v>
      </c>
      <c r="J106">
        <f t="shared" si="6"/>
        <v>-3.739316239316226E-3</v>
      </c>
      <c r="K106">
        <f t="shared" si="6"/>
        <v>7.2420036210019134E-3</v>
      </c>
      <c r="L106">
        <f t="shared" si="6"/>
        <v>-1.3805061124157803E-2</v>
      </c>
      <c r="M106">
        <f t="shared" si="6"/>
        <v>1.6444981862152375E-2</v>
      </c>
      <c r="N106">
        <f t="shared" si="6"/>
        <v>6.4405566750154186E-3</v>
      </c>
      <c r="O106">
        <f t="shared" si="6"/>
        <v>-2.5565800502933778E-2</v>
      </c>
      <c r="P106">
        <f t="shared" si="6"/>
        <v>6.2333036509349959E-3</v>
      </c>
      <c r="Q106">
        <f t="shared" si="5"/>
        <v>-3.5551325235188336E-2</v>
      </c>
      <c r="R106" s="15">
        <f t="shared" si="4"/>
        <v>-3.6902234349539195E-3</v>
      </c>
    </row>
    <row r="107" spans="1:18" x14ac:dyDescent="0.2">
      <c r="A107" s="13">
        <v>45894</v>
      </c>
      <c r="B107" s="14">
        <v>18.72</v>
      </c>
      <c r="C107" s="14">
        <v>16.57</v>
      </c>
      <c r="D107" s="14">
        <v>455.63</v>
      </c>
      <c r="E107" s="14">
        <v>41.35</v>
      </c>
      <c r="F107" s="14">
        <v>531.01</v>
      </c>
      <c r="G107" s="14">
        <v>143.16</v>
      </c>
      <c r="H107" s="14">
        <v>11.23</v>
      </c>
      <c r="I107" s="14">
        <v>70.738010000000003</v>
      </c>
      <c r="J107">
        <f t="shared" si="6"/>
        <v>-3.1948881789138905E-3</v>
      </c>
      <c r="K107">
        <f t="shared" si="6"/>
        <v>5.4611650485436591E-3</v>
      </c>
      <c r="L107">
        <f t="shared" si="6"/>
        <v>-7.4501688269251742E-3</v>
      </c>
      <c r="M107">
        <f t="shared" si="6"/>
        <v>-1.1002152595072978E-2</v>
      </c>
      <c r="N107">
        <f t="shared" si="6"/>
        <v>-6.5090320081693021E-2</v>
      </c>
      <c r="O107">
        <f t="shared" si="6"/>
        <v>-1.5541191032870216E-2</v>
      </c>
      <c r="P107">
        <f t="shared" si="6"/>
        <v>1.9981834695731227E-2</v>
      </c>
      <c r="Q107">
        <f t="shared" si="5"/>
        <v>2.4961922071400355E-3</v>
      </c>
      <c r="R107" s="15">
        <f t="shared" si="4"/>
        <v>-1.3787203578672752E-2</v>
      </c>
    </row>
    <row r="108" spans="1:18" x14ac:dyDescent="0.2">
      <c r="A108" s="11">
        <v>45891</v>
      </c>
      <c r="B108" s="12">
        <v>18.78</v>
      </c>
      <c r="C108" s="12">
        <v>16.48</v>
      </c>
      <c r="D108" s="12">
        <v>459.05</v>
      </c>
      <c r="E108" s="12">
        <v>41.81</v>
      </c>
      <c r="F108" s="12">
        <v>567.98</v>
      </c>
      <c r="G108" s="12">
        <v>145.41999999999999</v>
      </c>
      <c r="H108" s="12">
        <v>11.01</v>
      </c>
      <c r="I108" s="12">
        <v>70.561874000000003</v>
      </c>
      <c r="J108">
        <f t="shared" si="6"/>
        <v>3.357182168409456E-2</v>
      </c>
      <c r="K108">
        <f t="shared" si="6"/>
        <v>6.1050061050060833E-3</v>
      </c>
      <c r="L108">
        <f t="shared" si="6"/>
        <v>-1.3092832265554355E-2</v>
      </c>
      <c r="M108">
        <f t="shared" si="6"/>
        <v>4.7858339315642873E-4</v>
      </c>
      <c r="N108">
        <f t="shared" si="6"/>
        <v>3.1959156234669939E-2</v>
      </c>
      <c r="O108">
        <f t="shared" si="6"/>
        <v>1.3309177060832011E-2</v>
      </c>
      <c r="P108">
        <f t="shared" si="6"/>
        <v>-8.1081081081081363E-3</v>
      </c>
      <c r="Q108">
        <f t="shared" si="5"/>
        <v>2.1243411881307406E-2</v>
      </c>
      <c r="R108" s="15">
        <f t="shared" si="4"/>
        <v>1.0725031209719167E-2</v>
      </c>
    </row>
    <row r="109" spans="1:18" x14ac:dyDescent="0.2">
      <c r="A109" s="13">
        <v>45890</v>
      </c>
      <c r="B109" s="14">
        <v>18.170000000000002</v>
      </c>
      <c r="C109" s="14">
        <v>16.38</v>
      </c>
      <c r="D109" s="14">
        <v>465.14</v>
      </c>
      <c r="E109" s="14">
        <v>41.79</v>
      </c>
      <c r="F109" s="14">
        <v>550.39</v>
      </c>
      <c r="G109" s="14">
        <v>143.51</v>
      </c>
      <c r="H109" s="14">
        <v>11.1</v>
      </c>
      <c r="I109" s="14">
        <v>69.094080000000005</v>
      </c>
      <c r="J109">
        <f t="shared" si="6"/>
        <v>1.7357222844345044E-2</v>
      </c>
      <c r="K109">
        <f t="shared" si="6"/>
        <v>1.1735639283508181E-2</v>
      </c>
      <c r="L109">
        <f t="shared" si="6"/>
        <v>-1.0045545481632834E-2</v>
      </c>
      <c r="M109">
        <f t="shared" si="6"/>
        <v>9.5808383233531025E-4</v>
      </c>
      <c r="N109">
        <f t="shared" si="6"/>
        <v>2.7920962199312616E-2</v>
      </c>
      <c r="O109">
        <f t="shared" si="6"/>
        <v>1.0918568610876145E-2</v>
      </c>
      <c r="P109">
        <f t="shared" si="6"/>
        <v>-8.9285714285713969E-3</v>
      </c>
      <c r="Q109">
        <f t="shared" si="5"/>
        <v>7.8505301077018697E-3</v>
      </c>
      <c r="R109" s="15">
        <f t="shared" si="4"/>
        <v>8.0624471689850624E-3</v>
      </c>
    </row>
    <row r="110" spans="1:18" x14ac:dyDescent="0.2">
      <c r="A110" s="11">
        <v>45889</v>
      </c>
      <c r="B110" s="12">
        <v>17.86</v>
      </c>
      <c r="C110" s="12">
        <v>16.190000000000001</v>
      </c>
      <c r="D110" s="12">
        <v>469.86</v>
      </c>
      <c r="E110" s="12">
        <v>41.75</v>
      </c>
      <c r="F110" s="12">
        <v>535.44000000000005</v>
      </c>
      <c r="G110" s="12">
        <v>141.96</v>
      </c>
      <c r="H110" s="12">
        <v>11.2</v>
      </c>
      <c r="I110" s="12">
        <v>68.555880000000002</v>
      </c>
      <c r="J110">
        <f t="shared" si="6"/>
        <v>-1.676914477361735E-3</v>
      </c>
      <c r="K110">
        <f t="shared" si="6"/>
        <v>-1.2338062924120985E-3</v>
      </c>
      <c r="L110">
        <f t="shared" si="6"/>
        <v>-8.6086846436257414E-3</v>
      </c>
      <c r="M110">
        <f t="shared" si="6"/>
        <v>-1.0429011614126571E-2</v>
      </c>
      <c r="N110">
        <f t="shared" si="6"/>
        <v>1.5283097576699989E-2</v>
      </c>
      <c r="O110">
        <f t="shared" si="6"/>
        <v>-2.3192072527934426E-3</v>
      </c>
      <c r="P110">
        <f t="shared" si="6"/>
        <v>-1.3215859030836996E-2</v>
      </c>
      <c r="Q110">
        <f t="shared" si="5"/>
        <v>-1.9942389945273309E-3</v>
      </c>
      <c r="R110" s="15">
        <f t="shared" si="4"/>
        <v>-1.7629987319493104E-3</v>
      </c>
    </row>
    <row r="111" spans="1:18" x14ac:dyDescent="0.2">
      <c r="A111" s="13">
        <v>45888</v>
      </c>
      <c r="B111" s="14">
        <v>17.89</v>
      </c>
      <c r="C111" s="14">
        <v>16.21</v>
      </c>
      <c r="D111" s="14">
        <v>473.94</v>
      </c>
      <c r="E111" s="14">
        <v>42.19</v>
      </c>
      <c r="F111" s="14">
        <v>527.38</v>
      </c>
      <c r="G111" s="14">
        <v>142.29</v>
      </c>
      <c r="H111" s="14">
        <v>11.35</v>
      </c>
      <c r="I111" s="14">
        <v>68.692869999999999</v>
      </c>
      <c r="J111">
        <f t="shared" si="6"/>
        <v>5.5928411633110464E-4</v>
      </c>
      <c r="K111">
        <f t="shared" si="6"/>
        <v>4.3370508054523249E-3</v>
      </c>
      <c r="L111">
        <f t="shared" si="6"/>
        <v>3.663624234980345E-3</v>
      </c>
      <c r="M111">
        <f t="shared" si="6"/>
        <v>-9.4719393795872353E-4</v>
      </c>
      <c r="N111">
        <f t="shared" si="6"/>
        <v>-8.2181476257640051E-3</v>
      </c>
      <c r="O111">
        <f t="shared" si="6"/>
        <v>-1.4407425365380755E-2</v>
      </c>
      <c r="P111">
        <f t="shared" si="6"/>
        <v>-4.3859649122807154E-3</v>
      </c>
      <c r="Q111">
        <f t="shared" si="5"/>
        <v>1.2835834688558201E-3</v>
      </c>
      <c r="R111" s="15">
        <f t="shared" si="4"/>
        <v>-3.5095721384554024E-3</v>
      </c>
    </row>
    <row r="112" spans="1:18" x14ac:dyDescent="0.2">
      <c r="A112" s="11">
        <v>45887</v>
      </c>
      <c r="B112" s="12">
        <v>17.88</v>
      </c>
      <c r="C112" s="12">
        <v>16.14</v>
      </c>
      <c r="D112" s="12">
        <v>472.21</v>
      </c>
      <c r="E112" s="12">
        <v>42.23</v>
      </c>
      <c r="F112" s="12">
        <v>531.75</v>
      </c>
      <c r="G112" s="12">
        <v>144.37</v>
      </c>
      <c r="H112" s="12">
        <v>11.4</v>
      </c>
      <c r="I112" s="12">
        <v>68.604810000000001</v>
      </c>
      <c r="J112">
        <f t="shared" si="6"/>
        <v>1.680672268907335E-3</v>
      </c>
      <c r="K112">
        <f t="shared" si="6"/>
        <v>8.1199250468455553E-3</v>
      </c>
      <c r="L112">
        <f t="shared" si="6"/>
        <v>9.5350080171030527E-3</v>
      </c>
      <c r="M112">
        <f t="shared" si="6"/>
        <v>4.5195052331112873E-3</v>
      </c>
      <c r="N112">
        <f t="shared" si="6"/>
        <v>1.7411269492011883E-2</v>
      </c>
      <c r="O112">
        <f t="shared" si="6"/>
        <v>-1.3143331488655319E-3</v>
      </c>
      <c r="P112">
        <f t="shared" si="6"/>
        <v>3.9197812215132188E-2</v>
      </c>
      <c r="Q112">
        <f t="shared" si="5"/>
        <v>-1.0723880885951442E-2</v>
      </c>
      <c r="R112" s="15">
        <f t="shared" si="4"/>
        <v>1.1856679527875658E-2</v>
      </c>
    </row>
    <row r="113" spans="1:18" x14ac:dyDescent="0.2">
      <c r="A113" s="13">
        <v>45884</v>
      </c>
      <c r="B113" s="14">
        <v>17.850000000000001</v>
      </c>
      <c r="C113" s="14">
        <v>16.010000000000002</v>
      </c>
      <c r="D113" s="14">
        <v>467.75</v>
      </c>
      <c r="E113" s="14">
        <v>42.04</v>
      </c>
      <c r="F113" s="14">
        <v>522.65</v>
      </c>
      <c r="G113" s="14">
        <v>144.56</v>
      </c>
      <c r="H113" s="14">
        <v>10.97</v>
      </c>
      <c r="I113" s="14">
        <v>69.348495</v>
      </c>
      <c r="J113">
        <f t="shared" si="6"/>
        <v>7.3363431151243219E-3</v>
      </c>
      <c r="K113">
        <f t="shared" si="6"/>
        <v>6.250000000000977E-4</v>
      </c>
      <c r="L113">
        <f t="shared" si="6"/>
        <v>1.4246064443384387E-2</v>
      </c>
      <c r="M113">
        <f t="shared" si="6"/>
        <v>-3.7914691943128354E-3</v>
      </c>
      <c r="N113">
        <f t="shared" si="6"/>
        <v>-4.8689479432107774E-2</v>
      </c>
      <c r="O113">
        <f t="shared" si="6"/>
        <v>-6.2219149671627338E-4</v>
      </c>
      <c r="P113">
        <f t="shared" si="6"/>
        <v>-1.8198362147406888E-3</v>
      </c>
      <c r="Q113">
        <f t="shared" si="5"/>
        <v>-1.127446948777866E-3</v>
      </c>
      <c r="R113" s="15">
        <f t="shared" si="4"/>
        <v>-8.6875124477631283E-3</v>
      </c>
    </row>
    <row r="114" spans="1:18" x14ac:dyDescent="0.2">
      <c r="A114" s="11">
        <v>45883</v>
      </c>
      <c r="B114" s="12">
        <v>17.72</v>
      </c>
      <c r="C114" s="12">
        <v>16</v>
      </c>
      <c r="D114" s="12">
        <v>461.18</v>
      </c>
      <c r="E114" s="12">
        <v>42.2</v>
      </c>
      <c r="F114" s="12">
        <v>549.4</v>
      </c>
      <c r="G114" s="12">
        <v>144.65</v>
      </c>
      <c r="H114" s="12">
        <v>10.99</v>
      </c>
      <c r="I114" s="12">
        <v>69.426770000000005</v>
      </c>
      <c r="J114">
        <f t="shared" si="6"/>
        <v>1.6958733747878263E-3</v>
      </c>
      <c r="K114">
        <f t="shared" si="6"/>
        <v>-1.1124845488257096E-2</v>
      </c>
      <c r="L114">
        <f t="shared" si="6"/>
        <v>9.8095029559885916E-3</v>
      </c>
      <c r="M114">
        <f t="shared" si="6"/>
        <v>-8.4586466165413876E-3</v>
      </c>
      <c r="N114">
        <f t="shared" si="6"/>
        <v>-3.0835450183460344E-2</v>
      </c>
      <c r="O114">
        <f t="shared" si="6"/>
        <v>-4.26791491705103E-3</v>
      </c>
      <c r="P114">
        <f t="shared" si="6"/>
        <v>-6.3291139240506666E-3</v>
      </c>
      <c r="Q114">
        <f t="shared" si="5"/>
        <v>-2.5305696651598542E-3</v>
      </c>
      <c r="R114" s="15">
        <f t="shared" si="4"/>
        <v>-9.0235485417105681E-3</v>
      </c>
    </row>
    <row r="115" spans="1:18" x14ac:dyDescent="0.2">
      <c r="A115" s="13">
        <v>45882</v>
      </c>
      <c r="B115" s="14">
        <v>17.690000000000001</v>
      </c>
      <c r="C115" s="14">
        <v>16.18</v>
      </c>
      <c r="D115" s="14">
        <v>456.7</v>
      </c>
      <c r="E115" s="14">
        <v>42.56</v>
      </c>
      <c r="F115" s="14">
        <v>566.88</v>
      </c>
      <c r="G115" s="14">
        <v>145.27000000000001</v>
      </c>
      <c r="H115" s="14">
        <v>11.06</v>
      </c>
      <c r="I115" s="14">
        <v>69.602905000000007</v>
      </c>
      <c r="J115">
        <f t="shared" si="6"/>
        <v>-1.1293054771315258E-3</v>
      </c>
      <c r="K115">
        <f t="shared" si="6"/>
        <v>-1.2345679012345512E-3</v>
      </c>
      <c r="L115">
        <f t="shared" si="6"/>
        <v>-1.4989755203278277E-2</v>
      </c>
      <c r="M115">
        <f t="shared" si="6"/>
        <v>-4.6772684752103277E-3</v>
      </c>
      <c r="N115">
        <f t="shared" si="6"/>
        <v>-3.2793038730592139E-2</v>
      </c>
      <c r="O115">
        <f t="shared" si="6"/>
        <v>1.723900151703317E-3</v>
      </c>
      <c r="P115">
        <f t="shared" si="6"/>
        <v>-1.8050541516244634E-3</v>
      </c>
      <c r="Q115">
        <f t="shared" si="5"/>
        <v>2.0077317461045796E-2</v>
      </c>
      <c r="R115" s="15">
        <f t="shared" si="4"/>
        <v>-7.7917376155470256E-3</v>
      </c>
    </row>
    <row r="116" spans="1:18" x14ac:dyDescent="0.2">
      <c r="A116" s="11">
        <v>45881</v>
      </c>
      <c r="B116" s="12">
        <v>17.71</v>
      </c>
      <c r="C116" s="12">
        <v>16.2</v>
      </c>
      <c r="D116" s="12">
        <v>463.65</v>
      </c>
      <c r="E116" s="12">
        <v>42.76</v>
      </c>
      <c r="F116" s="12">
        <v>586.1</v>
      </c>
      <c r="G116" s="12">
        <v>145.02000000000001</v>
      </c>
      <c r="H116" s="12">
        <v>11.08</v>
      </c>
      <c r="I116" s="12">
        <v>68.232969999999995</v>
      </c>
      <c r="J116">
        <f t="shared" si="6"/>
        <v>-3.3764772087787609E-3</v>
      </c>
      <c r="K116">
        <f t="shared" si="6"/>
        <v>0</v>
      </c>
      <c r="L116">
        <f t="shared" si="6"/>
        <v>1.5729401713146407E-2</v>
      </c>
      <c r="M116">
        <f t="shared" ref="M116:Q172" si="7">E116/E117-1</f>
        <v>8.4905660377359027E-3</v>
      </c>
      <c r="N116">
        <f t="shared" si="7"/>
        <v>8.8474249518037951E-3</v>
      </c>
      <c r="O116">
        <f t="shared" si="7"/>
        <v>9.3965337231156632E-3</v>
      </c>
      <c r="P116">
        <f t="shared" si="7"/>
        <v>5.4234062797335891E-2</v>
      </c>
      <c r="Q116">
        <f t="shared" si="5"/>
        <v>-8.9538854637017939E-3</v>
      </c>
      <c r="R116" s="15">
        <f t="shared" si="4"/>
        <v>1.4058514771837448E-2</v>
      </c>
    </row>
    <row r="117" spans="1:18" x14ac:dyDescent="0.2">
      <c r="A117" s="13">
        <v>45880</v>
      </c>
      <c r="B117" s="14">
        <v>17.77</v>
      </c>
      <c r="C117" s="14">
        <v>16.2</v>
      </c>
      <c r="D117" s="14">
        <v>456.47</v>
      </c>
      <c r="E117" s="14">
        <v>42.4</v>
      </c>
      <c r="F117" s="14">
        <v>580.96</v>
      </c>
      <c r="G117" s="14">
        <v>143.66999999999999</v>
      </c>
      <c r="H117" s="14">
        <v>10.51</v>
      </c>
      <c r="I117" s="14">
        <v>68.849440000000001</v>
      </c>
      <c r="J117">
        <f t="shared" ref="J117:N180" si="8">B117/B118-1</f>
        <v>3.3879164313945775E-3</v>
      </c>
      <c r="K117">
        <f t="shared" si="8"/>
        <v>1.1235955056179803E-2</v>
      </c>
      <c r="L117">
        <f t="shared" si="8"/>
        <v>1.8792545474835443E-2</v>
      </c>
      <c r="M117">
        <f t="shared" si="7"/>
        <v>1.7274472168905985E-2</v>
      </c>
      <c r="N117">
        <f t="shared" si="7"/>
        <v>-3.3281866529421E-3</v>
      </c>
      <c r="O117">
        <f t="shared" si="7"/>
        <v>2.1623883928569843E-3</v>
      </c>
      <c r="P117">
        <f t="shared" si="7"/>
        <v>7.6701821668265779E-3</v>
      </c>
      <c r="Q117">
        <f t="shared" si="5"/>
        <v>-1.152015510286597E-2</v>
      </c>
      <c r="R117" s="15">
        <f t="shared" si="4"/>
        <v>5.3029300608865137E-3</v>
      </c>
    </row>
    <row r="118" spans="1:18" x14ac:dyDescent="0.2">
      <c r="A118" s="11">
        <v>45877</v>
      </c>
      <c r="B118" s="12">
        <v>17.71</v>
      </c>
      <c r="C118" s="12">
        <v>16.02</v>
      </c>
      <c r="D118" s="12">
        <v>448.05</v>
      </c>
      <c r="E118" s="12">
        <v>41.68</v>
      </c>
      <c r="F118" s="12">
        <v>582.9</v>
      </c>
      <c r="G118" s="12">
        <v>143.36000000000001</v>
      </c>
      <c r="H118" s="12">
        <v>10.43</v>
      </c>
      <c r="I118" s="12">
        <v>69.651840000000007</v>
      </c>
      <c r="J118">
        <f t="shared" si="8"/>
        <v>1.1305822498586249E-3</v>
      </c>
      <c r="K118">
        <f t="shared" si="8"/>
        <v>-1.2468827930174342E-3</v>
      </c>
      <c r="L118">
        <f t="shared" si="8"/>
        <v>-6.5630473825413205E-3</v>
      </c>
      <c r="M118">
        <f t="shared" si="7"/>
        <v>-2.5485153144727657E-2</v>
      </c>
      <c r="N118">
        <f t="shared" si="7"/>
        <v>9.9977474745724937E-3</v>
      </c>
      <c r="O118">
        <f t="shared" si="7"/>
        <v>2.6577143656456581E-3</v>
      </c>
      <c r="P118">
        <f t="shared" si="7"/>
        <v>-3.5152636447733698E-2</v>
      </c>
      <c r="Q118">
        <f t="shared" si="5"/>
        <v>6.7893245279779801E-3</v>
      </c>
      <c r="R118" s="15">
        <f t="shared" si="4"/>
        <v>-6.0891352491995506E-3</v>
      </c>
    </row>
    <row r="119" spans="1:18" x14ac:dyDescent="0.2">
      <c r="A119" s="13">
        <v>45876</v>
      </c>
      <c r="B119" s="14">
        <v>17.690000000000001</v>
      </c>
      <c r="C119" s="14">
        <v>16.04</v>
      </c>
      <c r="D119" s="14">
        <v>451.01</v>
      </c>
      <c r="E119" s="14">
        <v>42.77</v>
      </c>
      <c r="F119" s="14">
        <v>577.13</v>
      </c>
      <c r="G119" s="14">
        <v>142.97999999999999</v>
      </c>
      <c r="H119" s="14">
        <v>10.81</v>
      </c>
      <c r="I119" s="14">
        <v>69.182140000000004</v>
      </c>
      <c r="J119">
        <f t="shared" si="8"/>
        <v>5.1099227569815886E-2</v>
      </c>
      <c r="K119">
        <f t="shared" si="8"/>
        <v>2.754644458680322E-2</v>
      </c>
      <c r="L119">
        <f t="shared" si="8"/>
        <v>1.1074495034411713E-2</v>
      </c>
      <c r="M119">
        <f t="shared" si="7"/>
        <v>8.9643783911299568E-3</v>
      </c>
      <c r="N119">
        <f t="shared" si="7"/>
        <v>5.2484726907996659E-2</v>
      </c>
      <c r="O119">
        <f t="shared" si="7"/>
        <v>1.440227030862018E-2</v>
      </c>
      <c r="P119">
        <f t="shared" si="7"/>
        <v>-2.7675276752766598E-3</v>
      </c>
      <c r="Q119">
        <f t="shared" si="5"/>
        <v>-1.4496819037155828E-2</v>
      </c>
      <c r="R119" s="15">
        <f t="shared" si="4"/>
        <v>2.066166583558135E-2</v>
      </c>
    </row>
    <row r="120" spans="1:18" x14ac:dyDescent="0.2">
      <c r="A120" s="11">
        <v>45875</v>
      </c>
      <c r="B120" s="12">
        <v>16.829999999999998</v>
      </c>
      <c r="C120" s="12">
        <v>15.61</v>
      </c>
      <c r="D120" s="12">
        <v>446.07</v>
      </c>
      <c r="E120" s="12">
        <v>42.39</v>
      </c>
      <c r="F120" s="12">
        <v>548.35</v>
      </c>
      <c r="G120" s="12">
        <v>140.94999999999999</v>
      </c>
      <c r="H120" s="12">
        <v>10.84</v>
      </c>
      <c r="I120" s="12">
        <v>70.199814000000003</v>
      </c>
      <c r="J120">
        <f t="shared" si="8"/>
        <v>-8.2498526812021522E-3</v>
      </c>
      <c r="K120">
        <f t="shared" si="8"/>
        <v>1.2828736369467908E-3</v>
      </c>
      <c r="L120">
        <f t="shared" si="8"/>
        <v>2.4623865855059046E-2</v>
      </c>
      <c r="M120">
        <f t="shared" si="7"/>
        <v>2.3665781212267589E-2</v>
      </c>
      <c r="N120">
        <f t="shared" si="7"/>
        <v>6.8762547020874365E-2</v>
      </c>
      <c r="O120">
        <f t="shared" si="7"/>
        <v>-8.2324795947088525E-3</v>
      </c>
      <c r="P120">
        <f t="shared" si="7"/>
        <v>2.457466918714557E-2</v>
      </c>
      <c r="Q120">
        <f t="shared" si="5"/>
        <v>7.3012892055759337E-3</v>
      </c>
      <c r="R120" s="15">
        <f t="shared" si="4"/>
        <v>2.2615296726664343E-2</v>
      </c>
    </row>
    <row r="121" spans="1:18" x14ac:dyDescent="0.2">
      <c r="A121" s="13">
        <v>45874</v>
      </c>
      <c r="B121" s="14">
        <v>16.97</v>
      </c>
      <c r="C121" s="14">
        <v>15.59</v>
      </c>
      <c r="D121" s="14">
        <v>435.35</v>
      </c>
      <c r="E121" s="14">
        <v>41.41</v>
      </c>
      <c r="F121" s="14">
        <v>513.07000000000005</v>
      </c>
      <c r="G121" s="14">
        <v>142.12</v>
      </c>
      <c r="H121" s="14">
        <v>10.58</v>
      </c>
      <c r="I121" s="14">
        <v>69.690979999999996</v>
      </c>
      <c r="J121">
        <f t="shared" si="8"/>
        <v>0</v>
      </c>
      <c r="K121">
        <f t="shared" si="8"/>
        <v>9.061488673139273E-3</v>
      </c>
      <c r="L121">
        <f t="shared" si="8"/>
        <v>9.3668127333008666E-3</v>
      </c>
      <c r="M121">
        <f t="shared" si="7"/>
        <v>2.9062727052553416E-3</v>
      </c>
      <c r="N121">
        <f t="shared" si="7"/>
        <v>2.7846224733056868E-2</v>
      </c>
      <c r="O121">
        <f t="shared" si="7"/>
        <v>-1.8962005758830225E-3</v>
      </c>
      <c r="P121">
        <f t="shared" si="7"/>
        <v>-9.442870632672129E-4</v>
      </c>
      <c r="Q121">
        <f t="shared" si="5"/>
        <v>2.3926772425828524E-3</v>
      </c>
      <c r="R121" s="15">
        <f t="shared" si="4"/>
        <v>7.9954703174839256E-3</v>
      </c>
    </row>
    <row r="122" spans="1:18" x14ac:dyDescent="0.2">
      <c r="A122" s="11">
        <v>45873</v>
      </c>
      <c r="B122" s="12">
        <v>16.97</v>
      </c>
      <c r="C122" s="12">
        <v>15.45</v>
      </c>
      <c r="D122" s="12">
        <v>431.31</v>
      </c>
      <c r="E122" s="12">
        <v>41.29</v>
      </c>
      <c r="F122" s="12">
        <v>499.17</v>
      </c>
      <c r="G122" s="12">
        <v>142.38999999999999</v>
      </c>
      <c r="H122" s="12">
        <v>10.59</v>
      </c>
      <c r="I122" s="12">
        <v>69.524630000000002</v>
      </c>
      <c r="J122">
        <f t="shared" si="8"/>
        <v>2.9550827423165948E-3</v>
      </c>
      <c r="K122">
        <f t="shared" si="8"/>
        <v>-2.2770398481973486E-2</v>
      </c>
      <c r="L122">
        <f t="shared" si="8"/>
        <v>1.2070846584182338E-3</v>
      </c>
      <c r="M122">
        <f t="shared" si="7"/>
        <v>2.9147437454457581E-3</v>
      </c>
      <c r="N122">
        <f t="shared" si="7"/>
        <v>1.3357965041921327E-2</v>
      </c>
      <c r="O122">
        <f t="shared" si="7"/>
        <v>-8.7713191785591116E-3</v>
      </c>
      <c r="P122">
        <f t="shared" si="7"/>
        <v>-1.7625231910946115E-2</v>
      </c>
      <c r="Q122">
        <f t="shared" si="5"/>
        <v>4.5242481379539345E-3</v>
      </c>
      <c r="R122" s="15">
        <f t="shared" si="4"/>
        <v>-2.918321717550772E-3</v>
      </c>
    </row>
    <row r="123" spans="1:18" x14ac:dyDescent="0.2">
      <c r="A123" s="13">
        <v>45870</v>
      </c>
      <c r="B123" s="14">
        <v>16.920000000000002</v>
      </c>
      <c r="C123" s="14">
        <v>15.81</v>
      </c>
      <c r="D123" s="14">
        <v>430.79</v>
      </c>
      <c r="E123" s="14">
        <v>41.17</v>
      </c>
      <c r="F123" s="14">
        <v>492.59</v>
      </c>
      <c r="G123" s="14">
        <v>143.65</v>
      </c>
      <c r="H123" s="14">
        <v>10.78</v>
      </c>
      <c r="I123" s="14">
        <v>69.211500000000001</v>
      </c>
      <c r="J123">
        <f t="shared" si="8"/>
        <v>-6.4591896652964609E-3</v>
      </c>
      <c r="K123">
        <f t="shared" si="8"/>
        <v>-4.0072859744990752E-2</v>
      </c>
      <c r="L123">
        <f t="shared" si="8"/>
        <v>-5.9992154872053893E-3</v>
      </c>
      <c r="M123">
        <f t="shared" si="7"/>
        <v>8.0803134182174663E-3</v>
      </c>
      <c r="N123">
        <f t="shared" si="7"/>
        <v>-9.3715434891905591E-3</v>
      </c>
      <c r="O123">
        <f t="shared" si="7"/>
        <v>-2.2257010618023321E-2</v>
      </c>
      <c r="P123">
        <f t="shared" si="7"/>
        <v>-2.3550724637681153E-2</v>
      </c>
      <c r="Q123">
        <f t="shared" si="5"/>
        <v>-2.5384061949713654E-3</v>
      </c>
      <c r="R123" s="15">
        <f t="shared" si="4"/>
        <v>-1.4208128699254563E-2</v>
      </c>
    </row>
    <row r="124" spans="1:18" x14ac:dyDescent="0.2">
      <c r="A124" s="11">
        <v>45869</v>
      </c>
      <c r="B124" s="12">
        <v>17.03</v>
      </c>
      <c r="C124" s="12">
        <v>16.47</v>
      </c>
      <c r="D124" s="12">
        <v>433.39</v>
      </c>
      <c r="E124" s="12">
        <v>40.840000000000003</v>
      </c>
      <c r="F124" s="12">
        <v>497.25</v>
      </c>
      <c r="G124" s="12">
        <v>146.91999999999999</v>
      </c>
      <c r="H124" s="12">
        <v>11.04</v>
      </c>
      <c r="I124" s="12">
        <v>69.387634000000006</v>
      </c>
      <c r="J124">
        <f t="shared" si="8"/>
        <v>-4.6756282875510813E-3</v>
      </c>
      <c r="K124">
        <f t="shared" si="8"/>
        <v>2.5529265255292755E-2</v>
      </c>
      <c r="L124">
        <f t="shared" si="8"/>
        <v>8.3058024289237586E-3</v>
      </c>
      <c r="M124">
        <f t="shared" si="7"/>
        <v>-3.1730534537465216E-3</v>
      </c>
      <c r="N124">
        <f t="shared" si="7"/>
        <v>-1.6320474777448024E-2</v>
      </c>
      <c r="O124">
        <f t="shared" si="7"/>
        <v>-6.0884859964822624E-3</v>
      </c>
      <c r="P124">
        <f t="shared" si="7"/>
        <v>1.8450184501844991E-2</v>
      </c>
      <c r="Q124">
        <f t="shared" si="5"/>
        <v>4.1874888586608039E-2</v>
      </c>
      <c r="R124" s="15">
        <f t="shared" si="4"/>
        <v>5.3521251051824705E-3</v>
      </c>
    </row>
    <row r="125" spans="1:18" x14ac:dyDescent="0.2">
      <c r="A125" s="13">
        <v>45868</v>
      </c>
      <c r="B125" s="14">
        <v>17.11</v>
      </c>
      <c r="C125" s="14">
        <v>16.059999999999999</v>
      </c>
      <c r="D125" s="14">
        <v>429.82</v>
      </c>
      <c r="E125" s="14">
        <v>40.97</v>
      </c>
      <c r="F125" s="14">
        <v>505.5</v>
      </c>
      <c r="G125" s="14">
        <v>147.82</v>
      </c>
      <c r="H125" s="14">
        <v>10.84</v>
      </c>
      <c r="I125" s="14">
        <v>66.598815999999999</v>
      </c>
      <c r="J125">
        <f t="shared" si="8"/>
        <v>1.170275014628519E-3</v>
      </c>
      <c r="K125">
        <f t="shared" si="8"/>
        <v>-4.9566294919456411E-3</v>
      </c>
      <c r="L125">
        <f t="shared" si="8"/>
        <v>8.4700030501396739E-3</v>
      </c>
      <c r="M125">
        <f t="shared" si="7"/>
        <v>8.6164451009356213E-3</v>
      </c>
      <c r="N125">
        <f t="shared" si="7"/>
        <v>-9.9494692310705402E-3</v>
      </c>
      <c r="O125">
        <f t="shared" si="7"/>
        <v>-5.3159275957205265E-3</v>
      </c>
      <c r="P125">
        <f t="shared" si="7"/>
        <v>5.6530214424951319E-2</v>
      </c>
      <c r="Q125">
        <f t="shared" si="5"/>
        <v>-2.4917031970634884E-3</v>
      </c>
      <c r="R125" s="15">
        <f t="shared" si="4"/>
        <v>7.9174549767081874E-3</v>
      </c>
    </row>
    <row r="126" spans="1:18" x14ac:dyDescent="0.2">
      <c r="A126" s="11">
        <v>45867</v>
      </c>
      <c r="B126" s="12">
        <v>17.09</v>
      </c>
      <c r="C126" s="12">
        <v>16.14</v>
      </c>
      <c r="D126" s="12">
        <v>426.21</v>
      </c>
      <c r="E126" s="12">
        <v>40.619999999999997</v>
      </c>
      <c r="F126" s="12">
        <v>510.58</v>
      </c>
      <c r="G126" s="12">
        <v>148.61000000000001</v>
      </c>
      <c r="H126" s="12">
        <v>10.26</v>
      </c>
      <c r="I126" s="12">
        <v>66.765174999999999</v>
      </c>
      <c r="J126">
        <f t="shared" si="8"/>
        <v>4.703115814226777E-3</v>
      </c>
      <c r="K126">
        <f t="shared" si="8"/>
        <v>2.6064844246662444E-2</v>
      </c>
      <c r="L126">
        <f t="shared" si="8"/>
        <v>2.3337895267593334E-2</v>
      </c>
      <c r="M126">
        <f t="shared" si="7"/>
        <v>8.941877794336861E-3</v>
      </c>
      <c r="N126">
        <f t="shared" si="7"/>
        <v>3.6365065948538167E-3</v>
      </c>
      <c r="O126">
        <f t="shared" si="7"/>
        <v>3.0725482036343399E-2</v>
      </c>
      <c r="P126">
        <f t="shared" si="7"/>
        <v>0</v>
      </c>
      <c r="Q126">
        <f t="shared" si="5"/>
        <v>2.0338011965271408E-2</v>
      </c>
      <c r="R126" s="15">
        <f t="shared" si="4"/>
        <v>1.354097339310162E-2</v>
      </c>
    </row>
    <row r="127" spans="1:18" x14ac:dyDescent="0.2">
      <c r="A127" s="13">
        <v>45866</v>
      </c>
      <c r="B127" s="14">
        <v>17.010000000000002</v>
      </c>
      <c r="C127" s="14">
        <v>15.73</v>
      </c>
      <c r="D127" s="14">
        <v>416.49</v>
      </c>
      <c r="E127" s="14">
        <v>40.26</v>
      </c>
      <c r="F127" s="14">
        <v>508.73</v>
      </c>
      <c r="G127" s="14">
        <v>144.18</v>
      </c>
      <c r="H127" s="14">
        <v>10.26</v>
      </c>
      <c r="I127" s="14">
        <v>65.434370000000001</v>
      </c>
      <c r="J127">
        <f t="shared" si="8"/>
        <v>-5.8445353594388516E-3</v>
      </c>
      <c r="K127">
        <f t="shared" si="8"/>
        <v>1.5493867010974771E-2</v>
      </c>
      <c r="L127">
        <f t="shared" si="8"/>
        <v>-1.6778925669358458E-3</v>
      </c>
      <c r="M127">
        <f t="shared" si="7"/>
        <v>6.7516879219804427E-3</v>
      </c>
      <c r="N127">
        <f t="shared" si="7"/>
        <v>4.7198568310102829E-4</v>
      </c>
      <c r="O127">
        <f t="shared" si="7"/>
        <v>4.3187517414322585E-3</v>
      </c>
      <c r="P127">
        <f t="shared" si="7"/>
        <v>2.1912350597609542E-2</v>
      </c>
      <c r="Q127">
        <f t="shared" si="5"/>
        <v>-1.3425741159080351E-2</v>
      </c>
      <c r="R127" s="15">
        <f t="shared" si="4"/>
        <v>4.9978498935169813E-3</v>
      </c>
    </row>
    <row r="128" spans="1:18" x14ac:dyDescent="0.2">
      <c r="A128" s="11">
        <v>45863</v>
      </c>
      <c r="B128" s="12">
        <v>17.11</v>
      </c>
      <c r="C128" s="12">
        <v>15.49</v>
      </c>
      <c r="D128" s="12">
        <v>417.19</v>
      </c>
      <c r="E128" s="12">
        <v>39.99</v>
      </c>
      <c r="F128" s="12">
        <v>508.49</v>
      </c>
      <c r="G128" s="12">
        <v>143.56</v>
      </c>
      <c r="H128" s="12">
        <v>10.039999999999999</v>
      </c>
      <c r="I128" s="12">
        <v>66.324830000000006</v>
      </c>
      <c r="J128">
        <f t="shared" si="8"/>
        <v>7.0629782224838067E-3</v>
      </c>
      <c r="K128">
        <f t="shared" si="8"/>
        <v>1.6404199475065662E-2</v>
      </c>
      <c r="L128">
        <f t="shared" si="8"/>
        <v>5.7618129218899305E-3</v>
      </c>
      <c r="M128">
        <f t="shared" si="7"/>
        <v>4.77386934673385E-3</v>
      </c>
      <c r="N128">
        <f t="shared" si="7"/>
        <v>-3.4688198173480345E-3</v>
      </c>
      <c r="O128">
        <f t="shared" si="7"/>
        <v>2.7410005009661509E-2</v>
      </c>
      <c r="P128">
        <f t="shared" si="7"/>
        <v>1.9289340101522834E-2</v>
      </c>
      <c r="Q128">
        <f t="shared" si="5"/>
        <v>8.9310977015937265E-3</v>
      </c>
      <c r="R128" s="15">
        <f t="shared" si="4"/>
        <v>1.0593190164984671E-2</v>
      </c>
    </row>
    <row r="129" spans="1:18" x14ac:dyDescent="0.2">
      <c r="A129" s="13">
        <v>45862</v>
      </c>
      <c r="B129" s="14">
        <v>16.989999999999998</v>
      </c>
      <c r="C129" s="14">
        <v>15.24</v>
      </c>
      <c r="D129" s="14">
        <v>414.8</v>
      </c>
      <c r="E129" s="14">
        <v>39.799999999999997</v>
      </c>
      <c r="F129" s="14">
        <v>510.26</v>
      </c>
      <c r="G129" s="14">
        <v>139.72999999999999</v>
      </c>
      <c r="H129" s="14">
        <v>9.85</v>
      </c>
      <c r="I129" s="14">
        <v>65.737719999999996</v>
      </c>
      <c r="J129">
        <f t="shared" si="8"/>
        <v>2.5966183574879231E-2</v>
      </c>
      <c r="K129">
        <f t="shared" si="8"/>
        <v>3.3220338983050768E-2</v>
      </c>
      <c r="L129">
        <f t="shared" si="8"/>
        <v>3.5807606696991456E-3</v>
      </c>
      <c r="M129">
        <f t="shared" si="7"/>
        <v>-1.363073110285018E-2</v>
      </c>
      <c r="N129">
        <f t="shared" si="7"/>
        <v>8.5983672985312509E-3</v>
      </c>
      <c r="O129">
        <f t="shared" si="7"/>
        <v>-1.7300794711301859E-2</v>
      </c>
      <c r="P129">
        <f t="shared" si="7"/>
        <v>-1.4014014014014031E-2</v>
      </c>
      <c r="Q129">
        <f t="shared" si="5"/>
        <v>-2.8488702205646588E-2</v>
      </c>
      <c r="R129" s="15">
        <f t="shared" si="4"/>
        <v>-3.4347523049150586E-4</v>
      </c>
    </row>
    <row r="130" spans="1:18" x14ac:dyDescent="0.2">
      <c r="A130" s="11">
        <v>45861</v>
      </c>
      <c r="B130" s="12">
        <v>16.559999999999999</v>
      </c>
      <c r="C130" s="12">
        <v>14.75</v>
      </c>
      <c r="D130" s="12">
        <v>413.32</v>
      </c>
      <c r="E130" s="12">
        <v>40.35</v>
      </c>
      <c r="F130" s="12">
        <v>505.91</v>
      </c>
      <c r="G130" s="12">
        <v>142.19</v>
      </c>
      <c r="H130" s="12">
        <v>9.99</v>
      </c>
      <c r="I130" s="12">
        <v>67.665419999999997</v>
      </c>
      <c r="J130">
        <f t="shared" si="8"/>
        <v>4.2821158690176109E-2</v>
      </c>
      <c r="K130">
        <f t="shared" si="8"/>
        <v>4.7683923705721387E-3</v>
      </c>
      <c r="L130">
        <f t="shared" si="8"/>
        <v>8.4173030473075894E-3</v>
      </c>
      <c r="M130">
        <f t="shared" si="7"/>
        <v>4.0753159659530525E-2</v>
      </c>
      <c r="N130">
        <f t="shared" si="7"/>
        <v>-9.0105972458912609E-3</v>
      </c>
      <c r="O130">
        <f t="shared" si="7"/>
        <v>1.0805431150920697E-2</v>
      </c>
      <c r="P130">
        <f t="shared" si="7"/>
        <v>6.616862326574191E-2</v>
      </c>
      <c r="Q130">
        <f t="shared" si="5"/>
        <v>1.7383194173032912E-3</v>
      </c>
      <c r="R130" s="15">
        <f t="shared" si="4"/>
        <v>1.9636343039063801E-2</v>
      </c>
    </row>
    <row r="131" spans="1:18" x14ac:dyDescent="0.2">
      <c r="A131" s="13">
        <v>45860</v>
      </c>
      <c r="B131" s="14">
        <v>15.88</v>
      </c>
      <c r="C131" s="14">
        <v>14.68</v>
      </c>
      <c r="D131" s="14">
        <v>409.87</v>
      </c>
      <c r="E131" s="14">
        <v>38.770000000000003</v>
      </c>
      <c r="F131" s="14">
        <v>510.51</v>
      </c>
      <c r="G131" s="14">
        <v>140.66999999999999</v>
      </c>
      <c r="H131" s="14">
        <v>9.3699999999999992</v>
      </c>
      <c r="I131" s="14">
        <v>67.548000000000002</v>
      </c>
      <c r="J131">
        <f t="shared" si="8"/>
        <v>-8.1199250468457773E-3</v>
      </c>
      <c r="K131">
        <f t="shared" si="8"/>
        <v>2.2996515679442497E-2</v>
      </c>
      <c r="L131">
        <f t="shared" si="8"/>
        <v>-3.5985605757696937E-2</v>
      </c>
      <c r="M131">
        <f t="shared" si="7"/>
        <v>-1.6987829614604322E-2</v>
      </c>
      <c r="N131">
        <f t="shared" si="7"/>
        <v>5.6139936177757033E-3</v>
      </c>
      <c r="O131">
        <f t="shared" si="7"/>
        <v>7.0876288659791342E-3</v>
      </c>
      <c r="P131">
        <f t="shared" si="7"/>
        <v>0.11680572109654341</v>
      </c>
      <c r="Q131">
        <f t="shared" si="5"/>
        <v>5.3889251233218971E-3</v>
      </c>
      <c r="R131" s="15">
        <f t="shared" ref="R131:R194" si="9">SUMPRODUCT($T$2:$AA$2,J131:Q131)</f>
        <v>1.8492138662001098E-2</v>
      </c>
    </row>
    <row r="132" spans="1:18" x14ac:dyDescent="0.2">
      <c r="A132" s="11">
        <v>45859</v>
      </c>
      <c r="B132" s="12">
        <v>16.010000000000002</v>
      </c>
      <c r="C132" s="12">
        <v>14.35</v>
      </c>
      <c r="D132" s="12">
        <v>425.17</v>
      </c>
      <c r="E132" s="12">
        <v>39.44</v>
      </c>
      <c r="F132" s="12">
        <v>507.66</v>
      </c>
      <c r="G132" s="12">
        <v>139.68</v>
      </c>
      <c r="H132" s="12">
        <v>8.39</v>
      </c>
      <c r="I132" s="12">
        <v>67.185940000000002</v>
      </c>
      <c r="J132">
        <f t="shared" si="8"/>
        <v>-1.2476606363068798E-3</v>
      </c>
      <c r="K132">
        <f t="shared" si="8"/>
        <v>8.4328882642303871E-3</v>
      </c>
      <c r="L132">
        <f t="shared" si="8"/>
        <v>1.2245378547039998E-3</v>
      </c>
      <c r="M132">
        <f t="shared" si="7"/>
        <v>5.0735667174017784E-4</v>
      </c>
      <c r="N132">
        <f t="shared" si="7"/>
        <v>4.6903758237843984E-3</v>
      </c>
      <c r="O132">
        <f t="shared" si="7"/>
        <v>-8.5178875638840523E-3</v>
      </c>
      <c r="P132">
        <f t="shared" si="7"/>
        <v>-1.7564402810304247E-2</v>
      </c>
      <c r="Q132">
        <f t="shared" si="5"/>
        <v>-3.7723706949918112E-3</v>
      </c>
      <c r="R132" s="15">
        <f t="shared" si="9"/>
        <v>-2.4748519681182229E-3</v>
      </c>
    </row>
    <row r="133" spans="1:18" x14ac:dyDescent="0.2">
      <c r="A133" s="13">
        <v>45856</v>
      </c>
      <c r="B133" s="14">
        <v>16.03</v>
      </c>
      <c r="C133" s="14">
        <v>14.23</v>
      </c>
      <c r="D133" s="14">
        <v>424.65</v>
      </c>
      <c r="E133" s="14">
        <v>39.42</v>
      </c>
      <c r="F133" s="14">
        <v>505.29</v>
      </c>
      <c r="G133" s="14">
        <v>140.88</v>
      </c>
      <c r="H133" s="14">
        <v>8.5399999999999991</v>
      </c>
      <c r="I133" s="14">
        <v>67.440349999999995</v>
      </c>
      <c r="J133">
        <f t="shared" si="8"/>
        <v>-1.5960712093308627E-2</v>
      </c>
      <c r="K133">
        <f t="shared" si="8"/>
        <v>-2.1993127147766356E-2</v>
      </c>
      <c r="L133">
        <f t="shared" si="8"/>
        <v>-1.4733178654292356E-2</v>
      </c>
      <c r="M133">
        <f t="shared" si="7"/>
        <v>-2.0134228187919323E-2</v>
      </c>
      <c r="N133">
        <f t="shared" si="7"/>
        <v>-7.9514666038401627E-3</v>
      </c>
      <c r="O133">
        <f t="shared" si="7"/>
        <v>-3.8886614817847054E-2</v>
      </c>
      <c r="P133">
        <f t="shared" si="7"/>
        <v>-3.3936651583710509E-2</v>
      </c>
      <c r="Q133">
        <f t="shared" si="5"/>
        <v>-2.4606287201840438E-3</v>
      </c>
      <c r="R133" s="15">
        <f t="shared" si="9"/>
        <v>-2.0356178057297343E-2</v>
      </c>
    </row>
    <row r="134" spans="1:18" x14ac:dyDescent="0.2">
      <c r="A134" s="11">
        <v>45855</v>
      </c>
      <c r="B134" s="12">
        <v>16.29</v>
      </c>
      <c r="C134" s="12">
        <v>14.55</v>
      </c>
      <c r="D134" s="12">
        <v>431</v>
      </c>
      <c r="E134" s="12">
        <v>40.229999999999997</v>
      </c>
      <c r="F134" s="12">
        <v>509.34</v>
      </c>
      <c r="G134" s="12">
        <v>146.58000000000001</v>
      </c>
      <c r="H134" s="12">
        <v>8.84</v>
      </c>
      <c r="I134" s="12">
        <v>67.606705000000005</v>
      </c>
      <c r="J134">
        <f t="shared" si="8"/>
        <v>-7.3126142595978383E-3</v>
      </c>
      <c r="K134">
        <f t="shared" si="8"/>
        <v>5.5112400290065366E-2</v>
      </c>
      <c r="L134">
        <f t="shared" si="8"/>
        <v>3.7728818296147715E-3</v>
      </c>
      <c r="M134">
        <f t="shared" si="7"/>
        <v>-1.1790714812085601E-2</v>
      </c>
      <c r="N134">
        <f t="shared" si="7"/>
        <v>-7.269963162921389E-3</v>
      </c>
      <c r="O134">
        <f t="shared" si="7"/>
        <v>1.9474196689386547E-2</v>
      </c>
      <c r="P134">
        <f t="shared" si="7"/>
        <v>9.1324200913243114E-3</v>
      </c>
      <c r="Q134">
        <f t="shared" si="5"/>
        <v>7.7305089070964783E-3</v>
      </c>
      <c r="R134" s="15">
        <f t="shared" si="9"/>
        <v>8.2395837779989066E-3</v>
      </c>
    </row>
    <row r="135" spans="1:18" x14ac:dyDescent="0.2">
      <c r="A135" s="13">
        <v>45854</v>
      </c>
      <c r="B135" s="14">
        <v>16.41</v>
      </c>
      <c r="C135" s="14">
        <v>13.79</v>
      </c>
      <c r="D135" s="14">
        <v>429.38</v>
      </c>
      <c r="E135" s="14">
        <v>40.71</v>
      </c>
      <c r="F135" s="14">
        <v>513.07000000000005</v>
      </c>
      <c r="G135" s="14">
        <v>143.78</v>
      </c>
      <c r="H135" s="14">
        <v>8.76</v>
      </c>
      <c r="I135" s="14">
        <v>67.088080000000005</v>
      </c>
      <c r="J135">
        <f t="shared" si="8"/>
        <v>6.1312078479460741E-3</v>
      </c>
      <c r="K135">
        <f t="shared" si="8"/>
        <v>5.8351568198393711E-3</v>
      </c>
      <c r="L135">
        <f t="shared" si="8"/>
        <v>-3.3887289945222498E-3</v>
      </c>
      <c r="M135">
        <f t="shared" si="7"/>
        <v>1.2938541925852309E-2</v>
      </c>
      <c r="N135">
        <f t="shared" si="7"/>
        <v>1.9654994236655066E-2</v>
      </c>
      <c r="O135">
        <f t="shared" si="7"/>
        <v>-2.2901800883452283E-2</v>
      </c>
      <c r="P135">
        <f t="shared" si="7"/>
        <v>-1.3513513513513598E-2</v>
      </c>
      <c r="Q135">
        <f t="shared" si="5"/>
        <v>-7.5276206355188169E-3</v>
      </c>
      <c r="R135" s="15">
        <f t="shared" si="9"/>
        <v>-8.8025110122518456E-5</v>
      </c>
    </row>
    <row r="136" spans="1:18" x14ac:dyDescent="0.2">
      <c r="A136" s="11">
        <v>45853</v>
      </c>
      <c r="B136" s="12">
        <v>16.309999999999999</v>
      </c>
      <c r="C136" s="12">
        <v>13.71</v>
      </c>
      <c r="D136" s="12">
        <v>430.84</v>
      </c>
      <c r="E136" s="12">
        <v>40.19</v>
      </c>
      <c r="F136" s="12">
        <v>503.18</v>
      </c>
      <c r="G136" s="12">
        <v>147.15</v>
      </c>
      <c r="H136" s="12">
        <v>8.8800000000000008</v>
      </c>
      <c r="I136" s="12">
        <v>67.596924000000001</v>
      </c>
      <c r="J136">
        <f t="shared" si="8"/>
        <v>1.2277470841006721E-3</v>
      </c>
      <c r="K136">
        <f t="shared" si="8"/>
        <v>-8.6767895878524515E-3</v>
      </c>
      <c r="L136">
        <f t="shared" si="8"/>
        <v>6.2123406044185536E-3</v>
      </c>
      <c r="M136">
        <f t="shared" si="7"/>
        <v>2.494387627837158E-3</v>
      </c>
      <c r="N136">
        <f t="shared" si="7"/>
        <v>-2.8778783609025527E-2</v>
      </c>
      <c r="O136">
        <f t="shared" si="7"/>
        <v>2.3082806090523489E-2</v>
      </c>
      <c r="P136">
        <f t="shared" si="7"/>
        <v>-2.8446389496717739E-2</v>
      </c>
      <c r="Q136">
        <f t="shared" si="5"/>
        <v>-7.7563807764308157E-3</v>
      </c>
      <c r="R136" s="15">
        <f t="shared" si="9"/>
        <v>-8.1545997106786984E-3</v>
      </c>
    </row>
    <row r="137" spans="1:18" x14ac:dyDescent="0.2">
      <c r="A137" s="13">
        <v>45852</v>
      </c>
      <c r="B137" s="14">
        <v>16.29</v>
      </c>
      <c r="C137" s="14">
        <v>13.83</v>
      </c>
      <c r="D137" s="14">
        <v>428.18</v>
      </c>
      <c r="E137" s="14">
        <v>40.090000000000003</v>
      </c>
      <c r="F137" s="14">
        <v>518.09</v>
      </c>
      <c r="G137" s="14">
        <v>143.83000000000001</v>
      </c>
      <c r="H137" s="14">
        <v>9.14</v>
      </c>
      <c r="I137" s="14">
        <v>68.125330000000005</v>
      </c>
      <c r="J137">
        <f t="shared" si="8"/>
        <v>-4.8869883934026248E-3</v>
      </c>
      <c r="K137">
        <f t="shared" si="8"/>
        <v>7.2833211944647314E-3</v>
      </c>
      <c r="L137">
        <f t="shared" si="8"/>
        <v>-2.5856647021826884E-3</v>
      </c>
      <c r="M137">
        <f t="shared" si="7"/>
        <v>-4.9640109208238803E-3</v>
      </c>
      <c r="N137">
        <f t="shared" si="7"/>
        <v>7.9179798451423089E-3</v>
      </c>
      <c r="O137">
        <f t="shared" si="7"/>
        <v>2.7888168444538675E-3</v>
      </c>
      <c r="P137">
        <f t="shared" si="7"/>
        <v>-1.0928961748634114E-3</v>
      </c>
      <c r="Q137">
        <f t="shared" si="5"/>
        <v>1.902809796503524E-2</v>
      </c>
      <c r="R137" s="15">
        <f t="shared" si="9"/>
        <v>3.0428311259623041E-3</v>
      </c>
    </row>
    <row r="138" spans="1:18" x14ac:dyDescent="0.2">
      <c r="A138" s="11">
        <v>45849</v>
      </c>
      <c r="B138" s="12">
        <v>16.37</v>
      </c>
      <c r="C138" s="12">
        <v>13.73</v>
      </c>
      <c r="D138" s="12">
        <v>429.29</v>
      </c>
      <c r="E138" s="12">
        <v>40.29</v>
      </c>
      <c r="F138" s="12">
        <v>514.02</v>
      </c>
      <c r="G138" s="12">
        <v>143.43</v>
      </c>
      <c r="H138" s="12">
        <v>9.15</v>
      </c>
      <c r="I138" s="12">
        <v>66.85324</v>
      </c>
      <c r="J138">
        <f t="shared" si="8"/>
        <v>-3.0450669914738882E-3</v>
      </c>
      <c r="K138">
        <f t="shared" si="8"/>
        <v>-3.6284470246733536E-3</v>
      </c>
      <c r="L138">
        <f t="shared" si="8"/>
        <v>-8.3391083391082255E-3</v>
      </c>
      <c r="M138">
        <f t="shared" si="7"/>
        <v>-1.539589442815259E-2</v>
      </c>
      <c r="N138">
        <f t="shared" si="7"/>
        <v>1.7438292987074666E-2</v>
      </c>
      <c r="O138">
        <f t="shared" si="7"/>
        <v>-8.7082728592161596E-3</v>
      </c>
      <c r="P138">
        <f t="shared" si="7"/>
        <v>1.7797552836485098E-2</v>
      </c>
      <c r="Q138">
        <f t="shared" si="5"/>
        <v>-1.157400357146765E-2</v>
      </c>
      <c r="R138" s="15">
        <f t="shared" si="9"/>
        <v>1.5134889922217725E-3</v>
      </c>
    </row>
    <row r="139" spans="1:18" x14ac:dyDescent="0.2">
      <c r="A139" s="13">
        <v>45848</v>
      </c>
      <c r="B139" s="14">
        <v>16.420000000000002</v>
      </c>
      <c r="C139" s="14">
        <v>13.78</v>
      </c>
      <c r="D139" s="14">
        <v>432.9</v>
      </c>
      <c r="E139" s="14">
        <v>40.92</v>
      </c>
      <c r="F139" s="14">
        <v>505.21</v>
      </c>
      <c r="G139" s="14">
        <v>144.69</v>
      </c>
      <c r="H139" s="14">
        <v>8.99</v>
      </c>
      <c r="I139" s="14">
        <v>67.636060000000001</v>
      </c>
      <c r="J139">
        <f t="shared" si="8"/>
        <v>-1.8237082066867583E-3</v>
      </c>
      <c r="K139">
        <f t="shared" si="8"/>
        <v>5.1057622173595885E-3</v>
      </c>
      <c r="L139">
        <f t="shared" si="8"/>
        <v>1.6388054094665483E-2</v>
      </c>
      <c r="M139">
        <f t="shared" si="7"/>
        <v>-8.4807366125515538E-3</v>
      </c>
      <c r="N139">
        <f t="shared" si="7"/>
        <v>1.0521052105210593E-2</v>
      </c>
      <c r="O139">
        <f t="shared" si="7"/>
        <v>-6.7275348390196665E-3</v>
      </c>
      <c r="P139">
        <f t="shared" si="7"/>
        <v>5.3927315357561678E-2</v>
      </c>
      <c r="Q139">
        <f t="shared" si="5"/>
        <v>-3.3692162449753038E-2</v>
      </c>
      <c r="R139" s="15">
        <f t="shared" si="9"/>
        <v>9.3588740630415473E-3</v>
      </c>
    </row>
    <row r="140" spans="1:18" x14ac:dyDescent="0.2">
      <c r="A140" s="11">
        <v>45847</v>
      </c>
      <c r="B140" s="12">
        <v>16.45</v>
      </c>
      <c r="C140" s="12">
        <v>13.71</v>
      </c>
      <c r="D140" s="12">
        <v>425.92</v>
      </c>
      <c r="E140" s="12">
        <v>41.27</v>
      </c>
      <c r="F140" s="12">
        <v>499.95</v>
      </c>
      <c r="G140" s="12">
        <v>145.66999999999999</v>
      </c>
      <c r="H140" s="12">
        <v>8.5299999999999994</v>
      </c>
      <c r="I140" s="12">
        <v>69.994320000000002</v>
      </c>
      <c r="J140">
        <f t="shared" si="8"/>
        <v>-7.8407720144751947E-3</v>
      </c>
      <c r="K140">
        <f t="shared" si="8"/>
        <v>2.5430067314884175E-2</v>
      </c>
      <c r="L140">
        <f t="shared" si="8"/>
        <v>-1.2662383341930372E-3</v>
      </c>
      <c r="M140">
        <f t="shared" si="7"/>
        <v>2.9433774008480906E-2</v>
      </c>
      <c r="N140">
        <f t="shared" si="7"/>
        <v>-3.0112072747576768E-3</v>
      </c>
      <c r="O140">
        <f t="shared" si="7"/>
        <v>-8.0133872189947164E-2</v>
      </c>
      <c r="P140">
        <f t="shared" si="7"/>
        <v>3.5194174757281482E-2</v>
      </c>
      <c r="Q140">
        <f t="shared" si="5"/>
        <v>-5.5609989723058861E-3</v>
      </c>
      <c r="R140" s="15">
        <f t="shared" si="9"/>
        <v>-1.6458291391989754E-3</v>
      </c>
    </row>
    <row r="141" spans="1:18" x14ac:dyDescent="0.2">
      <c r="A141" s="13">
        <v>45846</v>
      </c>
      <c r="B141" s="14">
        <v>16.579999999999998</v>
      </c>
      <c r="C141" s="14">
        <v>13.37</v>
      </c>
      <c r="D141" s="14">
        <v>426.46</v>
      </c>
      <c r="E141" s="14">
        <v>40.090000000000003</v>
      </c>
      <c r="F141" s="14">
        <v>501.46</v>
      </c>
      <c r="G141" s="14">
        <v>158.36000000000001</v>
      </c>
      <c r="H141" s="14">
        <v>8.24</v>
      </c>
      <c r="I141" s="14">
        <v>70.385734999999997</v>
      </c>
      <c r="J141">
        <f t="shared" si="8"/>
        <v>-1.3682331945270687E-2</v>
      </c>
      <c r="K141">
        <f t="shared" si="8"/>
        <v>5.2631578947366364E-3</v>
      </c>
      <c r="L141">
        <f t="shared" si="8"/>
        <v>-2.8992284311433192E-3</v>
      </c>
      <c r="M141">
        <f t="shared" si="7"/>
        <v>-2.4574209245742051E-2</v>
      </c>
      <c r="N141">
        <f t="shared" si="7"/>
        <v>8.1219090507016478E-3</v>
      </c>
      <c r="O141">
        <f t="shared" si="7"/>
        <v>4.2488426659903489E-3</v>
      </c>
      <c r="P141">
        <f t="shared" si="7"/>
        <v>-5.7208237986270061E-2</v>
      </c>
      <c r="Q141">
        <f t="shared" si="5"/>
        <v>-1.2496133314792157E-3</v>
      </c>
      <c r="R141" s="15">
        <f t="shared" si="9"/>
        <v>-1.0600156081352861E-2</v>
      </c>
    </row>
    <row r="142" spans="1:18" x14ac:dyDescent="0.2">
      <c r="A142" s="11">
        <v>45845</v>
      </c>
      <c r="B142" s="12">
        <v>16.809999999999999</v>
      </c>
      <c r="C142" s="12">
        <v>13.3</v>
      </c>
      <c r="D142" s="12">
        <v>427.7</v>
      </c>
      <c r="E142" s="12">
        <v>41.1</v>
      </c>
      <c r="F142" s="12">
        <v>497.42</v>
      </c>
      <c r="G142" s="12">
        <v>157.69</v>
      </c>
      <c r="H142" s="12">
        <v>8.74</v>
      </c>
      <c r="I142" s="12">
        <v>70.473799999999997</v>
      </c>
      <c r="J142">
        <f t="shared" si="8"/>
        <v>-1.059446733372571E-2</v>
      </c>
      <c r="K142">
        <f t="shared" si="8"/>
        <v>-1.4084507042253502E-2</v>
      </c>
      <c r="L142">
        <f t="shared" si="8"/>
        <v>-1.7684887459807008E-2</v>
      </c>
      <c r="M142">
        <f t="shared" si="7"/>
        <v>1.2180267965895553E-3</v>
      </c>
      <c r="N142">
        <f t="shared" si="7"/>
        <v>-1.4931875792141835E-2</v>
      </c>
      <c r="O142">
        <f t="shared" si="7"/>
        <v>-8.1766148814391704E-3</v>
      </c>
      <c r="P142">
        <f t="shared" si="7"/>
        <v>-3.532008830022082E-2</v>
      </c>
      <c r="Q142">
        <f t="shared" si="5"/>
        <v>1.0665118602979584E-2</v>
      </c>
      <c r="R142" s="15">
        <f t="shared" si="9"/>
        <v>-1.3841042767380166E-2</v>
      </c>
    </row>
    <row r="143" spans="1:18" x14ac:dyDescent="0.2">
      <c r="A143" s="13">
        <v>45842</v>
      </c>
      <c r="B143" s="14">
        <v>16.989999999999998</v>
      </c>
      <c r="C143" s="14">
        <v>13.49</v>
      </c>
      <c r="D143" s="14">
        <v>435.4</v>
      </c>
      <c r="E143" s="14">
        <v>41.05</v>
      </c>
      <c r="F143" s="14">
        <v>504.96</v>
      </c>
      <c r="G143" s="14">
        <v>158.99</v>
      </c>
      <c r="H143" s="14">
        <v>9.06</v>
      </c>
      <c r="I143" s="14">
        <v>69.730119999999999</v>
      </c>
      <c r="J143">
        <f t="shared" si="8"/>
        <v>8.3086053412462224E-3</v>
      </c>
      <c r="K143">
        <f t="shared" si="8"/>
        <v>2.9739776951673846E-3</v>
      </c>
      <c r="L143">
        <f t="shared" si="8"/>
        <v>6.100378962935471E-3</v>
      </c>
      <c r="M143">
        <f t="shared" si="7"/>
        <v>-6.2938755749214481E-3</v>
      </c>
      <c r="N143">
        <f t="shared" si="7"/>
        <v>-9.8919795829544022E-4</v>
      </c>
      <c r="O143">
        <f t="shared" si="7"/>
        <v>-8.4196083322938264E-3</v>
      </c>
      <c r="P143">
        <f t="shared" si="7"/>
        <v>6.6666666666668206E-3</v>
      </c>
      <c r="Q143">
        <f t="shared" si="7"/>
        <v>-1.0002745807248803E-2</v>
      </c>
      <c r="R143" s="15">
        <f t="shared" si="9"/>
        <v>1.0405957856771347E-4</v>
      </c>
    </row>
    <row r="144" spans="1:18" x14ac:dyDescent="0.2">
      <c r="A144" s="11">
        <v>45841</v>
      </c>
      <c r="B144" s="12">
        <v>16.850000000000001</v>
      </c>
      <c r="C144" s="12">
        <v>13.45</v>
      </c>
      <c r="D144" s="12">
        <v>432.76</v>
      </c>
      <c r="E144" s="12">
        <v>41.31</v>
      </c>
      <c r="F144" s="12">
        <v>505.46</v>
      </c>
      <c r="G144" s="12">
        <v>160.34</v>
      </c>
      <c r="H144" s="12">
        <v>9</v>
      </c>
      <c r="I144" s="12">
        <v>70.434659999999994</v>
      </c>
      <c r="J144">
        <f t="shared" si="8"/>
        <v>-8.2401412595642931E-3</v>
      </c>
      <c r="K144">
        <f t="shared" si="8"/>
        <v>-3.7037037037037646E-3</v>
      </c>
      <c r="L144">
        <f t="shared" si="8"/>
        <v>-1.9640713136850674E-2</v>
      </c>
      <c r="M144">
        <f t="shared" si="7"/>
        <v>-1.0064701653486607E-2</v>
      </c>
      <c r="N144">
        <f t="shared" si="7"/>
        <v>-6.8377411875663041E-3</v>
      </c>
      <c r="O144">
        <f t="shared" si="7"/>
        <v>-1.9917838914477182E-3</v>
      </c>
      <c r="P144">
        <f t="shared" si="7"/>
        <v>-2.2172949002217113E-3</v>
      </c>
      <c r="Q144">
        <f t="shared" si="7"/>
        <v>-5.5263549142287038E-3</v>
      </c>
      <c r="R144" s="15">
        <f t="shared" si="9"/>
        <v>-6.8631513537760255E-3</v>
      </c>
    </row>
    <row r="145" spans="1:18" x14ac:dyDescent="0.2">
      <c r="A145" s="13">
        <v>45840</v>
      </c>
      <c r="B145" s="14">
        <v>16.989999999999998</v>
      </c>
      <c r="C145" s="14">
        <v>13.5</v>
      </c>
      <c r="D145" s="14">
        <v>441.43</v>
      </c>
      <c r="E145" s="14">
        <v>41.73</v>
      </c>
      <c r="F145" s="14">
        <v>508.94</v>
      </c>
      <c r="G145" s="14">
        <v>160.66</v>
      </c>
      <c r="H145" s="14">
        <v>9.02</v>
      </c>
      <c r="I145" s="14">
        <v>70.826070000000001</v>
      </c>
      <c r="J145">
        <f t="shared" si="8"/>
        <v>9.5068330362448883E-3</v>
      </c>
      <c r="K145">
        <f t="shared" si="8"/>
        <v>1.5801354401805856E-2</v>
      </c>
      <c r="L145">
        <f t="shared" si="8"/>
        <v>9.0751154391259803E-3</v>
      </c>
      <c r="M145">
        <f t="shared" si="7"/>
        <v>-1.9134178426215565E-3</v>
      </c>
      <c r="N145">
        <f t="shared" si="7"/>
        <v>-1.6408016543300485E-2</v>
      </c>
      <c r="O145">
        <f t="shared" si="7"/>
        <v>1.5871008536199716E-2</v>
      </c>
      <c r="P145">
        <f t="shared" si="7"/>
        <v>0</v>
      </c>
      <c r="Q145">
        <f t="shared" si="7"/>
        <v>2.376234675596911E-2</v>
      </c>
      <c r="R145" s="15">
        <f t="shared" si="9"/>
        <v>4.0927473354098005E-3</v>
      </c>
    </row>
    <row r="146" spans="1:18" x14ac:dyDescent="0.2">
      <c r="A146" s="11">
        <v>45839</v>
      </c>
      <c r="B146" s="12">
        <v>16.829999999999998</v>
      </c>
      <c r="C146" s="12">
        <v>13.29</v>
      </c>
      <c r="D146" s="12">
        <v>437.46</v>
      </c>
      <c r="E146" s="12">
        <v>41.81</v>
      </c>
      <c r="F146" s="12">
        <v>517.42999999999995</v>
      </c>
      <c r="G146" s="12">
        <v>158.15</v>
      </c>
      <c r="H146" s="12">
        <v>9.02</v>
      </c>
      <c r="I146" s="12">
        <v>69.182140000000004</v>
      </c>
      <c r="J146">
        <f t="shared" si="8"/>
        <v>2.9797377830749205E-3</v>
      </c>
      <c r="K146">
        <f t="shared" si="8"/>
        <v>2.6254826254826336E-2</v>
      </c>
      <c r="L146">
        <f t="shared" si="8"/>
        <v>1.5624637243748962E-2</v>
      </c>
      <c r="M146">
        <f t="shared" si="7"/>
        <v>1.6780155642023509E-2</v>
      </c>
      <c r="N146">
        <f t="shared" si="7"/>
        <v>-8.2798275035937952E-3</v>
      </c>
      <c r="O146">
        <f t="shared" si="7"/>
        <v>1.9533264569365549E-2</v>
      </c>
      <c r="P146">
        <f t="shared" si="7"/>
        <v>1.5765765765765716E-2</v>
      </c>
      <c r="Q146">
        <f t="shared" si="7"/>
        <v>-3.1020607900162922E-3</v>
      </c>
      <c r="R146" s="15">
        <f t="shared" si="9"/>
        <v>9.9394889686442289E-3</v>
      </c>
    </row>
    <row r="147" spans="1:18" x14ac:dyDescent="0.2">
      <c r="A147" s="13">
        <v>45838</v>
      </c>
      <c r="B147" s="14">
        <v>16.78</v>
      </c>
      <c r="C147" s="14">
        <v>12.95</v>
      </c>
      <c r="D147" s="14">
        <v>430.73</v>
      </c>
      <c r="E147" s="14">
        <v>41.12</v>
      </c>
      <c r="F147" s="14">
        <v>521.75</v>
      </c>
      <c r="G147" s="14">
        <v>155.12</v>
      </c>
      <c r="H147" s="14">
        <v>8.8800000000000008</v>
      </c>
      <c r="I147" s="14">
        <v>69.397414999999995</v>
      </c>
      <c r="J147">
        <f t="shared" si="8"/>
        <v>2.0681265206812682E-2</v>
      </c>
      <c r="K147">
        <f t="shared" si="8"/>
        <v>5.4347826086955653E-3</v>
      </c>
      <c r="L147">
        <f t="shared" si="8"/>
        <v>8.4755683547563798E-3</v>
      </c>
      <c r="M147">
        <f t="shared" si="7"/>
        <v>-2.4260067928190132E-3</v>
      </c>
      <c r="N147">
        <f t="shared" si="7"/>
        <v>5.2403332190330332E-2</v>
      </c>
      <c r="O147">
        <f t="shared" si="7"/>
        <v>-2.1077874542471342E-2</v>
      </c>
      <c r="P147">
        <f t="shared" si="7"/>
        <v>2.2573363431153126E-3</v>
      </c>
      <c r="Q147">
        <f t="shared" si="7"/>
        <v>-1.3218459531136206E-2</v>
      </c>
      <c r="R147" s="15">
        <f t="shared" si="9"/>
        <v>1.0431122634580669E-2</v>
      </c>
    </row>
    <row r="148" spans="1:18" x14ac:dyDescent="0.2">
      <c r="A148" s="11">
        <v>45835</v>
      </c>
      <c r="B148" s="12">
        <v>16.440000000000001</v>
      </c>
      <c r="C148" s="12">
        <v>12.88</v>
      </c>
      <c r="D148" s="12">
        <v>427.11</v>
      </c>
      <c r="E148" s="12">
        <v>41.22</v>
      </c>
      <c r="F148" s="12">
        <v>495.77</v>
      </c>
      <c r="G148" s="12">
        <v>158.46</v>
      </c>
      <c r="H148" s="12">
        <v>8.86</v>
      </c>
      <c r="I148" s="12">
        <v>70.327029999999993</v>
      </c>
      <c r="J148">
        <f t="shared" si="8"/>
        <v>-7.8455039227518508E-3</v>
      </c>
      <c r="K148">
        <f t="shared" si="8"/>
        <v>-6.9390902081727379E-3</v>
      </c>
      <c r="L148">
        <f t="shared" si="8"/>
        <v>3.1708004509582999E-3</v>
      </c>
      <c r="M148">
        <f t="shared" si="7"/>
        <v>-3.8936815108416956E-2</v>
      </c>
      <c r="N148">
        <f t="shared" si="7"/>
        <v>-7.1892021787889338E-3</v>
      </c>
      <c r="O148">
        <f t="shared" si="7"/>
        <v>6.0313630880579616E-3</v>
      </c>
      <c r="P148">
        <f t="shared" si="7"/>
        <v>3.5046728971962482E-2</v>
      </c>
      <c r="Q148">
        <f t="shared" si="7"/>
        <v>2.4226983993829387E-2</v>
      </c>
      <c r="R148" s="15">
        <f t="shared" si="9"/>
        <v>2.7160034771607326E-3</v>
      </c>
    </row>
    <row r="149" spans="1:18" x14ac:dyDescent="0.2">
      <c r="A149" s="13">
        <v>45834</v>
      </c>
      <c r="B149" s="14">
        <v>16.57</v>
      </c>
      <c r="C149" s="14">
        <v>12.97</v>
      </c>
      <c r="D149" s="14">
        <v>425.76</v>
      </c>
      <c r="E149" s="14">
        <v>42.89</v>
      </c>
      <c r="F149" s="14">
        <v>499.36</v>
      </c>
      <c r="G149" s="14">
        <v>157.51</v>
      </c>
      <c r="H149" s="14">
        <v>8.56</v>
      </c>
      <c r="I149" s="14">
        <v>68.663520000000005</v>
      </c>
      <c r="J149">
        <f t="shared" si="8"/>
        <v>9.7501523461305251E-3</v>
      </c>
      <c r="K149">
        <f t="shared" si="8"/>
        <v>1.2490241998438734E-2</v>
      </c>
      <c r="L149">
        <f t="shared" si="8"/>
        <v>5.1703378426233293E-3</v>
      </c>
      <c r="M149">
        <f t="shared" si="7"/>
        <v>3.4491075735648913E-2</v>
      </c>
      <c r="N149">
        <f t="shared" si="7"/>
        <v>2.7976202729687039E-2</v>
      </c>
      <c r="O149">
        <f t="shared" si="7"/>
        <v>-1.9972623195619765E-2</v>
      </c>
      <c r="P149">
        <f t="shared" si="7"/>
        <v>3.0084235860409203E-2</v>
      </c>
      <c r="Q149">
        <f t="shared" si="7"/>
        <v>1.357785179334603E-2</v>
      </c>
      <c r="R149" s="15">
        <f t="shared" si="9"/>
        <v>1.515795973042666E-2</v>
      </c>
    </row>
    <row r="150" spans="1:18" x14ac:dyDescent="0.2">
      <c r="A150" s="11">
        <v>45833</v>
      </c>
      <c r="B150" s="12">
        <v>16.41</v>
      </c>
      <c r="C150" s="12">
        <v>12.81</v>
      </c>
      <c r="D150" s="12">
        <v>423.57</v>
      </c>
      <c r="E150" s="12">
        <v>41.46</v>
      </c>
      <c r="F150" s="12">
        <v>485.77</v>
      </c>
      <c r="G150" s="12">
        <v>160.72</v>
      </c>
      <c r="H150" s="12">
        <v>8.31</v>
      </c>
      <c r="I150" s="12">
        <v>67.743706000000003</v>
      </c>
      <c r="J150">
        <f t="shared" si="8"/>
        <v>2.4434941967013124E-3</v>
      </c>
      <c r="K150">
        <f t="shared" si="8"/>
        <v>-2.8809704321455576E-2</v>
      </c>
      <c r="L150">
        <f t="shared" si="8"/>
        <v>1.4441730133639918E-2</v>
      </c>
      <c r="M150">
        <f t="shared" si="7"/>
        <v>2.4177949709864865E-3</v>
      </c>
      <c r="N150">
        <f t="shared" si="7"/>
        <v>8.930982200344717E-3</v>
      </c>
      <c r="O150">
        <f t="shared" si="7"/>
        <v>3.6218308979643066E-3</v>
      </c>
      <c r="P150">
        <f t="shared" si="7"/>
        <v>-2.0047169811320709E-2</v>
      </c>
      <c r="Q150">
        <f t="shared" si="7"/>
        <v>-1.5861737713911417E-3</v>
      </c>
      <c r="R150" s="15">
        <f t="shared" si="9"/>
        <v>-2.175328958046853E-3</v>
      </c>
    </row>
    <row r="151" spans="1:18" x14ac:dyDescent="0.2">
      <c r="A151" s="13">
        <v>45832</v>
      </c>
      <c r="B151" s="14">
        <v>16.37</v>
      </c>
      <c r="C151" s="14">
        <v>13.19</v>
      </c>
      <c r="D151" s="14">
        <v>417.54</v>
      </c>
      <c r="E151" s="14">
        <v>41.36</v>
      </c>
      <c r="F151" s="14">
        <v>481.47</v>
      </c>
      <c r="G151" s="14">
        <v>160.13999999999999</v>
      </c>
      <c r="H151" s="14">
        <v>8.48</v>
      </c>
      <c r="I151" s="14">
        <v>67.851330000000004</v>
      </c>
      <c r="J151">
        <f t="shared" si="8"/>
        <v>8.0049261083745549E-3</v>
      </c>
      <c r="K151">
        <f t="shared" si="8"/>
        <v>1.7746913580246826E-2</v>
      </c>
      <c r="L151">
        <f t="shared" si="8"/>
        <v>2.6414369416962735E-3</v>
      </c>
      <c r="M151">
        <f t="shared" si="7"/>
        <v>1.8468357547402059E-2</v>
      </c>
      <c r="N151">
        <f t="shared" si="7"/>
        <v>1.7477061356969692E-3</v>
      </c>
      <c r="O151">
        <f t="shared" si="7"/>
        <v>9.3917428301291128E-3</v>
      </c>
      <c r="P151">
        <f t="shared" si="7"/>
        <v>1.9230769230769162E-2</v>
      </c>
      <c r="Q151">
        <f t="shared" si="7"/>
        <v>1.1524293251319762E-2</v>
      </c>
      <c r="R151" s="15">
        <f t="shared" si="9"/>
        <v>1.044471570881763E-2</v>
      </c>
    </row>
    <row r="152" spans="1:18" x14ac:dyDescent="0.2">
      <c r="A152" s="11">
        <v>45831</v>
      </c>
      <c r="B152" s="12">
        <v>16.239999999999998</v>
      </c>
      <c r="C152" s="12">
        <v>12.96</v>
      </c>
      <c r="D152" s="12">
        <v>416.44</v>
      </c>
      <c r="E152" s="12">
        <v>40.61</v>
      </c>
      <c r="F152" s="12">
        <v>480.63</v>
      </c>
      <c r="G152" s="12">
        <v>158.65</v>
      </c>
      <c r="H152" s="12">
        <v>8.32</v>
      </c>
      <c r="I152" s="12">
        <v>67.078299999999999</v>
      </c>
      <c r="J152">
        <f t="shared" si="8"/>
        <v>3.0883261272389717E-3</v>
      </c>
      <c r="K152">
        <f t="shared" si="8"/>
        <v>-2.3094688221708681E-3</v>
      </c>
      <c r="L152">
        <f t="shared" si="8"/>
        <v>6.3555738140692597E-3</v>
      </c>
      <c r="M152">
        <f t="shared" si="7"/>
        <v>1.2718204488777918E-2</v>
      </c>
      <c r="N152">
        <f t="shared" si="7"/>
        <v>-1.2207904309760154E-2</v>
      </c>
      <c r="O152">
        <f t="shared" si="7"/>
        <v>5.8965254882070717E-3</v>
      </c>
      <c r="P152">
        <f t="shared" si="7"/>
        <v>3.6114570361145848E-2</v>
      </c>
      <c r="Q152">
        <f t="shared" si="7"/>
        <v>4.3788910011111071E-4</v>
      </c>
      <c r="R152" s="15">
        <f t="shared" si="9"/>
        <v>6.336693534121687E-3</v>
      </c>
    </row>
    <row r="153" spans="1:18" x14ac:dyDescent="0.2">
      <c r="A153" s="13">
        <v>45828</v>
      </c>
      <c r="B153" s="14">
        <v>16.190000000000001</v>
      </c>
      <c r="C153" s="14">
        <v>12.99</v>
      </c>
      <c r="D153" s="14">
        <v>413.81</v>
      </c>
      <c r="E153" s="14">
        <v>40.1</v>
      </c>
      <c r="F153" s="14">
        <v>486.57</v>
      </c>
      <c r="G153" s="14">
        <v>157.72</v>
      </c>
      <c r="H153" s="14">
        <v>8.0299999999999994</v>
      </c>
      <c r="I153" s="14">
        <v>67.048940000000002</v>
      </c>
      <c r="J153">
        <f t="shared" si="8"/>
        <v>3.0978934324659146E-3</v>
      </c>
      <c r="K153">
        <f t="shared" si="8"/>
        <v>3.8639876352395408E-3</v>
      </c>
      <c r="L153">
        <f t="shared" si="8"/>
        <v>1.5708990942784773E-2</v>
      </c>
      <c r="M153">
        <f t="shared" si="7"/>
        <v>4.1287977148792621E-2</v>
      </c>
      <c r="N153">
        <f t="shared" si="7"/>
        <v>-8.0122324159022096E-3</v>
      </c>
      <c r="O153">
        <f t="shared" si="7"/>
        <v>-7.8631188274517205E-3</v>
      </c>
      <c r="P153">
        <f t="shared" si="7"/>
        <v>5.0062578222778154E-3</v>
      </c>
      <c r="Q153">
        <f t="shared" si="7"/>
        <v>-2.2539302559322572E-2</v>
      </c>
      <c r="R153" s="15">
        <f t="shared" si="9"/>
        <v>2.5383811528578489E-3</v>
      </c>
    </row>
    <row r="154" spans="1:18" x14ac:dyDescent="0.2">
      <c r="A154" s="11">
        <v>45827</v>
      </c>
      <c r="B154" s="12">
        <v>16.14</v>
      </c>
      <c r="C154" s="12">
        <v>12.94</v>
      </c>
      <c r="D154" s="12">
        <v>407.41</v>
      </c>
      <c r="E154" s="12">
        <v>38.51</v>
      </c>
      <c r="F154" s="12">
        <v>490.5</v>
      </c>
      <c r="G154" s="12">
        <v>158.97</v>
      </c>
      <c r="H154" s="12">
        <v>7.99</v>
      </c>
      <c r="I154" s="12">
        <v>68.595023999999995</v>
      </c>
      <c r="J154">
        <f t="shared" si="8"/>
        <v>-1.46520146520146E-2</v>
      </c>
      <c r="K154">
        <f t="shared" si="8"/>
        <v>-9.1883614088821286E-3</v>
      </c>
      <c r="L154">
        <f t="shared" si="8"/>
        <v>-4.2086948343561081E-2</v>
      </c>
      <c r="M154">
        <f t="shared" si="7"/>
        <v>-2.9241240231913324E-2</v>
      </c>
      <c r="N154">
        <f t="shared" si="7"/>
        <v>-2.1700107702740445E-2</v>
      </c>
      <c r="O154">
        <f t="shared" si="7"/>
        <v>2.4423250418868392E-2</v>
      </c>
      <c r="P154">
        <f t="shared" si="7"/>
        <v>-2.3227383863080653E-2</v>
      </c>
      <c r="Q154">
        <f t="shared" si="7"/>
        <v>9.0686547447687005E-3</v>
      </c>
      <c r="R154" s="15">
        <f t="shared" si="9"/>
        <v>-1.4225956785313864E-2</v>
      </c>
    </row>
    <row r="155" spans="1:18" x14ac:dyDescent="0.2">
      <c r="A155" s="13">
        <v>45826</v>
      </c>
      <c r="B155" s="14">
        <v>16.38</v>
      </c>
      <c r="C155" s="14">
        <v>13.06</v>
      </c>
      <c r="D155" s="14">
        <v>425.31</v>
      </c>
      <c r="E155" s="14">
        <v>39.67</v>
      </c>
      <c r="F155" s="14">
        <v>501.38</v>
      </c>
      <c r="G155" s="14">
        <v>155.18</v>
      </c>
      <c r="H155" s="14">
        <v>8.18</v>
      </c>
      <c r="I155" s="14">
        <v>67.978549999999998</v>
      </c>
      <c r="J155">
        <f t="shared" si="8"/>
        <v>1.8348623853210455E-3</v>
      </c>
      <c r="K155">
        <f t="shared" si="8"/>
        <v>7.7160493827159726E-3</v>
      </c>
      <c r="L155">
        <f t="shared" si="8"/>
        <v>1.7665347654041152E-3</v>
      </c>
      <c r="M155">
        <f t="shared" si="7"/>
        <v>1.3541134389371434E-2</v>
      </c>
      <c r="N155">
        <f t="shared" si="7"/>
        <v>-7.6792146617582491E-3</v>
      </c>
      <c r="O155">
        <f t="shared" si="7"/>
        <v>-1.560517635117975E-2</v>
      </c>
      <c r="P155">
        <f t="shared" si="7"/>
        <v>-2.9655990510083052E-2</v>
      </c>
      <c r="Q155">
        <f t="shared" si="7"/>
        <v>1.9219397427278295E-2</v>
      </c>
      <c r="R155" s="15">
        <f t="shared" si="9"/>
        <v>-4.875085670849889E-3</v>
      </c>
    </row>
    <row r="156" spans="1:18" x14ac:dyDescent="0.2">
      <c r="A156" s="11">
        <v>45825</v>
      </c>
      <c r="B156" s="12">
        <v>16.350000000000001</v>
      </c>
      <c r="C156" s="12">
        <v>12.96</v>
      </c>
      <c r="D156" s="12">
        <v>424.56</v>
      </c>
      <c r="E156" s="12">
        <v>39.14</v>
      </c>
      <c r="F156" s="12">
        <v>505.26</v>
      </c>
      <c r="G156" s="12">
        <v>157.63999999999999</v>
      </c>
      <c r="H156" s="12">
        <v>8.43</v>
      </c>
      <c r="I156" s="12">
        <v>66.696680000000001</v>
      </c>
      <c r="J156">
        <f t="shared" si="8"/>
        <v>-7.2859744990890762E-3</v>
      </c>
      <c r="K156">
        <f t="shared" si="8"/>
        <v>-5.372217958557024E-3</v>
      </c>
      <c r="L156">
        <f t="shared" si="8"/>
        <v>-1.4804845222072704E-2</v>
      </c>
      <c r="M156">
        <f t="shared" si="7"/>
        <v>1.0064516129032253E-2</v>
      </c>
      <c r="N156">
        <f t="shared" si="7"/>
        <v>1.5618404390038032E-2</v>
      </c>
      <c r="O156">
        <f t="shared" si="7"/>
        <v>-7.6064908722117686E-4</v>
      </c>
      <c r="P156">
        <f t="shared" si="7"/>
        <v>-3.436426116838498E-2</v>
      </c>
      <c r="Q156">
        <f t="shared" si="7"/>
        <v>-1.574001551725468E-2</v>
      </c>
      <c r="R156" s="15">
        <f t="shared" si="9"/>
        <v>-5.9723485007130211E-3</v>
      </c>
    </row>
    <row r="157" spans="1:18" x14ac:dyDescent="0.2">
      <c r="A157" s="13">
        <v>45824</v>
      </c>
      <c r="B157" s="14">
        <v>16.47</v>
      </c>
      <c r="C157" s="14">
        <v>13.03</v>
      </c>
      <c r="D157" s="14">
        <v>430.94</v>
      </c>
      <c r="E157" s="14">
        <v>38.75</v>
      </c>
      <c r="F157" s="14">
        <v>497.49</v>
      </c>
      <c r="G157" s="14">
        <v>157.76</v>
      </c>
      <c r="H157" s="14">
        <v>8.73</v>
      </c>
      <c r="I157" s="14">
        <v>67.763274999999993</v>
      </c>
      <c r="J157">
        <f t="shared" si="8"/>
        <v>3.6563071297988081E-3</v>
      </c>
      <c r="K157">
        <f t="shared" si="8"/>
        <v>1.3219284603421366E-2</v>
      </c>
      <c r="L157">
        <f t="shared" si="8"/>
        <v>-1.0084303861438437E-2</v>
      </c>
      <c r="M157">
        <f t="shared" si="7"/>
        <v>-1.1731701096658997E-2</v>
      </c>
      <c r="N157">
        <f t="shared" si="7"/>
        <v>-5.9422975119110544E-2</v>
      </c>
      <c r="O157">
        <f t="shared" si="7"/>
        <v>-1.1590752459119225E-2</v>
      </c>
      <c r="P157">
        <f t="shared" si="7"/>
        <v>1.985981308411211E-2</v>
      </c>
      <c r="Q157">
        <f t="shared" si="7"/>
        <v>-6.1710772097942623E-3</v>
      </c>
      <c r="R157" s="15">
        <f t="shared" si="9"/>
        <v>-1.1738391757086054E-2</v>
      </c>
    </row>
    <row r="158" spans="1:18" x14ac:dyDescent="0.2">
      <c r="A158" s="11">
        <v>45821</v>
      </c>
      <c r="B158" s="12">
        <v>16.41</v>
      </c>
      <c r="C158" s="12">
        <v>12.86</v>
      </c>
      <c r="D158" s="12">
        <v>435.33</v>
      </c>
      <c r="E158" s="12">
        <v>39.21</v>
      </c>
      <c r="F158" s="12">
        <v>528.91999999999996</v>
      </c>
      <c r="G158" s="12">
        <v>159.61000000000001</v>
      </c>
      <c r="H158" s="12">
        <v>8.56</v>
      </c>
      <c r="I158" s="12">
        <v>68.184044</v>
      </c>
      <c r="J158">
        <f t="shared" si="8"/>
        <v>3.0562347188265448E-3</v>
      </c>
      <c r="K158">
        <f t="shared" si="8"/>
        <v>-3.308270676691738E-2</v>
      </c>
      <c r="L158">
        <f t="shared" si="8"/>
        <v>-1.2386850881372147E-2</v>
      </c>
      <c r="M158">
        <f t="shared" si="7"/>
        <v>-2.8974739970282326E-2</v>
      </c>
      <c r="N158">
        <f t="shared" si="7"/>
        <v>3.071166887520449E-2</v>
      </c>
      <c r="O158">
        <f t="shared" si="7"/>
        <v>8.1514923501391223E-4</v>
      </c>
      <c r="P158">
        <f t="shared" si="7"/>
        <v>-4.0358744394618729E-2</v>
      </c>
      <c r="Q158">
        <f t="shared" si="7"/>
        <v>-7.4072607535541346E-3</v>
      </c>
      <c r="R158" s="15">
        <f t="shared" si="9"/>
        <v>-8.37874372061948E-3</v>
      </c>
    </row>
    <row r="159" spans="1:18" x14ac:dyDescent="0.2">
      <c r="A159" s="13">
        <v>45820</v>
      </c>
      <c r="B159" s="14">
        <v>16.36</v>
      </c>
      <c r="C159" s="14">
        <v>13.3</v>
      </c>
      <c r="D159" s="14">
        <v>440.79</v>
      </c>
      <c r="E159" s="14">
        <v>40.380000000000003</v>
      </c>
      <c r="F159" s="14">
        <v>513.16</v>
      </c>
      <c r="G159" s="14">
        <v>159.47999999999999</v>
      </c>
      <c r="H159" s="14">
        <v>8.92</v>
      </c>
      <c r="I159" s="14">
        <v>68.692869999999999</v>
      </c>
      <c r="J159">
        <f t="shared" si="8"/>
        <v>1.3630731102850069E-2</v>
      </c>
      <c r="K159">
        <f t="shared" si="8"/>
        <v>6.0514372163389396E-3</v>
      </c>
      <c r="L159">
        <f t="shared" si="8"/>
        <v>-1.5610344365536544E-2</v>
      </c>
      <c r="M159">
        <f t="shared" si="7"/>
        <v>-7.862407862407883E-3</v>
      </c>
      <c r="N159">
        <f t="shared" si="7"/>
        <v>1.8700123079366193E-2</v>
      </c>
      <c r="O159">
        <f t="shared" si="7"/>
        <v>2.5774816118688815E-3</v>
      </c>
      <c r="P159">
        <f t="shared" si="7"/>
        <v>5.636978579481422E-3</v>
      </c>
      <c r="Q159">
        <f t="shared" si="7"/>
        <v>-1.9142135773386082E-2</v>
      </c>
      <c r="R159" s="15">
        <f t="shared" si="9"/>
        <v>2.8900473195136935E-3</v>
      </c>
    </row>
    <row r="160" spans="1:18" x14ac:dyDescent="0.2">
      <c r="A160" s="11">
        <v>45819</v>
      </c>
      <c r="B160" s="12">
        <v>16.14</v>
      </c>
      <c r="C160" s="12">
        <v>13.22</v>
      </c>
      <c r="D160" s="12">
        <v>447.78</v>
      </c>
      <c r="E160" s="12">
        <v>40.700000000000003</v>
      </c>
      <c r="F160" s="12">
        <v>503.74</v>
      </c>
      <c r="G160" s="12">
        <v>159.07</v>
      </c>
      <c r="H160" s="12">
        <v>8.8699999999999992</v>
      </c>
      <c r="I160" s="12">
        <v>70.033460000000005</v>
      </c>
      <c r="J160">
        <f t="shared" si="8"/>
        <v>-3.7037037037036535E-3</v>
      </c>
      <c r="K160">
        <f t="shared" si="8"/>
        <v>-3.7678975131875125E-3</v>
      </c>
      <c r="L160">
        <f t="shared" si="8"/>
        <v>-5.3091054490527201E-3</v>
      </c>
      <c r="M160">
        <f t="shared" si="7"/>
        <v>-1.3811485340440965E-2</v>
      </c>
      <c r="N160">
        <f t="shared" si="7"/>
        <v>4.8473000738067373E-3</v>
      </c>
      <c r="O160">
        <f t="shared" si="7"/>
        <v>-6.8677030654928917E-3</v>
      </c>
      <c r="P160">
        <f t="shared" si="7"/>
        <v>-5.1336898395721975E-2</v>
      </c>
      <c r="Q160">
        <f t="shared" si="7"/>
        <v>4.192745180881019E-2</v>
      </c>
      <c r="R160" s="15">
        <f t="shared" si="9"/>
        <v>-7.9075133535104446E-3</v>
      </c>
    </row>
    <row r="161" spans="1:18" x14ac:dyDescent="0.2">
      <c r="A161" s="13">
        <v>45818</v>
      </c>
      <c r="B161" s="14">
        <v>16.2</v>
      </c>
      <c r="C161" s="14">
        <v>13.27</v>
      </c>
      <c r="D161" s="14">
        <v>450.17</v>
      </c>
      <c r="E161" s="14">
        <v>41.27</v>
      </c>
      <c r="F161" s="14">
        <v>501.31</v>
      </c>
      <c r="G161" s="14">
        <v>160.16999999999999</v>
      </c>
      <c r="H161" s="14">
        <v>9.35</v>
      </c>
      <c r="I161" s="14">
        <v>67.215294</v>
      </c>
      <c r="J161">
        <f t="shared" si="8"/>
        <v>1.4402003757044479E-2</v>
      </c>
      <c r="K161">
        <f t="shared" si="8"/>
        <v>2.7089783281733615E-2</v>
      </c>
      <c r="L161">
        <f t="shared" si="8"/>
        <v>-2.8353084505481352E-3</v>
      </c>
      <c r="M161">
        <f t="shared" si="7"/>
        <v>-1.2206797510770695E-2</v>
      </c>
      <c r="N161">
        <f t="shared" si="7"/>
        <v>-7.6213476918204348E-3</v>
      </c>
      <c r="O161">
        <f t="shared" si="7"/>
        <v>1.4440433212996373E-2</v>
      </c>
      <c r="P161">
        <f t="shared" si="7"/>
        <v>-8.4835630965005571E-3</v>
      </c>
      <c r="Q161">
        <f t="shared" si="7"/>
        <v>-9.5168780002452547E-3</v>
      </c>
      <c r="R161" s="15">
        <f t="shared" si="9"/>
        <v>9.108093396316036E-4</v>
      </c>
    </row>
    <row r="162" spans="1:18" x14ac:dyDescent="0.2">
      <c r="A162" s="11">
        <v>45817</v>
      </c>
      <c r="B162" s="12">
        <v>15.97</v>
      </c>
      <c r="C162" s="12">
        <v>12.92</v>
      </c>
      <c r="D162" s="12">
        <v>451.45</v>
      </c>
      <c r="E162" s="12">
        <v>41.78</v>
      </c>
      <c r="F162" s="12">
        <v>505.16</v>
      </c>
      <c r="G162" s="12">
        <v>157.88999999999999</v>
      </c>
      <c r="H162" s="12">
        <v>9.43</v>
      </c>
      <c r="I162" s="12">
        <v>67.86112</v>
      </c>
      <c r="J162">
        <f t="shared" si="8"/>
        <v>-1.4197530864197394E-2</v>
      </c>
      <c r="K162">
        <f t="shared" si="8"/>
        <v>7.7459333849727585E-4</v>
      </c>
      <c r="L162">
        <f t="shared" si="8"/>
        <v>-1.4387389747620327E-2</v>
      </c>
      <c r="M162">
        <f t="shared" si="7"/>
        <v>-1.6478342749529085E-2</v>
      </c>
      <c r="N162">
        <f t="shared" si="7"/>
        <v>2.9090612777053604E-2</v>
      </c>
      <c r="O162">
        <f t="shared" si="7"/>
        <v>4.9007128309570547E-3</v>
      </c>
      <c r="P162">
        <f t="shared" si="7"/>
        <v>1.1802575107296098E-2</v>
      </c>
      <c r="Q162">
        <f t="shared" si="7"/>
        <v>-9.9929828246975161E-3</v>
      </c>
      <c r="R162" s="15">
        <f t="shared" si="9"/>
        <v>3.7419928027066316E-3</v>
      </c>
    </row>
    <row r="163" spans="1:18" x14ac:dyDescent="0.2">
      <c r="A163" s="13">
        <v>45814</v>
      </c>
      <c r="B163" s="14">
        <v>16.2</v>
      </c>
      <c r="C163" s="14">
        <v>12.91</v>
      </c>
      <c r="D163" s="14">
        <v>458.04</v>
      </c>
      <c r="E163" s="14">
        <v>42.48</v>
      </c>
      <c r="F163" s="14">
        <v>490.88</v>
      </c>
      <c r="G163" s="14">
        <v>157.12</v>
      </c>
      <c r="H163" s="14">
        <v>9.32</v>
      </c>
      <c r="I163" s="14">
        <v>68.546099999999996</v>
      </c>
      <c r="J163">
        <f t="shared" si="8"/>
        <v>1.5037593984962294E-2</v>
      </c>
      <c r="K163">
        <f t="shared" si="8"/>
        <v>-1.2996941896024405E-2</v>
      </c>
      <c r="L163">
        <f t="shared" si="8"/>
        <v>1.8432462479155198E-2</v>
      </c>
      <c r="M163">
        <f t="shared" si="7"/>
        <v>3.9902080783353666E-2</v>
      </c>
      <c r="N163">
        <f t="shared" si="7"/>
        <v>5.3413163372604489E-2</v>
      </c>
      <c r="O163">
        <f t="shared" si="7"/>
        <v>-3.551496702181689E-3</v>
      </c>
      <c r="P163">
        <f t="shared" si="7"/>
        <v>8.6580086580085869E-3</v>
      </c>
      <c r="Q163">
        <f t="shared" si="7"/>
        <v>2.1137025913328999E-2</v>
      </c>
      <c r="R163" s="15">
        <f t="shared" si="9"/>
        <v>1.945880499310404E-2</v>
      </c>
    </row>
    <row r="164" spans="1:18" x14ac:dyDescent="0.2">
      <c r="A164" s="11">
        <v>45813</v>
      </c>
      <c r="B164" s="12">
        <v>15.96</v>
      </c>
      <c r="C164" s="12">
        <v>13.08</v>
      </c>
      <c r="D164" s="12">
        <v>449.75</v>
      </c>
      <c r="E164" s="12">
        <v>40.85</v>
      </c>
      <c r="F164" s="12">
        <v>465.99</v>
      </c>
      <c r="G164" s="12">
        <v>157.68</v>
      </c>
      <c r="H164" s="12">
        <v>9.24</v>
      </c>
      <c r="I164" s="12">
        <v>67.127229999999997</v>
      </c>
      <c r="J164">
        <f t="shared" si="8"/>
        <v>-7.4626865671639786E-3</v>
      </c>
      <c r="K164">
        <f t="shared" si="8"/>
        <v>3.0674846625766694E-3</v>
      </c>
      <c r="L164">
        <f t="shared" si="8"/>
        <v>1.0424389476758611E-2</v>
      </c>
      <c r="M164">
        <f t="shared" si="7"/>
        <v>7.3982737361284467E-3</v>
      </c>
      <c r="N164">
        <f t="shared" si="7"/>
        <v>0.10157912155453652</v>
      </c>
      <c r="O164">
        <f t="shared" si="7"/>
        <v>1.388888888888884E-2</v>
      </c>
      <c r="P164">
        <f t="shared" si="7"/>
        <v>3.2573289902280145E-3</v>
      </c>
      <c r="Q164">
        <f t="shared" si="7"/>
        <v>-1.2523362148795458E-2</v>
      </c>
      <c r="R164" s="15">
        <f t="shared" si="9"/>
        <v>2.4485116688305136E-2</v>
      </c>
    </row>
    <row r="165" spans="1:18" x14ac:dyDescent="0.2">
      <c r="A165" s="13">
        <v>45812</v>
      </c>
      <c r="B165" s="14">
        <v>16.079999999999998</v>
      </c>
      <c r="C165" s="14">
        <v>13.04</v>
      </c>
      <c r="D165" s="14">
        <v>445.11</v>
      </c>
      <c r="E165" s="14">
        <v>40.549999999999997</v>
      </c>
      <c r="F165" s="14">
        <v>423.02</v>
      </c>
      <c r="G165" s="14">
        <v>155.52000000000001</v>
      </c>
      <c r="H165" s="14">
        <v>9.2100000000000009</v>
      </c>
      <c r="I165" s="14">
        <v>67.978549999999998</v>
      </c>
      <c r="J165">
        <f t="shared" si="8"/>
        <v>-1.5911872705018482E-2</v>
      </c>
      <c r="K165">
        <f t="shared" si="8"/>
        <v>-4.5801526717557106E-3</v>
      </c>
      <c r="L165">
        <f t="shared" si="8"/>
        <v>1.1268885607179424E-2</v>
      </c>
      <c r="M165">
        <f t="shared" si="7"/>
        <v>4.4587565023532783E-3</v>
      </c>
      <c r="N165">
        <f t="shared" si="7"/>
        <v>4.2494599150106893E-3</v>
      </c>
      <c r="O165">
        <f t="shared" si="7"/>
        <v>-1.5135203596985503E-2</v>
      </c>
      <c r="P165">
        <f t="shared" si="7"/>
        <v>1.3201320132013361E-2</v>
      </c>
      <c r="Q165">
        <f t="shared" si="7"/>
        <v>-3.5004749842570959E-2</v>
      </c>
      <c r="R165" s="15">
        <f t="shared" si="9"/>
        <v>-1.8059097386104116E-3</v>
      </c>
    </row>
    <row r="166" spans="1:18" x14ac:dyDescent="0.2">
      <c r="A166" s="11">
        <v>45811</v>
      </c>
      <c r="B166" s="12">
        <v>16.34</v>
      </c>
      <c r="C166" s="12">
        <v>13.1</v>
      </c>
      <c r="D166" s="12">
        <v>440.15</v>
      </c>
      <c r="E166" s="12">
        <v>40.369999999999997</v>
      </c>
      <c r="F166" s="12">
        <v>421.23</v>
      </c>
      <c r="G166" s="12">
        <v>157.91</v>
      </c>
      <c r="H166" s="12">
        <v>9.09</v>
      </c>
      <c r="I166" s="12">
        <v>70.44444</v>
      </c>
      <c r="J166">
        <f t="shared" si="8"/>
        <v>6.1236987140245169E-4</v>
      </c>
      <c r="K166">
        <f t="shared" si="8"/>
        <v>2.2953328232593329E-3</v>
      </c>
      <c r="L166">
        <f t="shared" si="8"/>
        <v>-9.875376793989421E-3</v>
      </c>
      <c r="M166">
        <f t="shared" si="7"/>
        <v>-7.3764445537252143E-3</v>
      </c>
      <c r="N166">
        <f t="shared" si="7"/>
        <v>-1.5407224803261066E-3</v>
      </c>
      <c r="O166">
        <f t="shared" si="7"/>
        <v>2.725735102784288E-2</v>
      </c>
      <c r="P166">
        <f t="shared" si="7"/>
        <v>1.7917133258678719E-2</v>
      </c>
      <c r="Q166">
        <f t="shared" si="7"/>
        <v>-2.2176736565100441E-3</v>
      </c>
      <c r="R166" s="15">
        <f t="shared" si="9"/>
        <v>4.8135271596408237E-3</v>
      </c>
    </row>
    <row r="167" spans="1:18" x14ac:dyDescent="0.2">
      <c r="A167" s="13">
        <v>45810</v>
      </c>
      <c r="B167" s="14">
        <v>16.329999999999998</v>
      </c>
      <c r="C167" s="14">
        <v>13.07</v>
      </c>
      <c r="D167" s="14">
        <v>444.54</v>
      </c>
      <c r="E167" s="14">
        <v>40.67</v>
      </c>
      <c r="F167" s="14">
        <v>421.88</v>
      </c>
      <c r="G167" s="14">
        <v>153.72</v>
      </c>
      <c r="H167" s="14">
        <v>8.93</v>
      </c>
      <c r="I167" s="14">
        <v>70.601010000000002</v>
      </c>
      <c r="J167">
        <f t="shared" si="8"/>
        <v>-3.6607687614400586E-3</v>
      </c>
      <c r="K167">
        <f t="shared" si="8"/>
        <v>-1.5813253012048167E-2</v>
      </c>
      <c r="L167">
        <f t="shared" si="8"/>
        <v>-3.1394357985378152E-3</v>
      </c>
      <c r="M167">
        <f t="shared" si="7"/>
        <v>-3.0974505599237534E-2</v>
      </c>
      <c r="N167">
        <f t="shared" si="7"/>
        <v>2.9126213592232997E-2</v>
      </c>
      <c r="O167">
        <f t="shared" si="7"/>
        <v>1.9093078758949833E-2</v>
      </c>
      <c r="P167">
        <f t="shared" si="7"/>
        <v>-4.1845493562231773E-2</v>
      </c>
      <c r="Q167">
        <f t="shared" si="7"/>
        <v>-2.8282894458855568E-2</v>
      </c>
      <c r="R167" s="15">
        <f t="shared" si="9"/>
        <v>-5.7835867136623604E-3</v>
      </c>
    </row>
    <row r="168" spans="1:18" x14ac:dyDescent="0.2">
      <c r="A168" s="11">
        <v>45807</v>
      </c>
      <c r="B168" s="12">
        <v>16.39</v>
      </c>
      <c r="C168" s="12">
        <v>13.28</v>
      </c>
      <c r="D168" s="12">
        <v>445.94</v>
      </c>
      <c r="E168" s="12">
        <v>41.97</v>
      </c>
      <c r="F168" s="12">
        <v>409.94</v>
      </c>
      <c r="G168" s="12">
        <v>150.84</v>
      </c>
      <c r="H168" s="12">
        <v>9.32</v>
      </c>
      <c r="I168" s="12">
        <v>72.655929999999998</v>
      </c>
      <c r="J168">
        <f t="shared" si="8"/>
        <v>-1.9150209455415901E-2</v>
      </c>
      <c r="K168">
        <f t="shared" si="8"/>
        <v>-2.5678650036683903E-2</v>
      </c>
      <c r="L168">
        <f t="shared" si="8"/>
        <v>7.7056922694507257E-3</v>
      </c>
      <c r="M168">
        <f t="shared" si="7"/>
        <v>-6.8622811168953524E-3</v>
      </c>
      <c r="N168">
        <f t="shared" si="7"/>
        <v>2.8810922049892218E-2</v>
      </c>
      <c r="O168">
        <f t="shared" si="7"/>
        <v>-1.4954613726898658E-2</v>
      </c>
      <c r="P168">
        <f t="shared" si="7"/>
        <v>0</v>
      </c>
      <c r="Q168">
        <f t="shared" si="7"/>
        <v>2.4420530559995823E-2</v>
      </c>
      <c r="R168" s="15">
        <f t="shared" si="9"/>
        <v>1.860699664856223E-3</v>
      </c>
    </row>
    <row r="169" spans="1:18" x14ac:dyDescent="0.2">
      <c r="A169" s="13">
        <v>45806</v>
      </c>
      <c r="B169" s="14">
        <v>16.71</v>
      </c>
      <c r="C169" s="14">
        <v>13.63</v>
      </c>
      <c r="D169" s="14">
        <v>442.53</v>
      </c>
      <c r="E169" s="14">
        <v>42.26</v>
      </c>
      <c r="F169" s="14">
        <v>398.46</v>
      </c>
      <c r="G169" s="14">
        <v>153.13</v>
      </c>
      <c r="H169" s="14">
        <v>9.32</v>
      </c>
      <c r="I169" s="14">
        <v>70.923929999999999</v>
      </c>
      <c r="J169">
        <f t="shared" si="8"/>
        <v>-1.0071090047393261E-2</v>
      </c>
      <c r="K169">
        <f t="shared" si="8"/>
        <v>-1.3034033309196169E-2</v>
      </c>
      <c r="L169">
        <f t="shared" si="8"/>
        <v>-2.8167109829194681E-3</v>
      </c>
      <c r="M169">
        <f t="shared" si="7"/>
        <v>7.6299475441106157E-3</v>
      </c>
      <c r="N169">
        <f t="shared" si="7"/>
        <v>1.6738964021434155E-2</v>
      </c>
      <c r="O169">
        <f t="shared" si="7"/>
        <v>-1.238310222508876E-2</v>
      </c>
      <c r="P169">
        <f t="shared" si="7"/>
        <v>3.6707452725250223E-2</v>
      </c>
      <c r="Q169">
        <f t="shared" si="7"/>
        <v>1.0033554839134151E-2</v>
      </c>
      <c r="R169" s="15">
        <f t="shared" si="9"/>
        <v>6.9337585766285955E-3</v>
      </c>
    </row>
    <row r="170" spans="1:18" x14ac:dyDescent="0.2">
      <c r="A170" s="11">
        <v>45805</v>
      </c>
      <c r="B170" s="12">
        <v>16.88</v>
      </c>
      <c r="C170" s="12">
        <v>13.81</v>
      </c>
      <c r="D170" s="12">
        <v>443.78</v>
      </c>
      <c r="E170" s="12">
        <v>41.94</v>
      </c>
      <c r="F170" s="12">
        <v>391.9</v>
      </c>
      <c r="G170" s="12">
        <v>155.05000000000001</v>
      </c>
      <c r="H170" s="12">
        <v>8.99</v>
      </c>
      <c r="I170" s="12">
        <v>70.219380000000001</v>
      </c>
      <c r="J170">
        <f t="shared" si="8"/>
        <v>1.7804154302669684E-3</v>
      </c>
      <c r="K170">
        <f t="shared" si="8"/>
        <v>-5.0432276657060848E-3</v>
      </c>
      <c r="L170">
        <f t="shared" si="8"/>
        <v>2.7030779912057268E-2</v>
      </c>
      <c r="M170">
        <f t="shared" si="7"/>
        <v>-7.1479628305937126E-4</v>
      </c>
      <c r="N170">
        <f t="shared" si="7"/>
        <v>1.0025514806319302E-2</v>
      </c>
      <c r="O170">
        <f t="shared" si="7"/>
        <v>4.5167118337863243E-4</v>
      </c>
      <c r="P170">
        <f t="shared" si="7"/>
        <v>2.0431328036322416E-2</v>
      </c>
      <c r="Q170">
        <f t="shared" si="7"/>
        <v>4.1980195301221102E-3</v>
      </c>
      <c r="R170" s="15">
        <f t="shared" si="9"/>
        <v>8.7447995187498583E-3</v>
      </c>
    </row>
    <row r="171" spans="1:18" x14ac:dyDescent="0.2">
      <c r="A171" s="13">
        <v>45804</v>
      </c>
      <c r="B171" s="14">
        <v>16.850000000000001</v>
      </c>
      <c r="C171" s="14">
        <v>13.88</v>
      </c>
      <c r="D171" s="14">
        <v>432.1</v>
      </c>
      <c r="E171" s="14">
        <v>41.97</v>
      </c>
      <c r="F171" s="14">
        <v>388.01</v>
      </c>
      <c r="G171" s="14">
        <v>154.97999999999999</v>
      </c>
      <c r="H171" s="14">
        <v>8.81</v>
      </c>
      <c r="I171" s="14">
        <v>69.925830000000005</v>
      </c>
      <c r="J171">
        <f t="shared" si="8"/>
        <v>3.5735556879095132E-3</v>
      </c>
      <c r="K171">
        <f t="shared" si="8"/>
        <v>-4.3041606886655703E-3</v>
      </c>
      <c r="L171">
        <f t="shared" si="8"/>
        <v>-5.8851716326886128E-2</v>
      </c>
      <c r="M171">
        <f t="shared" si="7"/>
        <v>-3.0878859857482732E-3</v>
      </c>
      <c r="N171">
        <f t="shared" si="7"/>
        <v>-4.6400747130674103E-2</v>
      </c>
      <c r="O171">
        <f t="shared" si="7"/>
        <v>1.3802577353306589E-2</v>
      </c>
      <c r="P171">
        <f t="shared" si="7"/>
        <v>1.9675925925925819E-2</v>
      </c>
      <c r="Q171">
        <f t="shared" si="7"/>
        <v>2.5839794494709967E-2</v>
      </c>
      <c r="R171" s="15">
        <f t="shared" si="9"/>
        <v>-9.9273940196585794E-3</v>
      </c>
    </row>
    <row r="172" spans="1:18" x14ac:dyDescent="0.2">
      <c r="A172" s="11">
        <v>45803</v>
      </c>
      <c r="B172" s="12">
        <v>16.79</v>
      </c>
      <c r="C172" s="12">
        <v>13.94</v>
      </c>
      <c r="D172" s="12">
        <v>459.12</v>
      </c>
      <c r="E172" s="12">
        <v>42.1</v>
      </c>
      <c r="F172" s="12">
        <v>406.89</v>
      </c>
      <c r="G172" s="12">
        <v>152.87</v>
      </c>
      <c r="H172" s="12">
        <v>8.64</v>
      </c>
      <c r="I172" s="12">
        <v>68.164473999999998</v>
      </c>
      <c r="J172">
        <f t="shared" si="8"/>
        <v>-2.3767082590611111E-3</v>
      </c>
      <c r="K172">
        <f t="shared" si="8"/>
        <v>7.9537237888647194E-3</v>
      </c>
      <c r="L172">
        <f t="shared" si="8"/>
        <v>2.6654740608228922E-2</v>
      </c>
      <c r="M172">
        <f t="shared" si="7"/>
        <v>1.7153901908673719E-2</v>
      </c>
      <c r="N172">
        <f t="shared" si="7"/>
        <v>8.1266569212852247E-3</v>
      </c>
      <c r="O172">
        <f t="shared" ref="O172:Q235" si="10">G172/G173-1</f>
        <v>-1.8282729350310722E-3</v>
      </c>
      <c r="P172">
        <f t="shared" si="10"/>
        <v>1.1587485515642815E-3</v>
      </c>
      <c r="Q172">
        <f t="shared" si="10"/>
        <v>1.7528525128005956E-2</v>
      </c>
      <c r="R172" s="15">
        <f t="shared" si="9"/>
        <v>8.4771020073902865E-3</v>
      </c>
    </row>
    <row r="173" spans="1:18" x14ac:dyDescent="0.2">
      <c r="A173" s="13">
        <v>45800</v>
      </c>
      <c r="B173" s="14">
        <v>16.829999999999998</v>
      </c>
      <c r="C173" s="14">
        <v>13.83</v>
      </c>
      <c r="D173" s="14">
        <v>447.2</v>
      </c>
      <c r="E173" s="14">
        <v>41.39</v>
      </c>
      <c r="F173" s="14">
        <v>403.61</v>
      </c>
      <c r="G173" s="14">
        <v>153.15</v>
      </c>
      <c r="H173" s="14">
        <v>8.6300000000000008</v>
      </c>
      <c r="I173" s="14">
        <v>66.990234000000001</v>
      </c>
      <c r="J173">
        <f t="shared" si="8"/>
        <v>5.9453032104617165E-4</v>
      </c>
      <c r="K173">
        <f t="shared" si="8"/>
        <v>1.7660044150110465E-2</v>
      </c>
      <c r="L173">
        <f t="shared" si="8"/>
        <v>2.5405851600476925E-2</v>
      </c>
      <c r="M173">
        <f t="shared" si="8"/>
        <v>-1.4992860542598851E-2</v>
      </c>
      <c r="N173">
        <f t="shared" si="8"/>
        <v>-1.9288310789089547E-3</v>
      </c>
      <c r="O173">
        <f t="shared" si="10"/>
        <v>5.5810899540380543E-3</v>
      </c>
      <c r="P173">
        <f t="shared" si="10"/>
        <v>3.7259615384615419E-2</v>
      </c>
      <c r="Q173">
        <f t="shared" si="10"/>
        <v>-4.3794660918905493E-4</v>
      </c>
      <c r="R173" s="15">
        <f t="shared" si="9"/>
        <v>1.0364908979063125E-2</v>
      </c>
    </row>
    <row r="174" spans="1:18" x14ac:dyDescent="0.2">
      <c r="A174" s="11">
        <v>45799</v>
      </c>
      <c r="B174" s="12">
        <v>16.82</v>
      </c>
      <c r="C174" s="12">
        <v>13.59</v>
      </c>
      <c r="D174" s="12">
        <v>436.12</v>
      </c>
      <c r="E174" s="12">
        <v>42.02</v>
      </c>
      <c r="F174" s="12">
        <v>404.39</v>
      </c>
      <c r="G174" s="12">
        <v>152.30000000000001</v>
      </c>
      <c r="H174" s="12">
        <v>8.32</v>
      </c>
      <c r="I174" s="12">
        <v>67.019585000000006</v>
      </c>
      <c r="J174">
        <f t="shared" si="8"/>
        <v>-1.0005885815185245E-2</v>
      </c>
      <c r="K174">
        <f t="shared" si="8"/>
        <v>-3.665689149560114E-3</v>
      </c>
      <c r="L174">
        <f t="shared" si="8"/>
        <v>-1.2677714389205841E-2</v>
      </c>
      <c r="M174">
        <f t="shared" si="8"/>
        <v>4.7619047619051891E-4</v>
      </c>
      <c r="N174">
        <f t="shared" si="8"/>
        <v>-4.7799571452117995E-2</v>
      </c>
      <c r="O174">
        <f t="shared" si="10"/>
        <v>3.3599051320905016E-3</v>
      </c>
      <c r="P174">
        <f t="shared" si="10"/>
        <v>2.4096385542167198E-3</v>
      </c>
      <c r="Q174">
        <f t="shared" si="10"/>
        <v>-2.2269903028764415E-2</v>
      </c>
      <c r="R174" s="15">
        <f t="shared" si="9"/>
        <v>-1.3621642230050404E-2</v>
      </c>
    </row>
    <row r="175" spans="1:18" x14ac:dyDescent="0.2">
      <c r="A175" s="13">
        <v>45798</v>
      </c>
      <c r="B175" s="14">
        <v>16.989999999999998</v>
      </c>
      <c r="C175" s="14">
        <v>13.64</v>
      </c>
      <c r="D175" s="14">
        <v>441.72</v>
      </c>
      <c r="E175" s="14">
        <v>42</v>
      </c>
      <c r="F175" s="14">
        <v>424.69</v>
      </c>
      <c r="G175" s="14">
        <v>151.79</v>
      </c>
      <c r="H175" s="14">
        <v>8.3000000000000007</v>
      </c>
      <c r="I175" s="14">
        <v>68.546099999999996</v>
      </c>
      <c r="J175">
        <f t="shared" si="8"/>
        <v>5.3254437869822979E-3</v>
      </c>
      <c r="K175">
        <f t="shared" si="8"/>
        <v>7.3855243722305008E-3</v>
      </c>
      <c r="L175">
        <f t="shared" si="8"/>
        <v>8.6313193588163362E-3</v>
      </c>
      <c r="M175">
        <f t="shared" si="8"/>
        <v>1.9083969465647499E-3</v>
      </c>
      <c r="N175">
        <f t="shared" si="8"/>
        <v>3.8082667253305891E-2</v>
      </c>
      <c r="O175">
        <f t="shared" si="10"/>
        <v>-1.0946764840033874E-2</v>
      </c>
      <c r="P175">
        <f t="shared" si="10"/>
        <v>0</v>
      </c>
      <c r="Q175">
        <f t="shared" si="10"/>
        <v>2.7427350907762271E-2</v>
      </c>
      <c r="R175" s="15">
        <f t="shared" si="9"/>
        <v>1.1104958350363204E-2</v>
      </c>
    </row>
    <row r="176" spans="1:18" x14ac:dyDescent="0.2">
      <c r="A176" s="11">
        <v>45797</v>
      </c>
      <c r="B176" s="12">
        <v>16.899999999999999</v>
      </c>
      <c r="C176" s="12">
        <v>13.54</v>
      </c>
      <c r="D176" s="12">
        <v>437.94</v>
      </c>
      <c r="E176" s="12">
        <v>41.92</v>
      </c>
      <c r="F176" s="12">
        <v>409.11</v>
      </c>
      <c r="G176" s="12">
        <v>153.47</v>
      </c>
      <c r="H176" s="12">
        <v>8.3000000000000007</v>
      </c>
      <c r="I176" s="12">
        <v>66.716250000000002</v>
      </c>
      <c r="J176">
        <f t="shared" si="8"/>
        <v>1.1370436864152955E-2</v>
      </c>
      <c r="K176">
        <f t="shared" si="8"/>
        <v>1.3473053892215647E-2</v>
      </c>
      <c r="L176">
        <f t="shared" si="8"/>
        <v>-7.6588416568476037E-3</v>
      </c>
      <c r="M176">
        <f t="shared" si="8"/>
        <v>-1.08541764983483E-2</v>
      </c>
      <c r="N176">
        <f t="shared" si="8"/>
        <v>2.6650606037792679E-2</v>
      </c>
      <c r="O176">
        <f t="shared" si="10"/>
        <v>-2.6267368821775383E-2</v>
      </c>
      <c r="P176">
        <f t="shared" si="10"/>
        <v>1.71568627450982E-2</v>
      </c>
      <c r="Q176">
        <f t="shared" si="10"/>
        <v>1.4281543257123053E-2</v>
      </c>
      <c r="R176" s="15">
        <f t="shared" si="9"/>
        <v>6.4741197537273466E-3</v>
      </c>
    </row>
    <row r="177" spans="1:18" x14ac:dyDescent="0.2">
      <c r="A177" s="13">
        <v>45796</v>
      </c>
      <c r="B177" s="14">
        <v>16.71</v>
      </c>
      <c r="C177" s="14">
        <v>13.36</v>
      </c>
      <c r="D177" s="14">
        <v>441.32</v>
      </c>
      <c r="E177" s="14">
        <v>42.38</v>
      </c>
      <c r="F177" s="14">
        <v>398.49</v>
      </c>
      <c r="G177" s="14">
        <v>157.61000000000001</v>
      </c>
      <c r="H177" s="14">
        <v>8.16</v>
      </c>
      <c r="I177" s="14">
        <v>65.776854999999998</v>
      </c>
      <c r="J177">
        <f t="shared" si="8"/>
        <v>-6.5398335315101086E-3</v>
      </c>
      <c r="K177">
        <f t="shared" si="8"/>
        <v>0</v>
      </c>
      <c r="L177">
        <f t="shared" si="8"/>
        <v>2.1952575027788024E-2</v>
      </c>
      <c r="M177">
        <f t="shared" si="8"/>
        <v>1.09732824427482E-2</v>
      </c>
      <c r="N177">
        <f t="shared" si="8"/>
        <v>6.1608382779951842E-3</v>
      </c>
      <c r="O177">
        <f t="shared" si="10"/>
        <v>2.0129449838187874E-2</v>
      </c>
      <c r="P177">
        <f t="shared" si="10"/>
        <v>-5.0058207217694939E-2</v>
      </c>
      <c r="Q177">
        <f t="shared" si="10"/>
        <v>-1.5812613612270598E-2</v>
      </c>
      <c r="R177" s="15">
        <f t="shared" si="9"/>
        <v>-2.5642875596034037E-3</v>
      </c>
    </row>
    <row r="178" spans="1:18" x14ac:dyDescent="0.2">
      <c r="A178" s="11">
        <v>45793</v>
      </c>
      <c r="B178" s="12">
        <v>16.82</v>
      </c>
      <c r="C178" s="12">
        <v>13.36</v>
      </c>
      <c r="D178" s="12">
        <v>431.84</v>
      </c>
      <c r="E178" s="12">
        <v>41.92</v>
      </c>
      <c r="F178" s="12">
        <v>396.05</v>
      </c>
      <c r="G178" s="12">
        <v>154.5</v>
      </c>
      <c r="H178" s="12">
        <v>8.59</v>
      </c>
      <c r="I178" s="12">
        <v>66.833669999999998</v>
      </c>
      <c r="J178">
        <f t="shared" si="8"/>
        <v>-4.7337278106507341E-3</v>
      </c>
      <c r="K178">
        <f t="shared" si="8"/>
        <v>-5.2122114668652353E-3</v>
      </c>
      <c r="L178">
        <f t="shared" si="8"/>
        <v>-1.363605216874908E-2</v>
      </c>
      <c r="M178">
        <f t="shared" si="8"/>
        <v>2.3860653781926366E-4</v>
      </c>
      <c r="N178">
        <f t="shared" si="8"/>
        <v>-4.3241068959448681E-3</v>
      </c>
      <c r="O178">
        <f t="shared" si="10"/>
        <v>4.5968451695890478E-2</v>
      </c>
      <c r="P178">
        <f t="shared" si="10"/>
        <v>8.215962441314506E-3</v>
      </c>
      <c r="Q178">
        <f t="shared" si="10"/>
        <v>2.9700046035834093E-2</v>
      </c>
      <c r="R178" s="15">
        <f t="shared" si="9"/>
        <v>6.7333449291130483E-3</v>
      </c>
    </row>
    <row r="179" spans="1:18" x14ac:dyDescent="0.2">
      <c r="A179" s="13">
        <v>45792</v>
      </c>
      <c r="B179" s="14">
        <v>16.899999999999999</v>
      </c>
      <c r="C179" s="14">
        <v>13.43</v>
      </c>
      <c r="D179" s="14">
        <v>437.81</v>
      </c>
      <c r="E179" s="14">
        <v>41.91</v>
      </c>
      <c r="F179" s="14">
        <v>397.77</v>
      </c>
      <c r="G179" s="14">
        <v>147.71</v>
      </c>
      <c r="H179" s="14">
        <v>8.52</v>
      </c>
      <c r="I179" s="14">
        <v>64.905959999999993</v>
      </c>
      <c r="J179">
        <f t="shared" si="8"/>
        <v>0</v>
      </c>
      <c r="K179">
        <f t="shared" si="8"/>
        <v>9.7744360902254357E-3</v>
      </c>
      <c r="L179">
        <f t="shared" si="8"/>
        <v>3.1160205379433759E-2</v>
      </c>
      <c r="M179">
        <f t="shared" si="8"/>
        <v>2.8715003589374621E-3</v>
      </c>
      <c r="N179">
        <f t="shared" si="8"/>
        <v>5.3074531806807101E-3</v>
      </c>
      <c r="O179">
        <f t="shared" si="10"/>
        <v>1.0950653617137762E-2</v>
      </c>
      <c r="P179">
        <f t="shared" si="10"/>
        <v>-1.1723329425556983E-3</v>
      </c>
      <c r="Q179">
        <f t="shared" si="10"/>
        <v>-2.470236619438948E-2</v>
      </c>
      <c r="R179" s="15">
        <f t="shared" si="9"/>
        <v>5.5450184263178288E-3</v>
      </c>
    </row>
    <row r="180" spans="1:18" x14ac:dyDescent="0.2">
      <c r="A180" s="11">
        <v>45791</v>
      </c>
      <c r="B180" s="12">
        <v>16.899999999999999</v>
      </c>
      <c r="C180" s="12">
        <v>13.3</v>
      </c>
      <c r="D180" s="12">
        <v>424.58</v>
      </c>
      <c r="E180" s="12">
        <v>41.79</v>
      </c>
      <c r="F180" s="12">
        <v>395.67</v>
      </c>
      <c r="G180" s="12">
        <v>146.11000000000001</v>
      </c>
      <c r="H180" s="12">
        <v>8.5299999999999994</v>
      </c>
      <c r="I180" s="12">
        <v>66.549899999999994</v>
      </c>
      <c r="J180">
        <f t="shared" si="8"/>
        <v>8.9552238805969964E-3</v>
      </c>
      <c r="K180">
        <f t="shared" si="8"/>
        <v>5.2910052910053462E-3</v>
      </c>
      <c r="L180">
        <f t="shared" si="8"/>
        <v>1.8543840710087522E-2</v>
      </c>
      <c r="M180">
        <f t="shared" si="8"/>
        <v>-9.0111453640029371E-3</v>
      </c>
      <c r="N180">
        <f t="shared" si="8"/>
        <v>-1.816422243728133E-2</v>
      </c>
      <c r="O180">
        <f t="shared" si="10"/>
        <v>-2.8588524699155515E-2</v>
      </c>
      <c r="P180">
        <f t="shared" si="10"/>
        <v>1.5476190476190421E-2</v>
      </c>
      <c r="Q180">
        <f t="shared" si="10"/>
        <v>-9.1782539386899842E-3</v>
      </c>
      <c r="R180" s="15">
        <f t="shared" si="9"/>
        <v>-3.2075018089450921E-3</v>
      </c>
    </row>
    <row r="181" spans="1:18" x14ac:dyDescent="0.2">
      <c r="A181" s="13">
        <v>45790</v>
      </c>
      <c r="B181" s="14">
        <v>16.75</v>
      </c>
      <c r="C181" s="14">
        <v>13.23</v>
      </c>
      <c r="D181" s="14">
        <v>416.85</v>
      </c>
      <c r="E181" s="14">
        <v>42.17</v>
      </c>
      <c r="F181" s="14">
        <v>402.99</v>
      </c>
      <c r="G181" s="14">
        <v>150.41</v>
      </c>
      <c r="H181" s="14">
        <v>8.4</v>
      </c>
      <c r="I181" s="14">
        <v>67.166370000000001</v>
      </c>
      <c r="J181">
        <f t="shared" ref="J181:N231" si="11">B181/B182-1</f>
        <v>9.6443640747438941E-3</v>
      </c>
      <c r="K181">
        <f t="shared" si="11"/>
        <v>2.4786986831913271E-2</v>
      </c>
      <c r="L181">
        <f t="shared" si="11"/>
        <v>-8.1376258119779665E-3</v>
      </c>
      <c r="M181">
        <f t="shared" si="11"/>
        <v>2.1312666505207245E-2</v>
      </c>
      <c r="N181">
        <f t="shared" si="11"/>
        <v>4.0054713913335149E-2</v>
      </c>
      <c r="O181">
        <f t="shared" si="10"/>
        <v>2.0212982432340709E-2</v>
      </c>
      <c r="P181">
        <f t="shared" si="10"/>
        <v>2.689486552567244E-2</v>
      </c>
      <c r="Q181">
        <f t="shared" si="10"/>
        <v>-1.6336981884947921E-2</v>
      </c>
      <c r="R181" s="15">
        <f t="shared" si="9"/>
        <v>1.8946218616417827E-2</v>
      </c>
    </row>
    <row r="182" spans="1:18" x14ac:dyDescent="0.2">
      <c r="A182" s="11">
        <v>45789</v>
      </c>
      <c r="B182" s="12">
        <v>16.59</v>
      </c>
      <c r="C182" s="12">
        <v>12.91</v>
      </c>
      <c r="D182" s="12">
        <v>420.27</v>
      </c>
      <c r="E182" s="12">
        <v>41.29</v>
      </c>
      <c r="F182" s="12">
        <v>387.47</v>
      </c>
      <c r="G182" s="12">
        <v>147.43</v>
      </c>
      <c r="H182" s="12">
        <v>8.18</v>
      </c>
      <c r="I182" s="12">
        <v>68.281890000000004</v>
      </c>
      <c r="J182">
        <f t="shared" si="11"/>
        <v>6.0313630880592939E-4</v>
      </c>
      <c r="K182">
        <f t="shared" si="11"/>
        <v>3.4455128205128194E-2</v>
      </c>
      <c r="L182">
        <f t="shared" si="11"/>
        <v>-8.3527996035960284E-3</v>
      </c>
      <c r="M182">
        <f t="shared" si="11"/>
        <v>5.6015586945932228E-3</v>
      </c>
      <c r="N182">
        <f t="shared" si="11"/>
        <v>-7.6550918754021646E-2</v>
      </c>
      <c r="O182">
        <f t="shared" si="10"/>
        <v>1.7109348051052242E-2</v>
      </c>
      <c r="P182">
        <f t="shared" si="10"/>
        <v>3.9390088945362001E-2</v>
      </c>
      <c r="Q182">
        <f t="shared" si="10"/>
        <v>-9.9319577607019927E-3</v>
      </c>
      <c r="R182" s="15">
        <f t="shared" si="9"/>
        <v>-4.4385063739914065E-3</v>
      </c>
    </row>
    <row r="183" spans="1:18" x14ac:dyDescent="0.2">
      <c r="A183" s="13">
        <v>45786</v>
      </c>
      <c r="B183" s="14">
        <v>16.579999999999998</v>
      </c>
      <c r="C183" s="14">
        <v>12.48</v>
      </c>
      <c r="D183" s="14">
        <v>423.81</v>
      </c>
      <c r="E183" s="14">
        <v>41.06</v>
      </c>
      <c r="F183" s="14">
        <v>419.59</v>
      </c>
      <c r="G183" s="14">
        <v>144.94999999999999</v>
      </c>
      <c r="H183" s="14">
        <v>7.87</v>
      </c>
      <c r="I183" s="14">
        <v>68.966865999999996</v>
      </c>
      <c r="J183">
        <f t="shared" si="11"/>
        <v>4.8484848484846577E-3</v>
      </c>
      <c r="K183">
        <f t="shared" si="11"/>
        <v>-1.3438735177865646E-2</v>
      </c>
      <c r="L183">
        <f t="shared" si="11"/>
        <v>-3.4565462753949339E-3</v>
      </c>
      <c r="M183">
        <f t="shared" si="11"/>
        <v>-6.1782023656444807E-3</v>
      </c>
      <c r="N183">
        <f t="shared" si="11"/>
        <v>6.5489612819651377E-3</v>
      </c>
      <c r="O183">
        <f t="shared" si="10"/>
        <v>-9.363039912520521E-3</v>
      </c>
      <c r="P183">
        <f t="shared" si="10"/>
        <v>-2.1144278606965106E-2</v>
      </c>
      <c r="Q183">
        <f t="shared" si="10"/>
        <v>-1.0945829434970133E-2</v>
      </c>
      <c r="R183" s="15">
        <f t="shared" si="9"/>
        <v>-6.4669432841637162E-3</v>
      </c>
    </row>
    <row r="184" spans="1:18" x14ac:dyDescent="0.2">
      <c r="A184" s="11">
        <v>45785</v>
      </c>
      <c r="B184" s="12">
        <v>16.5</v>
      </c>
      <c r="C184" s="12">
        <v>12.65</v>
      </c>
      <c r="D184" s="12">
        <v>425.28</v>
      </c>
      <c r="E184" s="12">
        <v>41.315254000000003</v>
      </c>
      <c r="F184" s="12">
        <v>416.86</v>
      </c>
      <c r="G184" s="12">
        <v>146.32</v>
      </c>
      <c r="H184" s="12">
        <v>8.0399999999999991</v>
      </c>
      <c r="I184" s="12">
        <v>69.730119999999999</v>
      </c>
      <c r="J184">
        <f t="shared" si="11"/>
        <v>-2.0190023752969077E-2</v>
      </c>
      <c r="K184">
        <f t="shared" si="11"/>
        <v>0</v>
      </c>
      <c r="L184">
        <f t="shared" si="11"/>
        <v>-2.2906375646180366E-2</v>
      </c>
      <c r="M184">
        <f t="shared" si="11"/>
        <v>3.2912673076811227E-2</v>
      </c>
      <c r="N184">
        <f t="shared" si="11"/>
        <v>-1.3745948375801453E-2</v>
      </c>
      <c r="O184">
        <f t="shared" si="10"/>
        <v>-2.179435753442982E-2</v>
      </c>
      <c r="P184">
        <f t="shared" si="10"/>
        <v>-1.4705882352941346E-2</v>
      </c>
      <c r="Q184">
        <f t="shared" si="10"/>
        <v>-3.1530280911290509E-2</v>
      </c>
      <c r="R184" s="15">
        <f t="shared" si="9"/>
        <v>-1.2362108087507911E-2</v>
      </c>
    </row>
    <row r="185" spans="1:18" x14ac:dyDescent="0.2">
      <c r="A185" s="13">
        <v>45784</v>
      </c>
      <c r="B185" s="14">
        <v>16.84</v>
      </c>
      <c r="C185" s="14">
        <v>12.65</v>
      </c>
      <c r="D185" s="14">
        <v>435.25</v>
      </c>
      <c r="E185" s="14">
        <v>39.998787</v>
      </c>
      <c r="F185" s="14">
        <v>422.67</v>
      </c>
      <c r="G185" s="14">
        <v>149.58000000000001</v>
      </c>
      <c r="H185" s="14">
        <v>8.16</v>
      </c>
      <c r="I185" s="14">
        <v>72.000309999999999</v>
      </c>
      <c r="J185">
        <f t="shared" si="11"/>
        <v>-4.1395623891188338E-3</v>
      </c>
      <c r="K185">
        <f t="shared" si="11"/>
        <v>3.603603603603589E-2</v>
      </c>
      <c r="L185">
        <f t="shared" si="11"/>
        <v>6.4258992102110168E-2</v>
      </c>
      <c r="M185">
        <f t="shared" si="11"/>
        <v>1.7371561211634745E-2</v>
      </c>
      <c r="N185">
        <f t="shared" si="11"/>
        <v>4.0621436716077319E-3</v>
      </c>
      <c r="O185">
        <f t="shared" si="10"/>
        <v>1.3277333694621474E-2</v>
      </c>
      <c r="P185">
        <f t="shared" si="10"/>
        <v>-4.8780487804876982E-3</v>
      </c>
      <c r="Q185">
        <f t="shared" si="10"/>
        <v>5.5364320455305593E-2</v>
      </c>
      <c r="R185" s="15">
        <f t="shared" si="9"/>
        <v>1.9219072766160958E-2</v>
      </c>
    </row>
    <row r="186" spans="1:18" x14ac:dyDescent="0.2">
      <c r="A186" s="11">
        <v>45783</v>
      </c>
      <c r="B186" s="12">
        <v>16.91</v>
      </c>
      <c r="C186" s="12">
        <v>12.21</v>
      </c>
      <c r="D186" s="12">
        <v>408.97</v>
      </c>
      <c r="E186" s="12">
        <v>39.315809999999999</v>
      </c>
      <c r="F186" s="12">
        <v>420.96</v>
      </c>
      <c r="G186" s="12">
        <v>147.62</v>
      </c>
      <c r="H186" s="12">
        <v>8.1999999999999993</v>
      </c>
      <c r="I186" s="12">
        <v>68.223179999999999</v>
      </c>
      <c r="J186">
        <f t="shared" si="11"/>
        <v>8.9498806682577481E-3</v>
      </c>
      <c r="K186">
        <f t="shared" si="11"/>
        <v>1.6652789342214813E-2</v>
      </c>
      <c r="L186">
        <f t="shared" si="11"/>
        <v>1.1500791452315084E-2</v>
      </c>
      <c r="M186">
        <f t="shared" si="11"/>
        <v>3.3836591760133095E-2</v>
      </c>
      <c r="N186">
        <f t="shared" si="11"/>
        <v>6.8643379366368773E-2</v>
      </c>
      <c r="O186">
        <f t="shared" si="10"/>
        <v>3.4405437600728783E-2</v>
      </c>
      <c r="P186">
        <f t="shared" si="10"/>
        <v>-1.4423076923077094E-2</v>
      </c>
      <c r="Q186">
        <f t="shared" si="10"/>
        <v>7.8056240082322592E-3</v>
      </c>
      <c r="R186" s="15">
        <f t="shared" si="9"/>
        <v>2.4377583288568986E-2</v>
      </c>
    </row>
    <row r="187" spans="1:18" x14ac:dyDescent="0.2">
      <c r="A187" s="13">
        <v>45782</v>
      </c>
      <c r="B187" s="14">
        <v>16.760000000000002</v>
      </c>
      <c r="C187" s="14">
        <v>12.01</v>
      </c>
      <c r="D187" s="14">
        <v>404.32</v>
      </c>
      <c r="E187" s="14">
        <v>38.029037000000002</v>
      </c>
      <c r="F187" s="14">
        <v>393.92</v>
      </c>
      <c r="G187" s="14">
        <v>142.71</v>
      </c>
      <c r="H187" s="14">
        <v>8.32</v>
      </c>
      <c r="I187" s="14">
        <v>67.694779999999994</v>
      </c>
      <c r="J187">
        <f t="shared" si="11"/>
        <v>-6.5204505038529703E-3</v>
      </c>
      <c r="K187">
        <f t="shared" si="11"/>
        <v>-5.7947019867550242E-3</v>
      </c>
      <c r="L187">
        <f t="shared" si="11"/>
        <v>6.6475787377069384E-3</v>
      </c>
      <c r="M187">
        <f t="shared" si="11"/>
        <v>1.1318679132768183E-2</v>
      </c>
      <c r="N187">
        <f t="shared" si="11"/>
        <v>1.2127440904419418E-2</v>
      </c>
      <c r="O187">
        <f t="shared" si="10"/>
        <v>-1.6742455560148639E-2</v>
      </c>
      <c r="P187">
        <f t="shared" si="10"/>
        <v>6.9408781596739688E-2</v>
      </c>
      <c r="Q187">
        <f t="shared" si="10"/>
        <v>-3.0263502634085837E-3</v>
      </c>
      <c r="R187" s="15">
        <f t="shared" si="9"/>
        <v>1.2417540973503007E-2</v>
      </c>
    </row>
    <row r="188" spans="1:18" x14ac:dyDescent="0.2">
      <c r="A188" s="11">
        <v>45779</v>
      </c>
      <c r="B188" s="12">
        <v>16.87</v>
      </c>
      <c r="C188" s="12">
        <v>12.08</v>
      </c>
      <c r="D188" s="12">
        <v>401.65</v>
      </c>
      <c r="E188" s="12">
        <v>37.603416000000003</v>
      </c>
      <c r="F188" s="12">
        <v>389.2</v>
      </c>
      <c r="G188" s="12">
        <v>145.13999999999999</v>
      </c>
      <c r="H188" s="12">
        <v>7.7799997000000003</v>
      </c>
      <c r="I188" s="12">
        <v>67.900270000000006</v>
      </c>
      <c r="J188">
        <f t="shared" si="11"/>
        <v>-2.9550827423168169E-3</v>
      </c>
      <c r="K188">
        <f t="shared" si="11"/>
        <v>-1.6528925619834212E-3</v>
      </c>
      <c r="L188">
        <f t="shared" si="11"/>
        <v>8.7653204741811042E-3</v>
      </c>
      <c r="M188">
        <f t="shared" si="11"/>
        <v>2.5924979012054816E-2</v>
      </c>
      <c r="N188">
        <f t="shared" si="11"/>
        <v>-4.8326472167531387E-3</v>
      </c>
      <c r="O188">
        <f t="shared" si="10"/>
        <v>5.6947276434605287E-2</v>
      </c>
      <c r="P188">
        <f t="shared" si="10"/>
        <v>6.5753383561643952E-2</v>
      </c>
      <c r="Q188">
        <f t="shared" si="10"/>
        <v>-6.5854781516242467E-3</v>
      </c>
      <c r="R188" s="15">
        <f t="shared" si="9"/>
        <v>2.0575861505459259E-2</v>
      </c>
    </row>
    <row r="189" spans="1:18" x14ac:dyDescent="0.2">
      <c r="A189" s="13">
        <v>45777</v>
      </c>
      <c r="B189" s="14">
        <v>16.920000000000002</v>
      </c>
      <c r="C189" s="14">
        <v>12.1</v>
      </c>
      <c r="D189" s="14">
        <v>398.16</v>
      </c>
      <c r="E189" s="14">
        <v>36.653182999999999</v>
      </c>
      <c r="F189" s="14">
        <v>391.09</v>
      </c>
      <c r="G189" s="14">
        <v>137.32</v>
      </c>
      <c r="H189" s="14">
        <v>7.3</v>
      </c>
      <c r="I189" s="14">
        <v>68.350390000000004</v>
      </c>
      <c r="J189">
        <f t="shared" si="11"/>
        <v>8.9445438282649281E-3</v>
      </c>
      <c r="K189">
        <f t="shared" si="11"/>
        <v>1.6806722689075571E-2</v>
      </c>
      <c r="L189">
        <f t="shared" si="11"/>
        <v>2.9049932802646561E-2</v>
      </c>
      <c r="M189">
        <f t="shared" si="11"/>
        <v>4.0672285850236189E-3</v>
      </c>
      <c r="N189">
        <f t="shared" si="11"/>
        <v>3.858614828978113E-2</v>
      </c>
      <c r="O189">
        <f t="shared" si="10"/>
        <v>-2.513133607837581E-2</v>
      </c>
      <c r="P189">
        <f t="shared" si="10"/>
        <v>2.0979020979020824E-2</v>
      </c>
      <c r="Q189">
        <f t="shared" si="10"/>
        <v>3.5889054323712477E-2</v>
      </c>
      <c r="R189" s="15">
        <f t="shared" si="9"/>
        <v>1.7438607513241181E-2</v>
      </c>
    </row>
    <row r="190" spans="1:18" x14ac:dyDescent="0.2">
      <c r="A190" s="11">
        <v>45776</v>
      </c>
      <c r="B190" s="12">
        <v>16.77</v>
      </c>
      <c r="C190" s="12">
        <v>11.9</v>
      </c>
      <c r="D190" s="12">
        <v>386.92</v>
      </c>
      <c r="E190" s="12">
        <v>36.504710000000003</v>
      </c>
      <c r="F190" s="12">
        <v>376.56</v>
      </c>
      <c r="G190" s="12">
        <v>140.86000000000001</v>
      </c>
      <c r="H190" s="12">
        <v>7.15</v>
      </c>
      <c r="I190" s="12">
        <v>65.982346000000007</v>
      </c>
      <c r="J190">
        <f t="shared" si="11"/>
        <v>-4.1567695961995943E-3</v>
      </c>
      <c r="K190">
        <f t="shared" si="11"/>
        <v>-1.490066225165565E-2</v>
      </c>
      <c r="L190">
        <f t="shared" si="11"/>
        <v>-1.4492753623188359E-2</v>
      </c>
      <c r="M190">
        <f t="shared" si="11"/>
        <v>-4.2326639281966671E-2</v>
      </c>
      <c r="N190">
        <f t="shared" si="11"/>
        <v>-7.1483171002342472E-2</v>
      </c>
      <c r="O190">
        <f t="shared" si="10"/>
        <v>-4.4044791313199716E-2</v>
      </c>
      <c r="P190">
        <f t="shared" si="10"/>
        <v>-9.4936708860759444E-2</v>
      </c>
      <c r="Q190">
        <f t="shared" si="10"/>
        <v>-4.611683314646664E-2</v>
      </c>
      <c r="R190" s="15">
        <f t="shared" si="9"/>
        <v>-4.8526466237924004E-2</v>
      </c>
    </row>
    <row r="191" spans="1:18" x14ac:dyDescent="0.2">
      <c r="A191" s="13">
        <v>45775</v>
      </c>
      <c r="B191" s="14">
        <v>16.84</v>
      </c>
      <c r="C191" s="14">
        <v>12.08</v>
      </c>
      <c r="D191" s="14">
        <v>392.61</v>
      </c>
      <c r="E191" s="14">
        <v>38.118122</v>
      </c>
      <c r="F191" s="14">
        <v>405.55</v>
      </c>
      <c r="G191" s="14">
        <v>147.35</v>
      </c>
      <c r="H191" s="14">
        <v>7.9</v>
      </c>
      <c r="I191" s="14">
        <v>69.172355999999994</v>
      </c>
      <c r="J191">
        <f t="shared" si="11"/>
        <v>1.1411411411411443E-2</v>
      </c>
      <c r="K191">
        <f t="shared" si="11"/>
        <v>3.6909871244635184E-2</v>
      </c>
      <c r="L191">
        <f t="shared" si="11"/>
        <v>-2.6626998884343611E-2</v>
      </c>
      <c r="M191">
        <f t="shared" si="11"/>
        <v>-1.5341360280969218E-2</v>
      </c>
      <c r="N191">
        <f t="shared" si="11"/>
        <v>-4.045900863598717E-2</v>
      </c>
      <c r="O191">
        <f t="shared" si="10"/>
        <v>3.5415105904785804E-3</v>
      </c>
      <c r="P191">
        <f t="shared" si="10"/>
        <v>-0.14316702819956617</v>
      </c>
      <c r="Q191">
        <f t="shared" si="10"/>
        <v>4.2625296848689542E-2</v>
      </c>
      <c r="R191" s="15">
        <f t="shared" si="9"/>
        <v>-2.8531914918507071E-2</v>
      </c>
    </row>
    <row r="192" spans="1:18" x14ac:dyDescent="0.2">
      <c r="A192" s="11">
        <v>45772</v>
      </c>
      <c r="B192" s="12">
        <v>16.649999999999999</v>
      </c>
      <c r="C192" s="12">
        <v>11.65</v>
      </c>
      <c r="D192" s="12">
        <v>403.35</v>
      </c>
      <c r="E192" s="12">
        <v>38.712017000000003</v>
      </c>
      <c r="F192" s="12">
        <v>422.65</v>
      </c>
      <c r="G192" s="12">
        <v>146.83000000000001</v>
      </c>
      <c r="H192" s="12">
        <v>9.2200000000000006</v>
      </c>
      <c r="I192" s="12">
        <v>66.344406000000006</v>
      </c>
      <c r="J192">
        <f t="shared" si="11"/>
        <v>-6.5632458233891855E-3</v>
      </c>
      <c r="K192">
        <f t="shared" si="11"/>
        <v>4.0178571428571619E-2</v>
      </c>
      <c r="L192">
        <f t="shared" si="11"/>
        <v>1.4946780403110038E-2</v>
      </c>
      <c r="M192">
        <f t="shared" si="11"/>
        <v>1.5053260512366329E-2</v>
      </c>
      <c r="N192">
        <f t="shared" si="11"/>
        <v>-2.9238825853277639E-2</v>
      </c>
      <c r="O192">
        <f t="shared" si="10"/>
        <v>1.2956901254774777E-3</v>
      </c>
      <c r="P192">
        <f t="shared" si="10"/>
        <v>-1.0729613733905574E-2</v>
      </c>
      <c r="Q192">
        <f t="shared" si="10"/>
        <v>7.8788438115617865E-3</v>
      </c>
      <c r="R192" s="15">
        <f t="shared" si="9"/>
        <v>-1.0949335570254414E-4</v>
      </c>
    </row>
    <row r="193" spans="1:18" x14ac:dyDescent="0.2">
      <c r="A193" s="13">
        <v>45771</v>
      </c>
      <c r="B193" s="14">
        <v>16.760000000000002</v>
      </c>
      <c r="C193" s="14">
        <v>11.2</v>
      </c>
      <c r="D193" s="14">
        <v>397.41</v>
      </c>
      <c r="E193" s="14">
        <v>38.137917000000002</v>
      </c>
      <c r="F193" s="14">
        <v>435.38</v>
      </c>
      <c r="G193" s="14">
        <v>146.63999999999999</v>
      </c>
      <c r="H193" s="14">
        <v>9.32</v>
      </c>
      <c r="I193" s="14">
        <v>65.825774999999993</v>
      </c>
      <c r="J193">
        <f t="shared" si="11"/>
        <v>1.0856453558504509E-2</v>
      </c>
      <c r="K193">
        <f t="shared" si="11"/>
        <v>1.2658227848101111E-2</v>
      </c>
      <c r="L193">
        <f t="shared" si="11"/>
        <v>9.8081565239487301E-3</v>
      </c>
      <c r="M193">
        <f t="shared" si="11"/>
        <v>-1.1544438610032182E-2</v>
      </c>
      <c r="N193">
        <f t="shared" si="11"/>
        <v>3.1999620745235546E-2</v>
      </c>
      <c r="O193">
        <f t="shared" si="10"/>
        <v>2.7682388394421498E-2</v>
      </c>
      <c r="P193">
        <f t="shared" si="10"/>
        <v>1.0741138560688146E-3</v>
      </c>
      <c r="Q193">
        <f t="shared" si="10"/>
        <v>3.2857343250739079E-2</v>
      </c>
      <c r="R193" s="15">
        <f t="shared" si="9"/>
        <v>1.5805542203251734E-2</v>
      </c>
    </row>
    <row r="194" spans="1:18" x14ac:dyDescent="0.2">
      <c r="A194" s="11">
        <v>45770</v>
      </c>
      <c r="B194" s="12">
        <v>16.579999999999998</v>
      </c>
      <c r="C194" s="12">
        <v>11.06</v>
      </c>
      <c r="D194" s="12">
        <v>393.55</v>
      </c>
      <c r="E194" s="12">
        <v>38.58334</v>
      </c>
      <c r="F194" s="12">
        <v>421.88</v>
      </c>
      <c r="G194" s="12">
        <v>142.69</v>
      </c>
      <c r="H194" s="12">
        <v>9.31</v>
      </c>
      <c r="I194" s="12">
        <v>63.731720000000003</v>
      </c>
      <c r="J194">
        <f t="shared" si="11"/>
        <v>1.8427518427518219E-2</v>
      </c>
      <c r="K194">
        <f t="shared" si="11"/>
        <v>2.5023169601482875E-2</v>
      </c>
      <c r="L194">
        <f t="shared" si="11"/>
        <v>2.861996863565075E-2</v>
      </c>
      <c r="M194">
        <f t="shared" si="11"/>
        <v>1.9085006914941749E-2</v>
      </c>
      <c r="N194">
        <f t="shared" si="11"/>
        <v>-1.3815189695878916E-2</v>
      </c>
      <c r="O194">
        <f t="shared" si="10"/>
        <v>6.6522161596531904E-2</v>
      </c>
      <c r="P194">
        <f t="shared" si="10"/>
        <v>3.44444444444445E-2</v>
      </c>
      <c r="Q194">
        <f t="shared" si="10"/>
        <v>1.2750732667162756E-2</v>
      </c>
      <c r="R194" s="15">
        <f t="shared" si="9"/>
        <v>2.2666323945295899E-2</v>
      </c>
    </row>
    <row r="195" spans="1:18" x14ac:dyDescent="0.2">
      <c r="A195" s="13">
        <v>45769</v>
      </c>
      <c r="B195" s="14">
        <v>16.28</v>
      </c>
      <c r="C195" s="14">
        <v>10.79</v>
      </c>
      <c r="D195" s="14">
        <v>382.6</v>
      </c>
      <c r="E195" s="14">
        <v>37.860767000000003</v>
      </c>
      <c r="F195" s="14">
        <v>427.79</v>
      </c>
      <c r="G195" s="14">
        <v>133.79</v>
      </c>
      <c r="H195" s="14">
        <v>9</v>
      </c>
      <c r="I195" s="14">
        <v>62.929324999999999</v>
      </c>
      <c r="J195">
        <f t="shared" si="11"/>
        <v>2.2613065326633208E-2</v>
      </c>
      <c r="K195">
        <f t="shared" si="11"/>
        <v>3.6503362151776964E-2</v>
      </c>
      <c r="L195">
        <f t="shared" si="11"/>
        <v>1.2678330377703162E-2</v>
      </c>
      <c r="M195">
        <f t="shared" si="11"/>
        <v>1.6206201185480218E-2</v>
      </c>
      <c r="N195">
        <f t="shared" si="11"/>
        <v>-2.0537595017858679E-2</v>
      </c>
      <c r="O195">
        <f t="shared" si="10"/>
        <v>1.080386823813817E-2</v>
      </c>
      <c r="P195">
        <f t="shared" si="10"/>
        <v>1.4656144306651742E-2</v>
      </c>
      <c r="Q195">
        <f t="shared" si="10"/>
        <v>-8.4798492205147014E-3</v>
      </c>
      <c r="R195" s="15">
        <f t="shared" ref="R195:R258" si="12">SUMPRODUCT($T$2:$AA$2,J195:Q195)</f>
        <v>7.8171760089223649E-3</v>
      </c>
    </row>
    <row r="196" spans="1:18" x14ac:dyDescent="0.2">
      <c r="A196" s="11">
        <v>45768</v>
      </c>
      <c r="B196" s="12">
        <v>15.92</v>
      </c>
      <c r="C196" s="12">
        <v>10.41</v>
      </c>
      <c r="D196" s="12">
        <v>377.81</v>
      </c>
      <c r="E196" s="12">
        <v>37.256973000000002</v>
      </c>
      <c r="F196" s="12">
        <v>436.76</v>
      </c>
      <c r="G196" s="12">
        <v>132.36000000000001</v>
      </c>
      <c r="H196" s="12">
        <v>8.8699999999999992</v>
      </c>
      <c r="I196" s="12">
        <v>63.46752</v>
      </c>
      <c r="J196">
        <f t="shared" si="11"/>
        <v>3.984323971260606E-2</v>
      </c>
      <c r="K196">
        <f t="shared" si="11"/>
        <v>0</v>
      </c>
      <c r="L196">
        <f t="shared" si="11"/>
        <v>1.3112731953233814E-2</v>
      </c>
      <c r="M196">
        <f t="shared" si="11"/>
        <v>7.4946002988007798E-3</v>
      </c>
      <c r="N196">
        <f t="shared" si="11"/>
        <v>2.6607747273410975E-2</v>
      </c>
      <c r="O196">
        <f t="shared" si="10"/>
        <v>-8.3907701528317391E-3</v>
      </c>
      <c r="P196">
        <f t="shared" si="10"/>
        <v>-3.0601092896174964E-2</v>
      </c>
      <c r="Q196">
        <f t="shared" si="10"/>
        <v>6.8302147292500504E-3</v>
      </c>
      <c r="R196" s="15">
        <f t="shared" si="12"/>
        <v>5.1926515302987341E-3</v>
      </c>
    </row>
    <row r="197" spans="1:18" x14ac:dyDescent="0.2">
      <c r="A197" s="13">
        <v>45763</v>
      </c>
      <c r="B197" s="14">
        <v>15.31</v>
      </c>
      <c r="C197" s="14">
        <v>10.41</v>
      </c>
      <c r="D197" s="14">
        <v>372.92</v>
      </c>
      <c r="E197" s="14">
        <v>36.979824000000001</v>
      </c>
      <c r="F197" s="14">
        <v>425.44</v>
      </c>
      <c r="G197" s="14">
        <v>133.47999999999999</v>
      </c>
      <c r="H197" s="14">
        <v>9.15</v>
      </c>
      <c r="I197" s="14">
        <v>63.036963999999998</v>
      </c>
      <c r="J197">
        <f t="shared" si="11"/>
        <v>1.3080444735122931E-3</v>
      </c>
      <c r="K197">
        <f t="shared" si="11"/>
        <v>-1.6068052930056753E-2</v>
      </c>
      <c r="L197">
        <f t="shared" si="11"/>
        <v>2.4461708018601591E-3</v>
      </c>
      <c r="M197">
        <f t="shared" si="11"/>
        <v>1.5217462921599978E-2</v>
      </c>
      <c r="N197">
        <f t="shared" si="11"/>
        <v>7.8483066315149008E-2</v>
      </c>
      <c r="O197">
        <f t="shared" si="10"/>
        <v>2.3462659101364913E-2</v>
      </c>
      <c r="P197">
        <f t="shared" si="10"/>
        <v>-1.0917030567685337E-3</v>
      </c>
      <c r="Q197">
        <f t="shared" si="10"/>
        <v>-6.324331434035102E-3</v>
      </c>
      <c r="R197" s="15">
        <f t="shared" si="12"/>
        <v>1.9074950060740874E-2</v>
      </c>
    </row>
    <row r="198" spans="1:18" x14ac:dyDescent="0.2">
      <c r="A198" s="11">
        <v>45762</v>
      </c>
      <c r="B198" s="12">
        <v>15.29</v>
      </c>
      <c r="C198" s="12">
        <v>10.58</v>
      </c>
      <c r="D198" s="12">
        <v>372.01</v>
      </c>
      <c r="E198" s="12">
        <v>36.425519999999999</v>
      </c>
      <c r="F198" s="12">
        <v>394.48</v>
      </c>
      <c r="G198" s="12">
        <v>130.41999999999999</v>
      </c>
      <c r="H198" s="12">
        <v>9.16</v>
      </c>
      <c r="I198" s="12">
        <v>63.438167999999997</v>
      </c>
      <c r="J198">
        <f t="shared" si="11"/>
        <v>2.1376085504341891E-2</v>
      </c>
      <c r="K198">
        <f t="shared" si="11"/>
        <v>-1.3979496738117492E-2</v>
      </c>
      <c r="L198">
        <f t="shared" si="11"/>
        <v>-7.6028383930001331E-3</v>
      </c>
      <c r="M198">
        <f t="shared" si="11"/>
        <v>6.8398902251987082E-3</v>
      </c>
      <c r="N198">
        <f t="shared" si="11"/>
        <v>1.0994643635152235E-2</v>
      </c>
      <c r="O198">
        <f t="shared" si="10"/>
        <v>1.0068153655514056E-2</v>
      </c>
      <c r="P198">
        <f t="shared" si="10"/>
        <v>-7.5839653304442534E-3</v>
      </c>
      <c r="Q198">
        <f t="shared" si="10"/>
        <v>8.8702195858947341E-3</v>
      </c>
      <c r="R198" s="15">
        <f t="shared" si="12"/>
        <v>3.0143518481122876E-3</v>
      </c>
    </row>
    <row r="199" spans="1:18" x14ac:dyDescent="0.2">
      <c r="A199" s="13">
        <v>45761</v>
      </c>
      <c r="B199" s="14">
        <v>14.97</v>
      </c>
      <c r="C199" s="14">
        <v>10.73</v>
      </c>
      <c r="D199" s="14">
        <v>374.86</v>
      </c>
      <c r="E199" s="14">
        <v>36.178066000000001</v>
      </c>
      <c r="F199" s="14">
        <v>390.19</v>
      </c>
      <c r="G199" s="14">
        <v>129.12</v>
      </c>
      <c r="H199" s="14">
        <v>9.23</v>
      </c>
      <c r="I199" s="14">
        <v>62.880405000000003</v>
      </c>
      <c r="J199">
        <f t="shared" si="11"/>
        <v>4.320557491289212E-2</v>
      </c>
      <c r="K199">
        <f t="shared" si="11"/>
        <v>2.0932445290199775E-2</v>
      </c>
      <c r="L199">
        <f t="shared" si="11"/>
        <v>1.1631358790986424E-2</v>
      </c>
      <c r="M199">
        <f t="shared" si="11"/>
        <v>1.1624686751482205E-2</v>
      </c>
      <c r="N199">
        <f t="shared" si="11"/>
        <v>4.0062906493229411E-2</v>
      </c>
      <c r="O199">
        <f t="shared" si="10"/>
        <v>1.2308898471187879E-2</v>
      </c>
      <c r="P199">
        <f t="shared" si="10"/>
        <v>-3.954214360041608E-2</v>
      </c>
      <c r="Q199">
        <f t="shared" si="10"/>
        <v>-6.3397894335693872E-3</v>
      </c>
      <c r="R199" s="15">
        <f t="shared" si="12"/>
        <v>1.1108108420293309E-2</v>
      </c>
    </row>
    <row r="200" spans="1:18" x14ac:dyDescent="0.2">
      <c r="A200" s="11">
        <v>45758</v>
      </c>
      <c r="B200" s="12">
        <v>14.35</v>
      </c>
      <c r="C200" s="12">
        <v>10.51</v>
      </c>
      <c r="D200" s="12">
        <v>370.55</v>
      </c>
      <c r="E200" s="12">
        <v>35.762340000000002</v>
      </c>
      <c r="F200" s="12">
        <v>375.16</v>
      </c>
      <c r="G200" s="12">
        <v>127.55</v>
      </c>
      <c r="H200" s="12">
        <v>9.61</v>
      </c>
      <c r="I200" s="12">
        <v>63.281596999999998</v>
      </c>
      <c r="J200">
        <f t="shared" si="11"/>
        <v>6.3113604488078678E-3</v>
      </c>
      <c r="K200">
        <f t="shared" si="11"/>
        <v>1.9398642095053376E-2</v>
      </c>
      <c r="L200">
        <f t="shared" si="11"/>
        <v>3.9828763411726698E-3</v>
      </c>
      <c r="M200">
        <f t="shared" si="11"/>
        <v>3.0538410577822805E-3</v>
      </c>
      <c r="N200">
        <f t="shared" si="11"/>
        <v>5.6729198355022437E-2</v>
      </c>
      <c r="O200">
        <f t="shared" si="10"/>
        <v>-5.5356307500389335E-3</v>
      </c>
      <c r="P200">
        <f t="shared" si="10"/>
        <v>-4.1450777202073352E-3</v>
      </c>
      <c r="Q200">
        <f t="shared" si="10"/>
        <v>-1.0405538961952954E-2</v>
      </c>
      <c r="R200" s="15">
        <f t="shared" si="12"/>
        <v>1.2992587342659402E-2</v>
      </c>
    </row>
    <row r="201" spans="1:18" x14ac:dyDescent="0.2">
      <c r="A201" s="13">
        <v>45757</v>
      </c>
      <c r="B201" s="14">
        <v>14.26</v>
      </c>
      <c r="C201" s="14">
        <v>10.31</v>
      </c>
      <c r="D201" s="14">
        <v>369.08</v>
      </c>
      <c r="E201" s="14">
        <v>35.653460000000003</v>
      </c>
      <c r="F201" s="14">
        <v>355.02</v>
      </c>
      <c r="G201" s="14">
        <v>128.26</v>
      </c>
      <c r="H201" s="14">
        <v>9.65</v>
      </c>
      <c r="I201" s="14">
        <v>63.947000000000003</v>
      </c>
      <c r="J201">
        <f t="shared" si="11"/>
        <v>-7.0077084793274125E-4</v>
      </c>
      <c r="K201">
        <f t="shared" si="11"/>
        <v>-5.0644567219152781E-2</v>
      </c>
      <c r="L201">
        <f t="shared" si="11"/>
        <v>-1.4998665599145977E-2</v>
      </c>
      <c r="M201">
        <f t="shared" si="11"/>
        <v>-7.9868093135017082E-3</v>
      </c>
      <c r="N201">
        <f t="shared" si="11"/>
        <v>1.2260492700729708E-2</v>
      </c>
      <c r="O201">
        <f t="shared" si="10"/>
        <v>-4.8092622829152609E-2</v>
      </c>
      <c r="P201">
        <f t="shared" si="10"/>
        <v>-7.300672430355426E-2</v>
      </c>
      <c r="Q201">
        <f t="shared" si="10"/>
        <v>-3.7413481690504513E-2</v>
      </c>
      <c r="R201" s="15">
        <f t="shared" si="12"/>
        <v>-2.7708102167826813E-2</v>
      </c>
    </row>
    <row r="202" spans="1:18" x14ac:dyDescent="0.2">
      <c r="A202" s="11">
        <v>45756</v>
      </c>
      <c r="B202" s="12">
        <v>14.27</v>
      </c>
      <c r="C202" s="12">
        <v>10.86</v>
      </c>
      <c r="D202" s="12">
        <v>374.7</v>
      </c>
      <c r="E202" s="12">
        <v>35.940510000000003</v>
      </c>
      <c r="F202" s="12">
        <v>350.72</v>
      </c>
      <c r="G202" s="12">
        <v>134.74</v>
      </c>
      <c r="H202" s="12">
        <v>10.41</v>
      </c>
      <c r="I202" s="12">
        <v>66.432469999999995</v>
      </c>
      <c r="J202">
        <f t="shared" si="11"/>
        <v>2.0743919885550799E-2</v>
      </c>
      <c r="K202">
        <f t="shared" si="11"/>
        <v>2.9383886255924141E-2</v>
      </c>
      <c r="L202">
        <f t="shared" si="11"/>
        <v>3.5798203178990962E-2</v>
      </c>
      <c r="M202">
        <f t="shared" si="11"/>
        <v>-1.9241984126542322E-3</v>
      </c>
      <c r="N202">
        <f t="shared" si="11"/>
        <v>6.8258657975693859E-2</v>
      </c>
      <c r="O202">
        <f t="shared" si="10"/>
        <v>6.6234074543008559E-2</v>
      </c>
      <c r="P202">
        <f t="shared" si="10"/>
        <v>6.7692307692307718E-2</v>
      </c>
      <c r="Q202">
        <f t="shared" si="10"/>
        <v>9.2005838060716938E-2</v>
      </c>
      <c r="R202" s="15">
        <f t="shared" si="12"/>
        <v>5.1489595566802333E-2</v>
      </c>
    </row>
    <row r="203" spans="1:18" x14ac:dyDescent="0.2">
      <c r="A203" s="13">
        <v>45755</v>
      </c>
      <c r="B203" s="14">
        <v>13.98</v>
      </c>
      <c r="C203" s="14">
        <v>10.55</v>
      </c>
      <c r="D203" s="14">
        <v>361.75</v>
      </c>
      <c r="E203" s="14">
        <v>36.009799999999998</v>
      </c>
      <c r="F203" s="14">
        <v>328.31</v>
      </c>
      <c r="G203" s="14">
        <v>126.37</v>
      </c>
      <c r="H203" s="14">
        <v>9.75</v>
      </c>
      <c r="I203" s="14">
        <v>60.835270000000001</v>
      </c>
      <c r="J203">
        <f t="shared" si="11"/>
        <v>-2.5783972125435484E-2</v>
      </c>
      <c r="K203">
        <f t="shared" si="11"/>
        <v>-7.5258701787394022E-3</v>
      </c>
      <c r="L203">
        <f t="shared" si="11"/>
        <v>-8.6868354707881901E-3</v>
      </c>
      <c r="M203">
        <f t="shared" si="11"/>
        <v>1.4500878853948462E-2</v>
      </c>
      <c r="N203">
        <f t="shared" si="11"/>
        <v>-2.2246709154803646E-2</v>
      </c>
      <c r="O203">
        <f t="shared" si="10"/>
        <v>2.3404599935212156E-2</v>
      </c>
      <c r="P203">
        <f t="shared" si="10"/>
        <v>-4.1297935103244865E-2</v>
      </c>
      <c r="Q203">
        <f t="shared" si="10"/>
        <v>-4.2949516601586191E-2</v>
      </c>
      <c r="R203" s="15">
        <f t="shared" si="12"/>
        <v>-1.4479679876592981E-2</v>
      </c>
    </row>
    <row r="204" spans="1:18" x14ac:dyDescent="0.2">
      <c r="A204" s="11">
        <v>45754</v>
      </c>
      <c r="B204" s="12">
        <v>14.35</v>
      </c>
      <c r="C204" s="12">
        <v>10.63</v>
      </c>
      <c r="D204" s="12">
        <v>364.92</v>
      </c>
      <c r="E204" s="12">
        <v>35.495089999999998</v>
      </c>
      <c r="F204" s="12">
        <v>335.78</v>
      </c>
      <c r="G204" s="12">
        <v>123.48</v>
      </c>
      <c r="H204" s="12">
        <v>10.17</v>
      </c>
      <c r="I204" s="12">
        <v>63.565372000000004</v>
      </c>
      <c r="J204">
        <f t="shared" si="11"/>
        <v>-1.0344827586206917E-2</v>
      </c>
      <c r="K204">
        <f t="shared" si="11"/>
        <v>1.0456273764258617E-2</v>
      </c>
      <c r="L204">
        <f t="shared" si="11"/>
        <v>-1.202079272254708E-2</v>
      </c>
      <c r="M204">
        <f t="shared" si="11"/>
        <v>1.0995167629096247E-2</v>
      </c>
      <c r="N204">
        <f t="shared" si="11"/>
        <v>-2.207595526561057E-2</v>
      </c>
      <c r="O204">
        <f t="shared" si="10"/>
        <v>-6.3623265337074408E-2</v>
      </c>
      <c r="P204">
        <f t="shared" si="10"/>
        <v>1.8018018018018056E-2</v>
      </c>
      <c r="Q204">
        <f t="shared" si="10"/>
        <v>-3.4913091824904541E-2</v>
      </c>
      <c r="R204" s="15">
        <f t="shared" si="12"/>
        <v>-1.3403518168813022E-2</v>
      </c>
    </row>
    <row r="205" spans="1:18" x14ac:dyDescent="0.2">
      <c r="A205" s="13">
        <v>45751</v>
      </c>
      <c r="B205" s="14">
        <v>14.5</v>
      </c>
      <c r="C205" s="14">
        <v>10.52</v>
      </c>
      <c r="D205" s="14">
        <v>369.36</v>
      </c>
      <c r="E205" s="14">
        <v>35.109059999999999</v>
      </c>
      <c r="F205" s="14">
        <v>343.36</v>
      </c>
      <c r="G205" s="14">
        <v>131.87</v>
      </c>
      <c r="H205" s="14">
        <v>9.99</v>
      </c>
      <c r="I205" s="14">
        <v>65.864919999999998</v>
      </c>
      <c r="J205">
        <f t="shared" si="11"/>
        <v>-3.2688458972648493E-2</v>
      </c>
      <c r="K205">
        <f t="shared" si="11"/>
        <v>-5.2252252252252274E-2</v>
      </c>
      <c r="L205">
        <f t="shared" si="11"/>
        <v>-4.1121495327102742E-2</v>
      </c>
      <c r="M205">
        <f t="shared" si="11"/>
        <v>-1.3351862169068252E-2</v>
      </c>
      <c r="N205">
        <f t="shared" si="11"/>
        <v>-0.14847605584901913</v>
      </c>
      <c r="O205">
        <f t="shared" si="10"/>
        <v>-5.8138704378258632E-2</v>
      </c>
      <c r="P205">
        <f t="shared" si="10"/>
        <v>-5.9322033898305038E-2</v>
      </c>
      <c r="Q205">
        <f t="shared" si="10"/>
        <v>-1.1019655364443715E-2</v>
      </c>
      <c r="R205" s="15">
        <f t="shared" si="12"/>
        <v>-6.4784780033145681E-2</v>
      </c>
    </row>
    <row r="206" spans="1:18" x14ac:dyDescent="0.2">
      <c r="A206" s="11">
        <v>45750</v>
      </c>
      <c r="B206" s="12">
        <v>14.99</v>
      </c>
      <c r="C206" s="12">
        <v>11.1</v>
      </c>
      <c r="D206" s="12">
        <v>385.2</v>
      </c>
      <c r="E206" s="12">
        <v>35.584175000000002</v>
      </c>
      <c r="F206" s="12">
        <v>403.23</v>
      </c>
      <c r="G206" s="12">
        <v>140.01</v>
      </c>
      <c r="H206" s="12">
        <v>10.62</v>
      </c>
      <c r="I206" s="12">
        <v>66.598815999999999</v>
      </c>
      <c r="J206">
        <f t="shared" si="11"/>
        <v>8.7483176312248556E-3</v>
      </c>
      <c r="K206">
        <f t="shared" si="11"/>
        <v>-4.8843187660668419E-2</v>
      </c>
      <c r="L206">
        <f t="shared" si="11"/>
        <v>-8.9278822651607248E-3</v>
      </c>
      <c r="M206">
        <f t="shared" si="11"/>
        <v>3.9317851709255169E-2</v>
      </c>
      <c r="N206">
        <f t="shared" si="11"/>
        <v>6.9924830806882277E-3</v>
      </c>
      <c r="O206">
        <f t="shared" si="10"/>
        <v>8.5264708162158032E-2</v>
      </c>
      <c r="P206">
        <f t="shared" si="10"/>
        <v>-2.0295202952029578E-2</v>
      </c>
      <c r="Q206">
        <f t="shared" si="10"/>
        <v>4.8528575737691204E-2</v>
      </c>
      <c r="R206" s="15">
        <f t="shared" si="12"/>
        <v>1.1631957696655062E-2</v>
      </c>
    </row>
    <row r="207" spans="1:18" x14ac:dyDescent="0.2">
      <c r="A207" s="13">
        <v>45749</v>
      </c>
      <c r="B207" s="14">
        <v>14.86</v>
      </c>
      <c r="C207" s="14">
        <v>11.67</v>
      </c>
      <c r="D207" s="14">
        <v>388.67</v>
      </c>
      <c r="E207" s="14">
        <v>34.238010000000003</v>
      </c>
      <c r="F207" s="14">
        <v>400.43</v>
      </c>
      <c r="G207" s="14">
        <v>129.01</v>
      </c>
      <c r="H207" s="14">
        <v>10.84</v>
      </c>
      <c r="I207" s="14">
        <v>63.516452999999998</v>
      </c>
      <c r="J207">
        <f t="shared" si="11"/>
        <v>6.7340067340060372E-4</v>
      </c>
      <c r="K207">
        <f t="shared" si="11"/>
        <v>6.90250215703192E-3</v>
      </c>
      <c r="L207">
        <f t="shared" si="11"/>
        <v>1.3798320204496894E-2</v>
      </c>
      <c r="M207">
        <f t="shared" si="11"/>
        <v>1.4072044824826602E-2</v>
      </c>
      <c r="N207">
        <f t="shared" si="11"/>
        <v>3.7061017300321186E-2</v>
      </c>
      <c r="O207">
        <f t="shared" si="10"/>
        <v>-4.3988269794723589E-3</v>
      </c>
      <c r="P207">
        <f t="shared" si="10"/>
        <v>4.6339202965710591E-3</v>
      </c>
      <c r="Q207">
        <f t="shared" si="10"/>
        <v>-8.7048595683035801E-3</v>
      </c>
      <c r="R207" s="15">
        <f t="shared" si="12"/>
        <v>1.0993785290813693E-2</v>
      </c>
    </row>
    <row r="208" spans="1:18" x14ac:dyDescent="0.2">
      <c r="A208" s="11">
        <v>45748</v>
      </c>
      <c r="B208" s="12">
        <v>14.85</v>
      </c>
      <c r="C208" s="12">
        <v>11.59</v>
      </c>
      <c r="D208" s="12">
        <v>383.38</v>
      </c>
      <c r="E208" s="12">
        <v>33.762897000000002</v>
      </c>
      <c r="F208" s="12">
        <v>386.12</v>
      </c>
      <c r="G208" s="12">
        <v>129.58000000000001</v>
      </c>
      <c r="H208" s="12">
        <v>10.79</v>
      </c>
      <c r="I208" s="12">
        <v>64.074209999999994</v>
      </c>
      <c r="J208">
        <f t="shared" si="11"/>
        <v>1.8518518518518379E-2</v>
      </c>
      <c r="K208">
        <f t="shared" si="11"/>
        <v>3.4632034632033903E-3</v>
      </c>
      <c r="L208">
        <f t="shared" si="11"/>
        <v>1.3160676532769644E-2</v>
      </c>
      <c r="M208">
        <f t="shared" si="11"/>
        <v>1.1265901323473715E-2</v>
      </c>
      <c r="N208">
        <f t="shared" si="11"/>
        <v>1.6908085330524125E-2</v>
      </c>
      <c r="O208">
        <f t="shared" si="10"/>
        <v>-5.0675675675675436E-3</v>
      </c>
      <c r="P208">
        <f t="shared" si="10"/>
        <v>-8.2720588235295489E-3</v>
      </c>
      <c r="Q208">
        <f t="shared" si="10"/>
        <v>0</v>
      </c>
      <c r="R208" s="15">
        <f t="shared" si="12"/>
        <v>5.8906346254294206E-3</v>
      </c>
    </row>
    <row r="209" spans="1:18" x14ac:dyDescent="0.2">
      <c r="A209" s="13">
        <v>45747</v>
      </c>
      <c r="B209" s="14">
        <v>14.58</v>
      </c>
      <c r="C209" s="14">
        <v>11.55</v>
      </c>
      <c r="D209" s="14">
        <v>378.4</v>
      </c>
      <c r="E209" s="14">
        <v>33.386764999999997</v>
      </c>
      <c r="F209" s="14">
        <v>379.7</v>
      </c>
      <c r="G209" s="14">
        <v>130.24</v>
      </c>
      <c r="H209" s="14">
        <v>10.88</v>
      </c>
      <c r="I209" s="14">
        <v>64.074209999999994</v>
      </c>
      <c r="J209">
        <f t="shared" si="11"/>
        <v>-9.5108695652174058E-3</v>
      </c>
      <c r="K209">
        <f t="shared" si="11"/>
        <v>-5.1679586563306845E-3</v>
      </c>
      <c r="L209">
        <f t="shared" si="11"/>
        <v>-7.9437904726948894E-3</v>
      </c>
      <c r="M209">
        <f t="shared" si="11"/>
        <v>-7.6493307002829525E-3</v>
      </c>
      <c r="N209">
        <f t="shared" si="11"/>
        <v>2.8718504470333084E-2</v>
      </c>
      <c r="O209">
        <f t="shared" si="10"/>
        <v>-4.7117354404448308E-2</v>
      </c>
      <c r="P209">
        <f t="shared" si="10"/>
        <v>-1.7163504968382925E-2</v>
      </c>
      <c r="Q209">
        <f t="shared" si="10"/>
        <v>5.8372086211051499E-3</v>
      </c>
      <c r="R209" s="15">
        <f t="shared" si="12"/>
        <v>-5.9874024699521225E-3</v>
      </c>
    </row>
    <row r="210" spans="1:18" x14ac:dyDescent="0.2">
      <c r="A210" s="11">
        <v>45744</v>
      </c>
      <c r="B210" s="12">
        <v>14.72</v>
      </c>
      <c r="C210" s="12">
        <v>11.61</v>
      </c>
      <c r="D210" s="12">
        <v>381.43</v>
      </c>
      <c r="E210" s="12">
        <v>33.644120000000001</v>
      </c>
      <c r="F210" s="12">
        <v>369.1</v>
      </c>
      <c r="G210" s="12">
        <v>136.68</v>
      </c>
      <c r="H210" s="12">
        <v>11.07</v>
      </c>
      <c r="I210" s="12">
        <v>63.702365999999998</v>
      </c>
      <c r="J210">
        <f t="shared" si="11"/>
        <v>-6.7888662593340587E-4</v>
      </c>
      <c r="K210">
        <f t="shared" si="11"/>
        <v>-5.1470588235294157E-2</v>
      </c>
      <c r="L210">
        <f t="shared" si="11"/>
        <v>-6.4857261929568422E-3</v>
      </c>
      <c r="M210">
        <f t="shared" si="11"/>
        <v>8.9048641251934235E-3</v>
      </c>
      <c r="N210">
        <f t="shared" si="11"/>
        <v>2.7166530834012992E-3</v>
      </c>
      <c r="O210">
        <f t="shared" si="10"/>
        <v>-3.0569543939286459E-2</v>
      </c>
      <c r="P210">
        <f t="shared" si="10"/>
        <v>-2.3809523809523725E-2</v>
      </c>
      <c r="Q210">
        <f t="shared" si="10"/>
        <v>-1.8247647927400634E-2</v>
      </c>
      <c r="R210" s="15">
        <f t="shared" si="12"/>
        <v>-1.4909594893641357E-2</v>
      </c>
    </row>
    <row r="211" spans="1:18" x14ac:dyDescent="0.2">
      <c r="A211" s="13">
        <v>45743</v>
      </c>
      <c r="B211" s="14">
        <v>14.73</v>
      </c>
      <c r="C211" s="14">
        <v>12.24</v>
      </c>
      <c r="D211" s="14">
        <v>383.92</v>
      </c>
      <c r="E211" s="14">
        <v>33.347168000000003</v>
      </c>
      <c r="F211" s="14">
        <v>368.1</v>
      </c>
      <c r="G211" s="14">
        <v>140.99</v>
      </c>
      <c r="H211" s="14">
        <v>11.34</v>
      </c>
      <c r="I211" s="14">
        <v>64.886390000000006</v>
      </c>
      <c r="J211">
        <f t="shared" si="11"/>
        <v>1.7968210089841063E-2</v>
      </c>
      <c r="K211">
        <f t="shared" si="11"/>
        <v>1.2406947890818865E-2</v>
      </c>
      <c r="L211">
        <f t="shared" si="11"/>
        <v>5.7633867756470281E-3</v>
      </c>
      <c r="M211">
        <f t="shared" si="11"/>
        <v>-1.4820641965915815E-3</v>
      </c>
      <c r="N211">
        <f t="shared" si="11"/>
        <v>3.2335866730235363E-2</v>
      </c>
      <c r="O211">
        <f t="shared" si="10"/>
        <v>-2.5167669224918643E-2</v>
      </c>
      <c r="P211">
        <f t="shared" si="10"/>
        <v>-1.1333914559721103E-2</v>
      </c>
      <c r="Q211">
        <f t="shared" si="10"/>
        <v>-1.5058265276451932E-3</v>
      </c>
      <c r="R211" s="15">
        <f t="shared" si="12"/>
        <v>4.5802684350583732E-3</v>
      </c>
    </row>
    <row r="212" spans="1:18" x14ac:dyDescent="0.2">
      <c r="A212" s="11">
        <v>45742</v>
      </c>
      <c r="B212" s="12">
        <v>14.47</v>
      </c>
      <c r="C212" s="12">
        <v>12.09</v>
      </c>
      <c r="D212" s="12">
        <v>381.72</v>
      </c>
      <c r="E212" s="12">
        <v>33.396664000000001</v>
      </c>
      <c r="F212" s="12">
        <v>356.57</v>
      </c>
      <c r="G212" s="12">
        <v>144.63</v>
      </c>
      <c r="H212" s="12">
        <v>11.47</v>
      </c>
      <c r="I212" s="12">
        <v>64.984245000000001</v>
      </c>
      <c r="J212">
        <f t="shared" si="11"/>
        <v>9.0655509065551421E-3</v>
      </c>
      <c r="K212">
        <f t="shared" si="11"/>
        <v>-4.0476190476190443E-2</v>
      </c>
      <c r="L212">
        <f t="shared" si="11"/>
        <v>-2.2759273956119874E-2</v>
      </c>
      <c r="M212">
        <f t="shared" si="11"/>
        <v>7.1642770312574378E-3</v>
      </c>
      <c r="N212">
        <f t="shared" si="11"/>
        <v>4.337661606061527E-3</v>
      </c>
      <c r="O212">
        <f t="shared" si="10"/>
        <v>-1.656657693104191E-3</v>
      </c>
      <c r="P212">
        <f t="shared" si="10"/>
        <v>7.0237050043897575E-3</v>
      </c>
      <c r="Q212">
        <f t="shared" si="10"/>
        <v>1.0960614315250305E-2</v>
      </c>
      <c r="R212" s="15">
        <f t="shared" si="12"/>
        <v>-3.0636089655731351E-3</v>
      </c>
    </row>
    <row r="213" spans="1:18" x14ac:dyDescent="0.2">
      <c r="A213" s="13">
        <v>45741</v>
      </c>
      <c r="B213" s="14">
        <v>14.34</v>
      </c>
      <c r="C213" s="14">
        <v>12.6</v>
      </c>
      <c r="D213" s="14">
        <v>390.61</v>
      </c>
      <c r="E213" s="14">
        <v>33.159103000000002</v>
      </c>
      <c r="F213" s="14">
        <v>355.03</v>
      </c>
      <c r="G213" s="14">
        <v>144.87</v>
      </c>
      <c r="H213" s="14">
        <v>11.39</v>
      </c>
      <c r="I213" s="14">
        <v>64.279700000000005</v>
      </c>
      <c r="J213">
        <f t="shared" si="11"/>
        <v>4.2016806722688926E-3</v>
      </c>
      <c r="K213">
        <f t="shared" si="11"/>
        <v>3.6184210526315708E-2</v>
      </c>
      <c r="L213">
        <f t="shared" si="11"/>
        <v>2.7191206248192268E-2</v>
      </c>
      <c r="M213">
        <f t="shared" si="11"/>
        <v>-3.2909921521842023E-2</v>
      </c>
      <c r="N213">
        <f t="shared" si="11"/>
        <v>6.6347217102837863E-3</v>
      </c>
      <c r="O213">
        <f t="shared" si="10"/>
        <v>1.4140707035351863E-2</v>
      </c>
      <c r="P213">
        <f t="shared" si="10"/>
        <v>-6.10820244328103E-3</v>
      </c>
      <c r="Q213">
        <f t="shared" si="10"/>
        <v>1.1549038947605172E-2</v>
      </c>
      <c r="R213" s="15">
        <f t="shared" si="12"/>
        <v>7.8759686690530253E-3</v>
      </c>
    </row>
    <row r="214" spans="1:18" x14ac:dyDescent="0.2">
      <c r="A214" s="11">
        <v>45740</v>
      </c>
      <c r="B214" s="12">
        <v>14.28</v>
      </c>
      <c r="C214" s="12">
        <v>12.16</v>
      </c>
      <c r="D214" s="12">
        <v>380.27</v>
      </c>
      <c r="E214" s="12">
        <v>34.287502000000003</v>
      </c>
      <c r="F214" s="12">
        <v>352.69</v>
      </c>
      <c r="G214" s="12">
        <v>142.85</v>
      </c>
      <c r="H214" s="12">
        <v>11.46</v>
      </c>
      <c r="I214" s="12">
        <v>63.545807000000003</v>
      </c>
      <c r="J214">
        <f t="shared" si="11"/>
        <v>2.1052631578946102E-3</v>
      </c>
      <c r="K214">
        <f t="shared" si="11"/>
        <v>1.7573221757322344E-2</v>
      </c>
      <c r="L214">
        <f t="shared" si="11"/>
        <v>1.4648593841720459E-2</v>
      </c>
      <c r="M214">
        <f t="shared" si="11"/>
        <v>-4.8837675285559046E-3</v>
      </c>
      <c r="N214">
        <f t="shared" si="11"/>
        <v>-8.4621872364352146E-3</v>
      </c>
      <c r="O214">
        <f t="shared" si="10"/>
        <v>4.1256651359428576E-2</v>
      </c>
      <c r="P214">
        <f t="shared" si="10"/>
        <v>1.4159292035398341E-2</v>
      </c>
      <c r="Q214">
        <f t="shared" si="10"/>
        <v>-3.6820414969116477E-3</v>
      </c>
      <c r="R214" s="15">
        <f t="shared" si="12"/>
        <v>9.5311558263068436E-3</v>
      </c>
    </row>
    <row r="215" spans="1:18" x14ac:dyDescent="0.2">
      <c r="A215" s="13">
        <v>45737</v>
      </c>
      <c r="B215" s="14">
        <v>14.25</v>
      </c>
      <c r="C215" s="14">
        <v>11.95</v>
      </c>
      <c r="D215" s="14">
        <v>374.78</v>
      </c>
      <c r="E215" s="14">
        <v>34.455776</v>
      </c>
      <c r="F215" s="14">
        <v>355.7</v>
      </c>
      <c r="G215" s="14">
        <v>137.19</v>
      </c>
      <c r="H215" s="14">
        <v>11.3</v>
      </c>
      <c r="I215" s="14">
        <v>63.780650000000001</v>
      </c>
      <c r="J215">
        <f t="shared" si="11"/>
        <v>-4.8882681564246244E-3</v>
      </c>
      <c r="K215">
        <f t="shared" si="11"/>
        <v>-2.209492635024557E-2</v>
      </c>
      <c r="L215">
        <f t="shared" si="11"/>
        <v>-1.6067209241270697E-2</v>
      </c>
      <c r="M215">
        <f t="shared" si="11"/>
        <v>2.5922193845262509E-3</v>
      </c>
      <c r="N215">
        <f t="shared" si="11"/>
        <v>2.9403252879550701E-2</v>
      </c>
      <c r="O215">
        <f t="shared" si="10"/>
        <v>-1.7756139471611587E-2</v>
      </c>
      <c r="P215">
        <f t="shared" si="10"/>
        <v>-1.0507880910682998E-2</v>
      </c>
      <c r="Q215">
        <f t="shared" si="10"/>
        <v>-1.4365575778180428E-2</v>
      </c>
      <c r="R215" s="15">
        <f t="shared" si="12"/>
        <v>-3.7630309537766225E-3</v>
      </c>
    </row>
    <row r="216" spans="1:18" x14ac:dyDescent="0.2">
      <c r="A216" s="11">
        <v>45736</v>
      </c>
      <c r="B216" s="12">
        <v>14.32</v>
      </c>
      <c r="C216" s="12">
        <v>12.22</v>
      </c>
      <c r="D216" s="12">
        <v>380.9</v>
      </c>
      <c r="E216" s="12">
        <v>34.366689999999998</v>
      </c>
      <c r="F216" s="12">
        <v>345.54</v>
      </c>
      <c r="G216" s="12">
        <v>139.66999999999999</v>
      </c>
      <c r="H216" s="12">
        <v>11.42</v>
      </c>
      <c r="I216" s="12">
        <v>64.710250000000002</v>
      </c>
      <c r="J216">
        <f t="shared" si="11"/>
        <v>7.0323488045007654E-3</v>
      </c>
      <c r="K216">
        <f t="shared" si="11"/>
        <v>-4.0749796251018378E-3</v>
      </c>
      <c r="L216">
        <f t="shared" si="11"/>
        <v>-1.2265643233151047E-2</v>
      </c>
      <c r="M216">
        <f t="shared" si="11"/>
        <v>-7.4327830519388405E-3</v>
      </c>
      <c r="N216">
        <f t="shared" si="11"/>
        <v>-1.5695769833357076E-2</v>
      </c>
      <c r="O216">
        <f t="shared" si="10"/>
        <v>-9.0812344803121725E-3</v>
      </c>
      <c r="P216">
        <f t="shared" si="10"/>
        <v>-1.3816925734024155E-2</v>
      </c>
      <c r="Q216">
        <f t="shared" si="10"/>
        <v>2.0367214092902319E-2</v>
      </c>
      <c r="R216" s="15">
        <f t="shared" si="12"/>
        <v>-7.3134722566543745E-3</v>
      </c>
    </row>
    <row r="217" spans="1:18" x14ac:dyDescent="0.2">
      <c r="A217" s="13">
        <v>45735</v>
      </c>
      <c r="B217" s="14">
        <v>14.22</v>
      </c>
      <c r="C217" s="14">
        <v>12.27</v>
      </c>
      <c r="D217" s="14">
        <v>385.63</v>
      </c>
      <c r="E217" s="14">
        <v>34.624043</v>
      </c>
      <c r="F217" s="14">
        <v>351.05</v>
      </c>
      <c r="G217" s="14">
        <v>140.94999999999999</v>
      </c>
      <c r="H217" s="14">
        <v>11.58</v>
      </c>
      <c r="I217" s="14">
        <v>63.418590000000002</v>
      </c>
      <c r="J217">
        <f t="shared" si="11"/>
        <v>-6.2893081761006275E-3</v>
      </c>
      <c r="K217">
        <f t="shared" si="11"/>
        <v>9.0460526315789824E-3</v>
      </c>
      <c r="L217">
        <f t="shared" si="11"/>
        <v>1.2125665993018675E-2</v>
      </c>
      <c r="M217">
        <f t="shared" si="11"/>
        <v>2.858946661317141E-4</v>
      </c>
      <c r="N217">
        <f t="shared" si="11"/>
        <v>-6.030919078090502E-3</v>
      </c>
      <c r="O217">
        <f t="shared" si="10"/>
        <v>2.703293500437165E-2</v>
      </c>
      <c r="P217">
        <f t="shared" si="10"/>
        <v>1.4899211218229569E-2</v>
      </c>
      <c r="Q217">
        <f t="shared" si="10"/>
        <v>-1.3095834073164836E-2</v>
      </c>
      <c r="R217" s="15">
        <f t="shared" si="12"/>
        <v>5.9760486499585994E-3</v>
      </c>
    </row>
    <row r="218" spans="1:18" x14ac:dyDescent="0.2">
      <c r="A218" s="11">
        <v>45734</v>
      </c>
      <c r="B218" s="12">
        <v>14.31</v>
      </c>
      <c r="C218" s="12">
        <v>12.16</v>
      </c>
      <c r="D218" s="12">
        <v>381.01</v>
      </c>
      <c r="E218" s="12">
        <v>34.614147000000003</v>
      </c>
      <c r="F218" s="12">
        <v>353.18</v>
      </c>
      <c r="G218" s="12">
        <v>137.24</v>
      </c>
      <c r="H218" s="12">
        <v>11.41</v>
      </c>
      <c r="I218" s="12">
        <v>64.260130000000004</v>
      </c>
      <c r="J218">
        <f t="shared" si="11"/>
        <v>-2.7874564459929863E-3</v>
      </c>
      <c r="K218">
        <f t="shared" si="11"/>
        <v>1.0806317539484578E-2</v>
      </c>
      <c r="L218">
        <f t="shared" si="11"/>
        <v>-5.5086301872941945E-4</v>
      </c>
      <c r="M218">
        <f t="shared" si="11"/>
        <v>3.6455227983250182E-2</v>
      </c>
      <c r="N218">
        <f t="shared" si="11"/>
        <v>-0.12019530179607907</v>
      </c>
      <c r="O218">
        <f t="shared" si="10"/>
        <v>2.2271880819366929E-2</v>
      </c>
      <c r="P218">
        <f t="shared" si="10"/>
        <v>1.9660411081322771E-2</v>
      </c>
      <c r="Q218">
        <f t="shared" si="10"/>
        <v>3.0548938084509203E-3</v>
      </c>
      <c r="R218" s="15">
        <f t="shared" si="12"/>
        <v>-1.4355723304055434E-2</v>
      </c>
    </row>
    <row r="219" spans="1:18" x14ac:dyDescent="0.2">
      <c r="A219" s="13">
        <v>45730</v>
      </c>
      <c r="B219" s="14">
        <v>14.35</v>
      </c>
      <c r="C219" s="14">
        <v>12.03</v>
      </c>
      <c r="D219" s="14">
        <v>381.22</v>
      </c>
      <c r="E219" s="14">
        <v>33.396664000000001</v>
      </c>
      <c r="F219" s="14">
        <v>401.43</v>
      </c>
      <c r="G219" s="14">
        <v>134.25</v>
      </c>
      <c r="H219" s="14">
        <v>11.19</v>
      </c>
      <c r="I219" s="14">
        <v>64.064419999999998</v>
      </c>
      <c r="J219">
        <f t="shared" si="11"/>
        <v>0</v>
      </c>
      <c r="K219">
        <f t="shared" si="11"/>
        <v>1.4333895446880351E-2</v>
      </c>
      <c r="L219">
        <f t="shared" si="11"/>
        <v>3.1718538565629339E-2</v>
      </c>
      <c r="M219">
        <f t="shared" si="11"/>
        <v>1.2909025617632963E-2</v>
      </c>
      <c r="N219">
        <f t="shared" si="11"/>
        <v>1.4173108988934313E-2</v>
      </c>
      <c r="O219">
        <f t="shared" si="10"/>
        <v>1.7430845017051944E-2</v>
      </c>
      <c r="P219">
        <f t="shared" si="10"/>
        <v>4.971857410881797E-2</v>
      </c>
      <c r="Q219">
        <f t="shared" si="10"/>
        <v>8.7826373622774678E-3</v>
      </c>
      <c r="R219" s="15">
        <f t="shared" si="12"/>
        <v>2.1116205210164055E-2</v>
      </c>
    </row>
    <row r="220" spans="1:18" x14ac:dyDescent="0.2">
      <c r="A220" s="11">
        <v>45729</v>
      </c>
      <c r="B220" s="12">
        <v>14.35</v>
      </c>
      <c r="C220" s="12">
        <v>11.86</v>
      </c>
      <c r="D220" s="12">
        <v>369.5</v>
      </c>
      <c r="E220" s="12">
        <v>32.971040000000002</v>
      </c>
      <c r="F220" s="12">
        <v>395.82</v>
      </c>
      <c r="G220" s="12">
        <v>131.94999999999999</v>
      </c>
      <c r="H220" s="12">
        <v>10.66</v>
      </c>
      <c r="I220" s="12">
        <v>63.506664000000001</v>
      </c>
      <c r="J220">
        <f t="shared" si="11"/>
        <v>-8.2930200414651489E-3</v>
      </c>
      <c r="K220">
        <f t="shared" si="11"/>
        <v>-2.2258862324814666E-2</v>
      </c>
      <c r="L220">
        <f t="shared" si="11"/>
        <v>-1.0543675146664766E-3</v>
      </c>
      <c r="M220">
        <f t="shared" si="11"/>
        <v>1.0925748205563801E-2</v>
      </c>
      <c r="N220">
        <f t="shared" si="11"/>
        <v>4.2811602602945475E-2</v>
      </c>
      <c r="O220">
        <f t="shared" si="10"/>
        <v>-1.3457943925233695E-2</v>
      </c>
      <c r="P220">
        <f t="shared" si="10"/>
        <v>-2.5594149908592212E-2</v>
      </c>
      <c r="Q220">
        <f t="shared" si="10"/>
        <v>2.2208242241601672E-2</v>
      </c>
      <c r="R220" s="15">
        <f t="shared" si="12"/>
        <v>2.2768550696472302E-3</v>
      </c>
    </row>
    <row r="221" spans="1:18" x14ac:dyDescent="0.2">
      <c r="A221" s="13">
        <v>45728</v>
      </c>
      <c r="B221" s="14">
        <v>14.47</v>
      </c>
      <c r="C221" s="14">
        <v>12.13</v>
      </c>
      <c r="D221" s="14">
        <v>369.89</v>
      </c>
      <c r="E221" s="14">
        <v>32.614699999999999</v>
      </c>
      <c r="F221" s="14">
        <v>379.57</v>
      </c>
      <c r="G221" s="14">
        <v>133.75</v>
      </c>
      <c r="H221" s="14">
        <v>10.94</v>
      </c>
      <c r="I221" s="14">
        <v>62.126933999999999</v>
      </c>
      <c r="J221">
        <f t="shared" si="11"/>
        <v>-1.831750339213023E-2</v>
      </c>
      <c r="K221">
        <f t="shared" si="11"/>
        <v>1.6515276630884035E-3</v>
      </c>
      <c r="L221">
        <f t="shared" si="11"/>
        <v>-6.7542011130927726E-4</v>
      </c>
      <c r="M221">
        <f t="shared" si="11"/>
        <v>1.13566332116386E-2</v>
      </c>
      <c r="N221">
        <f t="shared" si="11"/>
        <v>8.6441308641268533E-2</v>
      </c>
      <c r="O221">
        <f t="shared" si="10"/>
        <v>3.6018590240123993E-2</v>
      </c>
      <c r="P221">
        <f t="shared" si="10"/>
        <v>-3.5273368606701938E-2</v>
      </c>
      <c r="Q221">
        <f t="shared" si="10"/>
        <v>-3.2966791087734038E-3</v>
      </c>
      <c r="R221" s="15">
        <f t="shared" si="12"/>
        <v>1.6592384803702214E-2</v>
      </c>
    </row>
    <row r="222" spans="1:18" x14ac:dyDescent="0.2">
      <c r="A222" s="11">
        <v>45727</v>
      </c>
      <c r="B222" s="12">
        <v>14.74</v>
      </c>
      <c r="C222" s="12">
        <v>12.11</v>
      </c>
      <c r="D222" s="12">
        <v>370.14</v>
      </c>
      <c r="E222" s="12">
        <v>32.248466000000001</v>
      </c>
      <c r="F222" s="12">
        <v>349.37</v>
      </c>
      <c r="G222" s="12">
        <v>129.1</v>
      </c>
      <c r="H222" s="12">
        <v>11.34</v>
      </c>
      <c r="I222" s="12">
        <v>62.332424000000003</v>
      </c>
      <c r="J222">
        <f t="shared" si="11"/>
        <v>-9.4086021505376261E-3</v>
      </c>
      <c r="K222">
        <f t="shared" si="11"/>
        <v>3.314001657000798E-3</v>
      </c>
      <c r="L222">
        <f t="shared" si="11"/>
        <v>-1.451050347453342E-2</v>
      </c>
      <c r="M222">
        <f t="shared" si="11"/>
        <v>9.6064000757383194E-3</v>
      </c>
      <c r="N222">
        <f t="shared" si="11"/>
        <v>6.6849157181962937E-3</v>
      </c>
      <c r="O222">
        <f t="shared" si="10"/>
        <v>-3.2427424336011201E-3</v>
      </c>
      <c r="P222">
        <f t="shared" si="10"/>
        <v>-3.5149384885765356E-3</v>
      </c>
      <c r="Q222">
        <f t="shared" si="10"/>
        <v>4.942341199016842E-2</v>
      </c>
      <c r="R222" s="15">
        <f t="shared" si="12"/>
        <v>3.0413493763720434E-3</v>
      </c>
    </row>
    <row r="223" spans="1:18" x14ac:dyDescent="0.2">
      <c r="A223" s="13">
        <v>45726</v>
      </c>
      <c r="B223" s="14">
        <v>14.88</v>
      </c>
      <c r="C223" s="14">
        <v>12.07</v>
      </c>
      <c r="D223" s="14">
        <v>375.59</v>
      </c>
      <c r="E223" s="14">
        <v>31.941621999999999</v>
      </c>
      <c r="F223" s="14">
        <v>347.05</v>
      </c>
      <c r="G223" s="14">
        <v>129.52000000000001</v>
      </c>
      <c r="H223" s="14">
        <v>11.38</v>
      </c>
      <c r="I223" s="14">
        <v>59.396830000000001</v>
      </c>
      <c r="J223">
        <f t="shared" si="11"/>
        <v>-1.7173051519154492E-2</v>
      </c>
      <c r="K223">
        <f t="shared" si="11"/>
        <v>-2.425222312045261E-2</v>
      </c>
      <c r="L223">
        <f t="shared" si="11"/>
        <v>-2.3807667316439352E-2</v>
      </c>
      <c r="M223">
        <f t="shared" si="11"/>
        <v>-5.24037921026832E-3</v>
      </c>
      <c r="N223">
        <f t="shared" si="11"/>
        <v>-3.6453995224609903E-2</v>
      </c>
      <c r="O223">
        <f t="shared" si="10"/>
        <v>-7.281367364144975E-3</v>
      </c>
      <c r="P223">
        <f t="shared" si="10"/>
        <v>-9.1779728651236958E-2</v>
      </c>
      <c r="Q223">
        <f t="shared" si="10"/>
        <v>-6.5722681625968282E-2</v>
      </c>
      <c r="R223" s="15">
        <f t="shared" si="12"/>
        <v>-3.6905241700615134E-2</v>
      </c>
    </row>
    <row r="224" spans="1:18" x14ac:dyDescent="0.2">
      <c r="A224" s="11">
        <v>45723</v>
      </c>
      <c r="B224" s="12">
        <v>15.14</v>
      </c>
      <c r="C224" s="12">
        <v>12.37</v>
      </c>
      <c r="D224" s="12">
        <v>384.75</v>
      </c>
      <c r="E224" s="12">
        <v>32.10989</v>
      </c>
      <c r="F224" s="12">
        <v>360.18</v>
      </c>
      <c r="G224" s="12">
        <v>130.47</v>
      </c>
      <c r="H224" s="12">
        <v>12.53</v>
      </c>
      <c r="I224" s="12">
        <v>63.575159999999997</v>
      </c>
      <c r="J224">
        <f t="shared" si="11"/>
        <v>8.6608927381746081E-3</v>
      </c>
      <c r="K224">
        <f t="shared" si="11"/>
        <v>-4.2569659442724506E-2</v>
      </c>
      <c r="L224">
        <f t="shared" si="11"/>
        <v>5.2253429131285944E-3</v>
      </c>
      <c r="M224">
        <f t="shared" si="11"/>
        <v>2.4721904332791755E-3</v>
      </c>
      <c r="N224">
        <f t="shared" si="11"/>
        <v>5.2357856600245389E-2</v>
      </c>
      <c r="O224">
        <f t="shared" si="10"/>
        <v>-5.0920200771077284E-2</v>
      </c>
      <c r="P224">
        <f t="shared" si="10"/>
        <v>-2.6418026418026375E-2</v>
      </c>
      <c r="Q224">
        <f t="shared" si="10"/>
        <v>7.2868284606333322E-3</v>
      </c>
      <c r="R224" s="15">
        <f t="shared" si="12"/>
        <v>-3.182049267188276E-3</v>
      </c>
    </row>
    <row r="225" spans="1:18" x14ac:dyDescent="0.2">
      <c r="A225" s="13">
        <v>45722</v>
      </c>
      <c r="B225" s="14">
        <v>15.01</v>
      </c>
      <c r="C225" s="14">
        <v>12.92</v>
      </c>
      <c r="D225" s="14">
        <v>382.75</v>
      </c>
      <c r="E225" s="14">
        <v>32.030704</v>
      </c>
      <c r="F225" s="14">
        <v>342.26</v>
      </c>
      <c r="G225" s="14">
        <v>137.47</v>
      </c>
      <c r="H225" s="14">
        <v>12.87</v>
      </c>
      <c r="I225" s="14">
        <v>63.115250000000003</v>
      </c>
      <c r="J225">
        <f t="shared" si="11"/>
        <v>3.3035099793530698E-2</v>
      </c>
      <c r="K225">
        <f t="shared" si="11"/>
        <v>1.7322834645669305E-2</v>
      </c>
      <c r="L225">
        <f t="shared" si="11"/>
        <v>-4.7005980205261366E-4</v>
      </c>
      <c r="M225">
        <f t="shared" si="11"/>
        <v>0</v>
      </c>
      <c r="N225">
        <f t="shared" si="11"/>
        <v>2.8178322518625398E-2</v>
      </c>
      <c r="O225">
        <f t="shared" si="10"/>
        <v>1.4569825890580201E-3</v>
      </c>
      <c r="P225">
        <f t="shared" si="10"/>
        <v>-2.7210884353741638E-2</v>
      </c>
      <c r="Q225">
        <f t="shared" si="10"/>
        <v>-3.7070821078812877E-3</v>
      </c>
      <c r="R225" s="15">
        <f t="shared" si="12"/>
        <v>5.6909210008726403E-3</v>
      </c>
    </row>
    <row r="226" spans="1:18" x14ac:dyDescent="0.2">
      <c r="A226" s="11">
        <v>45721</v>
      </c>
      <c r="B226" s="12">
        <v>14.53</v>
      </c>
      <c r="C226" s="12">
        <v>12.7</v>
      </c>
      <c r="D226" s="12">
        <v>382.93</v>
      </c>
      <c r="E226" s="12">
        <v>32.030704</v>
      </c>
      <c r="F226" s="12">
        <v>332.88</v>
      </c>
      <c r="G226" s="12">
        <v>137.27000000000001</v>
      </c>
      <c r="H226" s="12">
        <v>13.23</v>
      </c>
      <c r="I226" s="12">
        <v>63.350093999999999</v>
      </c>
      <c r="J226">
        <f t="shared" si="11"/>
        <v>-1.0891763104152519E-2</v>
      </c>
      <c r="K226">
        <f t="shared" si="11"/>
        <v>2.5848142164781818E-2</v>
      </c>
      <c r="L226">
        <f t="shared" si="11"/>
        <v>-1.135982237368649E-2</v>
      </c>
      <c r="M226">
        <f t="shared" si="11"/>
        <v>-1.5515691084035277E-2</v>
      </c>
      <c r="N226">
        <f t="shared" si="11"/>
        <v>2.0290565806412086E-2</v>
      </c>
      <c r="O226">
        <f t="shared" si="10"/>
        <v>1.7342325650337331E-2</v>
      </c>
      <c r="P226">
        <f t="shared" si="10"/>
        <v>3.6833855799373039E-2</v>
      </c>
      <c r="Q226">
        <f t="shared" si="10"/>
        <v>-3.6935784332613464E-3</v>
      </c>
      <c r="R226" s="15">
        <f t="shared" si="12"/>
        <v>1.1867577329014519E-2</v>
      </c>
    </row>
    <row r="227" spans="1:18" x14ac:dyDescent="0.2">
      <c r="A227" s="13">
        <v>45720</v>
      </c>
      <c r="B227" s="14">
        <v>14.69</v>
      </c>
      <c r="C227" s="14">
        <v>12.38</v>
      </c>
      <c r="D227" s="14">
        <v>387.33</v>
      </c>
      <c r="E227" s="14">
        <v>32.535514999999997</v>
      </c>
      <c r="F227" s="14">
        <v>326.26</v>
      </c>
      <c r="G227" s="14">
        <v>134.93</v>
      </c>
      <c r="H227" s="14">
        <v>12.76</v>
      </c>
      <c r="I227" s="14">
        <v>63.584949999999999</v>
      </c>
      <c r="J227">
        <f t="shared" si="11"/>
        <v>5.4757015742641357E-3</v>
      </c>
      <c r="K227">
        <f t="shared" si="11"/>
        <v>7.3230268510986463E-3</v>
      </c>
      <c r="L227">
        <f t="shared" si="11"/>
        <v>3.2896440967724594E-3</v>
      </c>
      <c r="M227">
        <f t="shared" si="11"/>
        <v>2.1342179449563847E-3</v>
      </c>
      <c r="N227">
        <f t="shared" si="11"/>
        <v>4.644300468278928E-2</v>
      </c>
      <c r="O227">
        <f t="shared" si="10"/>
        <v>1.0787324893250405E-2</v>
      </c>
      <c r="P227">
        <f t="shared" si="10"/>
        <v>-3.0395136778115561E-2</v>
      </c>
      <c r="Q227">
        <f t="shared" si="10"/>
        <v>-1.5373916142447097E-4</v>
      </c>
      <c r="R227" s="15">
        <f t="shared" si="12"/>
        <v>7.9142100694679536E-3</v>
      </c>
    </row>
    <row r="228" spans="1:18" x14ac:dyDescent="0.2">
      <c r="A228" s="11">
        <v>45719</v>
      </c>
      <c r="B228" s="12">
        <v>14.61</v>
      </c>
      <c r="C228" s="12">
        <v>12.29</v>
      </c>
      <c r="D228" s="12">
        <v>386.06</v>
      </c>
      <c r="E228" s="12">
        <v>32.466225000000001</v>
      </c>
      <c r="F228" s="12">
        <v>311.77999999999997</v>
      </c>
      <c r="G228" s="12">
        <v>133.49</v>
      </c>
      <c r="H228" s="12">
        <v>13.16</v>
      </c>
      <c r="I228" s="12">
        <v>63.594726999999999</v>
      </c>
      <c r="J228">
        <f t="shared" si="11"/>
        <v>0</v>
      </c>
      <c r="K228">
        <f t="shared" si="11"/>
        <v>-2.6920031670625622E-2</v>
      </c>
      <c r="L228">
        <f t="shared" si="11"/>
        <v>-3.5618418335742197E-3</v>
      </c>
      <c r="M228">
        <f t="shared" si="11"/>
        <v>-2.322826867191996E-2</v>
      </c>
      <c r="N228">
        <f t="shared" si="11"/>
        <v>-8.491016059786971E-3</v>
      </c>
      <c r="O228">
        <f t="shared" si="10"/>
        <v>6.2565958088347529E-3</v>
      </c>
      <c r="P228">
        <f t="shared" si="10"/>
        <v>-1.2012012012012074E-2</v>
      </c>
      <c r="Q228">
        <f t="shared" si="10"/>
        <v>-3.0774525175969458E-4</v>
      </c>
      <c r="R228" s="15">
        <f t="shared" si="12"/>
        <v>-8.4530203057717468E-3</v>
      </c>
    </row>
    <row r="229" spans="1:18" x14ac:dyDescent="0.2">
      <c r="A229" s="13">
        <v>45716</v>
      </c>
      <c r="B229" s="14">
        <v>14.61</v>
      </c>
      <c r="C229" s="14">
        <v>12.63</v>
      </c>
      <c r="D229" s="14">
        <v>387.44</v>
      </c>
      <c r="E229" s="14">
        <v>33.238292999999999</v>
      </c>
      <c r="F229" s="14">
        <v>314.45</v>
      </c>
      <c r="G229" s="14">
        <v>132.66</v>
      </c>
      <c r="H229" s="14">
        <v>13.32</v>
      </c>
      <c r="I229" s="14">
        <v>63.614303999999997</v>
      </c>
      <c r="J229">
        <f t="shared" si="11"/>
        <v>-1.4834794335805812E-2</v>
      </c>
      <c r="K229">
        <f t="shared" si="11"/>
        <v>-2.5462962962963021E-2</v>
      </c>
      <c r="L229">
        <f t="shared" si="11"/>
        <v>-2.7284427284427482E-3</v>
      </c>
      <c r="M229">
        <f t="shared" si="11"/>
        <v>-1.7266485691312727E-2</v>
      </c>
      <c r="N229">
        <f t="shared" si="11"/>
        <v>5.0758537726391717E-2</v>
      </c>
      <c r="O229">
        <f t="shared" si="10"/>
        <v>-4.2035730370815205E-3</v>
      </c>
      <c r="P229">
        <f t="shared" si="10"/>
        <v>2.2256331542594099E-2</v>
      </c>
      <c r="Q229">
        <f t="shared" si="10"/>
        <v>4.6165012318155618E-4</v>
      </c>
      <c r="R229" s="15">
        <f t="shared" si="12"/>
        <v>8.0221947570246963E-3</v>
      </c>
    </row>
    <row r="230" spans="1:18" x14ac:dyDescent="0.2">
      <c r="A230" s="11">
        <v>45715</v>
      </c>
      <c r="B230" s="12">
        <v>14.83</v>
      </c>
      <c r="C230" s="12">
        <v>12.96</v>
      </c>
      <c r="D230" s="12">
        <v>388.5</v>
      </c>
      <c r="E230" s="12">
        <v>33.822285000000001</v>
      </c>
      <c r="F230" s="12">
        <v>299.26</v>
      </c>
      <c r="G230" s="12">
        <v>133.22</v>
      </c>
      <c r="H230" s="12">
        <v>13.03</v>
      </c>
      <c r="I230" s="12">
        <v>63.584949999999999</v>
      </c>
      <c r="J230">
        <f t="shared" si="11"/>
        <v>-1.1992005329780175E-2</v>
      </c>
      <c r="K230">
        <f t="shared" si="11"/>
        <v>-2.4830699774266218E-2</v>
      </c>
      <c r="L230">
        <f t="shared" si="11"/>
        <v>-1.6953441295546545E-2</v>
      </c>
      <c r="M230">
        <f t="shared" si="11"/>
        <v>-3.8006829064338499E-2</v>
      </c>
      <c r="N230">
        <f t="shared" si="11"/>
        <v>-5.907876120106903E-2</v>
      </c>
      <c r="O230">
        <f t="shared" si="10"/>
        <v>-2.0873144201087768E-2</v>
      </c>
      <c r="P230">
        <f t="shared" si="10"/>
        <v>-3.8226299694190669E-3</v>
      </c>
      <c r="Q230">
        <f t="shared" si="10"/>
        <v>-1.5373916142447097E-4</v>
      </c>
      <c r="R230" s="15">
        <f t="shared" si="12"/>
        <v>-2.5136691240899733E-2</v>
      </c>
    </row>
    <row r="231" spans="1:18" x14ac:dyDescent="0.2">
      <c r="A231" s="13">
        <v>45714</v>
      </c>
      <c r="B231" s="14">
        <v>15.01</v>
      </c>
      <c r="C231" s="14">
        <v>13.29</v>
      </c>
      <c r="D231" s="14">
        <v>395.2</v>
      </c>
      <c r="E231" s="14">
        <v>35.158549999999998</v>
      </c>
      <c r="F231" s="14">
        <v>318.05</v>
      </c>
      <c r="G231" s="14">
        <v>136.06</v>
      </c>
      <c r="H231" s="14">
        <v>13.08</v>
      </c>
      <c r="I231" s="14">
        <v>63.594726999999999</v>
      </c>
      <c r="J231">
        <f t="shared" si="11"/>
        <v>1.1455525606469008E-2</v>
      </c>
      <c r="K231">
        <f t="shared" si="11"/>
        <v>3.7764350453171058E-3</v>
      </c>
      <c r="L231">
        <f t="shared" si="11"/>
        <v>1.6827046776102472E-2</v>
      </c>
      <c r="M231">
        <f t="shared" si="11"/>
        <v>6.5174405805290547E-3</v>
      </c>
      <c r="N231">
        <f t="shared" si="11"/>
        <v>-7.2416268689328156E-3</v>
      </c>
      <c r="O231">
        <f t="shared" si="10"/>
        <v>1.1448111804936101E-2</v>
      </c>
      <c r="P231">
        <f t="shared" si="10"/>
        <v>-2.9673590504451064E-2</v>
      </c>
      <c r="Q231">
        <f t="shared" si="10"/>
        <v>-3.0774525175969458E-4</v>
      </c>
      <c r="R231" s="15">
        <f t="shared" si="12"/>
        <v>-1.0494708267999803E-3</v>
      </c>
    </row>
    <row r="232" spans="1:18" x14ac:dyDescent="0.2">
      <c r="A232" s="11">
        <v>45713</v>
      </c>
      <c r="B232" s="12">
        <v>14.84</v>
      </c>
      <c r="C232" s="12">
        <v>13.24</v>
      </c>
      <c r="D232" s="12">
        <v>388.66</v>
      </c>
      <c r="E232" s="12">
        <v>34.930889999999998</v>
      </c>
      <c r="F232" s="12">
        <v>320.37</v>
      </c>
      <c r="G232" s="12">
        <v>134.52000000000001</v>
      </c>
      <c r="H232" s="12">
        <v>13.48</v>
      </c>
      <c r="I232" s="12">
        <v>63.614303999999997</v>
      </c>
      <c r="J232">
        <f t="shared" ref="J232:Q265" si="13">B232/B233-1</f>
        <v>-3.3579583613163599E-3</v>
      </c>
      <c r="K232">
        <f t="shared" si="13"/>
        <v>1.4559386973179933E-2</v>
      </c>
      <c r="L232">
        <f t="shared" si="13"/>
        <v>-2.9247945650273444E-2</v>
      </c>
      <c r="M232">
        <f t="shared" si="13"/>
        <v>-9.5425155731506672E-3</v>
      </c>
      <c r="N232">
        <f t="shared" si="13"/>
        <v>1.0025536744538099E-2</v>
      </c>
      <c r="O232">
        <f t="shared" si="10"/>
        <v>-5.16743038420866E-2</v>
      </c>
      <c r="P232">
        <f t="shared" si="10"/>
        <v>-4.1251778093883362E-2</v>
      </c>
      <c r="Q232">
        <f t="shared" si="10"/>
        <v>1.4038404667965576E-2</v>
      </c>
      <c r="R232" s="15">
        <f t="shared" si="12"/>
        <v>-1.4054453705533942E-2</v>
      </c>
    </row>
    <row r="233" spans="1:18" x14ac:dyDescent="0.2">
      <c r="A233" s="13">
        <v>45712</v>
      </c>
      <c r="B233" s="14">
        <v>14.89</v>
      </c>
      <c r="C233" s="14">
        <v>13.05</v>
      </c>
      <c r="D233" s="14">
        <v>400.37</v>
      </c>
      <c r="E233" s="14">
        <v>35.267429999999997</v>
      </c>
      <c r="F233" s="14">
        <v>317.19</v>
      </c>
      <c r="G233" s="14">
        <v>141.85</v>
      </c>
      <c r="H233" s="14">
        <v>14.06</v>
      </c>
      <c r="I233" s="14">
        <v>62.733623999999999</v>
      </c>
      <c r="J233">
        <f t="shared" si="13"/>
        <v>-1.1288180610889764E-2</v>
      </c>
      <c r="K233">
        <f t="shared" si="13"/>
        <v>-2.5392083644510843E-2</v>
      </c>
      <c r="L233">
        <f t="shared" si="13"/>
        <v>2.5541504945536531E-3</v>
      </c>
      <c r="M233">
        <f t="shared" si="13"/>
        <v>8.2060286366243407E-3</v>
      </c>
      <c r="N233">
        <f t="shared" si="13"/>
        <v>-1.242294040724834E-2</v>
      </c>
      <c r="O233">
        <f t="shared" si="10"/>
        <v>1.4446113137380978E-2</v>
      </c>
      <c r="P233">
        <f t="shared" si="10"/>
        <v>-0.12015018773466835</v>
      </c>
      <c r="Q233">
        <f t="shared" si="10"/>
        <v>-1.7471243312440099E-2</v>
      </c>
      <c r="R233" s="15">
        <f t="shared" si="12"/>
        <v>-2.5060736039302384E-2</v>
      </c>
    </row>
    <row r="234" spans="1:18" x14ac:dyDescent="0.2">
      <c r="A234" s="11">
        <v>45709</v>
      </c>
      <c r="B234" s="12">
        <v>15.06</v>
      </c>
      <c r="C234" s="12">
        <v>13.39</v>
      </c>
      <c r="D234" s="12">
        <v>399.35</v>
      </c>
      <c r="E234" s="12">
        <v>34.980379999999997</v>
      </c>
      <c r="F234" s="12">
        <v>321.18</v>
      </c>
      <c r="G234" s="12">
        <v>139.83000000000001</v>
      </c>
      <c r="H234" s="12">
        <v>15.98</v>
      </c>
      <c r="I234" s="12">
        <v>63.849148</v>
      </c>
      <c r="J234">
        <f t="shared" si="13"/>
        <v>6.6445182724250706E-4</v>
      </c>
      <c r="K234">
        <f t="shared" si="13"/>
        <v>-1.904761904761898E-2</v>
      </c>
      <c r="L234">
        <f t="shared" si="13"/>
        <v>-4.1314576531591984E-2</v>
      </c>
      <c r="M234">
        <f t="shared" si="13"/>
        <v>-6.1867752511831631E-3</v>
      </c>
      <c r="N234">
        <f t="shared" si="13"/>
        <v>-2.9550398839738867E-2</v>
      </c>
      <c r="O234">
        <f t="shared" si="10"/>
        <v>5.1035077630823267E-3</v>
      </c>
      <c r="P234">
        <f t="shared" si="10"/>
        <v>-7.4159907300115901E-2</v>
      </c>
      <c r="Q234">
        <f t="shared" si="10"/>
        <v>-4.880312856712643E-3</v>
      </c>
      <c r="R234" s="15">
        <f t="shared" si="12"/>
        <v>-2.6045342844526566E-2</v>
      </c>
    </row>
    <row r="235" spans="1:18" x14ac:dyDescent="0.2">
      <c r="A235" s="13">
        <v>45708</v>
      </c>
      <c r="B235" s="14">
        <v>15.05</v>
      </c>
      <c r="C235" s="14">
        <v>13.65</v>
      </c>
      <c r="D235" s="14">
        <v>416.56</v>
      </c>
      <c r="E235" s="14">
        <v>35.198143000000002</v>
      </c>
      <c r="F235" s="14">
        <v>330.96</v>
      </c>
      <c r="G235" s="14">
        <v>139.12</v>
      </c>
      <c r="H235" s="14">
        <v>17.260000000000002</v>
      </c>
      <c r="I235" s="14">
        <v>64.162279999999996</v>
      </c>
      <c r="J235">
        <f t="shared" si="13"/>
        <v>1.0067114093959662E-2</v>
      </c>
      <c r="K235">
        <f t="shared" si="13"/>
        <v>3.6764705882352811E-3</v>
      </c>
      <c r="L235">
        <f t="shared" si="13"/>
        <v>5.6977305649446031E-3</v>
      </c>
      <c r="M235">
        <f t="shared" si="13"/>
        <v>1.6000045029650467E-2</v>
      </c>
      <c r="N235">
        <f t="shared" si="13"/>
        <v>3.5836124064974495E-2</v>
      </c>
      <c r="O235">
        <f t="shared" si="10"/>
        <v>-1.0244735344336897E-2</v>
      </c>
      <c r="P235">
        <f t="shared" si="10"/>
        <v>1.0538641686182793E-2</v>
      </c>
      <c r="Q235">
        <f t="shared" si="10"/>
        <v>5.5206859802001684E-3</v>
      </c>
      <c r="R235" s="15">
        <f t="shared" si="12"/>
        <v>1.1658059683189113E-2</v>
      </c>
    </row>
    <row r="236" spans="1:18" x14ac:dyDescent="0.2">
      <c r="A236" s="11">
        <v>45707</v>
      </c>
      <c r="B236" s="12">
        <v>14.9</v>
      </c>
      <c r="C236" s="12">
        <v>13.6</v>
      </c>
      <c r="D236" s="12">
        <v>414.2</v>
      </c>
      <c r="E236" s="12">
        <v>34.643839999999997</v>
      </c>
      <c r="F236" s="12">
        <v>319.51</v>
      </c>
      <c r="G236" s="12">
        <v>140.56</v>
      </c>
      <c r="H236" s="12">
        <v>17.079999999999998</v>
      </c>
      <c r="I236" s="12">
        <v>63.810004999999997</v>
      </c>
      <c r="J236">
        <f t="shared" si="13"/>
        <v>-3.5598705501618033E-2</v>
      </c>
      <c r="K236">
        <f t="shared" si="13"/>
        <v>0</v>
      </c>
      <c r="L236">
        <f t="shared" si="13"/>
        <v>2.4081491371211072E-2</v>
      </c>
      <c r="M236">
        <f t="shared" si="13"/>
        <v>8.3549714627006999E-3</v>
      </c>
      <c r="N236">
        <f t="shared" si="13"/>
        <v>8.4587949373480242E-3</v>
      </c>
      <c r="O236">
        <f t="shared" si="13"/>
        <v>1.1396011396012096E-3</v>
      </c>
      <c r="P236">
        <f t="shared" si="13"/>
        <v>2.9359953024072905E-3</v>
      </c>
      <c r="Q236">
        <f t="shared" si="13"/>
        <v>-3.4641043380332581E-2</v>
      </c>
      <c r="R236" s="15">
        <f t="shared" si="12"/>
        <v>4.5755678342883572E-4</v>
      </c>
    </row>
    <row r="237" spans="1:18" x14ac:dyDescent="0.2">
      <c r="A237" s="13">
        <v>45706</v>
      </c>
      <c r="B237" s="14">
        <v>15.45</v>
      </c>
      <c r="C237" s="14">
        <v>13.6</v>
      </c>
      <c r="D237" s="14">
        <v>404.46</v>
      </c>
      <c r="E237" s="14">
        <v>34.356789999999997</v>
      </c>
      <c r="F237" s="14">
        <v>316.83</v>
      </c>
      <c r="G237" s="14">
        <v>140.4</v>
      </c>
      <c r="H237" s="14">
        <v>17.03</v>
      </c>
      <c r="I237" s="14">
        <v>66.099770000000007</v>
      </c>
      <c r="J237">
        <f t="shared" si="13"/>
        <v>-1.9670050761421365E-2</v>
      </c>
      <c r="K237">
        <f t="shared" si="13"/>
        <v>-1.8050541516245522E-2</v>
      </c>
      <c r="L237">
        <f t="shared" si="13"/>
        <v>1.6154561213978846E-2</v>
      </c>
      <c r="M237">
        <f t="shared" si="13"/>
        <v>4.3402602940096902E-3</v>
      </c>
      <c r="N237">
        <f t="shared" si="13"/>
        <v>-2.1948508983145043E-2</v>
      </c>
      <c r="O237">
        <f t="shared" si="13"/>
        <v>1.0695187165776776E-3</v>
      </c>
      <c r="P237">
        <f t="shared" si="13"/>
        <v>1.128266033254155E-2</v>
      </c>
      <c r="Q237">
        <f t="shared" si="13"/>
        <v>2.7688927895943571E-2</v>
      </c>
      <c r="R237" s="15">
        <f t="shared" si="12"/>
        <v>-1.5562806334944177E-3</v>
      </c>
    </row>
    <row r="238" spans="1:18" x14ac:dyDescent="0.2">
      <c r="A238" s="11">
        <v>45705</v>
      </c>
      <c r="B238" s="12">
        <v>15.76</v>
      </c>
      <c r="C238" s="12">
        <v>13.85</v>
      </c>
      <c r="D238" s="12">
        <v>398.03</v>
      </c>
      <c r="E238" s="12">
        <v>34.208317000000001</v>
      </c>
      <c r="F238" s="12">
        <v>323.94</v>
      </c>
      <c r="G238" s="12">
        <v>140.25</v>
      </c>
      <c r="H238" s="12">
        <v>16.84</v>
      </c>
      <c r="I238" s="12">
        <v>64.318849999999998</v>
      </c>
      <c r="J238">
        <f t="shared" si="13"/>
        <v>1.2853470437018011E-2</v>
      </c>
      <c r="K238">
        <f t="shared" si="13"/>
        <v>1.9882179675994038E-2</v>
      </c>
      <c r="L238">
        <f t="shared" si="13"/>
        <v>-3.3802393710251621E-3</v>
      </c>
      <c r="M238">
        <f t="shared" si="13"/>
        <v>-5.4676676051859108E-3</v>
      </c>
      <c r="N238">
        <f t="shared" si="13"/>
        <v>-1.4795635287591091E-3</v>
      </c>
      <c r="O238">
        <f t="shared" si="13"/>
        <v>-1.4129059468578564E-2</v>
      </c>
      <c r="P238">
        <f t="shared" si="13"/>
        <v>1.7522658610271913E-2</v>
      </c>
      <c r="Q238">
        <f t="shared" si="13"/>
        <v>-2.6077719842431346E-2</v>
      </c>
      <c r="R238" s="15">
        <f t="shared" si="12"/>
        <v>9.2145630004233882E-4</v>
      </c>
    </row>
    <row r="239" spans="1:18" x14ac:dyDescent="0.2">
      <c r="A239" s="13">
        <v>45702</v>
      </c>
      <c r="B239" s="14">
        <v>15.56</v>
      </c>
      <c r="C239" s="14">
        <v>13.58</v>
      </c>
      <c r="D239" s="14">
        <v>399.38</v>
      </c>
      <c r="E239" s="14">
        <v>34.396385000000002</v>
      </c>
      <c r="F239" s="14">
        <v>324.42</v>
      </c>
      <c r="G239" s="14">
        <v>142.26</v>
      </c>
      <c r="H239" s="14">
        <v>16.55</v>
      </c>
      <c r="I239" s="14">
        <v>66.041049999999998</v>
      </c>
      <c r="J239">
        <f t="shared" si="13"/>
        <v>2.233902759526929E-2</v>
      </c>
      <c r="K239">
        <f t="shared" si="13"/>
        <v>3.6954915003695188E-3</v>
      </c>
      <c r="L239">
        <f t="shared" si="13"/>
        <v>-1.727362204724403E-2</v>
      </c>
      <c r="M239">
        <f t="shared" si="13"/>
        <v>-4.2980344977515683E-3</v>
      </c>
      <c r="N239">
        <f t="shared" si="13"/>
        <v>6.9526351728848024E-3</v>
      </c>
      <c r="O239">
        <f t="shared" si="13"/>
        <v>-7.9497907949791502E-3</v>
      </c>
      <c r="P239">
        <f t="shared" si="13"/>
        <v>4.4164037854889759E-2</v>
      </c>
      <c r="Q239">
        <f t="shared" si="13"/>
        <v>7.1629590141977229E-3</v>
      </c>
      <c r="R239" s="15">
        <f t="shared" si="12"/>
        <v>8.1619743536710705E-3</v>
      </c>
    </row>
    <row r="240" spans="1:18" x14ac:dyDescent="0.2">
      <c r="A240" s="11">
        <v>45701</v>
      </c>
      <c r="B240" s="12">
        <v>15.22</v>
      </c>
      <c r="C240" s="12">
        <v>13.53</v>
      </c>
      <c r="D240" s="12">
        <v>406.4</v>
      </c>
      <c r="E240" s="12">
        <v>34.54486</v>
      </c>
      <c r="F240" s="12">
        <v>322.18</v>
      </c>
      <c r="G240" s="12">
        <v>143.4</v>
      </c>
      <c r="H240" s="12">
        <v>15.85</v>
      </c>
      <c r="I240" s="12">
        <v>65.571365</v>
      </c>
      <c r="J240">
        <f t="shared" si="13"/>
        <v>6.5746219592366373E-4</v>
      </c>
      <c r="K240">
        <f t="shared" si="13"/>
        <v>2.9651593773165619E-3</v>
      </c>
      <c r="L240">
        <f t="shared" si="13"/>
        <v>-2.4835032993401396E-2</v>
      </c>
      <c r="M240">
        <f t="shared" si="13"/>
        <v>-1.1447341218379092E-3</v>
      </c>
      <c r="N240">
        <f t="shared" si="13"/>
        <v>-6.7821690609778384E-3</v>
      </c>
      <c r="O240">
        <f t="shared" si="13"/>
        <v>3.9959387917905653E-2</v>
      </c>
      <c r="P240">
        <f t="shared" si="13"/>
        <v>-6.3051702395966469E-4</v>
      </c>
      <c r="Q240">
        <f t="shared" si="13"/>
        <v>-1.4920445890309608E-4</v>
      </c>
      <c r="R240" s="15">
        <f t="shared" si="12"/>
        <v>1.3464690319211897E-3</v>
      </c>
    </row>
    <row r="241" spans="1:18" x14ac:dyDescent="0.2">
      <c r="A241" s="13">
        <v>45700</v>
      </c>
      <c r="B241" s="14">
        <v>15.21</v>
      </c>
      <c r="C241" s="14">
        <v>13.49</v>
      </c>
      <c r="D241" s="14">
        <v>416.75</v>
      </c>
      <c r="E241" s="14">
        <v>34.584449999999997</v>
      </c>
      <c r="F241" s="14">
        <v>324.38</v>
      </c>
      <c r="G241" s="14">
        <v>137.88999999999999</v>
      </c>
      <c r="H241" s="14">
        <v>15.86</v>
      </c>
      <c r="I241" s="14">
        <v>65.581149999999994</v>
      </c>
      <c r="J241">
        <f t="shared" si="13"/>
        <v>3.2981530343008103E-3</v>
      </c>
      <c r="K241">
        <f t="shared" si="13"/>
        <v>-8.0882352941176183E-3</v>
      </c>
      <c r="L241">
        <f t="shared" si="13"/>
        <v>4.1640630858057026E-2</v>
      </c>
      <c r="M241">
        <f t="shared" si="13"/>
        <v>2.8633778313791325E-4</v>
      </c>
      <c r="N241">
        <f t="shared" si="13"/>
        <v>6.1348689591990357E-2</v>
      </c>
      <c r="O241">
        <f t="shared" si="13"/>
        <v>2.9822519639219891E-3</v>
      </c>
      <c r="P241">
        <f t="shared" si="13"/>
        <v>-3.142677561282281E-3</v>
      </c>
      <c r="Q241">
        <f t="shared" si="13"/>
        <v>1.5608473228701625E-2</v>
      </c>
      <c r="R241" s="15">
        <f t="shared" si="12"/>
        <v>1.8411955225985578E-2</v>
      </c>
    </row>
    <row r="242" spans="1:18" x14ac:dyDescent="0.2">
      <c r="A242" s="11">
        <v>45699</v>
      </c>
      <c r="B242" s="12">
        <v>15.16</v>
      </c>
      <c r="C242" s="12">
        <v>13.6</v>
      </c>
      <c r="D242" s="12">
        <v>400.09</v>
      </c>
      <c r="E242" s="12">
        <v>34.574550000000002</v>
      </c>
      <c r="F242" s="12">
        <v>305.63</v>
      </c>
      <c r="G242" s="12">
        <v>137.47999999999999</v>
      </c>
      <c r="H242" s="12">
        <v>15.91</v>
      </c>
      <c r="I242" s="12">
        <v>64.573260000000005</v>
      </c>
      <c r="J242">
        <f t="shared" si="13"/>
        <v>1.1340893929286278E-2</v>
      </c>
      <c r="K242">
        <f t="shared" si="13"/>
        <v>-1.468428781204123E-3</v>
      </c>
      <c r="L242">
        <f t="shared" si="13"/>
        <v>3.131927617672825E-2</v>
      </c>
      <c r="M242">
        <f t="shared" si="13"/>
        <v>2.5831168895189549E-3</v>
      </c>
      <c r="N242">
        <f t="shared" si="13"/>
        <v>-5.2074933316791805E-2</v>
      </c>
      <c r="O242">
        <f t="shared" si="13"/>
        <v>-1.4197619389072269E-2</v>
      </c>
      <c r="P242">
        <f t="shared" si="13"/>
        <v>-2.0320197044334853E-2</v>
      </c>
      <c r="Q242">
        <f t="shared" si="13"/>
        <v>-7.5709293952219703E-4</v>
      </c>
      <c r="R242" s="15">
        <f t="shared" si="12"/>
        <v>-1.1701865634020554E-2</v>
      </c>
    </row>
    <row r="243" spans="1:18" x14ac:dyDescent="0.2">
      <c r="A243" s="13">
        <v>45698</v>
      </c>
      <c r="B243" s="14">
        <v>14.99</v>
      </c>
      <c r="C243" s="14">
        <v>13.62</v>
      </c>
      <c r="D243" s="14">
        <v>387.94</v>
      </c>
      <c r="E243" s="14">
        <v>34.485469999999999</v>
      </c>
      <c r="F243" s="14">
        <v>322.42</v>
      </c>
      <c r="G243" s="14">
        <v>139.46</v>
      </c>
      <c r="H243" s="14">
        <v>16.239999999999998</v>
      </c>
      <c r="I243" s="14">
        <v>64.622185000000002</v>
      </c>
      <c r="J243">
        <f t="shared" si="13"/>
        <v>-2.6613439787092075E-3</v>
      </c>
      <c r="K243">
        <f t="shared" si="13"/>
        <v>-1.2327773749093551E-2</v>
      </c>
      <c r="L243">
        <f t="shared" si="13"/>
        <v>3.9075641125170257E-3</v>
      </c>
      <c r="M243">
        <f t="shared" si="13"/>
        <v>-2.8619798782399952E-3</v>
      </c>
      <c r="N243">
        <f t="shared" si="13"/>
        <v>5.5858987090373624E-4</v>
      </c>
      <c r="O243">
        <f t="shared" si="13"/>
        <v>1.0799449155613594E-2</v>
      </c>
      <c r="P243">
        <f t="shared" si="13"/>
        <v>-5.511328842620955E-3</v>
      </c>
      <c r="Q243">
        <f t="shared" si="13"/>
        <v>-5.2719573326278635E-3</v>
      </c>
      <c r="R243" s="15">
        <f t="shared" si="12"/>
        <v>-1.0870888614166873E-3</v>
      </c>
    </row>
    <row r="244" spans="1:18" x14ac:dyDescent="0.2">
      <c r="A244" s="11">
        <v>45695</v>
      </c>
      <c r="B244" s="12">
        <v>15.03</v>
      </c>
      <c r="C244" s="12">
        <v>13.79</v>
      </c>
      <c r="D244" s="12">
        <v>386.43</v>
      </c>
      <c r="E244" s="12">
        <v>34.584449999999997</v>
      </c>
      <c r="F244" s="12">
        <v>322.24</v>
      </c>
      <c r="G244" s="12">
        <v>137.97</v>
      </c>
      <c r="H244" s="12">
        <v>16.329999999999998</v>
      </c>
      <c r="I244" s="12">
        <v>64.964675999999997</v>
      </c>
      <c r="J244">
        <f t="shared" si="13"/>
        <v>6.6979236436703893E-3</v>
      </c>
      <c r="K244">
        <f t="shared" si="13"/>
        <v>2.9090909090907502E-3</v>
      </c>
      <c r="L244">
        <f t="shared" si="13"/>
        <v>-9.3316584202834951E-3</v>
      </c>
      <c r="M244">
        <f t="shared" si="13"/>
        <v>1.6584240268663564E-2</v>
      </c>
      <c r="N244">
        <f t="shared" si="13"/>
        <v>-2.846886990964248E-3</v>
      </c>
      <c r="O244">
        <f t="shared" si="13"/>
        <v>-5.1914341336793957E-3</v>
      </c>
      <c r="P244">
        <f t="shared" si="13"/>
        <v>8.0246913580246382E-3</v>
      </c>
      <c r="Q244">
        <f t="shared" si="13"/>
        <v>6.3090536524251783E-2</v>
      </c>
      <c r="R244" s="15">
        <f t="shared" si="12"/>
        <v>6.3154099112260383E-3</v>
      </c>
    </row>
    <row r="245" spans="1:18" x14ac:dyDescent="0.2">
      <c r="A245" s="13">
        <v>45694</v>
      </c>
      <c r="B245" s="14">
        <v>14.93</v>
      </c>
      <c r="C245" s="14">
        <v>13.75</v>
      </c>
      <c r="D245" s="14">
        <v>390.07</v>
      </c>
      <c r="E245" s="14">
        <v>34.020249999999997</v>
      </c>
      <c r="F245" s="14">
        <v>323.16000000000003</v>
      </c>
      <c r="G245" s="14">
        <v>138.69</v>
      </c>
      <c r="H245" s="14">
        <v>16.2</v>
      </c>
      <c r="I245" s="14">
        <v>61.109259999999999</v>
      </c>
      <c r="J245">
        <f t="shared" si="13"/>
        <v>2.2602739726027332E-2</v>
      </c>
      <c r="K245">
        <f t="shared" si="13"/>
        <v>0.1242845461978741</v>
      </c>
      <c r="L245">
        <f t="shared" si="13"/>
        <v>2.628394022311098E-2</v>
      </c>
      <c r="M245">
        <f t="shared" si="13"/>
        <v>9.3979540288775532E-3</v>
      </c>
      <c r="N245">
        <f t="shared" si="13"/>
        <v>-2.9003394014193162E-3</v>
      </c>
      <c r="O245">
        <f t="shared" si="13"/>
        <v>-1.1968369309681592E-2</v>
      </c>
      <c r="P245">
        <f t="shared" si="13"/>
        <v>-9.7799511002445438E-3</v>
      </c>
      <c r="Q245">
        <f t="shared" si="13"/>
        <v>-3.343140435370795E-2</v>
      </c>
      <c r="R245" s="15">
        <f t="shared" si="12"/>
        <v>1.2857660936228945E-2</v>
      </c>
    </row>
    <row r="246" spans="1:18" x14ac:dyDescent="0.2">
      <c r="A246" s="11">
        <v>45693</v>
      </c>
      <c r="B246" s="12">
        <v>14.6</v>
      </c>
      <c r="C246" s="12">
        <v>12.23</v>
      </c>
      <c r="D246" s="12">
        <v>380.08</v>
      </c>
      <c r="E246" s="12">
        <v>33.703505999999997</v>
      </c>
      <c r="F246" s="12">
        <v>324.10000000000002</v>
      </c>
      <c r="G246" s="12">
        <v>140.37</v>
      </c>
      <c r="H246" s="12">
        <v>16.36</v>
      </c>
      <c r="I246" s="12">
        <v>63.22289</v>
      </c>
      <c r="J246">
        <f t="shared" si="13"/>
        <v>-4.0927694406548421E-3</v>
      </c>
      <c r="K246">
        <f t="shared" si="13"/>
        <v>-2.0032051282051322E-2</v>
      </c>
      <c r="L246">
        <f t="shared" si="13"/>
        <v>-6.9239411595642952E-3</v>
      </c>
      <c r="M246">
        <f t="shared" si="13"/>
        <v>-1.5326844612974067E-2</v>
      </c>
      <c r="N246">
        <f t="shared" si="13"/>
        <v>6.251844080910085E-2</v>
      </c>
      <c r="O246">
        <f t="shared" si="13"/>
        <v>-1.6879114721949806E-2</v>
      </c>
      <c r="P246">
        <f t="shared" si="13"/>
        <v>-4.8837209302325602E-2</v>
      </c>
      <c r="Q246">
        <f t="shared" si="13"/>
        <v>-5.5410006046385796E-3</v>
      </c>
      <c r="R246" s="15">
        <f t="shared" si="12"/>
        <v>-2.7210452715216481E-3</v>
      </c>
    </row>
    <row r="247" spans="1:18" x14ac:dyDescent="0.2">
      <c r="A247" s="13">
        <v>45692</v>
      </c>
      <c r="B247" s="14">
        <v>14.66</v>
      </c>
      <c r="C247" s="14">
        <v>12.48</v>
      </c>
      <c r="D247" s="14">
        <v>382.73</v>
      </c>
      <c r="E247" s="14">
        <v>34.228115000000003</v>
      </c>
      <c r="F247" s="14">
        <v>305.02999999999997</v>
      </c>
      <c r="G247" s="14">
        <v>142.78</v>
      </c>
      <c r="H247" s="14">
        <v>17.2</v>
      </c>
      <c r="I247" s="14">
        <v>63.575159999999997</v>
      </c>
      <c r="J247">
        <f t="shared" si="13"/>
        <v>1.313061506565294E-2</v>
      </c>
      <c r="K247">
        <f t="shared" si="13"/>
        <v>1.4634146341463428E-2</v>
      </c>
      <c r="L247">
        <f t="shared" si="13"/>
        <v>-7.0496083550908306E-4</v>
      </c>
      <c r="M247">
        <f t="shared" si="13"/>
        <v>2.0962593157527465E-2</v>
      </c>
      <c r="N247">
        <f t="shared" si="13"/>
        <v>4.0525328330206278E-2</v>
      </c>
      <c r="O247">
        <f t="shared" si="13"/>
        <v>5.4660954350716606E-2</v>
      </c>
      <c r="P247">
        <f t="shared" si="13"/>
        <v>-1.9943019943020057E-2</v>
      </c>
      <c r="Q247">
        <f t="shared" si="13"/>
        <v>5.7276102580003929E-3</v>
      </c>
      <c r="R247" s="15">
        <f t="shared" si="12"/>
        <v>1.7692991375499859E-2</v>
      </c>
    </row>
    <row r="248" spans="1:18" x14ac:dyDescent="0.2">
      <c r="A248" s="11">
        <v>45688</v>
      </c>
      <c r="B248" s="12">
        <v>14.47</v>
      </c>
      <c r="C248" s="12">
        <v>12.3</v>
      </c>
      <c r="D248" s="12">
        <v>383</v>
      </c>
      <c r="E248" s="12">
        <v>33.525337</v>
      </c>
      <c r="F248" s="12">
        <v>293.14999999999998</v>
      </c>
      <c r="G248" s="12">
        <v>135.38</v>
      </c>
      <c r="H248" s="12">
        <v>17.55</v>
      </c>
      <c r="I248" s="12">
        <v>63.213099999999997</v>
      </c>
      <c r="J248">
        <f t="shared" si="13"/>
        <v>-1.9647696476964738E-2</v>
      </c>
      <c r="K248">
        <f t="shared" si="13"/>
        <v>-1.3632718524458687E-2</v>
      </c>
      <c r="L248">
        <f t="shared" si="13"/>
        <v>-2.4750458341821213E-2</v>
      </c>
      <c r="M248">
        <f t="shared" si="13"/>
        <v>-2.6501424091208703E-3</v>
      </c>
      <c r="N248">
        <f t="shared" si="13"/>
        <v>-1.3162324109607604E-2</v>
      </c>
      <c r="O248">
        <f t="shared" si="13"/>
        <v>-4.1625371655104049E-2</v>
      </c>
      <c r="P248">
        <f t="shared" si="13"/>
        <v>-2.1193530395984372E-2</v>
      </c>
      <c r="Q248">
        <f t="shared" si="13"/>
        <v>-6.1538870314473693E-3</v>
      </c>
      <c r="R248" s="15">
        <f t="shared" si="12"/>
        <v>-1.8966833798252355E-2</v>
      </c>
    </row>
    <row r="249" spans="1:18" x14ac:dyDescent="0.2">
      <c r="A249" s="13">
        <v>45687</v>
      </c>
      <c r="B249" s="14">
        <v>14.76</v>
      </c>
      <c r="C249" s="14">
        <v>12.47</v>
      </c>
      <c r="D249" s="14">
        <v>392.72</v>
      </c>
      <c r="E249" s="14">
        <v>33.614420000000003</v>
      </c>
      <c r="F249" s="14">
        <v>297.06</v>
      </c>
      <c r="G249" s="14">
        <v>141.26</v>
      </c>
      <c r="H249" s="14">
        <v>17.93</v>
      </c>
      <c r="I249" s="14">
        <v>63.604514999999999</v>
      </c>
      <c r="J249">
        <f t="shared" si="13"/>
        <v>3.3990482664854049E-3</v>
      </c>
      <c r="K249">
        <f t="shared" si="13"/>
        <v>2.8877887788778978E-2</v>
      </c>
      <c r="L249">
        <f t="shared" si="13"/>
        <v>2.2894798530982197E-2</v>
      </c>
      <c r="M249">
        <f t="shared" si="13"/>
        <v>2.9532657187256728E-3</v>
      </c>
      <c r="N249">
        <f t="shared" si="13"/>
        <v>3.5665725342537424E-2</v>
      </c>
      <c r="O249">
        <f t="shared" si="13"/>
        <v>-3.6676541120045369E-3</v>
      </c>
      <c r="P249">
        <f t="shared" si="13"/>
        <v>3.919372900335949E-3</v>
      </c>
      <c r="Q249">
        <f t="shared" si="13"/>
        <v>4.6173694254170172E-4</v>
      </c>
      <c r="R249" s="15">
        <f t="shared" si="12"/>
        <v>1.4141224351200367E-2</v>
      </c>
    </row>
    <row r="250" spans="1:18" x14ac:dyDescent="0.2">
      <c r="A250" s="11">
        <v>45686</v>
      </c>
      <c r="B250" s="12">
        <v>14.71</v>
      </c>
      <c r="C250" s="12">
        <v>12.12</v>
      </c>
      <c r="D250" s="12">
        <v>383.93</v>
      </c>
      <c r="E250" s="12">
        <v>33.515439999999998</v>
      </c>
      <c r="F250" s="12">
        <v>286.83</v>
      </c>
      <c r="G250" s="12">
        <v>141.78</v>
      </c>
      <c r="H250" s="12">
        <v>17.86</v>
      </c>
      <c r="I250" s="12">
        <v>63.575159999999997</v>
      </c>
      <c r="J250">
        <f t="shared" si="13"/>
        <v>9.608785175017287E-3</v>
      </c>
      <c r="K250">
        <f t="shared" si="13"/>
        <v>1.2531328320801949E-2</v>
      </c>
      <c r="L250">
        <f t="shared" si="13"/>
        <v>3.7123212465033362E-3</v>
      </c>
      <c r="M250">
        <f t="shared" si="13"/>
        <v>2.665052611027674E-3</v>
      </c>
      <c r="N250">
        <f t="shared" si="13"/>
        <v>3.046524160229902E-2</v>
      </c>
      <c r="O250">
        <f t="shared" si="13"/>
        <v>1.2425021422450833E-2</v>
      </c>
      <c r="P250">
        <f t="shared" si="13"/>
        <v>1.3045944412932498E-2</v>
      </c>
      <c r="Q250">
        <f t="shared" si="13"/>
        <v>-2.9159791914460387E-3</v>
      </c>
      <c r="R250" s="15">
        <f t="shared" si="12"/>
        <v>1.2954218164371239E-2</v>
      </c>
    </row>
    <row r="251" spans="1:18" x14ac:dyDescent="0.2">
      <c r="A251" s="13">
        <v>45685</v>
      </c>
      <c r="B251" s="14">
        <v>14.57</v>
      </c>
      <c r="C251" s="14">
        <v>11.97</v>
      </c>
      <c r="D251" s="14">
        <v>382.51</v>
      </c>
      <c r="E251" s="14">
        <v>33.426357000000003</v>
      </c>
      <c r="F251" s="14">
        <v>278.35000000000002</v>
      </c>
      <c r="G251" s="14">
        <v>140.04</v>
      </c>
      <c r="H251" s="14">
        <v>17.63</v>
      </c>
      <c r="I251" s="14">
        <v>63.761085999999999</v>
      </c>
      <c r="J251">
        <f t="shared" si="13"/>
        <v>-3.4199726402187602E-3</v>
      </c>
      <c r="K251">
        <f t="shared" si="13"/>
        <v>-2.2058823529411686E-2</v>
      </c>
      <c r="L251">
        <f t="shared" si="13"/>
        <v>-1.2724550898203568E-2</v>
      </c>
      <c r="M251">
        <f t="shared" si="13"/>
        <v>8.3606522363972591E-3</v>
      </c>
      <c r="N251">
        <f t="shared" si="13"/>
        <v>5.0913555282734446E-3</v>
      </c>
      <c r="O251">
        <f t="shared" si="13"/>
        <v>-4.1954063855507151E-3</v>
      </c>
      <c r="P251">
        <f t="shared" si="13"/>
        <v>-5.6689342403637433E-4</v>
      </c>
      <c r="Q251">
        <f t="shared" si="13"/>
        <v>2.5818722449489906E-2</v>
      </c>
      <c r="R251" s="15">
        <f t="shared" si="12"/>
        <v>-1.023602125128129E-3</v>
      </c>
    </row>
    <row r="252" spans="1:18" x14ac:dyDescent="0.2">
      <c r="A252" s="11">
        <v>45684</v>
      </c>
      <c r="B252" s="12">
        <v>14.62</v>
      </c>
      <c r="C252" s="12">
        <v>12.24</v>
      </c>
      <c r="D252" s="12">
        <v>387.44</v>
      </c>
      <c r="E252" s="12">
        <v>33.149208000000002</v>
      </c>
      <c r="F252" s="12">
        <v>276.94</v>
      </c>
      <c r="G252" s="12">
        <v>140.63</v>
      </c>
      <c r="H252" s="12">
        <v>17.64</v>
      </c>
      <c r="I252" s="12">
        <v>62.156289999999998</v>
      </c>
      <c r="J252">
        <f t="shared" si="13"/>
        <v>1.6689847009735637E-2</v>
      </c>
      <c r="K252">
        <f t="shared" si="13"/>
        <v>1.5767634854771728E-2</v>
      </c>
      <c r="L252">
        <f t="shared" si="13"/>
        <v>1.1724768246507367E-2</v>
      </c>
      <c r="M252">
        <f t="shared" si="13"/>
        <v>-1.4710207905571648E-2</v>
      </c>
      <c r="N252">
        <f t="shared" si="13"/>
        <v>-5.8667573079537738E-2</v>
      </c>
      <c r="O252">
        <f t="shared" si="13"/>
        <v>2.612185333819772E-2</v>
      </c>
      <c r="P252">
        <f t="shared" si="13"/>
        <v>-1.7817371937639215E-2</v>
      </c>
      <c r="Q252">
        <f t="shared" si="13"/>
        <v>3.9777406101709767E-2</v>
      </c>
      <c r="R252" s="15">
        <f t="shared" si="12"/>
        <v>-5.3572105477339531E-3</v>
      </c>
    </row>
    <row r="253" spans="1:18" x14ac:dyDescent="0.2">
      <c r="A253" s="13">
        <v>45681</v>
      </c>
      <c r="B253" s="14">
        <v>14.38</v>
      </c>
      <c r="C253" s="14">
        <v>12.05</v>
      </c>
      <c r="D253" s="14">
        <v>382.95</v>
      </c>
      <c r="E253" s="14">
        <v>33.644120000000001</v>
      </c>
      <c r="F253" s="14">
        <v>294.2</v>
      </c>
      <c r="G253" s="14">
        <v>137.05000000000001</v>
      </c>
      <c r="H253" s="14">
        <v>17.96</v>
      </c>
      <c r="I253" s="14">
        <v>59.778458000000001</v>
      </c>
      <c r="J253">
        <f t="shared" si="13"/>
        <v>-4.8442906574392985E-3</v>
      </c>
      <c r="K253">
        <f t="shared" si="13"/>
        <v>2.2920203735144362E-2</v>
      </c>
      <c r="L253">
        <f t="shared" si="13"/>
        <v>-4.0312093628088741E-3</v>
      </c>
      <c r="M253">
        <f t="shared" si="13"/>
        <v>3.8179690291897384E-2</v>
      </c>
      <c r="N253">
        <f t="shared" si="13"/>
        <v>6.3968802380871548E-3</v>
      </c>
      <c r="O253">
        <f t="shared" si="13"/>
        <v>2.1084786171956527E-2</v>
      </c>
      <c r="P253">
        <f t="shared" si="13"/>
        <v>2.7917364600782424E-3</v>
      </c>
      <c r="Q253">
        <f t="shared" si="13"/>
        <v>1.9681354180953736E-3</v>
      </c>
      <c r="R253" s="15">
        <f t="shared" si="12"/>
        <v>1.0013367106737583E-2</v>
      </c>
    </row>
    <row r="254" spans="1:18" x14ac:dyDescent="0.2">
      <c r="A254" s="11">
        <v>45680</v>
      </c>
      <c r="B254" s="12">
        <v>14.45</v>
      </c>
      <c r="C254" s="12">
        <v>11.78</v>
      </c>
      <c r="D254" s="12">
        <v>384.5</v>
      </c>
      <c r="E254" s="12">
        <v>32.406837000000003</v>
      </c>
      <c r="F254" s="12">
        <v>292.33</v>
      </c>
      <c r="G254" s="12">
        <v>134.22</v>
      </c>
      <c r="H254" s="12">
        <v>17.91</v>
      </c>
      <c r="I254" s="12">
        <v>59.661037</v>
      </c>
      <c r="J254">
        <f t="shared" si="13"/>
        <v>-5.5058499655884496E-3</v>
      </c>
      <c r="K254">
        <f t="shared" si="13"/>
        <v>3.1523642732048884E-2</v>
      </c>
      <c r="L254">
        <f t="shared" si="13"/>
        <v>-8.2538044880061667E-3</v>
      </c>
      <c r="M254">
        <f t="shared" si="13"/>
        <v>1.6770124208663306E-2</v>
      </c>
      <c r="N254">
        <f t="shared" si="13"/>
        <v>3.6392350739864465E-3</v>
      </c>
      <c r="O254">
        <f t="shared" si="13"/>
        <v>7.8846587069161256E-3</v>
      </c>
      <c r="P254">
        <f t="shared" si="13"/>
        <v>-1.3766519823788514E-2</v>
      </c>
      <c r="Q254">
        <f t="shared" si="13"/>
        <v>-4.7339044030666466E-3</v>
      </c>
      <c r="R254" s="15">
        <f t="shared" si="12"/>
        <v>2.6950582057132903E-3</v>
      </c>
    </row>
    <row r="255" spans="1:18" x14ac:dyDescent="0.2">
      <c r="A255" s="13">
        <v>45679</v>
      </c>
      <c r="B255" s="14">
        <v>14.53</v>
      </c>
      <c r="C255" s="14">
        <v>11.42</v>
      </c>
      <c r="D255" s="14">
        <v>387.7</v>
      </c>
      <c r="E255" s="14">
        <v>31.872333999999999</v>
      </c>
      <c r="F255" s="14">
        <v>291.27</v>
      </c>
      <c r="G255" s="14">
        <v>133.16999999999999</v>
      </c>
      <c r="H255" s="14">
        <v>18.16</v>
      </c>
      <c r="I255" s="14">
        <v>59.944809999999997</v>
      </c>
      <c r="J255">
        <f t="shared" si="13"/>
        <v>1.7507002801120386E-2</v>
      </c>
      <c r="K255">
        <f t="shared" si="13"/>
        <v>7.0546737213403876E-3</v>
      </c>
      <c r="L255">
        <f t="shared" si="13"/>
        <v>2.3219215190528608E-4</v>
      </c>
      <c r="M255">
        <f t="shared" si="13"/>
        <v>6.8793222034402302E-3</v>
      </c>
      <c r="N255">
        <f t="shared" si="13"/>
        <v>1.2338384540525382E-2</v>
      </c>
      <c r="O255">
        <f t="shared" si="13"/>
        <v>2.2418426103646638E-2</v>
      </c>
      <c r="P255">
        <f t="shared" si="13"/>
        <v>1.1699164345403856E-2</v>
      </c>
      <c r="Q255">
        <f t="shared" si="13"/>
        <v>3.5672012371780193E-2</v>
      </c>
      <c r="R255" s="15">
        <f t="shared" si="12"/>
        <v>1.3395835726457259E-2</v>
      </c>
    </row>
    <row r="256" spans="1:18" x14ac:dyDescent="0.2">
      <c r="A256" s="11">
        <v>45678</v>
      </c>
      <c r="B256" s="12">
        <v>14.28</v>
      </c>
      <c r="C256" s="12">
        <v>11.34</v>
      </c>
      <c r="D256" s="12">
        <v>387.61</v>
      </c>
      <c r="E256" s="12">
        <v>31.654572000000002</v>
      </c>
      <c r="F256" s="12">
        <v>287.72000000000003</v>
      </c>
      <c r="G256" s="12">
        <v>130.25</v>
      </c>
      <c r="H256" s="12">
        <v>17.95</v>
      </c>
      <c r="I256" s="12">
        <v>57.880110000000002</v>
      </c>
      <c r="J256">
        <f t="shared" si="13"/>
        <v>-9.7087378640776656E-3</v>
      </c>
      <c r="K256">
        <f t="shared" si="13"/>
        <v>1.2499999999999956E-2</v>
      </c>
      <c r="L256">
        <f t="shared" si="13"/>
        <v>1.3597970764362755E-2</v>
      </c>
      <c r="M256">
        <f t="shared" si="13"/>
        <v>-4.358612387713956E-3</v>
      </c>
      <c r="N256">
        <f t="shared" si="13"/>
        <v>-1.2289735667696533E-2</v>
      </c>
      <c r="O256">
        <f t="shared" si="13"/>
        <v>3.078505856283642E-2</v>
      </c>
      <c r="P256">
        <f t="shared" si="13"/>
        <v>3.3390903857225096E-2</v>
      </c>
      <c r="Q256">
        <f t="shared" si="13"/>
        <v>2.2118619006644691E-2</v>
      </c>
      <c r="R256" s="15">
        <f t="shared" si="12"/>
        <v>1.1012789232543726E-2</v>
      </c>
    </row>
    <row r="257" spans="1:18" x14ac:dyDescent="0.2">
      <c r="A257" s="13">
        <v>45677</v>
      </c>
      <c r="B257" s="14">
        <v>14.42</v>
      </c>
      <c r="C257" s="14">
        <v>11.2</v>
      </c>
      <c r="D257" s="14">
        <v>382.41</v>
      </c>
      <c r="E257" s="14">
        <v>31.793146</v>
      </c>
      <c r="F257" s="14">
        <v>291.3</v>
      </c>
      <c r="G257" s="14">
        <v>126.36</v>
      </c>
      <c r="H257" s="14">
        <v>17.37</v>
      </c>
      <c r="I257" s="14">
        <v>56.627586000000001</v>
      </c>
      <c r="J257">
        <f t="shared" si="13"/>
        <v>1.0511562718990897E-2</v>
      </c>
      <c r="K257">
        <f t="shared" si="13"/>
        <v>6.2893081761004055E-3</v>
      </c>
      <c r="L257">
        <f t="shared" si="13"/>
        <v>-2.8898651565555267E-2</v>
      </c>
      <c r="M257">
        <f t="shared" si="13"/>
        <v>8.7939150394005239E-3</v>
      </c>
      <c r="N257">
        <f t="shared" si="13"/>
        <v>4.6213270795973926E-3</v>
      </c>
      <c r="O257">
        <f t="shared" si="13"/>
        <v>1.4776742691936962E-2</v>
      </c>
      <c r="P257">
        <f t="shared" si="13"/>
        <v>2.4778761061946986E-2</v>
      </c>
      <c r="Q257">
        <f t="shared" si="13"/>
        <v>1.9555963819434252E-2</v>
      </c>
      <c r="R257" s="15">
        <f t="shared" si="12"/>
        <v>7.6724522322420873E-3</v>
      </c>
    </row>
    <row r="258" spans="1:18" x14ac:dyDescent="0.2">
      <c r="A258" s="11">
        <v>45674</v>
      </c>
      <c r="B258" s="12">
        <v>14.27</v>
      </c>
      <c r="C258" s="12">
        <v>11.13</v>
      </c>
      <c r="D258" s="12">
        <v>393.79</v>
      </c>
      <c r="E258" s="12">
        <v>31.515996999999999</v>
      </c>
      <c r="F258" s="12">
        <v>289.95999999999998</v>
      </c>
      <c r="G258" s="12">
        <v>124.52</v>
      </c>
      <c r="H258" s="12">
        <v>16.95</v>
      </c>
      <c r="I258" s="12">
        <v>55.541420000000002</v>
      </c>
      <c r="J258">
        <f t="shared" si="13"/>
        <v>-1.2456747404844259E-2</v>
      </c>
      <c r="K258">
        <f t="shared" si="13"/>
        <v>-1.591511936339518E-2</v>
      </c>
      <c r="L258">
        <f t="shared" si="13"/>
        <v>-7.8660238518146741E-4</v>
      </c>
      <c r="M258">
        <f t="shared" si="13"/>
        <v>-1.2406990890678871E-2</v>
      </c>
      <c r="N258">
        <f t="shared" si="13"/>
        <v>-3.950396757239627E-3</v>
      </c>
      <c r="O258">
        <f t="shared" si="13"/>
        <v>-2.4596584678051037E-2</v>
      </c>
      <c r="P258">
        <f t="shared" si="13"/>
        <v>-3.3637400228050174E-2</v>
      </c>
      <c r="Q258">
        <f t="shared" si="13"/>
        <v>-1.355581905843839E-2</v>
      </c>
      <c r="R258" s="15">
        <f t="shared" si="12"/>
        <v>-1.5034153126134951E-2</v>
      </c>
    </row>
    <row r="259" spans="1:18" x14ac:dyDescent="0.2">
      <c r="A259" s="13">
        <v>45673</v>
      </c>
      <c r="B259" s="14">
        <v>14.45</v>
      </c>
      <c r="C259" s="14">
        <v>11.31</v>
      </c>
      <c r="D259" s="14">
        <v>394.1</v>
      </c>
      <c r="E259" s="14">
        <v>31.911928</v>
      </c>
      <c r="F259" s="14">
        <v>291.11</v>
      </c>
      <c r="G259" s="14">
        <v>127.66</v>
      </c>
      <c r="H259" s="14">
        <v>17.54</v>
      </c>
      <c r="I259" s="14">
        <v>56.304676000000001</v>
      </c>
      <c r="J259">
        <f t="shared" si="13"/>
        <v>6.9252077562320657E-4</v>
      </c>
      <c r="K259">
        <f t="shared" si="13"/>
        <v>-8.8339222614841617E-4</v>
      </c>
      <c r="L259">
        <f t="shared" si="13"/>
        <v>-3.1113247160599045E-3</v>
      </c>
      <c r="M259">
        <f t="shared" si="13"/>
        <v>-7.3890768321218658E-3</v>
      </c>
      <c r="N259">
        <f t="shared" si="13"/>
        <v>-1.0536691478875482E-2</v>
      </c>
      <c r="O259">
        <f t="shared" si="13"/>
        <v>-7.5410090958563103E-3</v>
      </c>
      <c r="P259">
        <f t="shared" si="13"/>
        <v>1.3287117273252491E-2</v>
      </c>
      <c r="Q259">
        <f t="shared" si="13"/>
        <v>-1.6410225521374611E-2</v>
      </c>
      <c r="R259" s="15">
        <f t="shared" ref="R259:R322" si="14">SUMPRODUCT($T$2:$AA$2,J259:Q259)</f>
        <v>-3.4026019528854059E-3</v>
      </c>
    </row>
    <row r="260" spans="1:18" x14ac:dyDescent="0.2">
      <c r="A260" s="11">
        <v>45672</v>
      </c>
      <c r="B260" s="12">
        <v>14.44</v>
      </c>
      <c r="C260" s="12">
        <v>11.32</v>
      </c>
      <c r="D260" s="12">
        <v>395.33</v>
      </c>
      <c r="E260" s="12">
        <v>32.149482999999996</v>
      </c>
      <c r="F260" s="12">
        <v>294.20999999999998</v>
      </c>
      <c r="G260" s="12">
        <v>128.63</v>
      </c>
      <c r="H260" s="12">
        <v>17.309999999999999</v>
      </c>
      <c r="I260" s="12">
        <v>57.244064000000002</v>
      </c>
      <c r="J260">
        <f t="shared" si="13"/>
        <v>7.6762037683182349E-3</v>
      </c>
      <c r="K260">
        <f t="shared" si="13"/>
        <v>2.6291931097008225E-2</v>
      </c>
      <c r="L260">
        <f t="shared" si="13"/>
        <v>1.3718652238576157E-2</v>
      </c>
      <c r="M260">
        <f t="shared" si="13"/>
        <v>7.1317666559402859E-3</v>
      </c>
      <c r="N260">
        <f t="shared" si="13"/>
        <v>9.7817133443161008E-3</v>
      </c>
      <c r="O260">
        <f t="shared" si="13"/>
        <v>5.8944595373343178E-2</v>
      </c>
      <c r="P260">
        <f t="shared" si="13"/>
        <v>-7.4541284403670804E-3</v>
      </c>
      <c r="Q260">
        <f t="shared" si="13"/>
        <v>2.272728531474133E-2</v>
      </c>
      <c r="R260" s="15">
        <f t="shared" si="14"/>
        <v>1.6651690134691453E-2</v>
      </c>
    </row>
    <row r="261" spans="1:18" x14ac:dyDescent="0.2">
      <c r="A261" s="13">
        <v>45671</v>
      </c>
      <c r="B261" s="14">
        <v>14.33</v>
      </c>
      <c r="C261" s="14">
        <v>11.03</v>
      </c>
      <c r="D261" s="14">
        <v>389.98</v>
      </c>
      <c r="E261" s="14">
        <v>31.921824000000001</v>
      </c>
      <c r="F261" s="14">
        <v>291.36</v>
      </c>
      <c r="G261" s="14">
        <v>121.47</v>
      </c>
      <c r="H261" s="14">
        <v>17.440000000000001</v>
      </c>
      <c r="I261" s="14">
        <v>55.971972999999998</v>
      </c>
      <c r="J261">
        <f t="shared" si="13"/>
        <v>-5.5517002081887368E-3</v>
      </c>
      <c r="K261">
        <f t="shared" si="13"/>
        <v>-8.9847259658581979E-3</v>
      </c>
      <c r="L261">
        <f t="shared" si="13"/>
        <v>6.4519459068854701E-3</v>
      </c>
      <c r="M261">
        <f t="shared" si="13"/>
        <v>-1.5267205949815232E-2</v>
      </c>
      <c r="N261">
        <f t="shared" si="13"/>
        <v>2.9722565824350733E-2</v>
      </c>
      <c r="O261">
        <f t="shared" si="13"/>
        <v>4.3108630313439145E-2</v>
      </c>
      <c r="P261">
        <f t="shared" si="13"/>
        <v>2.3474178403755985E-2</v>
      </c>
      <c r="Q261">
        <f t="shared" si="13"/>
        <v>4.7426597761857092E-3</v>
      </c>
      <c r="R261" s="15">
        <f t="shared" si="14"/>
        <v>1.4614699278171894E-2</v>
      </c>
    </row>
    <row r="262" spans="1:18" x14ac:dyDescent="0.2">
      <c r="A262" s="11">
        <v>45670</v>
      </c>
      <c r="B262" s="12">
        <v>14.41</v>
      </c>
      <c r="C262" s="12">
        <v>11.13</v>
      </c>
      <c r="D262" s="12">
        <v>387.48</v>
      </c>
      <c r="E262" s="12">
        <v>32.416736999999998</v>
      </c>
      <c r="F262" s="12">
        <v>282.95</v>
      </c>
      <c r="G262" s="12">
        <v>116.45</v>
      </c>
      <c r="H262" s="12">
        <v>17.04</v>
      </c>
      <c r="I262" s="12">
        <v>55.707769999999996</v>
      </c>
      <c r="J262">
        <f t="shared" si="13"/>
        <v>1.051893408134652E-2</v>
      </c>
      <c r="K262">
        <f t="shared" si="13"/>
        <v>-3.3854166666666519E-2</v>
      </c>
      <c r="L262">
        <f t="shared" si="13"/>
        <v>1.6981181596283701E-2</v>
      </c>
      <c r="M262">
        <f t="shared" si="13"/>
        <v>7.0726480956657678E-3</v>
      </c>
      <c r="N262">
        <f t="shared" si="13"/>
        <v>1.6708587854832757E-2</v>
      </c>
      <c r="O262">
        <f t="shared" si="13"/>
        <v>-1.7050730142652126E-2</v>
      </c>
      <c r="P262">
        <f t="shared" si="13"/>
        <v>2.2195560887822374E-2</v>
      </c>
      <c r="Q262">
        <f t="shared" si="13"/>
        <v>2.0982853087772035E-2</v>
      </c>
      <c r="R262" s="15">
        <f t="shared" si="14"/>
        <v>6.3654113408335164E-3</v>
      </c>
    </row>
    <row r="263" spans="1:18" x14ac:dyDescent="0.2">
      <c r="A263" s="13">
        <v>45667</v>
      </c>
      <c r="B263" s="14">
        <v>14.26</v>
      </c>
      <c r="C263" s="14">
        <v>11.52</v>
      </c>
      <c r="D263" s="14">
        <v>381.01</v>
      </c>
      <c r="E263" s="14">
        <v>32.189075000000003</v>
      </c>
      <c r="F263" s="14">
        <v>278.3</v>
      </c>
      <c r="G263" s="14">
        <v>118.47</v>
      </c>
      <c r="H263" s="14">
        <v>16.670000000000002</v>
      </c>
      <c r="I263" s="14">
        <v>54.562885000000001</v>
      </c>
      <c r="J263">
        <f t="shared" si="13"/>
        <v>0</v>
      </c>
      <c r="K263">
        <f t="shared" si="13"/>
        <v>1.6769638128861342E-2</v>
      </c>
      <c r="L263">
        <f t="shared" si="13"/>
        <v>8.1763336155800115E-3</v>
      </c>
      <c r="M263">
        <f t="shared" si="13"/>
        <v>1.0879721138664644E-2</v>
      </c>
      <c r="N263">
        <f t="shared" si="13"/>
        <v>-2.7195190156599436E-2</v>
      </c>
      <c r="O263">
        <f t="shared" si="13"/>
        <v>-5.790533736153014E-3</v>
      </c>
      <c r="P263">
        <f t="shared" si="13"/>
        <v>2.3955773955774085E-2</v>
      </c>
      <c r="Q263">
        <f t="shared" si="13"/>
        <v>-4.2857974226198081E-3</v>
      </c>
      <c r="R263" s="15">
        <f t="shared" si="14"/>
        <v>1.0129482532488729E-3</v>
      </c>
    </row>
    <row r="264" spans="1:18" x14ac:dyDescent="0.2">
      <c r="A264" s="11">
        <v>45666</v>
      </c>
      <c r="B264" s="12">
        <v>14.26</v>
      </c>
      <c r="C264" s="12">
        <v>11.33</v>
      </c>
      <c r="D264" s="12">
        <v>377.92</v>
      </c>
      <c r="E264" s="12">
        <v>31.842635999999999</v>
      </c>
      <c r="F264" s="12">
        <v>286.08</v>
      </c>
      <c r="G264" s="12">
        <v>119.16</v>
      </c>
      <c r="H264" s="12">
        <v>16.28</v>
      </c>
      <c r="I264" s="12">
        <v>54.797736999999998</v>
      </c>
      <c r="J264">
        <f t="shared" si="13"/>
        <v>7.0175438596487005E-4</v>
      </c>
      <c r="K264">
        <f t="shared" si="13"/>
        <v>-1.7346053772766656E-2</v>
      </c>
      <c r="L264">
        <f t="shared" si="13"/>
        <v>5.1865840359603954E-3</v>
      </c>
      <c r="M264">
        <f t="shared" si="13"/>
        <v>-4.0247643254438525E-3</v>
      </c>
      <c r="N264">
        <f t="shared" si="13"/>
        <v>-1.2018234562784946E-2</v>
      </c>
      <c r="O264">
        <f t="shared" si="13"/>
        <v>2.5239777889953796E-3</v>
      </c>
      <c r="P264">
        <f t="shared" si="13"/>
        <v>6.8027210884353817E-3</v>
      </c>
      <c r="Q264">
        <f t="shared" si="13"/>
        <v>-2.4899889294875188E-2</v>
      </c>
      <c r="R264" s="15">
        <f t="shared" si="14"/>
        <v>-4.5977651953833278E-3</v>
      </c>
    </row>
    <row r="265" spans="1:18" x14ac:dyDescent="0.2">
      <c r="A265" s="13">
        <v>45665</v>
      </c>
      <c r="B265" s="14">
        <v>14.25</v>
      </c>
      <c r="C265" s="14">
        <v>11.53</v>
      </c>
      <c r="D265" s="14">
        <v>375.97</v>
      </c>
      <c r="E265" s="14">
        <v>31.971312999999999</v>
      </c>
      <c r="F265" s="14">
        <v>289.56</v>
      </c>
      <c r="G265" s="14">
        <v>118.86</v>
      </c>
      <c r="H265" s="14">
        <v>16.170000000000002</v>
      </c>
      <c r="I265" s="14">
        <v>56.197037000000002</v>
      </c>
      <c r="J265">
        <f t="shared" si="13"/>
        <v>-2.9291553133514947E-2</v>
      </c>
      <c r="K265">
        <f t="shared" si="13"/>
        <v>2.6086956521738092E-3</v>
      </c>
      <c r="L265">
        <f t="shared" si="13"/>
        <v>-2.187939018679419E-2</v>
      </c>
      <c r="M265">
        <f t="shared" ref="M265:Q315" si="15">E265/E266-1</f>
        <v>-1.7341111705162726E-2</v>
      </c>
      <c r="N265">
        <f t="shared" si="15"/>
        <v>1.9362106597197837E-2</v>
      </c>
      <c r="O265">
        <f t="shared" si="15"/>
        <v>-1.2216404886561949E-2</v>
      </c>
      <c r="P265">
        <f t="shared" si="15"/>
        <v>2.1478205938092243E-2</v>
      </c>
      <c r="Q265">
        <f t="shared" si="15"/>
        <v>7.8975627949253724E-3</v>
      </c>
      <c r="R265" s="15">
        <f t="shared" si="14"/>
        <v>3.9625112954055973E-4</v>
      </c>
    </row>
    <row r="266" spans="1:18" x14ac:dyDescent="0.2">
      <c r="A266" s="11">
        <v>45664</v>
      </c>
      <c r="B266" s="12">
        <v>14.68</v>
      </c>
      <c r="C266" s="12">
        <v>11.5</v>
      </c>
      <c r="D266" s="12">
        <v>384.38</v>
      </c>
      <c r="E266" s="12">
        <v>32.535514999999997</v>
      </c>
      <c r="F266" s="12">
        <v>284.06</v>
      </c>
      <c r="G266" s="12">
        <v>120.33</v>
      </c>
      <c r="H266" s="12">
        <v>15.83</v>
      </c>
      <c r="I266" s="12">
        <v>55.756695000000001</v>
      </c>
      <c r="J266">
        <f t="shared" ref="J266:Q329" si="16">B266/B267-1</f>
        <v>1.6620498614958512E-2</v>
      </c>
      <c r="K266">
        <f t="shared" si="16"/>
        <v>-8.6206896551723755E-3</v>
      </c>
      <c r="L266">
        <f t="shared" si="16"/>
        <v>2.413940104444201E-2</v>
      </c>
      <c r="M266">
        <f t="shared" si="15"/>
        <v>2.1124658657568851E-2</v>
      </c>
      <c r="N266">
        <f t="shared" si="15"/>
        <v>3.2007266121707456E-2</v>
      </c>
      <c r="O266">
        <f t="shared" si="15"/>
        <v>2.6969360757873151E-2</v>
      </c>
      <c r="P266">
        <f t="shared" si="15"/>
        <v>1.4743589743589691E-2</v>
      </c>
      <c r="Q266">
        <f t="shared" si="15"/>
        <v>8.8526823121684028E-3</v>
      </c>
      <c r="R266" s="15">
        <f t="shared" si="14"/>
        <v>1.8891172664686484E-2</v>
      </c>
    </row>
    <row r="267" spans="1:18" x14ac:dyDescent="0.2">
      <c r="A267" s="13">
        <v>45663</v>
      </c>
      <c r="B267" s="14">
        <v>14.44</v>
      </c>
      <c r="C267" s="14">
        <v>11.6</v>
      </c>
      <c r="D267" s="14">
        <v>375.32</v>
      </c>
      <c r="E267" s="14">
        <v>31.862431999999998</v>
      </c>
      <c r="F267" s="14">
        <v>275.25</v>
      </c>
      <c r="G267" s="14">
        <v>117.17</v>
      </c>
      <c r="H267" s="14">
        <v>15.6</v>
      </c>
      <c r="I267" s="14">
        <v>55.267429999999997</v>
      </c>
      <c r="J267">
        <f t="shared" si="16"/>
        <v>1.3869625520110951E-3</v>
      </c>
      <c r="K267">
        <f t="shared" si="16"/>
        <v>-1.7211703958691649E-3</v>
      </c>
      <c r="L267">
        <f t="shared" si="16"/>
        <v>1.5558622182536563E-2</v>
      </c>
      <c r="M267">
        <f t="shared" si="15"/>
        <v>5.6232012956587418E-3</v>
      </c>
      <c r="N267">
        <f t="shared" si="15"/>
        <v>-4.9166696793319087E-3</v>
      </c>
      <c r="O267">
        <f t="shared" si="15"/>
        <v>1.3674044953422282E-3</v>
      </c>
      <c r="P267">
        <f t="shared" si="15"/>
        <v>1.0362694300518172E-2</v>
      </c>
      <c r="Q267">
        <f t="shared" si="15"/>
        <v>1.1461321197917096E-2</v>
      </c>
      <c r="R267" s="15">
        <f t="shared" si="14"/>
        <v>4.1322507627386219E-3</v>
      </c>
    </row>
    <row r="268" spans="1:18" x14ac:dyDescent="0.2">
      <c r="A268" s="11">
        <v>45660</v>
      </c>
      <c r="B268" s="12">
        <v>14.42</v>
      </c>
      <c r="C268" s="12">
        <v>11.62</v>
      </c>
      <c r="D268" s="12">
        <v>369.57</v>
      </c>
      <c r="E268" s="12">
        <v>31.684265</v>
      </c>
      <c r="F268" s="12">
        <v>276.61</v>
      </c>
      <c r="G268" s="12">
        <v>117.01</v>
      </c>
      <c r="H268" s="12">
        <v>15.44</v>
      </c>
      <c r="I268" s="12">
        <v>54.641170000000002</v>
      </c>
      <c r="J268">
        <f t="shared" si="16"/>
        <v>-2.8956228956228958E-2</v>
      </c>
      <c r="K268">
        <f t="shared" si="16"/>
        <v>-2.5751072961374133E-3</v>
      </c>
      <c r="L268">
        <f t="shared" si="16"/>
        <v>-1.3532991672005057E-2</v>
      </c>
      <c r="M268">
        <f t="shared" si="15"/>
        <v>-2.6755850274502002E-2</v>
      </c>
      <c r="N268">
        <f t="shared" si="15"/>
        <v>1.6761624701341571E-2</v>
      </c>
      <c r="O268">
        <f t="shared" si="15"/>
        <v>-1.0245026893195286E-3</v>
      </c>
      <c r="P268">
        <f t="shared" si="15"/>
        <v>6.480881399870686E-4</v>
      </c>
      <c r="Q268">
        <f t="shared" si="15"/>
        <v>-4.3835694872104702E-2</v>
      </c>
      <c r="R268" s="15">
        <f t="shared" si="14"/>
        <v>-6.651915439612798E-3</v>
      </c>
    </row>
    <row r="269" spans="1:18" x14ac:dyDescent="0.2">
      <c r="A269" s="13">
        <v>45659</v>
      </c>
      <c r="B269" s="14">
        <v>14.85</v>
      </c>
      <c r="C269" s="14">
        <v>11.65</v>
      </c>
      <c r="D269" s="14">
        <v>374.64</v>
      </c>
      <c r="E269" s="14">
        <v>32.555309999999999</v>
      </c>
      <c r="F269" s="14">
        <v>272.05</v>
      </c>
      <c r="G269" s="14">
        <v>117.13</v>
      </c>
      <c r="H269" s="14">
        <v>15.43</v>
      </c>
      <c r="I269" s="14">
        <v>57.146214000000001</v>
      </c>
      <c r="J269">
        <f t="shared" si="16"/>
        <v>-6.6889632107023367E-3</v>
      </c>
      <c r="K269">
        <f t="shared" si="16"/>
        <v>-2.5684931506848585E-3</v>
      </c>
      <c r="L269">
        <f t="shared" si="16"/>
        <v>2.2098543133082238E-2</v>
      </c>
      <c r="M269">
        <f t="shared" si="15"/>
        <v>2.7439284980004253E-3</v>
      </c>
      <c r="N269">
        <f t="shared" si="15"/>
        <v>2.1975957926371192E-2</v>
      </c>
      <c r="O269">
        <f t="shared" si="15"/>
        <v>5.9798393985976972E-4</v>
      </c>
      <c r="P269">
        <f t="shared" si="15"/>
        <v>-1.2795905310300726E-2</v>
      </c>
      <c r="Q269">
        <f t="shared" si="15"/>
        <v>8.4614728960008545E-3</v>
      </c>
      <c r="R269" s="15">
        <f t="shared" si="14"/>
        <v>5.2814102824056486E-3</v>
      </c>
    </row>
    <row r="270" spans="1:18" x14ac:dyDescent="0.2">
      <c r="A270" s="11">
        <v>45657</v>
      </c>
      <c r="B270" s="12">
        <v>14.95</v>
      </c>
      <c r="C270" s="12">
        <v>11.68</v>
      </c>
      <c r="D270" s="12">
        <v>366.54</v>
      </c>
      <c r="E270" s="12">
        <v>32.466225000000001</v>
      </c>
      <c r="F270" s="12">
        <v>266.2</v>
      </c>
      <c r="G270" s="12">
        <v>117.06</v>
      </c>
      <c r="H270" s="12">
        <v>15.63</v>
      </c>
      <c r="I270" s="12">
        <v>56.666730000000001</v>
      </c>
      <c r="J270">
        <f t="shared" si="16"/>
        <v>2.1872863978126933E-2</v>
      </c>
      <c r="K270">
        <f t="shared" si="16"/>
        <v>2.7264731750219928E-2</v>
      </c>
      <c r="L270">
        <f t="shared" si="16"/>
        <v>1.8647694744740706E-2</v>
      </c>
      <c r="M270">
        <f t="shared" si="15"/>
        <v>1.2345629352918275E-2</v>
      </c>
      <c r="N270">
        <f t="shared" si="15"/>
        <v>2.9349213100807958E-2</v>
      </c>
      <c r="O270">
        <f t="shared" si="15"/>
        <v>4.634397528321399E-3</v>
      </c>
      <c r="P270">
        <f t="shared" si="15"/>
        <v>8.3870967741936919E-3</v>
      </c>
      <c r="Q270">
        <f t="shared" si="15"/>
        <v>1.0998611870722153E-2</v>
      </c>
      <c r="R270" s="15">
        <f t="shared" si="14"/>
        <v>1.7215625428311242E-2</v>
      </c>
    </row>
    <row r="271" spans="1:18" x14ac:dyDescent="0.2">
      <c r="A271" s="13">
        <v>45656</v>
      </c>
      <c r="B271" s="14">
        <v>14.63</v>
      </c>
      <c r="C271" s="14">
        <v>11.37</v>
      </c>
      <c r="D271" s="14">
        <v>359.83</v>
      </c>
      <c r="E271" s="14">
        <v>32.070296999999997</v>
      </c>
      <c r="F271" s="14">
        <v>258.61</v>
      </c>
      <c r="G271" s="14">
        <v>116.52</v>
      </c>
      <c r="H271" s="14">
        <v>15.5</v>
      </c>
      <c r="I271" s="14">
        <v>56.050255</v>
      </c>
      <c r="J271">
        <f t="shared" si="16"/>
        <v>-1.0148849797022907E-2</v>
      </c>
      <c r="K271">
        <f t="shared" si="16"/>
        <v>-9.5818815331011331E-3</v>
      </c>
      <c r="L271">
        <f t="shared" si="16"/>
        <v>-4.1237684047381595E-3</v>
      </c>
      <c r="M271">
        <f t="shared" si="15"/>
        <v>-3.9963383927593688E-3</v>
      </c>
      <c r="N271">
        <f t="shared" si="15"/>
        <v>-4.9786890064667855E-2</v>
      </c>
      <c r="O271">
        <f t="shared" si="15"/>
        <v>4.0499784575613873E-3</v>
      </c>
      <c r="P271">
        <f t="shared" si="15"/>
        <v>1.2919896640826156E-3</v>
      </c>
      <c r="Q271">
        <f t="shared" si="15"/>
        <v>-3.2105476503616948E-2</v>
      </c>
      <c r="R271" s="15">
        <f t="shared" si="14"/>
        <v>-1.4957487423236847E-2</v>
      </c>
    </row>
    <row r="272" spans="1:18" x14ac:dyDescent="0.2">
      <c r="A272" s="11">
        <v>45653</v>
      </c>
      <c r="B272" s="12">
        <v>14.78</v>
      </c>
      <c r="C272" s="12">
        <v>11.48</v>
      </c>
      <c r="D272" s="12">
        <v>361.32</v>
      </c>
      <c r="E272" s="12">
        <v>32.198974999999997</v>
      </c>
      <c r="F272" s="12">
        <v>272.16000000000003</v>
      </c>
      <c r="G272" s="12">
        <v>116.05</v>
      </c>
      <c r="H272" s="12">
        <v>15.48</v>
      </c>
      <c r="I272" s="12">
        <v>57.909466000000002</v>
      </c>
      <c r="J272">
        <f t="shared" si="16"/>
        <v>8.1855388813096841E-3</v>
      </c>
      <c r="K272">
        <f t="shared" si="16"/>
        <v>1.7452006980802626E-3</v>
      </c>
      <c r="L272">
        <f t="shared" si="16"/>
        <v>-6.926121372031635E-3</v>
      </c>
      <c r="M272">
        <f t="shared" si="15"/>
        <v>-9.7411968495114687E-3</v>
      </c>
      <c r="N272">
        <f t="shared" si="15"/>
        <v>-2.1997360316761139E-3</v>
      </c>
      <c r="O272">
        <f t="shared" si="15"/>
        <v>-5.1435919417059939E-3</v>
      </c>
      <c r="P272">
        <f t="shared" si="15"/>
        <v>-1.1494252873563204E-2</v>
      </c>
      <c r="Q272">
        <f t="shared" si="15"/>
        <v>1.7188036697447506E-2</v>
      </c>
      <c r="R272" s="15">
        <f t="shared" si="14"/>
        <v>-2.6220545850069925E-3</v>
      </c>
    </row>
    <row r="273" spans="1:18" x14ac:dyDescent="0.2">
      <c r="A273" s="13">
        <v>45652</v>
      </c>
      <c r="B273" s="14">
        <v>14.66</v>
      </c>
      <c r="C273" s="14">
        <v>11.46</v>
      </c>
      <c r="D273" s="14">
        <v>363.84</v>
      </c>
      <c r="E273" s="14">
        <v>32.515717000000002</v>
      </c>
      <c r="F273" s="14">
        <v>272.76</v>
      </c>
      <c r="G273" s="14">
        <v>116.65</v>
      </c>
      <c r="H273" s="14">
        <v>15.66</v>
      </c>
      <c r="I273" s="14">
        <v>56.930934999999998</v>
      </c>
      <c r="J273">
        <f t="shared" si="16"/>
        <v>2.3028611304954705E-2</v>
      </c>
      <c r="K273">
        <f t="shared" si="16"/>
        <v>1.1473962930273585E-2</v>
      </c>
      <c r="L273">
        <f t="shared" si="16"/>
        <v>-8.5129754222157406E-4</v>
      </c>
      <c r="M273">
        <f t="shared" si="15"/>
        <v>1.5244149881916691E-3</v>
      </c>
      <c r="N273">
        <f t="shared" si="15"/>
        <v>-8.9022927945932029E-3</v>
      </c>
      <c r="O273">
        <f t="shared" si="15"/>
        <v>-1.0098438560760314E-2</v>
      </c>
      <c r="P273">
        <f t="shared" si="15"/>
        <v>3.8461538461538325E-3</v>
      </c>
      <c r="Q273">
        <f t="shared" si="15"/>
        <v>-1.2056341537949544E-2</v>
      </c>
      <c r="R273" s="15">
        <f t="shared" si="14"/>
        <v>-4.5445758396369675E-4</v>
      </c>
    </row>
    <row r="274" spans="1:18" x14ac:dyDescent="0.2">
      <c r="A274" s="11">
        <v>45650</v>
      </c>
      <c r="B274" s="12">
        <v>14.33</v>
      </c>
      <c r="C274" s="12">
        <v>11.33</v>
      </c>
      <c r="D274" s="12">
        <v>364.15</v>
      </c>
      <c r="E274" s="12">
        <v>32.466225000000001</v>
      </c>
      <c r="F274" s="12">
        <v>275.20999999999998</v>
      </c>
      <c r="G274" s="12">
        <v>117.84</v>
      </c>
      <c r="H274" s="12">
        <v>15.6</v>
      </c>
      <c r="I274" s="12">
        <v>57.625689999999999</v>
      </c>
      <c r="J274">
        <f t="shared" si="16"/>
        <v>8.4447572132300142E-3</v>
      </c>
      <c r="K274">
        <f t="shared" si="16"/>
        <v>1.1607142857142927E-2</v>
      </c>
      <c r="L274">
        <f t="shared" si="16"/>
        <v>-8.3061002178649312E-3</v>
      </c>
      <c r="M274">
        <f t="shared" si="15"/>
        <v>-1.218089560577118E-3</v>
      </c>
      <c r="N274">
        <f t="shared" si="15"/>
        <v>-6.2468404708602154E-3</v>
      </c>
      <c r="O274">
        <f t="shared" si="15"/>
        <v>-1.0911532650663025E-2</v>
      </c>
      <c r="P274">
        <f t="shared" si="15"/>
        <v>-8.8945362134689177E-3</v>
      </c>
      <c r="Q274">
        <f t="shared" si="15"/>
        <v>2.724349861327191E-3</v>
      </c>
      <c r="R274" s="15">
        <f t="shared" si="14"/>
        <v>-3.2875680326086183E-3</v>
      </c>
    </row>
    <row r="275" spans="1:18" x14ac:dyDescent="0.2">
      <c r="A275" s="13">
        <v>45649</v>
      </c>
      <c r="B275" s="14">
        <v>14.21</v>
      </c>
      <c r="C275" s="14">
        <v>11.2</v>
      </c>
      <c r="D275" s="14">
        <v>367.2</v>
      </c>
      <c r="E275" s="14">
        <v>32.50582</v>
      </c>
      <c r="F275" s="14">
        <v>276.94</v>
      </c>
      <c r="G275" s="14">
        <v>119.14</v>
      </c>
      <c r="H275" s="14">
        <v>15.74</v>
      </c>
      <c r="I275" s="14">
        <v>57.469124000000001</v>
      </c>
      <c r="J275">
        <f t="shared" si="16"/>
        <v>-9.7560975609755074E-3</v>
      </c>
      <c r="K275">
        <f t="shared" si="16"/>
        <v>-8.8495575221240186E-3</v>
      </c>
      <c r="L275">
        <f t="shared" si="16"/>
        <v>1.0540220711671155E-2</v>
      </c>
      <c r="M275">
        <f t="shared" si="15"/>
        <v>-2.6962967752441447E-2</v>
      </c>
      <c r="N275">
        <f t="shared" si="15"/>
        <v>-1.5919266576647106E-2</v>
      </c>
      <c r="O275">
        <f t="shared" si="15"/>
        <v>-1.5615962984384057E-2</v>
      </c>
      <c r="P275">
        <f t="shared" si="15"/>
        <v>-1.1927181418706856E-2</v>
      </c>
      <c r="Q275">
        <f t="shared" si="15"/>
        <v>-9.1108362718205216E-3</v>
      </c>
      <c r="R275" s="15">
        <f t="shared" si="14"/>
        <v>-1.1201548286466342E-2</v>
      </c>
    </row>
    <row r="276" spans="1:18" x14ac:dyDescent="0.2">
      <c r="A276" s="11">
        <v>45646</v>
      </c>
      <c r="B276" s="12">
        <v>14.35</v>
      </c>
      <c r="C276" s="12">
        <v>11.3</v>
      </c>
      <c r="D276" s="12">
        <v>363.37</v>
      </c>
      <c r="E276" s="12">
        <v>33.406559999999999</v>
      </c>
      <c r="F276" s="12">
        <v>281.42</v>
      </c>
      <c r="G276" s="12">
        <v>121.03</v>
      </c>
      <c r="H276" s="12">
        <v>15.93</v>
      </c>
      <c r="I276" s="12">
        <v>57.997529999999998</v>
      </c>
      <c r="J276">
        <f t="shared" si="16"/>
        <v>-1.3067400275103114E-2</v>
      </c>
      <c r="K276">
        <f t="shared" si="16"/>
        <v>-3.5273368606700828E-3</v>
      </c>
      <c r="L276">
        <f t="shared" si="16"/>
        <v>-8.1613713287477241E-3</v>
      </c>
      <c r="M276">
        <f t="shared" si="15"/>
        <v>2.0783643581163691E-3</v>
      </c>
      <c r="N276">
        <f t="shared" si="15"/>
        <v>1.8862459722674974E-2</v>
      </c>
      <c r="O276">
        <f t="shared" si="15"/>
        <v>2.4462502116133322E-2</v>
      </c>
      <c r="P276">
        <f t="shared" si="15"/>
        <v>-2.8065893837705969E-2</v>
      </c>
      <c r="Q276">
        <f t="shared" si="15"/>
        <v>-1.5284956410920758E-2</v>
      </c>
      <c r="R276" s="15">
        <f t="shared" si="14"/>
        <v>-8.3384247116447723E-4</v>
      </c>
    </row>
    <row r="277" spans="1:18" x14ac:dyDescent="0.2">
      <c r="A277" s="13">
        <v>45645</v>
      </c>
      <c r="B277" s="14">
        <v>14.54</v>
      </c>
      <c r="C277" s="14">
        <v>11.34</v>
      </c>
      <c r="D277" s="14">
        <v>366.36</v>
      </c>
      <c r="E277" s="14">
        <v>33.337273000000003</v>
      </c>
      <c r="F277" s="14">
        <v>276.20999999999998</v>
      </c>
      <c r="G277" s="14">
        <v>118.14</v>
      </c>
      <c r="H277" s="14">
        <v>16.39</v>
      </c>
      <c r="I277" s="14">
        <v>58.897779999999997</v>
      </c>
      <c r="J277">
        <f t="shared" si="16"/>
        <v>-8.8616223585549214E-3</v>
      </c>
      <c r="K277">
        <f t="shared" si="16"/>
        <v>8.8261253309784848E-4</v>
      </c>
      <c r="L277">
        <f t="shared" si="16"/>
        <v>-2.021822849807442E-2</v>
      </c>
      <c r="M277">
        <f t="shared" si="15"/>
        <v>8.0814284357857424E-3</v>
      </c>
      <c r="N277">
        <f t="shared" si="15"/>
        <v>-5.9134107708553429E-2</v>
      </c>
      <c r="O277">
        <f t="shared" si="15"/>
        <v>-3.7556008146639508E-2</v>
      </c>
      <c r="P277">
        <f t="shared" si="15"/>
        <v>0</v>
      </c>
      <c r="Q277">
        <f t="shared" si="15"/>
        <v>5.3448811132308371E-3</v>
      </c>
      <c r="R277" s="15">
        <f t="shared" si="14"/>
        <v>-1.9559114540859131E-2</v>
      </c>
    </row>
    <row r="278" spans="1:18" x14ac:dyDescent="0.2">
      <c r="A278" s="11">
        <v>45644</v>
      </c>
      <c r="B278" s="12">
        <v>14.67</v>
      </c>
      <c r="C278" s="12">
        <v>11.33</v>
      </c>
      <c r="D278" s="12">
        <v>373.92</v>
      </c>
      <c r="E278" s="12">
        <v>33.07002</v>
      </c>
      <c r="F278" s="12">
        <v>293.57</v>
      </c>
      <c r="G278" s="12">
        <v>122.75</v>
      </c>
      <c r="H278" s="12">
        <v>16.39</v>
      </c>
      <c r="I278" s="12">
        <v>58.584651999999998</v>
      </c>
      <c r="J278">
        <f t="shared" si="16"/>
        <v>-2.9761904761904767E-2</v>
      </c>
      <c r="K278">
        <f t="shared" si="16"/>
        <v>3.5429583702393241E-3</v>
      </c>
      <c r="L278">
        <f t="shared" si="16"/>
        <v>-1.0217586955370783E-2</v>
      </c>
      <c r="M278">
        <f t="shared" si="15"/>
        <v>-1.7930639455650654E-2</v>
      </c>
      <c r="N278">
        <f t="shared" si="15"/>
        <v>-2.7334172685706704E-2</v>
      </c>
      <c r="O278">
        <f t="shared" si="15"/>
        <v>-5.7943207981581035E-2</v>
      </c>
      <c r="P278">
        <f t="shared" si="15"/>
        <v>-2.4985127900059356E-2</v>
      </c>
      <c r="Q278">
        <f t="shared" si="15"/>
        <v>-3.3294285708405091E-3</v>
      </c>
      <c r="R278" s="15">
        <f t="shared" si="14"/>
        <v>-2.3197146355976191E-2</v>
      </c>
    </row>
    <row r="279" spans="1:18" x14ac:dyDescent="0.2">
      <c r="A279" s="13">
        <v>45643</v>
      </c>
      <c r="B279" s="14">
        <v>15.12</v>
      </c>
      <c r="C279" s="14">
        <v>11.29</v>
      </c>
      <c r="D279" s="14">
        <v>377.78</v>
      </c>
      <c r="E279" s="14">
        <v>33.673813000000003</v>
      </c>
      <c r="F279" s="14">
        <v>301.82</v>
      </c>
      <c r="G279" s="14">
        <v>130.30000000000001</v>
      </c>
      <c r="H279" s="14">
        <v>16.809999999999999</v>
      </c>
      <c r="I279" s="14">
        <v>58.780357000000002</v>
      </c>
      <c r="J279">
        <f t="shared" si="16"/>
        <v>2.4390243902439046E-2</v>
      </c>
      <c r="K279">
        <f t="shared" si="16"/>
        <v>8.936550491510209E-3</v>
      </c>
      <c r="L279">
        <f t="shared" si="16"/>
        <v>-1.9286148318407026E-3</v>
      </c>
      <c r="M279">
        <f t="shared" si="15"/>
        <v>5.0222440826204195E-3</v>
      </c>
      <c r="N279">
        <f t="shared" si="15"/>
        <v>-3.6672943729852303E-2</v>
      </c>
      <c r="O279">
        <f t="shared" si="15"/>
        <v>6.4884906534836695E-3</v>
      </c>
      <c r="P279">
        <f t="shared" si="15"/>
        <v>-4.7365304914152029E-3</v>
      </c>
      <c r="Q279">
        <f t="shared" si="15"/>
        <v>-2.1979748548161204E-2</v>
      </c>
      <c r="R279" s="15">
        <f t="shared" si="14"/>
        <v>-6.2017113052985507E-3</v>
      </c>
    </row>
    <row r="280" spans="1:18" x14ac:dyDescent="0.2">
      <c r="A280" s="11">
        <v>45642</v>
      </c>
      <c r="B280" s="12">
        <v>14.76</v>
      </c>
      <c r="C280" s="12">
        <v>11.19</v>
      </c>
      <c r="D280" s="12">
        <v>378.51</v>
      </c>
      <c r="E280" s="12">
        <v>33.505540000000003</v>
      </c>
      <c r="F280" s="12">
        <v>313.31</v>
      </c>
      <c r="G280" s="12">
        <v>129.46</v>
      </c>
      <c r="H280" s="12">
        <v>16.89</v>
      </c>
      <c r="I280" s="12">
        <v>60.101370000000003</v>
      </c>
      <c r="J280">
        <f t="shared" si="16"/>
        <v>-2.5099075297225992E-2</v>
      </c>
      <c r="K280">
        <f t="shared" si="16"/>
        <v>-5.3333333333334121E-3</v>
      </c>
      <c r="L280">
        <f t="shared" si="16"/>
        <v>-1.0820225905204817E-3</v>
      </c>
      <c r="M280">
        <f t="shared" si="15"/>
        <v>4.7491888966404439E-3</v>
      </c>
      <c r="N280">
        <f t="shared" si="15"/>
        <v>-5.2126822774853365E-2</v>
      </c>
      <c r="O280">
        <f t="shared" si="15"/>
        <v>2.8930217771419686E-2</v>
      </c>
      <c r="P280">
        <f t="shared" si="15"/>
        <v>0</v>
      </c>
      <c r="Q280">
        <f t="shared" si="15"/>
        <v>1.1861575777697198E-2</v>
      </c>
      <c r="R280" s="15">
        <f t="shared" si="14"/>
        <v>-8.2444846331142484E-3</v>
      </c>
    </row>
    <row r="281" spans="1:18" x14ac:dyDescent="0.2">
      <c r="A281" s="13">
        <v>45639</v>
      </c>
      <c r="B281" s="14">
        <v>15.14</v>
      </c>
      <c r="C281" s="14">
        <v>11.25</v>
      </c>
      <c r="D281" s="14">
        <v>378.92</v>
      </c>
      <c r="E281" s="14">
        <v>33.347168000000003</v>
      </c>
      <c r="F281" s="14">
        <v>330.54</v>
      </c>
      <c r="G281" s="14">
        <v>125.82</v>
      </c>
      <c r="H281" s="14">
        <v>16.89</v>
      </c>
      <c r="I281" s="14">
        <v>59.396830000000001</v>
      </c>
      <c r="J281">
        <f t="shared" si="16"/>
        <v>-1.1749347258485643E-2</v>
      </c>
      <c r="K281">
        <f t="shared" si="16"/>
        <v>1.1690647482014427E-2</v>
      </c>
      <c r="L281">
        <f t="shared" si="16"/>
        <v>-1.0265116886509107E-2</v>
      </c>
      <c r="M281">
        <f t="shared" si="15"/>
        <v>-1.8356727962518193E-2</v>
      </c>
      <c r="N281">
        <f t="shared" si="15"/>
        <v>-1.3460677510819252E-2</v>
      </c>
      <c r="O281">
        <f t="shared" si="15"/>
        <v>3.5981885549608794E-2</v>
      </c>
      <c r="P281">
        <f t="shared" si="15"/>
        <v>-1.5160349854227317E-2</v>
      </c>
      <c r="Q281">
        <f t="shared" si="15"/>
        <v>4.1356027332879464E-3</v>
      </c>
      <c r="R281" s="15">
        <f t="shared" si="14"/>
        <v>-2.5735856575474138E-3</v>
      </c>
    </row>
    <row r="282" spans="1:18" x14ac:dyDescent="0.2">
      <c r="A282" s="11">
        <v>45637</v>
      </c>
      <c r="B282" s="12">
        <v>15.32</v>
      </c>
      <c r="C282" s="12">
        <v>11.12</v>
      </c>
      <c r="D282" s="12">
        <v>382.85</v>
      </c>
      <c r="E282" s="12">
        <v>33.970759999999999</v>
      </c>
      <c r="F282" s="12">
        <v>335.05</v>
      </c>
      <c r="G282" s="12">
        <v>121.45</v>
      </c>
      <c r="H282" s="12">
        <v>17.149999999999999</v>
      </c>
      <c r="I282" s="12">
        <v>59.152200000000001</v>
      </c>
      <c r="J282">
        <f t="shared" si="16"/>
        <v>8.5582620144832866E-3</v>
      </c>
      <c r="K282">
        <f t="shared" si="16"/>
        <v>-3.472222222222221E-2</v>
      </c>
      <c r="L282">
        <f t="shared" si="16"/>
        <v>-2.8693931398416916E-2</v>
      </c>
      <c r="M282">
        <f t="shared" si="15"/>
        <v>3.2155039722103762E-3</v>
      </c>
      <c r="N282">
        <f t="shared" si="15"/>
        <v>7.6085648983521548E-3</v>
      </c>
      <c r="O282">
        <f t="shared" si="15"/>
        <v>-6.1374795417348249E-3</v>
      </c>
      <c r="P282">
        <f t="shared" si="15"/>
        <v>1.4792899408283988E-2</v>
      </c>
      <c r="Q282">
        <f t="shared" si="15"/>
        <v>8.3403092034282089E-3</v>
      </c>
      <c r="R282" s="15">
        <f t="shared" si="14"/>
        <v>-2.3680907651032652E-3</v>
      </c>
    </row>
    <row r="283" spans="1:18" x14ac:dyDescent="0.2">
      <c r="A283" s="13">
        <v>45636</v>
      </c>
      <c r="B283" s="14">
        <v>15.19</v>
      </c>
      <c r="C283" s="14">
        <v>11.52</v>
      </c>
      <c r="D283" s="14">
        <v>394.16</v>
      </c>
      <c r="E283" s="14">
        <v>33.861877</v>
      </c>
      <c r="F283" s="14">
        <v>332.52</v>
      </c>
      <c r="G283" s="14">
        <v>122.2</v>
      </c>
      <c r="H283" s="14">
        <v>16.899999999999999</v>
      </c>
      <c r="I283" s="14">
        <v>58.662933000000002</v>
      </c>
      <c r="J283">
        <f t="shared" si="16"/>
        <v>-5.8900523560209139E-3</v>
      </c>
      <c r="K283">
        <f t="shared" si="16"/>
        <v>-2.9486099410278022E-2</v>
      </c>
      <c r="L283">
        <f t="shared" si="16"/>
        <v>-1.0145655449522728E-2</v>
      </c>
      <c r="M283">
        <f t="shared" si="15"/>
        <v>7.955231170320376E-3</v>
      </c>
      <c r="N283">
        <f t="shared" si="15"/>
        <v>-1.0150924299705322E-2</v>
      </c>
      <c r="O283">
        <f t="shared" si="15"/>
        <v>-2.279088364654136E-2</v>
      </c>
      <c r="P283">
        <f t="shared" si="15"/>
        <v>1.7783046828687699E-3</v>
      </c>
      <c r="Q283">
        <f t="shared" si="15"/>
        <v>-2.3933514327543648E-2</v>
      </c>
      <c r="R283" s="15">
        <f t="shared" si="14"/>
        <v>-1.1150970135795859E-2</v>
      </c>
    </row>
    <row r="284" spans="1:18" x14ac:dyDescent="0.2">
      <c r="A284" s="11">
        <v>45635</v>
      </c>
      <c r="B284" s="12">
        <v>15.28</v>
      </c>
      <c r="C284" s="12">
        <v>11.87</v>
      </c>
      <c r="D284" s="12">
        <v>398.2</v>
      </c>
      <c r="E284" s="12">
        <v>33.594624000000003</v>
      </c>
      <c r="F284" s="12">
        <v>335.93</v>
      </c>
      <c r="G284" s="12">
        <v>125.05</v>
      </c>
      <c r="H284" s="12">
        <v>16.87</v>
      </c>
      <c r="I284" s="12">
        <v>60.101370000000003</v>
      </c>
      <c r="J284">
        <f t="shared" si="16"/>
        <v>1.3262599469495928E-2</v>
      </c>
      <c r="K284">
        <f t="shared" si="16"/>
        <v>1.2798634812286602E-2</v>
      </c>
      <c r="L284">
        <f t="shared" si="16"/>
        <v>2.5839194167503798E-2</v>
      </c>
      <c r="M284">
        <f t="shared" si="15"/>
        <v>1.4042326742311539E-2</v>
      </c>
      <c r="N284">
        <f t="shared" si="15"/>
        <v>8.5115317526972101E-2</v>
      </c>
      <c r="O284">
        <f t="shared" si="15"/>
        <v>8.3051120786969967E-3</v>
      </c>
      <c r="P284">
        <f t="shared" si="15"/>
        <v>-9.3951849677040844E-3</v>
      </c>
      <c r="Q284">
        <f t="shared" si="15"/>
        <v>4.2511102570066406E-3</v>
      </c>
      <c r="R284" s="15">
        <f t="shared" si="14"/>
        <v>2.461321024155225E-2</v>
      </c>
    </row>
    <row r="285" spans="1:18" x14ac:dyDescent="0.2">
      <c r="A285" s="13">
        <v>45632</v>
      </c>
      <c r="B285" s="14">
        <v>15.08</v>
      </c>
      <c r="C285" s="14">
        <v>11.72</v>
      </c>
      <c r="D285" s="14">
        <v>388.17</v>
      </c>
      <c r="E285" s="14">
        <v>33.12941</v>
      </c>
      <c r="F285" s="14">
        <v>309.58</v>
      </c>
      <c r="G285" s="14">
        <v>124.02</v>
      </c>
      <c r="H285" s="14">
        <v>17.03</v>
      </c>
      <c r="I285" s="14">
        <v>59.846953999999997</v>
      </c>
      <c r="J285">
        <f t="shared" si="16"/>
        <v>-1.4379084967320321E-2</v>
      </c>
      <c r="K285">
        <f t="shared" si="16"/>
        <v>-5.9372349448684192E-3</v>
      </c>
      <c r="L285">
        <f t="shared" si="16"/>
        <v>-2.6776983828507017E-2</v>
      </c>
      <c r="M285">
        <f t="shared" si="15"/>
        <v>-1.1517974998985436E-2</v>
      </c>
      <c r="N285">
        <f t="shared" si="15"/>
        <v>-9.5975430289846342E-3</v>
      </c>
      <c r="O285">
        <f t="shared" si="15"/>
        <v>-7.4429771908763875E-3</v>
      </c>
      <c r="P285">
        <f t="shared" si="15"/>
        <v>-5.8685446009376641E-4</v>
      </c>
      <c r="Q285">
        <f t="shared" si="15"/>
        <v>1.9163444757039683E-2</v>
      </c>
      <c r="R285" s="15">
        <f t="shared" si="14"/>
        <v>-7.6774689711129147E-3</v>
      </c>
    </row>
    <row r="286" spans="1:18" x14ac:dyDescent="0.2">
      <c r="A286" s="11">
        <v>45631</v>
      </c>
      <c r="B286" s="12">
        <v>15.3</v>
      </c>
      <c r="C286" s="12">
        <v>11.79</v>
      </c>
      <c r="D286" s="12">
        <v>398.85</v>
      </c>
      <c r="E286" s="12">
        <v>33.515439999999998</v>
      </c>
      <c r="F286" s="12">
        <v>312.58</v>
      </c>
      <c r="G286" s="12">
        <v>124.95</v>
      </c>
      <c r="H286" s="12">
        <v>17.04</v>
      </c>
      <c r="I286" s="12">
        <v>58.721645000000002</v>
      </c>
      <c r="J286">
        <f t="shared" si="16"/>
        <v>-1.9569471624265589E-3</v>
      </c>
      <c r="K286">
        <f t="shared" si="16"/>
        <v>6.8317677198974636E-3</v>
      </c>
      <c r="L286">
        <f t="shared" si="16"/>
        <v>6.3883702320618907E-2</v>
      </c>
      <c r="M286">
        <f t="shared" si="15"/>
        <v>3.4208923259002155E-2</v>
      </c>
      <c r="N286">
        <f t="shared" si="15"/>
        <v>3.4177005789908899E-2</v>
      </c>
      <c r="O286">
        <f t="shared" si="15"/>
        <v>2.9326962682263868E-2</v>
      </c>
      <c r="P286">
        <f t="shared" si="15"/>
        <v>3.5236938031591558E-2</v>
      </c>
      <c r="Q286">
        <f t="shared" si="15"/>
        <v>-2.327576597374148E-3</v>
      </c>
      <c r="R286" s="15">
        <f t="shared" si="14"/>
        <v>2.8426805376957503E-2</v>
      </c>
    </row>
    <row r="287" spans="1:18" x14ac:dyDescent="0.2">
      <c r="A287" s="13">
        <v>45630</v>
      </c>
      <c r="B287" s="14">
        <v>15.33</v>
      </c>
      <c r="C287" s="14">
        <v>11.71</v>
      </c>
      <c r="D287" s="14">
        <v>374.9</v>
      </c>
      <c r="E287" s="14">
        <v>32.406837000000003</v>
      </c>
      <c r="F287" s="14">
        <v>302.25</v>
      </c>
      <c r="G287" s="14">
        <v>121.39</v>
      </c>
      <c r="H287" s="14">
        <v>16.46</v>
      </c>
      <c r="I287" s="14">
        <v>58.858643000000001</v>
      </c>
      <c r="J287">
        <f t="shared" si="16"/>
        <v>3.2722513089005201E-3</v>
      </c>
      <c r="K287">
        <f t="shared" si="16"/>
        <v>7.7452667814115195E-3</v>
      </c>
      <c r="L287">
        <f t="shared" si="16"/>
        <v>5.5790998336999742E-3</v>
      </c>
      <c r="M287">
        <f t="shared" si="15"/>
        <v>2.4494510148773685E-3</v>
      </c>
      <c r="N287">
        <f t="shared" si="15"/>
        <v>5.8571000698857123E-3</v>
      </c>
      <c r="O287">
        <f t="shared" si="15"/>
        <v>9.7321577108633317E-3</v>
      </c>
      <c r="P287">
        <f t="shared" si="15"/>
        <v>3.2622333751568533E-2</v>
      </c>
      <c r="Q287">
        <f t="shared" si="15"/>
        <v>1.9146103485712551E-2</v>
      </c>
      <c r="R287" s="15">
        <f t="shared" si="14"/>
        <v>1.167368013287079E-2</v>
      </c>
    </row>
    <row r="288" spans="1:18" x14ac:dyDescent="0.2">
      <c r="A288" s="11">
        <v>45629</v>
      </c>
      <c r="B288" s="12">
        <v>15.28</v>
      </c>
      <c r="C288" s="12">
        <v>11.62</v>
      </c>
      <c r="D288" s="12">
        <v>372.82</v>
      </c>
      <c r="E288" s="12">
        <v>32.327652</v>
      </c>
      <c r="F288" s="12">
        <v>300.49</v>
      </c>
      <c r="G288" s="12">
        <v>120.22</v>
      </c>
      <c r="H288" s="12">
        <v>15.94</v>
      </c>
      <c r="I288" s="12">
        <v>57.752899999999997</v>
      </c>
      <c r="J288">
        <f t="shared" si="16"/>
        <v>5.2631578947368585E-3</v>
      </c>
      <c r="K288">
        <f t="shared" si="16"/>
        <v>0</v>
      </c>
      <c r="L288">
        <f t="shared" si="16"/>
        <v>4.3642241379311386E-3</v>
      </c>
      <c r="M288">
        <f t="shared" si="15"/>
        <v>-5.4811107672410042E-3</v>
      </c>
      <c r="N288">
        <f t="shared" si="15"/>
        <v>4.9160591264798548E-3</v>
      </c>
      <c r="O288">
        <f t="shared" si="15"/>
        <v>5.1839464882943442E-3</v>
      </c>
      <c r="P288">
        <f t="shared" si="15"/>
        <v>1.8530351437699544E-2</v>
      </c>
      <c r="Q288">
        <f t="shared" si="15"/>
        <v>-1.5019977888095726E-2</v>
      </c>
      <c r="R288" s="15">
        <f t="shared" si="14"/>
        <v>4.1581459973622364E-3</v>
      </c>
    </row>
    <row r="289" spans="1:18" x14ac:dyDescent="0.2">
      <c r="A289" s="13">
        <v>45628</v>
      </c>
      <c r="B289" s="14">
        <v>15.2</v>
      </c>
      <c r="C289" s="14">
        <v>11.62</v>
      </c>
      <c r="D289" s="14">
        <v>371.2</v>
      </c>
      <c r="E289" s="14">
        <v>32.50582</v>
      </c>
      <c r="F289" s="14">
        <v>299.02</v>
      </c>
      <c r="G289" s="14">
        <v>119.6</v>
      </c>
      <c r="H289" s="14">
        <v>15.65</v>
      </c>
      <c r="I289" s="14">
        <v>58.633575</v>
      </c>
      <c r="J289">
        <f t="shared" si="16"/>
        <v>-6.5746219592388577E-4</v>
      </c>
      <c r="K289">
        <f t="shared" si="16"/>
        <v>4.3087971274685666E-2</v>
      </c>
      <c r="L289">
        <f t="shared" si="16"/>
        <v>-1.0950947216967322E-2</v>
      </c>
      <c r="M289">
        <f t="shared" si="15"/>
        <v>3.0459206542898798E-4</v>
      </c>
      <c r="N289">
        <f t="shared" si="15"/>
        <v>2.0128275109170257E-2</v>
      </c>
      <c r="O289">
        <f t="shared" si="15"/>
        <v>5.719084239370642E-2</v>
      </c>
      <c r="P289">
        <f t="shared" si="15"/>
        <v>6.4308681672025081E-3</v>
      </c>
      <c r="Q289">
        <f t="shared" si="15"/>
        <v>-6.9605904422015419E-3</v>
      </c>
      <c r="R289" s="15">
        <f t="shared" si="14"/>
        <v>1.6170435545486996E-2</v>
      </c>
    </row>
    <row r="290" spans="1:18" x14ac:dyDescent="0.2">
      <c r="A290" s="11">
        <v>45625</v>
      </c>
      <c r="B290" s="12">
        <v>15.21</v>
      </c>
      <c r="C290" s="12">
        <v>11.14</v>
      </c>
      <c r="D290" s="12">
        <v>375.31</v>
      </c>
      <c r="E290" s="12">
        <v>32.495922</v>
      </c>
      <c r="F290" s="12">
        <v>293.12</v>
      </c>
      <c r="G290" s="12">
        <v>113.13</v>
      </c>
      <c r="H290" s="12">
        <v>15.55</v>
      </c>
      <c r="I290" s="12">
        <v>59.044559999999997</v>
      </c>
      <c r="J290">
        <f t="shared" si="16"/>
        <v>1.3166556945358732E-3</v>
      </c>
      <c r="K290">
        <f t="shared" si="16"/>
        <v>-8.0142475512021694E-3</v>
      </c>
      <c r="L290">
        <f t="shared" si="16"/>
        <v>-4.7467515247945347E-3</v>
      </c>
      <c r="M290">
        <f t="shared" si="15"/>
        <v>0</v>
      </c>
      <c r="N290">
        <f t="shared" si="15"/>
        <v>2.0009047569335747E-2</v>
      </c>
      <c r="O290">
        <f t="shared" si="15"/>
        <v>-2.0689058171745156E-2</v>
      </c>
      <c r="P290">
        <f t="shared" si="15"/>
        <v>-2.1397105097545666E-2</v>
      </c>
      <c r="Q290">
        <f t="shared" si="15"/>
        <v>-1.1953535281528871E-2</v>
      </c>
      <c r="R290" s="15">
        <f t="shared" si="14"/>
        <v>-4.6342038016336014E-3</v>
      </c>
    </row>
    <row r="291" spans="1:18" x14ac:dyDescent="0.2">
      <c r="A291" s="13">
        <v>45624</v>
      </c>
      <c r="B291" s="14">
        <v>15.19</v>
      </c>
      <c r="C291" s="14">
        <v>11.23</v>
      </c>
      <c r="D291" s="14">
        <v>377.1</v>
      </c>
      <c r="E291" s="14">
        <v>32.495922</v>
      </c>
      <c r="F291" s="14">
        <v>287.37</v>
      </c>
      <c r="G291" s="14">
        <v>115.52</v>
      </c>
      <c r="H291" s="14">
        <v>15.89</v>
      </c>
      <c r="I291" s="14">
        <v>59.758890000000001</v>
      </c>
      <c r="J291">
        <f t="shared" si="16"/>
        <v>-6.5789473684207955E-4</v>
      </c>
      <c r="K291">
        <f t="shared" si="16"/>
        <v>4.472271914132353E-3</v>
      </c>
      <c r="L291">
        <f t="shared" si="16"/>
        <v>-1.970468961214511E-2</v>
      </c>
      <c r="M291">
        <f t="shared" si="15"/>
        <v>6.74641925066366E-3</v>
      </c>
      <c r="N291">
        <f t="shared" si="15"/>
        <v>1.6447368421052655E-2</v>
      </c>
      <c r="O291">
        <f t="shared" si="15"/>
        <v>7.4125752158367142E-3</v>
      </c>
      <c r="P291">
        <f t="shared" si="15"/>
        <v>3.1565656565657463E-3</v>
      </c>
      <c r="Q291">
        <f t="shared" si="15"/>
        <v>3.7804559004901428E-3</v>
      </c>
      <c r="R291" s="15">
        <f t="shared" si="14"/>
        <v>4.0126938430030947E-3</v>
      </c>
    </row>
    <row r="292" spans="1:18" x14ac:dyDescent="0.2">
      <c r="A292" s="11">
        <v>45623</v>
      </c>
      <c r="B292" s="12">
        <v>15.2</v>
      </c>
      <c r="C292" s="12">
        <v>11.18</v>
      </c>
      <c r="D292" s="12">
        <v>384.68</v>
      </c>
      <c r="E292" s="12">
        <v>32.27816</v>
      </c>
      <c r="F292" s="12">
        <v>282.72000000000003</v>
      </c>
      <c r="G292" s="12">
        <v>114.67</v>
      </c>
      <c r="H292" s="12">
        <v>15.84</v>
      </c>
      <c r="I292" s="12">
        <v>59.533825</v>
      </c>
      <c r="J292">
        <f t="shared" si="16"/>
        <v>-1.041666666666663E-2</v>
      </c>
      <c r="K292">
        <f t="shared" si="16"/>
        <v>-3.5650623885918886E-3</v>
      </c>
      <c r="L292">
        <f t="shared" si="16"/>
        <v>2.1889278503878451E-2</v>
      </c>
      <c r="M292">
        <f t="shared" si="15"/>
        <v>7.1030710500861183E-3</v>
      </c>
      <c r="N292">
        <f t="shared" si="15"/>
        <v>2.0539291773454371E-2</v>
      </c>
      <c r="O292">
        <f t="shared" si="15"/>
        <v>1.9222367846221111E-3</v>
      </c>
      <c r="P292">
        <f t="shared" si="15"/>
        <v>4.4388078630310801E-3</v>
      </c>
      <c r="Q292">
        <f t="shared" si="15"/>
        <v>-2.0132086859470877E-2</v>
      </c>
      <c r="R292" s="15">
        <f t="shared" si="14"/>
        <v>5.7668944291248527E-3</v>
      </c>
    </row>
    <row r="293" spans="1:18" x14ac:dyDescent="0.2">
      <c r="A293" s="13">
        <v>45622</v>
      </c>
      <c r="B293" s="14">
        <v>15.36</v>
      </c>
      <c r="C293" s="14">
        <v>11.22</v>
      </c>
      <c r="D293" s="14">
        <v>376.44</v>
      </c>
      <c r="E293" s="14">
        <v>32.050502999999999</v>
      </c>
      <c r="F293" s="14">
        <v>277.02999999999997</v>
      </c>
      <c r="G293" s="14">
        <v>114.45</v>
      </c>
      <c r="H293" s="14">
        <v>15.77</v>
      </c>
      <c r="I293" s="14">
        <v>60.756990000000002</v>
      </c>
      <c r="J293">
        <f t="shared" si="16"/>
        <v>2.1276595744680771E-2</v>
      </c>
      <c r="K293">
        <f t="shared" si="16"/>
        <v>-4.3478260869565188E-2</v>
      </c>
      <c r="L293">
        <f t="shared" si="16"/>
        <v>1.3566355438512367E-3</v>
      </c>
      <c r="M293">
        <f t="shared" si="15"/>
        <v>-1.8192740842424615E-2</v>
      </c>
      <c r="N293">
        <f t="shared" si="15"/>
        <v>-5.7400476352500895E-2</v>
      </c>
      <c r="O293">
        <f t="shared" si="15"/>
        <v>-1.9952046583319061E-2</v>
      </c>
      <c r="P293">
        <f t="shared" si="15"/>
        <v>-8.7994971715902315E-3</v>
      </c>
      <c r="Q293">
        <f t="shared" si="15"/>
        <v>-3.0146754238728812E-2</v>
      </c>
      <c r="R293" s="15">
        <f t="shared" si="14"/>
        <v>-2.3310072860592276E-2</v>
      </c>
    </row>
    <row r="294" spans="1:18" x14ac:dyDescent="0.2">
      <c r="A294" s="11">
        <v>45621</v>
      </c>
      <c r="B294" s="12">
        <v>15.04</v>
      </c>
      <c r="C294" s="12">
        <v>11.73</v>
      </c>
      <c r="D294" s="12">
        <v>375.93</v>
      </c>
      <c r="E294" s="12">
        <v>32.644393999999998</v>
      </c>
      <c r="F294" s="12">
        <v>293.89999999999998</v>
      </c>
      <c r="G294" s="12">
        <v>116.78</v>
      </c>
      <c r="H294" s="12">
        <v>15.91</v>
      </c>
      <c r="I294" s="12">
        <v>62.64555</v>
      </c>
      <c r="J294">
        <f t="shared" si="16"/>
        <v>-2.3376623376623495E-2</v>
      </c>
      <c r="K294">
        <f t="shared" si="16"/>
        <v>3.5304501323918824E-2</v>
      </c>
      <c r="L294">
        <f t="shared" si="16"/>
        <v>-2.0658573438232741E-2</v>
      </c>
      <c r="M294">
        <f t="shared" si="15"/>
        <v>-4.819624811210188E-2</v>
      </c>
      <c r="N294">
        <f t="shared" si="15"/>
        <v>-3.8222396753714305E-2</v>
      </c>
      <c r="O294">
        <f t="shared" si="15"/>
        <v>2.3577877114558721E-2</v>
      </c>
      <c r="P294">
        <f t="shared" si="15"/>
        <v>-3.7570444583594487E-3</v>
      </c>
      <c r="Q294">
        <f t="shared" si="15"/>
        <v>1.8453609353596079E-2</v>
      </c>
      <c r="R294" s="15">
        <f t="shared" si="14"/>
        <v>-8.6915351990511092E-3</v>
      </c>
    </row>
    <row r="295" spans="1:18" x14ac:dyDescent="0.2">
      <c r="A295" s="13">
        <v>45618</v>
      </c>
      <c r="B295" s="14">
        <v>15.4</v>
      </c>
      <c r="C295" s="14">
        <v>11.33</v>
      </c>
      <c r="D295" s="14">
        <v>383.86</v>
      </c>
      <c r="E295" s="14">
        <v>34.297400000000003</v>
      </c>
      <c r="F295" s="14">
        <v>305.58</v>
      </c>
      <c r="G295" s="14">
        <v>114.09</v>
      </c>
      <c r="H295" s="14">
        <v>15.97</v>
      </c>
      <c r="I295" s="14">
        <v>61.510460000000002</v>
      </c>
      <c r="J295">
        <f t="shared" si="16"/>
        <v>-9.009009009008917E-3</v>
      </c>
      <c r="K295">
        <f t="shared" si="16"/>
        <v>1.8884892086330929E-2</v>
      </c>
      <c r="L295">
        <f t="shared" si="16"/>
        <v>1.9819341126461332E-2</v>
      </c>
      <c r="M295">
        <f t="shared" si="15"/>
        <v>-3.1645385667965487E-3</v>
      </c>
      <c r="N295">
        <f t="shared" si="15"/>
        <v>1.6803646890493518E-2</v>
      </c>
      <c r="O295">
        <f t="shared" si="15"/>
        <v>-1.1779991338241702E-2</v>
      </c>
      <c r="P295">
        <f t="shared" si="15"/>
        <v>-2.6219512195121863E-2</v>
      </c>
      <c r="Q295">
        <f t="shared" si="15"/>
        <v>-1.7468893068757207E-3</v>
      </c>
      <c r="R295" s="15">
        <f t="shared" si="14"/>
        <v>7.3262871486838447E-4</v>
      </c>
    </row>
    <row r="296" spans="1:18" x14ac:dyDescent="0.2">
      <c r="A296" s="11">
        <v>45617</v>
      </c>
      <c r="B296" s="12">
        <v>15.54</v>
      </c>
      <c r="C296" s="12">
        <v>11.12</v>
      </c>
      <c r="D296" s="12">
        <v>376.4</v>
      </c>
      <c r="E296" s="12">
        <v>34.406280000000002</v>
      </c>
      <c r="F296" s="12">
        <v>300.52999999999997</v>
      </c>
      <c r="G296" s="12">
        <v>115.45</v>
      </c>
      <c r="H296" s="12">
        <v>16.399999999999999</v>
      </c>
      <c r="I296" s="12">
        <v>61.618099999999998</v>
      </c>
      <c r="J296">
        <f t="shared" si="16"/>
        <v>1.6350555918901222E-2</v>
      </c>
      <c r="K296">
        <f t="shared" si="16"/>
        <v>9.0744101633393193E-3</v>
      </c>
      <c r="L296">
        <f t="shared" si="16"/>
        <v>4.7783027682122281E-3</v>
      </c>
      <c r="M296">
        <f t="shared" si="15"/>
        <v>-9.968716117759846E-3</v>
      </c>
      <c r="N296">
        <f t="shared" si="15"/>
        <v>-1.5107819361604546E-2</v>
      </c>
      <c r="O296">
        <f t="shared" si="15"/>
        <v>-8.6725055813153817E-3</v>
      </c>
      <c r="P296">
        <f t="shared" si="15"/>
        <v>1.8326206475258733E-3</v>
      </c>
      <c r="Q296">
        <f t="shared" si="15"/>
        <v>-2.2660215348441537E-2</v>
      </c>
      <c r="R296" s="15">
        <f t="shared" si="14"/>
        <v>-3.9056230920505282E-3</v>
      </c>
    </row>
    <row r="297" spans="1:18" x14ac:dyDescent="0.2">
      <c r="A297" s="13">
        <v>45616</v>
      </c>
      <c r="B297" s="14">
        <v>15.29</v>
      </c>
      <c r="C297" s="14">
        <v>11.02</v>
      </c>
      <c r="D297" s="14">
        <v>374.61</v>
      </c>
      <c r="E297" s="14">
        <v>34.752719999999997</v>
      </c>
      <c r="F297" s="14">
        <v>305.14</v>
      </c>
      <c r="G297" s="14">
        <v>116.46</v>
      </c>
      <c r="H297" s="14">
        <v>16.37</v>
      </c>
      <c r="I297" s="14">
        <v>63.046753000000002</v>
      </c>
      <c r="J297">
        <f t="shared" si="16"/>
        <v>9.9075297225890147E-3</v>
      </c>
      <c r="K297">
        <f t="shared" si="16"/>
        <v>8.2342177493137658E-3</v>
      </c>
      <c r="L297">
        <f t="shared" si="16"/>
        <v>-1.6523199104548913E-3</v>
      </c>
      <c r="M297">
        <f t="shared" si="15"/>
        <v>-5.9456388355996204E-3</v>
      </c>
      <c r="N297">
        <f t="shared" si="15"/>
        <v>9.841228185278883E-4</v>
      </c>
      <c r="O297">
        <f t="shared" si="15"/>
        <v>-2.6254180602006683E-2</v>
      </c>
      <c r="P297">
        <f t="shared" si="15"/>
        <v>-1.6225961538461564E-2</v>
      </c>
      <c r="Q297">
        <f t="shared" si="15"/>
        <v>5.4618768386904826E-3</v>
      </c>
      <c r="R297" s="15">
        <f t="shared" si="14"/>
        <v>-4.8254023610602246E-3</v>
      </c>
    </row>
    <row r="298" spans="1:18" x14ac:dyDescent="0.2">
      <c r="A298" s="11">
        <v>45615</v>
      </c>
      <c r="B298" s="12">
        <v>15.14</v>
      </c>
      <c r="C298" s="12">
        <v>10.93</v>
      </c>
      <c r="D298" s="12">
        <v>375.23</v>
      </c>
      <c r="E298" s="12">
        <v>34.960583</v>
      </c>
      <c r="F298" s="12">
        <v>304.83999999999997</v>
      </c>
      <c r="G298" s="12">
        <v>119.6</v>
      </c>
      <c r="H298" s="12">
        <v>16.64</v>
      </c>
      <c r="I298" s="12">
        <v>62.704270000000001</v>
      </c>
      <c r="J298">
        <f t="shared" si="16"/>
        <v>-2.0064724919093724E-2</v>
      </c>
      <c r="K298">
        <f t="shared" si="16"/>
        <v>-2.4107142857142771E-2</v>
      </c>
      <c r="L298">
        <f t="shared" si="16"/>
        <v>1.323144222720285E-2</v>
      </c>
      <c r="M298">
        <f t="shared" si="15"/>
        <v>-1.9161356544556418E-2</v>
      </c>
      <c r="N298">
        <f t="shared" si="15"/>
        <v>-3.2793336394054684E-4</v>
      </c>
      <c r="O298">
        <f t="shared" si="15"/>
        <v>-8.7850157467264101E-3</v>
      </c>
      <c r="P298">
        <f t="shared" si="15"/>
        <v>9.0964220739844226E-3</v>
      </c>
      <c r="Q298">
        <f t="shared" si="15"/>
        <v>1.2500562067017107E-3</v>
      </c>
      <c r="R298" s="15">
        <f t="shared" si="14"/>
        <v>-4.0460846914146618E-3</v>
      </c>
    </row>
    <row r="299" spans="1:18" x14ac:dyDescent="0.2">
      <c r="A299" s="13">
        <v>45611</v>
      </c>
      <c r="B299" s="14">
        <v>15.45</v>
      </c>
      <c r="C299" s="14">
        <v>11.2</v>
      </c>
      <c r="D299" s="14">
        <v>370.33</v>
      </c>
      <c r="E299" s="14">
        <v>35.643562000000003</v>
      </c>
      <c r="F299" s="14">
        <v>304.94</v>
      </c>
      <c r="G299" s="14">
        <v>120.66</v>
      </c>
      <c r="H299" s="14">
        <v>16.489999999999998</v>
      </c>
      <c r="I299" s="14">
        <v>62.625984000000003</v>
      </c>
      <c r="J299">
        <f t="shared" si="16"/>
        <v>1.9455252918287869E-3</v>
      </c>
      <c r="K299">
        <f t="shared" si="16"/>
        <v>2.1897810218977964E-2</v>
      </c>
      <c r="L299">
        <f t="shared" si="16"/>
        <v>-2.2899940729566026E-3</v>
      </c>
      <c r="M299">
        <f t="shared" si="15"/>
        <v>2.4758173045671183E-2</v>
      </c>
      <c r="N299">
        <f t="shared" si="15"/>
        <v>8.1961396537042486E-2</v>
      </c>
      <c r="O299">
        <f t="shared" si="15"/>
        <v>-1.2278978388998052E-2</v>
      </c>
      <c r="P299">
        <f t="shared" si="15"/>
        <v>-1.1983223487118222E-2</v>
      </c>
      <c r="Q299">
        <f t="shared" si="15"/>
        <v>-3.4257586452390854E-3</v>
      </c>
      <c r="R299" s="15">
        <f t="shared" si="14"/>
        <v>1.769946504667946E-2</v>
      </c>
    </row>
    <row r="300" spans="1:18" x14ac:dyDescent="0.2">
      <c r="A300" s="11">
        <v>45610</v>
      </c>
      <c r="B300" s="12">
        <v>15.42</v>
      </c>
      <c r="C300" s="12">
        <v>10.96</v>
      </c>
      <c r="D300" s="12">
        <v>371.18</v>
      </c>
      <c r="E300" s="12">
        <v>34.782412999999998</v>
      </c>
      <c r="F300" s="12">
        <v>281.83999999999997</v>
      </c>
      <c r="G300" s="12">
        <v>122.16</v>
      </c>
      <c r="H300" s="12">
        <v>16.690000000000001</v>
      </c>
      <c r="I300" s="12">
        <v>62.841262999999998</v>
      </c>
      <c r="J300">
        <f t="shared" si="16"/>
        <v>-1.7834394904458595E-2</v>
      </c>
      <c r="K300">
        <f t="shared" si="16"/>
        <v>1.8281535648996261E-3</v>
      </c>
      <c r="L300">
        <f t="shared" si="16"/>
        <v>2.2421771705597227E-2</v>
      </c>
      <c r="M300">
        <f t="shared" si="15"/>
        <v>-1.1371256283023712E-3</v>
      </c>
      <c r="N300">
        <f t="shared" si="15"/>
        <v>-1.8970378363326379E-2</v>
      </c>
      <c r="O300">
        <f t="shared" si="15"/>
        <v>1.2179965200099341E-2</v>
      </c>
      <c r="P300">
        <f t="shared" si="15"/>
        <v>5.1007556675062959E-2</v>
      </c>
      <c r="Q300">
        <f t="shared" si="15"/>
        <v>-1.6840138587709275E-2</v>
      </c>
      <c r="R300" s="15">
        <f t="shared" si="14"/>
        <v>6.4081058173660549E-3</v>
      </c>
    </row>
    <row r="301" spans="1:18" x14ac:dyDescent="0.2">
      <c r="A301" s="13">
        <v>45609</v>
      </c>
      <c r="B301" s="14">
        <v>15.7</v>
      </c>
      <c r="C301" s="14">
        <v>10.94</v>
      </c>
      <c r="D301" s="14">
        <v>363.04</v>
      </c>
      <c r="E301" s="14">
        <v>34.822009999999999</v>
      </c>
      <c r="F301" s="14">
        <v>287.29000000000002</v>
      </c>
      <c r="G301" s="14">
        <v>120.69</v>
      </c>
      <c r="H301" s="14">
        <v>15.88</v>
      </c>
      <c r="I301" s="14">
        <v>63.917645</v>
      </c>
      <c r="J301">
        <f t="shared" si="16"/>
        <v>-1.9071837253655799E-3</v>
      </c>
      <c r="K301">
        <f t="shared" si="16"/>
        <v>-3.0141843971631221E-2</v>
      </c>
      <c r="L301">
        <f t="shared" si="16"/>
        <v>1.0754170687992115E-3</v>
      </c>
      <c r="M301">
        <f t="shared" si="15"/>
        <v>-5.0904031194130006E-3</v>
      </c>
      <c r="N301">
        <f t="shared" si="15"/>
        <v>1.4227211748923274E-2</v>
      </c>
      <c r="O301">
        <f t="shared" si="15"/>
        <v>-4.9468216670789378E-3</v>
      </c>
      <c r="P301">
        <f t="shared" si="15"/>
        <v>-6.2932662051606858E-4</v>
      </c>
      <c r="Q301">
        <f t="shared" si="15"/>
        <v>1.2242392081514897E-2</v>
      </c>
      <c r="R301" s="15">
        <f t="shared" si="14"/>
        <v>-6.2969849248364906E-4</v>
      </c>
    </row>
    <row r="302" spans="1:18" x14ac:dyDescent="0.2">
      <c r="A302" s="11">
        <v>45608</v>
      </c>
      <c r="B302" s="12">
        <v>15.73</v>
      </c>
      <c r="C302" s="12">
        <v>11.28</v>
      </c>
      <c r="D302" s="12">
        <v>362.65</v>
      </c>
      <c r="E302" s="12">
        <v>35.000174999999999</v>
      </c>
      <c r="F302" s="12">
        <v>283.26</v>
      </c>
      <c r="G302" s="12">
        <v>121.29</v>
      </c>
      <c r="H302" s="12">
        <v>15.89</v>
      </c>
      <c r="I302" s="12">
        <v>63.144604000000001</v>
      </c>
      <c r="J302">
        <f t="shared" si="16"/>
        <v>5.1118210862619584E-3</v>
      </c>
      <c r="K302">
        <f t="shared" si="16"/>
        <v>-2.3376623376623495E-2</v>
      </c>
      <c r="L302">
        <f t="shared" si="16"/>
        <v>1.6295641606363098E-3</v>
      </c>
      <c r="M302">
        <f t="shared" si="15"/>
        <v>-1.7504970277147591E-2</v>
      </c>
      <c r="N302">
        <f t="shared" si="15"/>
        <v>-5.4760236259885908E-2</v>
      </c>
      <c r="O302">
        <f t="shared" si="15"/>
        <v>-3.8600525624178372E-3</v>
      </c>
      <c r="P302">
        <f t="shared" si="15"/>
        <v>3.2488628979857159E-2</v>
      </c>
      <c r="Q302">
        <f t="shared" si="15"/>
        <v>-7.5360775354236242E-3</v>
      </c>
      <c r="R302" s="15">
        <f t="shared" si="14"/>
        <v>-1.0662258759767264E-2</v>
      </c>
    </row>
    <row r="303" spans="1:18" x14ac:dyDescent="0.2">
      <c r="A303" s="13">
        <v>45607</v>
      </c>
      <c r="B303" s="14">
        <v>15.65</v>
      </c>
      <c r="C303" s="14">
        <v>11.55</v>
      </c>
      <c r="D303" s="14">
        <v>362.06</v>
      </c>
      <c r="E303" s="14">
        <v>35.623767999999998</v>
      </c>
      <c r="F303" s="14">
        <v>299.67</v>
      </c>
      <c r="G303" s="14">
        <v>121.76</v>
      </c>
      <c r="H303" s="14">
        <v>15.39</v>
      </c>
      <c r="I303" s="14">
        <v>63.624079999999999</v>
      </c>
      <c r="J303">
        <f t="shared" si="16"/>
        <v>1.6233766233766156E-2</v>
      </c>
      <c r="K303">
        <f t="shared" si="16"/>
        <v>-3.1852472757753492E-2</v>
      </c>
      <c r="L303">
        <f t="shared" si="16"/>
        <v>1.4936932949767279E-3</v>
      </c>
      <c r="M303">
        <f t="shared" si="15"/>
        <v>-1.1806635285645739E-2</v>
      </c>
      <c r="N303">
        <f t="shared" si="15"/>
        <v>-6.3662588282104027E-3</v>
      </c>
      <c r="O303">
        <f t="shared" si="15"/>
        <v>-2.9491471385301948E-2</v>
      </c>
      <c r="P303">
        <f t="shared" si="15"/>
        <v>1.2500000000000178E-2</v>
      </c>
      <c r="Q303">
        <f t="shared" si="15"/>
        <v>-2.2255702924946164E-2</v>
      </c>
      <c r="R303" s="15">
        <f t="shared" si="14"/>
        <v>-8.2096012668246201E-3</v>
      </c>
    </row>
    <row r="304" spans="1:18" x14ac:dyDescent="0.2">
      <c r="A304" s="11">
        <v>45604</v>
      </c>
      <c r="B304" s="12">
        <v>15.4</v>
      </c>
      <c r="C304" s="12">
        <v>11.93</v>
      </c>
      <c r="D304" s="12">
        <v>361.52</v>
      </c>
      <c r="E304" s="12">
        <v>36.049390000000002</v>
      </c>
      <c r="F304" s="12">
        <v>301.58999999999997</v>
      </c>
      <c r="G304" s="12">
        <v>125.46</v>
      </c>
      <c r="H304" s="12">
        <v>15.2</v>
      </c>
      <c r="I304" s="12">
        <v>65.072310000000002</v>
      </c>
      <c r="J304">
        <f t="shared" si="16"/>
        <v>-2.6548672566371723E-2</v>
      </c>
      <c r="K304">
        <f t="shared" si="16"/>
        <v>-1.3234077750206796E-2</v>
      </c>
      <c r="L304">
        <f t="shared" si="16"/>
        <v>-2.2123893805325867E-4</v>
      </c>
      <c r="M304">
        <f t="shared" si="15"/>
        <v>-3.7780653837641176E-2</v>
      </c>
      <c r="N304">
        <f t="shared" si="15"/>
        <v>-1.5152009927179022E-2</v>
      </c>
      <c r="O304">
        <f t="shared" si="15"/>
        <v>2.3327895595432357E-2</v>
      </c>
      <c r="P304">
        <f t="shared" si="15"/>
        <v>7.9575596816976457E-3</v>
      </c>
      <c r="Q304">
        <f t="shared" si="15"/>
        <v>-6.8698601578329743E-3</v>
      </c>
      <c r="R304" s="15">
        <f t="shared" si="14"/>
        <v>-6.1192702438716828E-3</v>
      </c>
    </row>
    <row r="305" spans="1:18" x14ac:dyDescent="0.2">
      <c r="A305" s="13">
        <v>45603</v>
      </c>
      <c r="B305" s="14">
        <v>15.82</v>
      </c>
      <c r="C305" s="14">
        <v>12.09</v>
      </c>
      <c r="D305" s="14">
        <v>361.6</v>
      </c>
      <c r="E305" s="14">
        <v>37.464835999999998</v>
      </c>
      <c r="F305" s="14">
        <v>306.23</v>
      </c>
      <c r="G305" s="14">
        <v>122.6</v>
      </c>
      <c r="H305" s="14">
        <v>15.08</v>
      </c>
      <c r="I305" s="14">
        <v>65.522440000000003</v>
      </c>
      <c r="J305">
        <f t="shared" si="16"/>
        <v>-2.5261860751694454E-2</v>
      </c>
      <c r="K305">
        <f t="shared" si="16"/>
        <v>4.4041450777202007E-2</v>
      </c>
      <c r="L305">
        <f t="shared" si="16"/>
        <v>2.5175776820140605E-2</v>
      </c>
      <c r="M305">
        <f t="shared" si="15"/>
        <v>3.3305885034432769E-2</v>
      </c>
      <c r="N305">
        <f t="shared" si="15"/>
        <v>-6.5208928107967079E-3</v>
      </c>
      <c r="O305">
        <f t="shared" si="15"/>
        <v>-1.2166626379824352E-2</v>
      </c>
      <c r="P305">
        <f t="shared" si="15"/>
        <v>2.2372881355932295E-2</v>
      </c>
      <c r="Q305">
        <f t="shared" si="15"/>
        <v>1.6702187333436314E-2</v>
      </c>
      <c r="R305" s="15">
        <f t="shared" si="14"/>
        <v>1.0909083230613162E-2</v>
      </c>
    </row>
    <row r="306" spans="1:18" x14ac:dyDescent="0.2">
      <c r="A306" s="11">
        <v>45602</v>
      </c>
      <c r="B306" s="12">
        <v>16.23</v>
      </c>
      <c r="C306" s="12">
        <v>11.58</v>
      </c>
      <c r="D306" s="12">
        <v>352.72</v>
      </c>
      <c r="E306" s="12">
        <v>36.257255999999998</v>
      </c>
      <c r="F306" s="12">
        <v>308.24</v>
      </c>
      <c r="G306" s="12">
        <v>124.11</v>
      </c>
      <c r="H306" s="12">
        <v>14.75</v>
      </c>
      <c r="I306" s="12">
        <v>64.44605</v>
      </c>
      <c r="J306">
        <f t="shared" si="16"/>
        <v>1.6280525986224204E-2</v>
      </c>
      <c r="K306">
        <f t="shared" si="16"/>
        <v>8.6303939962476539E-2</v>
      </c>
      <c r="L306">
        <f t="shared" si="16"/>
        <v>2.1281524162492405E-2</v>
      </c>
      <c r="M306">
        <f t="shared" si="15"/>
        <v>1.4962678683061892E-2</v>
      </c>
      <c r="N306">
        <f t="shared" si="15"/>
        <v>-7.598197037991028E-3</v>
      </c>
      <c r="O306">
        <f t="shared" si="15"/>
        <v>-1.6891891891891442E-3</v>
      </c>
      <c r="P306">
        <f t="shared" si="15"/>
        <v>-1.7976031957390171E-2</v>
      </c>
      <c r="Q306">
        <f t="shared" si="15"/>
        <v>-2.890010688931588E-2</v>
      </c>
      <c r="R306" s="15">
        <f t="shared" si="14"/>
        <v>7.4962576073788183E-3</v>
      </c>
    </row>
    <row r="307" spans="1:18" x14ac:dyDescent="0.2">
      <c r="A307" s="13">
        <v>45601</v>
      </c>
      <c r="B307" s="14">
        <v>15.97</v>
      </c>
      <c r="C307" s="14">
        <v>10.66</v>
      </c>
      <c r="D307" s="14">
        <v>345.37</v>
      </c>
      <c r="E307" s="14">
        <v>35.722748000000003</v>
      </c>
      <c r="F307" s="14">
        <v>310.60000000000002</v>
      </c>
      <c r="G307" s="14">
        <v>124.32</v>
      </c>
      <c r="H307" s="14">
        <v>15.02</v>
      </c>
      <c r="I307" s="14">
        <v>66.363975999999994</v>
      </c>
      <c r="J307">
        <f t="shared" si="16"/>
        <v>-1.3588634959851853E-2</v>
      </c>
      <c r="K307">
        <f t="shared" si="16"/>
        <v>1.8147086914995114E-2</v>
      </c>
      <c r="L307">
        <f t="shared" si="16"/>
        <v>1.5047759000734739E-2</v>
      </c>
      <c r="M307">
        <f t="shared" si="15"/>
        <v>-1.955986784288466E-2</v>
      </c>
      <c r="N307">
        <f t="shared" si="15"/>
        <v>-1.96016539881948E-2</v>
      </c>
      <c r="O307">
        <f t="shared" si="15"/>
        <v>-5.9171597633136397E-3</v>
      </c>
      <c r="P307">
        <f t="shared" si="15"/>
        <v>-1.9933554817276322E-3</v>
      </c>
      <c r="Q307">
        <f t="shared" si="15"/>
        <v>1.4206692904661367E-2</v>
      </c>
      <c r="R307" s="15">
        <f t="shared" si="14"/>
        <v>-3.1926529658157432E-3</v>
      </c>
    </row>
    <row r="308" spans="1:18" x14ac:dyDescent="0.2">
      <c r="A308" s="11">
        <v>45600</v>
      </c>
      <c r="B308" s="12">
        <v>16.190000000000001</v>
      </c>
      <c r="C308" s="12">
        <v>10.47</v>
      </c>
      <c r="D308" s="12">
        <v>340.25</v>
      </c>
      <c r="E308" s="12">
        <v>36.435420000000001</v>
      </c>
      <c r="F308" s="12">
        <v>316.81</v>
      </c>
      <c r="G308" s="12">
        <v>125.06</v>
      </c>
      <c r="H308" s="12">
        <v>15.05</v>
      </c>
      <c r="I308" s="12">
        <v>65.434370000000001</v>
      </c>
      <c r="J308">
        <f t="shared" si="16"/>
        <v>1.7598994343180463E-2</v>
      </c>
      <c r="K308">
        <f t="shared" si="16"/>
        <v>-9.4607379375590828E-3</v>
      </c>
      <c r="L308">
        <f t="shared" si="16"/>
        <v>6.0615020697811772E-3</v>
      </c>
      <c r="M308">
        <f t="shared" si="15"/>
        <v>1.8257152870118976E-2</v>
      </c>
      <c r="N308">
        <f t="shared" si="15"/>
        <v>6.8007754155146038E-3</v>
      </c>
      <c r="O308">
        <f t="shared" si="15"/>
        <v>-1.1539677521340441E-2</v>
      </c>
      <c r="P308">
        <f t="shared" si="15"/>
        <v>1.3468013468013629E-2</v>
      </c>
      <c r="Q308">
        <f t="shared" si="15"/>
        <v>-4.4833993546344875E-4</v>
      </c>
      <c r="R308" s="15">
        <f t="shared" si="14"/>
        <v>4.8040654600030328E-3</v>
      </c>
    </row>
    <row r="309" spans="1:18" x14ac:dyDescent="0.2">
      <c r="A309" s="13">
        <v>45597</v>
      </c>
      <c r="B309" s="14">
        <v>15.91</v>
      </c>
      <c r="C309" s="14">
        <v>10.57</v>
      </c>
      <c r="D309" s="14">
        <v>338.2</v>
      </c>
      <c r="E309" s="14">
        <v>35.782139999999998</v>
      </c>
      <c r="F309" s="14">
        <v>314.67</v>
      </c>
      <c r="G309" s="14">
        <v>126.52</v>
      </c>
      <c r="H309" s="14">
        <v>14.85</v>
      </c>
      <c r="I309" s="14">
        <v>65.463719999999995</v>
      </c>
      <c r="J309">
        <f t="shared" si="16"/>
        <v>6.3251106894370857E-3</v>
      </c>
      <c r="K309">
        <f t="shared" si="16"/>
        <v>2.8462998102467552E-3</v>
      </c>
      <c r="L309">
        <f t="shared" si="16"/>
        <v>-2.5247867189301387E-2</v>
      </c>
      <c r="M309">
        <f t="shared" si="15"/>
        <v>-1.1051393165623091E-3</v>
      </c>
      <c r="N309">
        <f t="shared" si="15"/>
        <v>1.1453660398970111E-3</v>
      </c>
      <c r="O309">
        <f t="shared" si="15"/>
        <v>-4.3283229715904703E-3</v>
      </c>
      <c r="P309">
        <f t="shared" si="15"/>
        <v>-2.686366689053088E-3</v>
      </c>
      <c r="Q309">
        <f t="shared" si="15"/>
        <v>-1.0452873410972119E-3</v>
      </c>
      <c r="R309" s="15">
        <f t="shared" si="14"/>
        <v>-3.2158484389957598E-3</v>
      </c>
    </row>
    <row r="310" spans="1:18" x14ac:dyDescent="0.2">
      <c r="A310" s="11">
        <v>45596</v>
      </c>
      <c r="B310" s="12">
        <v>15.81</v>
      </c>
      <c r="C310" s="12">
        <v>10.54</v>
      </c>
      <c r="D310" s="12">
        <v>346.96</v>
      </c>
      <c r="E310" s="12">
        <v>35.821728</v>
      </c>
      <c r="F310" s="12">
        <v>314.31</v>
      </c>
      <c r="G310" s="12">
        <v>127.07</v>
      </c>
      <c r="H310" s="12">
        <v>14.89</v>
      </c>
      <c r="I310" s="12">
        <v>65.532219999999995</v>
      </c>
      <c r="J310">
        <f t="shared" si="16"/>
        <v>-1.2492192379762734E-2</v>
      </c>
      <c r="K310">
        <f t="shared" si="16"/>
        <v>-7.532956685499026E-3</v>
      </c>
      <c r="L310">
        <f t="shared" si="16"/>
        <v>-9.4215725461086475E-3</v>
      </c>
      <c r="M310">
        <f t="shared" si="15"/>
        <v>-1.1041421671994511E-3</v>
      </c>
      <c r="N310">
        <f t="shared" si="15"/>
        <v>-1.4022209674383501E-2</v>
      </c>
      <c r="O310">
        <f t="shared" si="15"/>
        <v>4.9471423851998653E-2</v>
      </c>
      <c r="P310">
        <f t="shared" si="15"/>
        <v>-2.6791694574681557E-3</v>
      </c>
      <c r="Q310">
        <f t="shared" si="15"/>
        <v>8.5842960449382666E-3</v>
      </c>
      <c r="R310" s="15">
        <f t="shared" si="14"/>
        <v>1.1546580571178526E-3</v>
      </c>
    </row>
    <row r="311" spans="1:18" x14ac:dyDescent="0.2">
      <c r="A311" s="13">
        <v>45595</v>
      </c>
      <c r="B311" s="14">
        <v>16.010000000000002</v>
      </c>
      <c r="C311" s="14">
        <v>10.62</v>
      </c>
      <c r="D311" s="14">
        <v>350.26</v>
      </c>
      <c r="E311" s="14">
        <v>35.861324000000003</v>
      </c>
      <c r="F311" s="14">
        <v>318.77999999999997</v>
      </c>
      <c r="G311" s="14">
        <v>121.08</v>
      </c>
      <c r="H311" s="14">
        <v>14.93</v>
      </c>
      <c r="I311" s="14">
        <v>64.974459999999993</v>
      </c>
      <c r="J311">
        <f t="shared" si="16"/>
        <v>-1.5375153751537529E-2</v>
      </c>
      <c r="K311">
        <f t="shared" si="16"/>
        <v>2.8328611898016387E-3</v>
      </c>
      <c r="L311">
        <f t="shared" si="16"/>
        <v>-2.0059871863022161E-2</v>
      </c>
      <c r="M311">
        <f t="shared" si="15"/>
        <v>2.2129475766403672E-3</v>
      </c>
      <c r="N311">
        <f t="shared" si="15"/>
        <v>5.6785917092558869E-3</v>
      </c>
      <c r="O311">
        <f t="shared" si="15"/>
        <v>2.228976697061813E-2</v>
      </c>
      <c r="P311">
        <f t="shared" si="15"/>
        <v>1.2890094979647104E-2</v>
      </c>
      <c r="Q311">
        <f t="shared" si="15"/>
        <v>-2.7035821619448841E-3</v>
      </c>
      <c r="R311" s="15">
        <f t="shared" si="14"/>
        <v>3.1616842975048434E-3</v>
      </c>
    </row>
    <row r="312" spans="1:18" x14ac:dyDescent="0.2">
      <c r="A312" s="11">
        <v>45594</v>
      </c>
      <c r="B312" s="12">
        <v>16.260000000000002</v>
      </c>
      <c r="C312" s="12">
        <v>10.59</v>
      </c>
      <c r="D312" s="12">
        <v>357.43</v>
      </c>
      <c r="E312" s="12">
        <v>35.782139999999998</v>
      </c>
      <c r="F312" s="12">
        <v>316.98</v>
      </c>
      <c r="G312" s="12">
        <v>118.44</v>
      </c>
      <c r="H312" s="12">
        <v>14.74</v>
      </c>
      <c r="I312" s="12">
        <v>65.150599999999997</v>
      </c>
      <c r="J312">
        <f t="shared" si="16"/>
        <v>-3.214285714285714E-2</v>
      </c>
      <c r="K312">
        <f t="shared" si="16"/>
        <v>-3.8147138964577665E-2</v>
      </c>
      <c r="L312">
        <f t="shared" si="16"/>
        <v>-2.372446131517103E-3</v>
      </c>
      <c r="M312">
        <f t="shared" si="15"/>
        <v>-1.2295059341562053E-2</v>
      </c>
      <c r="N312">
        <f t="shared" si="15"/>
        <v>3.8869952805453689E-2</v>
      </c>
      <c r="O312">
        <f t="shared" si="15"/>
        <v>1.7438364401683781E-2</v>
      </c>
      <c r="P312">
        <f t="shared" si="15"/>
        <v>2.5034770514603677E-2</v>
      </c>
      <c r="Q312">
        <f t="shared" si="15"/>
        <v>3.3152989775055985E-3</v>
      </c>
      <c r="R312" s="15">
        <f t="shared" si="14"/>
        <v>6.9663332770093251E-3</v>
      </c>
    </row>
    <row r="313" spans="1:18" x14ac:dyDescent="0.2">
      <c r="A313" s="13">
        <v>45593</v>
      </c>
      <c r="B313" s="14">
        <v>16.8</v>
      </c>
      <c r="C313" s="14">
        <v>11.01</v>
      </c>
      <c r="D313" s="14">
        <v>358.28</v>
      </c>
      <c r="E313" s="14">
        <v>36.227559999999997</v>
      </c>
      <c r="F313" s="14">
        <v>305.12</v>
      </c>
      <c r="G313" s="14">
        <v>116.41</v>
      </c>
      <c r="H313" s="14">
        <v>14.38</v>
      </c>
      <c r="I313" s="14">
        <v>64.935320000000004</v>
      </c>
      <c r="J313">
        <f t="shared" si="16"/>
        <v>9.6153846153845812E-3</v>
      </c>
      <c r="K313">
        <f t="shared" si="16"/>
        <v>-7.7889447236180853E-2</v>
      </c>
      <c r="L313">
        <f t="shared" si="16"/>
        <v>4.2026582904342247E-2</v>
      </c>
      <c r="M313">
        <f t="shared" si="15"/>
        <v>0</v>
      </c>
      <c r="N313">
        <f t="shared" si="15"/>
        <v>1.8628563797823183E-2</v>
      </c>
      <c r="O313">
        <f t="shared" si="15"/>
        <v>-1.7554223985146389E-2</v>
      </c>
      <c r="P313">
        <f t="shared" si="15"/>
        <v>1.5536723163841915E-2</v>
      </c>
      <c r="Q313">
        <f t="shared" si="15"/>
        <v>2.871377958714838E-3</v>
      </c>
      <c r="R313" s="15">
        <f t="shared" si="14"/>
        <v>1.5699417359446284E-3</v>
      </c>
    </row>
    <row r="314" spans="1:18" x14ac:dyDescent="0.2">
      <c r="A314" s="11">
        <v>45590</v>
      </c>
      <c r="B314" s="12">
        <v>16.64</v>
      </c>
      <c r="C314" s="12">
        <v>11.94</v>
      </c>
      <c r="D314" s="12">
        <v>343.83</v>
      </c>
      <c r="E314" s="12">
        <v>36.227559999999997</v>
      </c>
      <c r="F314" s="12">
        <v>299.54000000000002</v>
      </c>
      <c r="G314" s="12">
        <v>118.49</v>
      </c>
      <c r="H314" s="12">
        <v>14.16</v>
      </c>
      <c r="I314" s="12">
        <v>64.749399999999994</v>
      </c>
      <c r="J314">
        <f t="shared" si="16"/>
        <v>1.0935601458080146E-2</v>
      </c>
      <c r="K314">
        <f t="shared" si="16"/>
        <v>-8.3682008368202165E-4</v>
      </c>
      <c r="L314">
        <f t="shared" si="16"/>
        <v>1.2276982865218056E-2</v>
      </c>
      <c r="M314">
        <f t="shared" si="15"/>
        <v>-7.8611282290709239E-3</v>
      </c>
      <c r="N314">
        <f t="shared" si="15"/>
        <v>-1.7095980311730874E-2</v>
      </c>
      <c r="O314">
        <f t="shared" si="15"/>
        <v>3.1324077209615719E-3</v>
      </c>
      <c r="P314">
        <f t="shared" si="15"/>
        <v>9.9857346647647116E-3</v>
      </c>
      <c r="Q314">
        <f t="shared" si="15"/>
        <v>-8.0946355422517602E-3</v>
      </c>
      <c r="R314" s="15">
        <f t="shared" si="14"/>
        <v>-5.5308042424782975E-4</v>
      </c>
    </row>
    <row r="315" spans="1:18" x14ac:dyDescent="0.2">
      <c r="A315" s="13">
        <v>45589</v>
      </c>
      <c r="B315" s="14">
        <v>16.46</v>
      </c>
      <c r="C315" s="14">
        <v>11.95</v>
      </c>
      <c r="D315" s="14">
        <v>339.66</v>
      </c>
      <c r="E315" s="14">
        <v>36.514606000000001</v>
      </c>
      <c r="F315" s="14">
        <v>304.75</v>
      </c>
      <c r="G315" s="14">
        <v>118.12</v>
      </c>
      <c r="H315" s="14">
        <v>14.02</v>
      </c>
      <c r="I315" s="14">
        <v>65.277799999999999</v>
      </c>
      <c r="J315">
        <f t="shared" si="16"/>
        <v>-4.2347247428917711E-3</v>
      </c>
      <c r="K315">
        <f t="shared" si="16"/>
        <v>2.1367521367521292E-2</v>
      </c>
      <c r="L315">
        <f t="shared" si="16"/>
        <v>-1.8513620735255421E-3</v>
      </c>
      <c r="M315">
        <f t="shared" si="15"/>
        <v>-5.4192753378623504E-4</v>
      </c>
      <c r="N315">
        <f t="shared" si="15"/>
        <v>1.8073094140442336E-2</v>
      </c>
      <c r="O315">
        <f t="shared" si="15"/>
        <v>-1.352722353736846E-3</v>
      </c>
      <c r="P315">
        <f t="shared" si="15"/>
        <v>7.1839080459770166E-3</v>
      </c>
      <c r="Q315">
        <f t="shared" si="15"/>
        <v>-1.9449580391471821E-3</v>
      </c>
      <c r="R315" s="15">
        <f t="shared" si="14"/>
        <v>6.4123488087862238E-3</v>
      </c>
    </row>
    <row r="316" spans="1:18" x14ac:dyDescent="0.2">
      <c r="A316" s="11">
        <v>45588</v>
      </c>
      <c r="B316" s="12">
        <v>16.53</v>
      </c>
      <c r="C316" s="12">
        <v>11.7</v>
      </c>
      <c r="D316" s="12">
        <v>340.29</v>
      </c>
      <c r="E316" s="12">
        <v>36.534405</v>
      </c>
      <c r="F316" s="12">
        <v>299.33999999999997</v>
      </c>
      <c r="G316" s="12">
        <v>118.28</v>
      </c>
      <c r="H316" s="12">
        <v>13.92</v>
      </c>
      <c r="I316" s="12">
        <v>65.405010000000004</v>
      </c>
      <c r="J316">
        <f t="shared" si="16"/>
        <v>-1.3134328358208935E-2</v>
      </c>
      <c r="K316">
        <f t="shared" si="16"/>
        <v>2.5706940874035134E-3</v>
      </c>
      <c r="L316">
        <f t="shared" si="16"/>
        <v>-1.7978760244718783E-2</v>
      </c>
      <c r="M316">
        <f t="shared" si="16"/>
        <v>-9.9248956115667308E-3</v>
      </c>
      <c r="N316">
        <f t="shared" si="16"/>
        <v>-3.1304116158251682E-3</v>
      </c>
      <c r="O316">
        <f t="shared" si="16"/>
        <v>-1.9318464472265928E-2</v>
      </c>
      <c r="P316">
        <f t="shared" si="16"/>
        <v>-1.6949152542372947E-2</v>
      </c>
      <c r="Q316">
        <f t="shared" si="16"/>
        <v>-4.486938592057621E-4</v>
      </c>
      <c r="R316" s="15">
        <f t="shared" si="14"/>
        <v>-1.0097884659829965E-2</v>
      </c>
    </row>
    <row r="317" spans="1:18" x14ac:dyDescent="0.2">
      <c r="A317" s="13">
        <v>45587</v>
      </c>
      <c r="B317" s="14">
        <v>16.75</v>
      </c>
      <c r="C317" s="14">
        <v>11.67</v>
      </c>
      <c r="D317" s="14">
        <v>346.52</v>
      </c>
      <c r="E317" s="14">
        <v>36.900640000000003</v>
      </c>
      <c r="F317" s="14">
        <v>300.27999999999997</v>
      </c>
      <c r="G317" s="14">
        <v>120.61</v>
      </c>
      <c r="H317" s="14">
        <v>14.16</v>
      </c>
      <c r="I317" s="14">
        <v>65.434370000000001</v>
      </c>
      <c r="J317">
        <f t="shared" si="16"/>
        <v>-9.4618568894145882E-3</v>
      </c>
      <c r="K317">
        <f t="shared" si="16"/>
        <v>-9.3378607809846415E-3</v>
      </c>
      <c r="L317">
        <f t="shared" si="16"/>
        <v>1.2713823393435408E-3</v>
      </c>
      <c r="M317">
        <f t="shared" si="16"/>
        <v>-9.3010785973600685E-3</v>
      </c>
      <c r="N317">
        <f t="shared" si="16"/>
        <v>1.0000666711111883E-3</v>
      </c>
      <c r="O317">
        <f t="shared" si="16"/>
        <v>-2.3558937823834225E-2</v>
      </c>
      <c r="P317">
        <f t="shared" si="16"/>
        <v>1.2151536812008645E-2</v>
      </c>
      <c r="Q317">
        <f t="shared" si="16"/>
        <v>-1.4153032764755324E-2</v>
      </c>
      <c r="R317" s="15">
        <f t="shared" si="14"/>
        <v>-4.623363087645058E-3</v>
      </c>
    </row>
    <row r="318" spans="1:18" x14ac:dyDescent="0.2">
      <c r="A318" s="11">
        <v>45586</v>
      </c>
      <c r="B318" s="12">
        <v>16.91</v>
      </c>
      <c r="C318" s="12">
        <v>11.78</v>
      </c>
      <c r="D318" s="12">
        <v>346.08</v>
      </c>
      <c r="E318" s="12">
        <v>37.247078000000002</v>
      </c>
      <c r="F318" s="12">
        <v>299.98</v>
      </c>
      <c r="G318" s="12">
        <v>123.52</v>
      </c>
      <c r="H318" s="12">
        <v>13.99</v>
      </c>
      <c r="I318" s="12">
        <v>66.373760000000004</v>
      </c>
      <c r="J318">
        <f t="shared" si="16"/>
        <v>-8.2111436950147443E-3</v>
      </c>
      <c r="K318">
        <f t="shared" si="16"/>
        <v>-1.4225941422594146E-2</v>
      </c>
      <c r="L318">
        <f t="shared" si="16"/>
        <v>4.8780487804878092E-3</v>
      </c>
      <c r="M318">
        <f t="shared" si="16"/>
        <v>-6.5997886518605053E-3</v>
      </c>
      <c r="N318">
        <f t="shared" si="16"/>
        <v>2.1660649819494671E-2</v>
      </c>
      <c r="O318">
        <f t="shared" si="16"/>
        <v>-1.577689243027891E-2</v>
      </c>
      <c r="P318">
        <f t="shared" si="16"/>
        <v>-1.2702893436838392E-2</v>
      </c>
      <c r="Q318">
        <f t="shared" si="16"/>
        <v>-4.6955256123055733E-3</v>
      </c>
      <c r="R318" s="15">
        <f t="shared" si="14"/>
        <v>-2.4255225884875836E-3</v>
      </c>
    </row>
    <row r="319" spans="1:18" x14ac:dyDescent="0.2">
      <c r="A319" s="13">
        <v>45583</v>
      </c>
      <c r="B319" s="14">
        <v>17.05</v>
      </c>
      <c r="C319" s="14">
        <v>11.95</v>
      </c>
      <c r="D319" s="14">
        <v>344.4</v>
      </c>
      <c r="E319" s="14">
        <v>37.494534000000002</v>
      </c>
      <c r="F319" s="14">
        <v>293.62</v>
      </c>
      <c r="G319" s="14">
        <v>125.5</v>
      </c>
      <c r="H319" s="14">
        <v>14.17</v>
      </c>
      <c r="I319" s="14">
        <v>66.686890000000005</v>
      </c>
      <c r="J319">
        <f t="shared" si="16"/>
        <v>7.6832151300236795E-3</v>
      </c>
      <c r="K319">
        <f t="shared" si="16"/>
        <v>1.4431239388794648E-2</v>
      </c>
      <c r="L319">
        <f t="shared" si="16"/>
        <v>5.5768051621944981E-3</v>
      </c>
      <c r="M319">
        <f t="shared" si="16"/>
        <v>2.1164042093100299E-3</v>
      </c>
      <c r="N319">
        <f t="shared" si="16"/>
        <v>4.3388650012437191E-2</v>
      </c>
      <c r="O319">
        <f t="shared" si="16"/>
        <v>2.95692479820997E-3</v>
      </c>
      <c r="P319">
        <f t="shared" si="16"/>
        <v>3.809523809523796E-2</v>
      </c>
      <c r="Q319">
        <f t="shared" si="16"/>
        <v>1.4682702157120531E-4</v>
      </c>
      <c r="R319" s="15">
        <f t="shared" si="14"/>
        <v>1.9075309153747902E-2</v>
      </c>
    </row>
    <row r="320" spans="1:18" x14ac:dyDescent="0.2">
      <c r="A320" s="11">
        <v>45582</v>
      </c>
      <c r="B320" s="12">
        <v>16.920000000000002</v>
      </c>
      <c r="C320" s="12">
        <v>11.78</v>
      </c>
      <c r="D320" s="12">
        <v>342.49</v>
      </c>
      <c r="E320" s="12">
        <v>37.415348000000002</v>
      </c>
      <c r="F320" s="12">
        <v>281.41000000000003</v>
      </c>
      <c r="G320" s="12">
        <v>125.13</v>
      </c>
      <c r="H320" s="12">
        <v>13.65</v>
      </c>
      <c r="I320" s="12">
        <v>66.677099999999996</v>
      </c>
      <c r="J320">
        <f t="shared" si="16"/>
        <v>1.1356843992827326E-2</v>
      </c>
      <c r="K320">
        <f t="shared" si="16"/>
        <v>-2.5402201524132861E-3</v>
      </c>
      <c r="L320">
        <f t="shared" si="16"/>
        <v>-5.3148234200742772E-3</v>
      </c>
      <c r="M320">
        <f t="shared" si="16"/>
        <v>-2.4012384845488288E-2</v>
      </c>
      <c r="N320">
        <f t="shared" si="16"/>
        <v>1.5004508566275998E-2</v>
      </c>
      <c r="O320">
        <f t="shared" si="16"/>
        <v>-2.3946957878315134E-2</v>
      </c>
      <c r="P320">
        <f t="shared" si="16"/>
        <v>-1.3728323699421896E-2</v>
      </c>
      <c r="Q320">
        <f t="shared" si="16"/>
        <v>-4.2379968722037198E-3</v>
      </c>
      <c r="R320" s="15">
        <f t="shared" si="14"/>
        <v>-5.0442522265663143E-3</v>
      </c>
    </row>
    <row r="321" spans="1:18" x14ac:dyDescent="0.2">
      <c r="A321" s="13">
        <v>45581</v>
      </c>
      <c r="B321" s="14">
        <v>16.73</v>
      </c>
      <c r="C321" s="14">
        <v>11.81</v>
      </c>
      <c r="D321" s="14">
        <v>344.32</v>
      </c>
      <c r="E321" s="14">
        <v>38.335884</v>
      </c>
      <c r="F321" s="14">
        <v>277.25</v>
      </c>
      <c r="G321" s="14">
        <v>128.19999999999999</v>
      </c>
      <c r="H321" s="14">
        <v>13.84</v>
      </c>
      <c r="I321" s="14">
        <v>66.960880000000003</v>
      </c>
      <c r="J321">
        <f t="shared" si="16"/>
        <v>2.890528905289047E-2</v>
      </c>
      <c r="K321">
        <f t="shared" si="16"/>
        <v>7.6791808873719614E-3</v>
      </c>
      <c r="L321">
        <f t="shared" si="16"/>
        <v>-6.7787809732599014E-3</v>
      </c>
      <c r="M321">
        <f t="shared" si="16"/>
        <v>2.7320989794182626E-2</v>
      </c>
      <c r="N321">
        <f t="shared" si="16"/>
        <v>1.4787160060027116E-2</v>
      </c>
      <c r="O321">
        <f t="shared" si="16"/>
        <v>6.5164481432047339E-3</v>
      </c>
      <c r="P321">
        <f t="shared" si="16"/>
        <v>5.9724349157733503E-2</v>
      </c>
      <c r="Q321">
        <f t="shared" si="16"/>
        <v>6.0276732099673325E-3</v>
      </c>
      <c r="R321" s="15">
        <f t="shared" si="14"/>
        <v>1.9455527952793841E-2</v>
      </c>
    </row>
    <row r="322" spans="1:18" x14ac:dyDescent="0.2">
      <c r="A322" s="11">
        <v>45580</v>
      </c>
      <c r="B322" s="12">
        <v>16.260000000000002</v>
      </c>
      <c r="C322" s="12">
        <v>11.72</v>
      </c>
      <c r="D322" s="12">
        <v>346.67</v>
      </c>
      <c r="E322" s="12">
        <v>37.316364</v>
      </c>
      <c r="F322" s="12">
        <v>273.20999999999998</v>
      </c>
      <c r="G322" s="12">
        <v>127.37</v>
      </c>
      <c r="H322" s="12">
        <v>13.06</v>
      </c>
      <c r="I322" s="12">
        <v>66.55968</v>
      </c>
      <c r="J322">
        <f t="shared" si="16"/>
        <v>2.0715630885122627E-2</v>
      </c>
      <c r="K322">
        <f t="shared" si="16"/>
        <v>3.4246575342467001E-3</v>
      </c>
      <c r="L322">
        <f t="shared" si="16"/>
        <v>1.9857613556130804E-2</v>
      </c>
      <c r="M322">
        <f t="shared" si="16"/>
        <v>-1.0238924868329335E-2</v>
      </c>
      <c r="N322">
        <f t="shared" si="16"/>
        <v>1.3766233766233649E-2</v>
      </c>
      <c r="O322">
        <f t="shared" si="16"/>
        <v>6.1616241409274686E-3</v>
      </c>
      <c r="P322">
        <f t="shared" si="16"/>
        <v>6.092607636068248E-2</v>
      </c>
      <c r="Q322">
        <f t="shared" si="16"/>
        <v>4.4130255197916135E-4</v>
      </c>
      <c r="R322" s="15">
        <f t="shared" si="14"/>
        <v>1.7641646844276271E-2</v>
      </c>
    </row>
    <row r="323" spans="1:18" x14ac:dyDescent="0.2">
      <c r="A323" s="13">
        <v>45579</v>
      </c>
      <c r="B323" s="14">
        <v>15.93</v>
      </c>
      <c r="C323" s="14">
        <v>11.68</v>
      </c>
      <c r="D323" s="14">
        <v>339.92</v>
      </c>
      <c r="E323" s="14">
        <v>37.702396</v>
      </c>
      <c r="F323" s="14">
        <v>269.5</v>
      </c>
      <c r="G323" s="14">
        <v>126.59</v>
      </c>
      <c r="H323" s="14">
        <v>12.31</v>
      </c>
      <c r="I323" s="14">
        <v>66.530320000000003</v>
      </c>
      <c r="J323">
        <f t="shared" si="16"/>
        <v>1.9193857965450922E-2</v>
      </c>
      <c r="K323">
        <f t="shared" si="16"/>
        <v>-2.4227234753550597E-2</v>
      </c>
      <c r="L323">
        <f t="shared" si="16"/>
        <v>1.8608971861796331E-2</v>
      </c>
      <c r="M323">
        <f t="shared" si="16"/>
        <v>-2.0958361190822616E-3</v>
      </c>
      <c r="N323">
        <f t="shared" si="16"/>
        <v>-1.6746324200080154E-2</v>
      </c>
      <c r="O323">
        <f t="shared" si="16"/>
        <v>1.3611978541116176E-2</v>
      </c>
      <c r="P323">
        <f t="shared" si="16"/>
        <v>1.2335526315789602E-2</v>
      </c>
      <c r="Q323">
        <f t="shared" si="16"/>
        <v>-2.0548301708888106E-3</v>
      </c>
      <c r="R323" s="15">
        <f t="shared" ref="R323:R386" si="17">SUMPRODUCT($T$2:$AA$2,J323:Q323)</f>
        <v>1.2365661607962246E-3</v>
      </c>
    </row>
    <row r="324" spans="1:18" x14ac:dyDescent="0.2">
      <c r="A324" s="11">
        <v>45576</v>
      </c>
      <c r="B324" s="12">
        <v>15.63</v>
      </c>
      <c r="C324" s="12">
        <v>11.97</v>
      </c>
      <c r="D324" s="12">
        <v>333.71</v>
      </c>
      <c r="E324" s="12">
        <v>37.781579999999998</v>
      </c>
      <c r="F324" s="12">
        <v>274.08999999999997</v>
      </c>
      <c r="G324" s="12">
        <v>124.89</v>
      </c>
      <c r="H324" s="12">
        <v>12.16</v>
      </c>
      <c r="I324" s="12">
        <v>66.667310000000001</v>
      </c>
      <c r="J324">
        <f t="shared" si="16"/>
        <v>-6.9885641677255306E-3</v>
      </c>
      <c r="K324">
        <f t="shared" si="16"/>
        <v>-3.3305578684429404E-3</v>
      </c>
      <c r="L324">
        <f t="shared" si="16"/>
        <v>-2.61476055680393E-2</v>
      </c>
      <c r="M324">
        <f t="shared" si="16"/>
        <v>5.0026450042057746E-3</v>
      </c>
      <c r="N324">
        <f t="shared" si="16"/>
        <v>1.2859835187169599E-2</v>
      </c>
      <c r="O324">
        <f t="shared" si="16"/>
        <v>6.9338063371764402E-3</v>
      </c>
      <c r="P324">
        <f t="shared" si="16"/>
        <v>1.6474464579900872E-3</v>
      </c>
      <c r="Q324">
        <f t="shared" si="16"/>
        <v>1.5198749124780253E-2</v>
      </c>
      <c r="R324" s="15">
        <f t="shared" si="17"/>
        <v>1.5543429876180904E-3</v>
      </c>
    </row>
    <row r="325" spans="1:18" x14ac:dyDescent="0.2">
      <c r="A325" s="13">
        <v>45575</v>
      </c>
      <c r="B325" s="14">
        <v>15.74</v>
      </c>
      <c r="C325" s="14">
        <v>12.01</v>
      </c>
      <c r="D325" s="14">
        <v>342.67</v>
      </c>
      <c r="E325" s="14">
        <v>37.593513000000002</v>
      </c>
      <c r="F325" s="14">
        <v>270.61</v>
      </c>
      <c r="G325" s="14">
        <v>124.03</v>
      </c>
      <c r="H325" s="14">
        <v>12.14</v>
      </c>
      <c r="I325" s="14">
        <v>65.669219999999996</v>
      </c>
      <c r="J325">
        <f t="shared" si="16"/>
        <v>-1.9023462270132407E-3</v>
      </c>
      <c r="K325">
        <f t="shared" si="16"/>
        <v>1.6074450084602399E-2</v>
      </c>
      <c r="L325">
        <f t="shared" si="16"/>
        <v>1.6975812435079396E-2</v>
      </c>
      <c r="M325">
        <f t="shared" si="16"/>
        <v>1.0542973942535561E-3</v>
      </c>
      <c r="N325">
        <f t="shared" si="16"/>
        <v>1.6566491359879976E-2</v>
      </c>
      <c r="O325">
        <f t="shared" si="16"/>
        <v>8.1280988376819518E-3</v>
      </c>
      <c r="P325">
        <f t="shared" si="16"/>
        <v>4.1356492969397696E-3</v>
      </c>
      <c r="Q325">
        <f t="shared" si="16"/>
        <v>1.099732445086099E-2</v>
      </c>
      <c r="R325" s="15">
        <f t="shared" si="17"/>
        <v>9.9477294282364608E-3</v>
      </c>
    </row>
    <row r="326" spans="1:18" x14ac:dyDescent="0.2">
      <c r="A326" s="11">
        <v>45574</v>
      </c>
      <c r="B326" s="12">
        <v>15.77</v>
      </c>
      <c r="C326" s="12">
        <v>11.82</v>
      </c>
      <c r="D326" s="12">
        <v>336.95</v>
      </c>
      <c r="E326" s="12">
        <v>37.553919999999998</v>
      </c>
      <c r="F326" s="12">
        <v>266.2</v>
      </c>
      <c r="G326" s="12">
        <v>123.03</v>
      </c>
      <c r="H326" s="12">
        <v>12.09</v>
      </c>
      <c r="I326" s="12">
        <v>64.954890000000006</v>
      </c>
      <c r="J326">
        <f t="shared" si="16"/>
        <v>1.2845215157353929E-2</v>
      </c>
      <c r="K326">
        <f t="shared" si="16"/>
        <v>1.6949152542371504E-3</v>
      </c>
      <c r="L326">
        <f t="shared" si="16"/>
        <v>9.1949203306576077E-3</v>
      </c>
      <c r="M326">
        <f t="shared" si="16"/>
        <v>-1.3162633947938485E-3</v>
      </c>
      <c r="N326">
        <f t="shared" si="16"/>
        <v>1.7428527748050815E-2</v>
      </c>
      <c r="O326">
        <f t="shared" si="16"/>
        <v>-1.3313016280375289E-2</v>
      </c>
      <c r="P326">
        <f t="shared" si="16"/>
        <v>1.1715481171548081E-2</v>
      </c>
      <c r="Q326">
        <f t="shared" si="16"/>
        <v>9.2748405092890618E-3</v>
      </c>
      <c r="R326" s="15">
        <f t="shared" si="17"/>
        <v>6.7287722124462959E-3</v>
      </c>
    </row>
    <row r="327" spans="1:18" x14ac:dyDescent="0.2">
      <c r="A327" s="13">
        <v>45573</v>
      </c>
      <c r="B327" s="14">
        <v>15.57</v>
      </c>
      <c r="C327" s="14">
        <v>11.8</v>
      </c>
      <c r="D327" s="14">
        <v>333.88</v>
      </c>
      <c r="E327" s="14">
        <v>37.603416000000003</v>
      </c>
      <c r="F327" s="14">
        <v>261.64</v>
      </c>
      <c r="G327" s="14">
        <v>124.69</v>
      </c>
      <c r="H327" s="14">
        <v>11.95</v>
      </c>
      <c r="I327" s="14">
        <v>64.357979999999998</v>
      </c>
      <c r="J327">
        <f t="shared" si="16"/>
        <v>6.4267352185098936E-4</v>
      </c>
      <c r="K327">
        <f t="shared" si="16"/>
        <v>3.237095363079634E-2</v>
      </c>
      <c r="L327">
        <f t="shared" si="16"/>
        <v>5.5415010239729945E-3</v>
      </c>
      <c r="M327">
        <f t="shared" si="16"/>
        <v>-4.715631267935172E-3</v>
      </c>
      <c r="N327">
        <f t="shared" si="16"/>
        <v>-3.6178072279979823E-3</v>
      </c>
      <c r="O327">
        <f t="shared" si="16"/>
        <v>-3.6324290903470002E-2</v>
      </c>
      <c r="P327">
        <f t="shared" si="16"/>
        <v>-5.8236272878535722E-3</v>
      </c>
      <c r="Q327">
        <f t="shared" si="16"/>
        <v>8.4329009272576805E-3</v>
      </c>
      <c r="R327" s="15">
        <f t="shared" si="17"/>
        <v>-2.3077327192215997E-3</v>
      </c>
    </row>
    <row r="328" spans="1:18" x14ac:dyDescent="0.2">
      <c r="A328" s="11">
        <v>45572</v>
      </c>
      <c r="B328" s="12">
        <v>15.56</v>
      </c>
      <c r="C328" s="12">
        <v>11.43</v>
      </c>
      <c r="D328" s="12">
        <v>332.04</v>
      </c>
      <c r="E328" s="12">
        <v>37.781579999999998</v>
      </c>
      <c r="F328" s="12">
        <v>262.58999999999997</v>
      </c>
      <c r="G328" s="12">
        <v>129.38999999999999</v>
      </c>
      <c r="H328" s="12">
        <v>12.02</v>
      </c>
      <c r="I328" s="12">
        <v>63.819794000000002</v>
      </c>
      <c r="J328">
        <f t="shared" si="16"/>
        <v>-2.9320024953212731E-2</v>
      </c>
      <c r="K328">
        <f t="shared" si="16"/>
        <v>8.756567425569628E-4</v>
      </c>
      <c r="L328">
        <f t="shared" si="16"/>
        <v>4.2181379933725616E-4</v>
      </c>
      <c r="M328">
        <f t="shared" si="16"/>
        <v>-1.0627376372088326E-2</v>
      </c>
      <c r="N328">
        <f t="shared" si="16"/>
        <v>-2.113621113844788E-2</v>
      </c>
      <c r="O328">
        <f t="shared" si="16"/>
        <v>-5.4070755445712049E-4</v>
      </c>
      <c r="P328">
        <f t="shared" si="16"/>
        <v>1.0084033613445342E-2</v>
      </c>
      <c r="Q328">
        <f t="shared" si="16"/>
        <v>2.7675341979871426E-3</v>
      </c>
      <c r="R328" s="15">
        <f t="shared" si="17"/>
        <v>-5.7337409187166039E-3</v>
      </c>
    </row>
    <row r="329" spans="1:18" x14ac:dyDescent="0.2">
      <c r="A329" s="13">
        <v>45569</v>
      </c>
      <c r="B329" s="14">
        <v>16.03</v>
      </c>
      <c r="C329" s="14">
        <v>11.42</v>
      </c>
      <c r="D329" s="14">
        <v>331.9</v>
      </c>
      <c r="E329" s="14">
        <v>38.187412000000002</v>
      </c>
      <c r="F329" s="14">
        <v>268.26</v>
      </c>
      <c r="G329" s="14">
        <v>129.46</v>
      </c>
      <c r="H329" s="14">
        <v>11.9</v>
      </c>
      <c r="I329" s="14">
        <v>63.643658000000002</v>
      </c>
      <c r="J329">
        <f t="shared" si="16"/>
        <v>1.7777777777777892E-2</v>
      </c>
      <c r="K329">
        <f t="shared" ref="K329:Q365" si="18">C329/C330-1</f>
        <v>-1.8056749785038795E-2</v>
      </c>
      <c r="L329">
        <f t="shared" si="18"/>
        <v>1.9975414874001229E-2</v>
      </c>
      <c r="M329">
        <f t="shared" si="18"/>
        <v>4.9492433343059083E-3</v>
      </c>
      <c r="N329">
        <f t="shared" si="18"/>
        <v>3.252376736846152E-2</v>
      </c>
      <c r="O329">
        <f t="shared" si="18"/>
        <v>1.1801484955060504E-2</v>
      </c>
      <c r="P329">
        <f t="shared" si="18"/>
        <v>1.1045029736618694E-2</v>
      </c>
      <c r="Q329">
        <f t="shared" si="18"/>
        <v>0</v>
      </c>
      <c r="R329" s="15">
        <f t="shared" si="17"/>
        <v>1.2638315527146211E-2</v>
      </c>
    </row>
    <row r="330" spans="1:18" x14ac:dyDescent="0.2">
      <c r="A330" s="11">
        <v>45568</v>
      </c>
      <c r="B330" s="12">
        <v>15.75</v>
      </c>
      <c r="C330" s="12">
        <v>11.63</v>
      </c>
      <c r="D330" s="12">
        <v>325.39999999999998</v>
      </c>
      <c r="E330" s="12">
        <v>37.999344000000001</v>
      </c>
      <c r="F330" s="12">
        <v>259.81</v>
      </c>
      <c r="G330" s="12">
        <v>127.95</v>
      </c>
      <c r="H330" s="12">
        <v>11.77</v>
      </c>
      <c r="I330" s="12">
        <v>63.643658000000002</v>
      </c>
      <c r="J330">
        <f t="shared" ref="J330:M393" si="19">B330/B331-1</f>
        <v>6.3532401524768467E-4</v>
      </c>
      <c r="K330">
        <f t="shared" si="18"/>
        <v>1.0425716768027948E-2</v>
      </c>
      <c r="L330">
        <f t="shared" si="18"/>
        <v>-2.8424698435447371E-2</v>
      </c>
      <c r="M330">
        <f t="shared" si="18"/>
        <v>-9.5459007550987574E-3</v>
      </c>
      <c r="N330">
        <f t="shared" si="18"/>
        <v>-1.3854095498367802E-2</v>
      </c>
      <c r="O330">
        <f t="shared" si="18"/>
        <v>3.035915606377837E-2</v>
      </c>
      <c r="P330">
        <f t="shared" si="18"/>
        <v>-5.0040355125100966E-2</v>
      </c>
      <c r="Q330">
        <f t="shared" si="18"/>
        <v>7.6941913753336699E-4</v>
      </c>
      <c r="R330" s="15">
        <f t="shared" si="17"/>
        <v>-1.0176825160502445E-2</v>
      </c>
    </row>
    <row r="331" spans="1:18" x14ac:dyDescent="0.2">
      <c r="A331" s="13">
        <v>45567</v>
      </c>
      <c r="B331" s="14">
        <v>15.74</v>
      </c>
      <c r="C331" s="14">
        <v>11.51</v>
      </c>
      <c r="D331" s="14">
        <v>334.92</v>
      </c>
      <c r="E331" s="14">
        <v>38.365577999999999</v>
      </c>
      <c r="F331" s="14">
        <v>263.45999999999998</v>
      </c>
      <c r="G331" s="14">
        <v>124.18</v>
      </c>
      <c r="H331" s="14">
        <v>12.39</v>
      </c>
      <c r="I331" s="14">
        <v>63.594726999999999</v>
      </c>
      <c r="J331">
        <f t="shared" si="19"/>
        <v>-2.5386996904024683E-2</v>
      </c>
      <c r="K331">
        <f t="shared" si="18"/>
        <v>-4.560530679933672E-2</v>
      </c>
      <c r="L331">
        <f t="shared" si="18"/>
        <v>-2.0415326118748078E-2</v>
      </c>
      <c r="M331">
        <f t="shared" si="18"/>
        <v>-1.4242130242950402E-2</v>
      </c>
      <c r="N331">
        <f t="shared" si="18"/>
        <v>8.1120379582153568E-3</v>
      </c>
      <c r="O331">
        <f t="shared" si="18"/>
        <v>8.6344151867728147E-2</v>
      </c>
      <c r="P331">
        <f t="shared" si="18"/>
        <v>-3.2180209171358554E-3</v>
      </c>
      <c r="Q331">
        <f t="shared" si="18"/>
        <v>9.0046855494281264E-3</v>
      </c>
      <c r="R331" s="15">
        <f t="shared" si="17"/>
        <v>3.1858461643840025E-3</v>
      </c>
    </row>
    <row r="332" spans="1:18" x14ac:dyDescent="0.2">
      <c r="A332" s="11">
        <v>45565</v>
      </c>
      <c r="B332" s="12">
        <v>16.149999999999999</v>
      </c>
      <c r="C332" s="12">
        <v>12.06</v>
      </c>
      <c r="D332" s="12">
        <v>341.9</v>
      </c>
      <c r="E332" s="12">
        <v>38.919879999999999</v>
      </c>
      <c r="F332" s="12">
        <v>261.33999999999997</v>
      </c>
      <c r="G332" s="12">
        <v>114.31</v>
      </c>
      <c r="H332" s="12">
        <v>12.43</v>
      </c>
      <c r="I332" s="12">
        <v>63.027186999999998</v>
      </c>
      <c r="J332">
        <f t="shared" si="19"/>
        <v>0</v>
      </c>
      <c r="K332">
        <f t="shared" si="18"/>
        <v>-1.6313213703099461E-2</v>
      </c>
      <c r="L332">
        <f t="shared" si="18"/>
        <v>-2.3282388230252971E-2</v>
      </c>
      <c r="M332">
        <f t="shared" si="18"/>
        <v>-4.5570047611070974E-3</v>
      </c>
      <c r="N332">
        <f t="shared" si="18"/>
        <v>-3.8378040254627099E-2</v>
      </c>
      <c r="O332">
        <f t="shared" si="18"/>
        <v>-2.2824414429817086E-2</v>
      </c>
      <c r="P332">
        <f t="shared" si="18"/>
        <v>-3.0421216848673938E-2</v>
      </c>
      <c r="Q332">
        <f t="shared" si="18"/>
        <v>-9.6862911305318766E-3</v>
      </c>
      <c r="R332" s="15">
        <f t="shared" si="17"/>
        <v>-2.2199787151834138E-2</v>
      </c>
    </row>
    <row r="333" spans="1:18" x14ac:dyDescent="0.2">
      <c r="A333" s="13">
        <v>45562</v>
      </c>
      <c r="B333" s="14">
        <v>16.149999999999999</v>
      </c>
      <c r="C333" s="14">
        <v>12.26</v>
      </c>
      <c r="D333" s="14">
        <v>350.05</v>
      </c>
      <c r="E333" s="14">
        <v>39.098050000000001</v>
      </c>
      <c r="F333" s="14">
        <v>271.77</v>
      </c>
      <c r="G333" s="14">
        <v>116.98</v>
      </c>
      <c r="H333" s="14">
        <v>12.82</v>
      </c>
      <c r="I333" s="14">
        <v>63.643658000000002</v>
      </c>
      <c r="J333">
        <f t="shared" si="19"/>
        <v>9.3749999999999112E-3</v>
      </c>
      <c r="K333">
        <f t="shared" si="18"/>
        <v>-2.6984126984126999E-2</v>
      </c>
      <c r="L333">
        <f t="shared" si="18"/>
        <v>-1.1856033874382499E-2</v>
      </c>
      <c r="M333">
        <f t="shared" si="18"/>
        <v>-1.2499949485969108E-2</v>
      </c>
      <c r="N333">
        <f t="shared" si="18"/>
        <v>-7.0395074397126889E-2</v>
      </c>
      <c r="O333">
        <f t="shared" si="18"/>
        <v>-1.9200134149408798E-2</v>
      </c>
      <c r="P333">
        <f t="shared" si="18"/>
        <v>3.9154267815193489E-3</v>
      </c>
      <c r="Q333">
        <f t="shared" si="18"/>
        <v>-6.8711701627816035E-3</v>
      </c>
      <c r="R333" s="15">
        <f t="shared" si="17"/>
        <v>-2.2121028951395214E-2</v>
      </c>
    </row>
    <row r="334" spans="1:18" x14ac:dyDescent="0.2">
      <c r="A334" s="11">
        <v>45561</v>
      </c>
      <c r="B334" s="12">
        <v>16</v>
      </c>
      <c r="C334" s="12">
        <v>12.6</v>
      </c>
      <c r="D334" s="12">
        <v>354.25</v>
      </c>
      <c r="E334" s="12">
        <v>39.592959999999998</v>
      </c>
      <c r="F334" s="12">
        <v>292.35000000000002</v>
      </c>
      <c r="G334" s="12">
        <v>119.27</v>
      </c>
      <c r="H334" s="12">
        <v>12.77</v>
      </c>
      <c r="I334" s="12">
        <v>64.08399</v>
      </c>
      <c r="J334">
        <f t="shared" si="19"/>
        <v>5.6568196103079504E-3</v>
      </c>
      <c r="K334">
        <f t="shared" si="18"/>
        <v>4.784688995215447E-3</v>
      </c>
      <c r="L334">
        <f t="shared" si="18"/>
        <v>3.9392393583856933E-3</v>
      </c>
      <c r="M334">
        <f t="shared" si="18"/>
        <v>2.0668526315102742E-2</v>
      </c>
      <c r="N334">
        <f t="shared" si="18"/>
        <v>4.2283147349281736E-2</v>
      </c>
      <c r="O334">
        <f t="shared" si="18"/>
        <v>-3.3526108456971571E-4</v>
      </c>
      <c r="P334">
        <f t="shared" si="18"/>
        <v>3.6525974025974017E-2</v>
      </c>
      <c r="Q334">
        <f t="shared" si="18"/>
        <v>1.1740910611482969E-2</v>
      </c>
      <c r="R334" s="15">
        <f t="shared" si="17"/>
        <v>1.9292950274507493E-2</v>
      </c>
    </row>
    <row r="335" spans="1:18" x14ac:dyDescent="0.2">
      <c r="A335" s="13">
        <v>45560</v>
      </c>
      <c r="B335" s="14">
        <v>15.91</v>
      </c>
      <c r="C335" s="14">
        <v>12.54</v>
      </c>
      <c r="D335" s="14">
        <v>352.86</v>
      </c>
      <c r="E335" s="14">
        <v>38.791203000000003</v>
      </c>
      <c r="F335" s="14">
        <v>280.49</v>
      </c>
      <c r="G335" s="14">
        <v>119.31</v>
      </c>
      <c r="H335" s="14">
        <v>12.32</v>
      </c>
      <c r="I335" s="14">
        <v>63.340316999999999</v>
      </c>
      <c r="J335">
        <f t="shared" si="19"/>
        <v>5.0536955148452467E-3</v>
      </c>
      <c r="K335">
        <f t="shared" si="18"/>
        <v>-6.3391442155309452E-3</v>
      </c>
      <c r="L335">
        <f t="shared" si="18"/>
        <v>-9.209861290503607E-3</v>
      </c>
      <c r="M335">
        <f t="shared" si="18"/>
        <v>-2.6818998011400419E-2</v>
      </c>
      <c r="N335">
        <f t="shared" si="18"/>
        <v>-6.0460909760836068E-2</v>
      </c>
      <c r="O335">
        <f t="shared" si="18"/>
        <v>-1.9240421616195658E-3</v>
      </c>
      <c r="P335">
        <f t="shared" si="18"/>
        <v>2.0712510356255098E-2</v>
      </c>
      <c r="Q335">
        <f t="shared" si="18"/>
        <v>-1.2342280079075119E-3</v>
      </c>
      <c r="R335" s="15">
        <f t="shared" si="17"/>
        <v>-1.3355671830878801E-2</v>
      </c>
    </row>
    <row r="336" spans="1:18" x14ac:dyDescent="0.2">
      <c r="A336" s="11">
        <v>45559</v>
      </c>
      <c r="B336" s="12">
        <v>15.83</v>
      </c>
      <c r="C336" s="12">
        <v>12.62</v>
      </c>
      <c r="D336" s="12">
        <v>356.14</v>
      </c>
      <c r="E336" s="12">
        <v>39.860213999999999</v>
      </c>
      <c r="F336" s="12">
        <v>298.54000000000002</v>
      </c>
      <c r="G336" s="12">
        <v>119.54</v>
      </c>
      <c r="H336" s="12">
        <v>12.07</v>
      </c>
      <c r="I336" s="12">
        <v>63.418590000000002</v>
      </c>
      <c r="J336">
        <f t="shared" si="19"/>
        <v>1.9317450096587363E-2</v>
      </c>
      <c r="K336">
        <f t="shared" si="18"/>
        <v>1.040832666132907E-2</v>
      </c>
      <c r="L336">
        <f t="shared" si="18"/>
        <v>7.0978140994824024E-3</v>
      </c>
      <c r="M336">
        <f t="shared" si="18"/>
        <v>1.5124897765425693E-2</v>
      </c>
      <c r="N336">
        <f t="shared" si="18"/>
        <v>7.8306725420790313E-2</v>
      </c>
      <c r="O336">
        <f t="shared" si="18"/>
        <v>1.2107357548048592E-2</v>
      </c>
      <c r="P336">
        <f t="shared" si="18"/>
        <v>-2.029220779220775E-2</v>
      </c>
      <c r="Q336">
        <f t="shared" si="18"/>
        <v>4.6307546599866356E-4</v>
      </c>
      <c r="R336" s="15">
        <f t="shared" si="17"/>
        <v>1.9630103538996736E-2</v>
      </c>
    </row>
    <row r="337" spans="1:18" x14ac:dyDescent="0.2">
      <c r="A337" s="13">
        <v>45558</v>
      </c>
      <c r="B337" s="14">
        <v>15.53</v>
      </c>
      <c r="C337" s="14">
        <v>12.49</v>
      </c>
      <c r="D337" s="14">
        <v>353.63</v>
      </c>
      <c r="E337" s="14">
        <v>39.266314999999999</v>
      </c>
      <c r="F337" s="14">
        <v>276.86</v>
      </c>
      <c r="G337" s="14">
        <v>118.11</v>
      </c>
      <c r="H337" s="14">
        <v>12.32</v>
      </c>
      <c r="I337" s="14">
        <v>63.389235999999997</v>
      </c>
      <c r="J337">
        <f t="shared" si="19"/>
        <v>-6.4350064350060521E-4</v>
      </c>
      <c r="K337">
        <f t="shared" si="18"/>
        <v>8.0128205128193741E-4</v>
      </c>
      <c r="L337">
        <f t="shared" si="18"/>
        <v>-8.3286595625351456E-3</v>
      </c>
      <c r="M337">
        <f t="shared" si="18"/>
        <v>-3.0784334188291296E-2</v>
      </c>
      <c r="N337">
        <f t="shared" si="18"/>
        <v>-1.4066726780883609E-3</v>
      </c>
      <c r="O337">
        <f t="shared" si="18"/>
        <v>-9.7258321455521157E-3</v>
      </c>
      <c r="P337">
        <f t="shared" si="18"/>
        <v>-7.2522159548751297E-3</v>
      </c>
      <c r="Q337">
        <f t="shared" si="18"/>
        <v>2.0107796098227659E-3</v>
      </c>
      <c r="R337" s="15">
        <f t="shared" si="17"/>
        <v>-6.4624003566082716E-3</v>
      </c>
    </row>
    <row r="338" spans="1:18" x14ac:dyDescent="0.2">
      <c r="A338" s="11">
        <v>45555</v>
      </c>
      <c r="B338" s="12">
        <v>15.54</v>
      </c>
      <c r="C338" s="12">
        <v>12.48</v>
      </c>
      <c r="D338" s="12">
        <v>356.6</v>
      </c>
      <c r="E338" s="12">
        <v>40.513496000000004</v>
      </c>
      <c r="F338" s="12">
        <v>277.25</v>
      </c>
      <c r="G338" s="12">
        <v>119.27</v>
      </c>
      <c r="H338" s="12">
        <v>12.41</v>
      </c>
      <c r="I338" s="12">
        <v>63.262030000000003</v>
      </c>
      <c r="J338">
        <f t="shared" si="19"/>
        <v>-3.83663366336634E-2</v>
      </c>
      <c r="K338">
        <f t="shared" si="18"/>
        <v>1.2165450121654597E-2</v>
      </c>
      <c r="L338">
        <f t="shared" si="18"/>
        <v>9.2262410143206797E-3</v>
      </c>
      <c r="M338">
        <f t="shared" si="18"/>
        <v>3.830547586474875E-2</v>
      </c>
      <c r="N338">
        <f t="shared" si="18"/>
        <v>5.3942066448718906E-2</v>
      </c>
      <c r="O338">
        <f t="shared" si="18"/>
        <v>-7.5719753702779835E-3</v>
      </c>
      <c r="P338">
        <f t="shared" si="18"/>
        <v>-2.2064617809298581E-2</v>
      </c>
      <c r="Q338">
        <f t="shared" si="18"/>
        <v>-1.5532181463062678E-2</v>
      </c>
      <c r="R338" s="15">
        <f t="shared" si="17"/>
        <v>8.0977321900010807E-3</v>
      </c>
    </row>
    <row r="339" spans="1:18" x14ac:dyDescent="0.2">
      <c r="A339" s="13">
        <v>45554</v>
      </c>
      <c r="B339" s="14">
        <v>16.16</v>
      </c>
      <c r="C339" s="14">
        <v>12.33</v>
      </c>
      <c r="D339" s="14">
        <v>353.34</v>
      </c>
      <c r="E339" s="14">
        <v>39.018859999999997</v>
      </c>
      <c r="F339" s="14">
        <v>263.06</v>
      </c>
      <c r="G339" s="14">
        <v>120.18</v>
      </c>
      <c r="H339" s="14">
        <v>12.69</v>
      </c>
      <c r="I339" s="14">
        <v>64.260130000000004</v>
      </c>
      <c r="J339">
        <f t="shared" si="19"/>
        <v>-7.3710073710073765E-3</v>
      </c>
      <c r="K339">
        <f t="shared" si="18"/>
        <v>3.2663316582914659E-2</v>
      </c>
      <c r="L339">
        <f t="shared" si="18"/>
        <v>1.0766092475067435E-3</v>
      </c>
      <c r="M339">
        <f t="shared" si="18"/>
        <v>-8.8006442221957304E-3</v>
      </c>
      <c r="N339">
        <f t="shared" si="18"/>
        <v>1.7207377904953303E-2</v>
      </c>
      <c r="O339">
        <f t="shared" si="18"/>
        <v>-2.3561910952226151E-2</v>
      </c>
      <c r="P339">
        <f t="shared" si="18"/>
        <v>-1.9319938176197815E-2</v>
      </c>
      <c r="Q339">
        <f t="shared" si="18"/>
        <v>2.2893827884520324E-3</v>
      </c>
      <c r="R339" s="15">
        <f t="shared" si="17"/>
        <v>-4.4593767600571764E-4</v>
      </c>
    </row>
    <row r="340" spans="1:18" x14ac:dyDescent="0.2">
      <c r="A340" s="11">
        <v>45553</v>
      </c>
      <c r="B340" s="12">
        <v>16.28</v>
      </c>
      <c r="C340" s="12">
        <v>11.94</v>
      </c>
      <c r="D340" s="12">
        <v>352.96</v>
      </c>
      <c r="E340" s="12">
        <v>39.365299999999998</v>
      </c>
      <c r="F340" s="12">
        <v>258.61</v>
      </c>
      <c r="G340" s="12">
        <v>123.08</v>
      </c>
      <c r="H340" s="12">
        <v>12.94</v>
      </c>
      <c r="I340" s="12">
        <v>64.113349999999997</v>
      </c>
      <c r="J340">
        <f t="shared" si="19"/>
        <v>1.7500000000000071E-2</v>
      </c>
      <c r="K340">
        <f t="shared" si="18"/>
        <v>1.7035775127768327E-2</v>
      </c>
      <c r="L340">
        <f t="shared" si="18"/>
        <v>1.7733052680141803E-2</v>
      </c>
      <c r="M340">
        <f t="shared" si="18"/>
        <v>-6.7432698569784844E-3</v>
      </c>
      <c r="N340">
        <f t="shared" si="18"/>
        <v>2.9474500678687843E-3</v>
      </c>
      <c r="O340">
        <f t="shared" si="18"/>
        <v>2.0563847429519111E-2</v>
      </c>
      <c r="P340">
        <f t="shared" si="18"/>
        <v>3.1007751937983663E-3</v>
      </c>
      <c r="Q340">
        <f t="shared" si="18"/>
        <v>7.3800283446936454E-3</v>
      </c>
      <c r="R340" s="15">
        <f t="shared" si="17"/>
        <v>9.4104445034498083E-3</v>
      </c>
    </row>
    <row r="341" spans="1:18" x14ac:dyDescent="0.2">
      <c r="A341" s="13">
        <v>45552</v>
      </c>
      <c r="B341" s="14">
        <v>16</v>
      </c>
      <c r="C341" s="14">
        <v>11.74</v>
      </c>
      <c r="D341" s="14">
        <v>346.81</v>
      </c>
      <c r="E341" s="14">
        <v>39.632553000000001</v>
      </c>
      <c r="F341" s="14">
        <v>257.85000000000002</v>
      </c>
      <c r="G341" s="14">
        <v>120.6</v>
      </c>
      <c r="H341" s="14">
        <v>12.9</v>
      </c>
      <c r="I341" s="14">
        <v>63.643658000000002</v>
      </c>
      <c r="J341">
        <f t="shared" si="19"/>
        <v>-1.538461538461533E-2</v>
      </c>
      <c r="K341">
        <f t="shared" si="18"/>
        <v>1.2942191544434989E-2</v>
      </c>
      <c r="L341">
        <f t="shared" si="18"/>
        <v>3.3864957519749606E-2</v>
      </c>
      <c r="M341">
        <f t="shared" si="18"/>
        <v>3.6500160839398665E-2</v>
      </c>
      <c r="N341">
        <f t="shared" si="18"/>
        <v>3.4752598418877234E-2</v>
      </c>
      <c r="O341">
        <f t="shared" si="18"/>
        <v>-1.6556291390729116E-3</v>
      </c>
      <c r="P341">
        <f t="shared" si="18"/>
        <v>3.5313001605136396E-2</v>
      </c>
      <c r="Q341">
        <f t="shared" si="18"/>
        <v>1.3715641231867748E-2</v>
      </c>
      <c r="R341" s="15">
        <f t="shared" si="17"/>
        <v>2.170840037695107E-2</v>
      </c>
    </row>
    <row r="342" spans="1:18" x14ac:dyDescent="0.2">
      <c r="A342" s="11">
        <v>45548</v>
      </c>
      <c r="B342" s="12">
        <v>16.25</v>
      </c>
      <c r="C342" s="12">
        <v>11.59</v>
      </c>
      <c r="D342" s="12">
        <v>335.45</v>
      </c>
      <c r="E342" s="12">
        <v>38.236899999999999</v>
      </c>
      <c r="F342" s="12">
        <v>249.19</v>
      </c>
      <c r="G342" s="12">
        <v>120.8</v>
      </c>
      <c r="H342" s="12">
        <v>12.46</v>
      </c>
      <c r="I342" s="12">
        <v>62.782555000000002</v>
      </c>
      <c r="J342">
        <f t="shared" si="19"/>
        <v>3.0864197530864335E-3</v>
      </c>
      <c r="K342">
        <f t="shared" si="18"/>
        <v>-5.1502145922747156E-3</v>
      </c>
      <c r="L342">
        <f t="shared" si="18"/>
        <v>-1.192285910162072E-4</v>
      </c>
      <c r="M342">
        <f t="shared" si="18"/>
        <v>-1.4540824873521596E-2</v>
      </c>
      <c r="N342">
        <f t="shared" si="18"/>
        <v>3.1757204372308667E-2</v>
      </c>
      <c r="O342">
        <f t="shared" si="18"/>
        <v>1.1979559353271219E-2</v>
      </c>
      <c r="P342">
        <f t="shared" si="18"/>
        <v>-2.5801407349491656E-2</v>
      </c>
      <c r="Q342">
        <f t="shared" si="18"/>
        <v>-3.3589346308753987E-2</v>
      </c>
      <c r="R342" s="15">
        <f t="shared" si="17"/>
        <v>-3.69827420913303E-4</v>
      </c>
    </row>
    <row r="343" spans="1:18" x14ac:dyDescent="0.2">
      <c r="A343" s="13">
        <v>45547</v>
      </c>
      <c r="B343" s="14">
        <v>16.2</v>
      </c>
      <c r="C343" s="14">
        <v>11.65</v>
      </c>
      <c r="D343" s="14">
        <v>335.49</v>
      </c>
      <c r="E343" s="14">
        <v>38.801099999999998</v>
      </c>
      <c r="F343" s="14">
        <v>241.52</v>
      </c>
      <c r="G343" s="14">
        <v>119.37</v>
      </c>
      <c r="H343" s="14">
        <v>12.79</v>
      </c>
      <c r="I343" s="14">
        <v>64.964675999999997</v>
      </c>
      <c r="J343">
        <f t="shared" si="19"/>
        <v>1.5037593984962294E-2</v>
      </c>
      <c r="K343">
        <f t="shared" si="18"/>
        <v>2.9151943462897512E-2</v>
      </c>
      <c r="L343">
        <f t="shared" si="18"/>
        <v>2.385140574221456E-4</v>
      </c>
      <c r="M343">
        <f t="shared" si="18"/>
        <v>1.7653159015338371E-2</v>
      </c>
      <c r="N343">
        <f t="shared" si="18"/>
        <v>2.0147835269271441E-2</v>
      </c>
      <c r="O343">
        <f t="shared" si="18"/>
        <v>3.4133240925235953E-2</v>
      </c>
      <c r="P343">
        <f t="shared" si="18"/>
        <v>1.5079365079365026E-2</v>
      </c>
      <c r="Q343">
        <f t="shared" si="18"/>
        <v>3.8317221182345929E-2</v>
      </c>
      <c r="R343" s="15">
        <f t="shared" si="17"/>
        <v>2.0665696192146584E-2</v>
      </c>
    </row>
    <row r="344" spans="1:18" x14ac:dyDescent="0.2">
      <c r="A344" s="11">
        <v>45546</v>
      </c>
      <c r="B344" s="12">
        <v>15.96</v>
      </c>
      <c r="C344" s="12">
        <v>11.32</v>
      </c>
      <c r="D344" s="12">
        <v>335.41</v>
      </c>
      <c r="E344" s="12">
        <v>38.128019999999999</v>
      </c>
      <c r="F344" s="12">
        <v>236.75</v>
      </c>
      <c r="G344" s="12">
        <v>115.43</v>
      </c>
      <c r="H344" s="12">
        <v>12.6</v>
      </c>
      <c r="I344" s="12">
        <v>62.567272000000003</v>
      </c>
      <c r="J344">
        <f t="shared" si="19"/>
        <v>1.4621741894469187E-2</v>
      </c>
      <c r="K344">
        <f t="shared" si="18"/>
        <v>3.5460992907803135E-3</v>
      </c>
      <c r="L344">
        <f t="shared" si="18"/>
        <v>-3.5945576614579977E-3</v>
      </c>
      <c r="M344">
        <f t="shared" si="18"/>
        <v>-5.1652945123263905E-3</v>
      </c>
      <c r="N344">
        <f t="shared" si="18"/>
        <v>-3.3677120606188105E-3</v>
      </c>
      <c r="O344">
        <f t="shared" si="18"/>
        <v>-1.0373799725651556E-2</v>
      </c>
      <c r="P344">
        <f t="shared" si="18"/>
        <v>1.7770597738287375E-2</v>
      </c>
      <c r="Q344">
        <f t="shared" si="18"/>
        <v>1.5641612969519159E-4</v>
      </c>
      <c r="R344" s="15">
        <f t="shared" si="17"/>
        <v>1.5375502596223357E-3</v>
      </c>
    </row>
    <row r="345" spans="1:18" x14ac:dyDescent="0.2">
      <c r="A345" s="13">
        <v>45545</v>
      </c>
      <c r="B345" s="14">
        <v>15.73</v>
      </c>
      <c r="C345" s="14">
        <v>11.28</v>
      </c>
      <c r="D345" s="14">
        <v>336.62</v>
      </c>
      <c r="E345" s="14">
        <v>38.325985000000003</v>
      </c>
      <c r="F345" s="14">
        <v>237.55</v>
      </c>
      <c r="G345" s="14">
        <v>116.64</v>
      </c>
      <c r="H345" s="14">
        <v>12.38</v>
      </c>
      <c r="I345" s="14">
        <v>62.557487000000002</v>
      </c>
      <c r="J345">
        <f t="shared" si="19"/>
        <v>-3.0807147258163914E-2</v>
      </c>
      <c r="K345">
        <f t="shared" si="18"/>
        <v>-8.8573959255977552E-4</v>
      </c>
      <c r="L345">
        <f t="shared" si="18"/>
        <v>-4.1572633329367559E-4</v>
      </c>
      <c r="M345">
        <f t="shared" si="18"/>
        <v>8.4897770438814302E-2</v>
      </c>
      <c r="N345">
        <f t="shared" si="18"/>
        <v>2.2688135009471422E-2</v>
      </c>
      <c r="O345">
        <f t="shared" si="18"/>
        <v>-3.1872509960159445E-2</v>
      </c>
      <c r="P345">
        <f t="shared" si="18"/>
        <v>1.8930041152263488E-2</v>
      </c>
      <c r="Q345">
        <f t="shared" si="18"/>
        <v>-4.6707732010841108E-3</v>
      </c>
      <c r="R345" s="15">
        <f t="shared" si="17"/>
        <v>8.1757111410280994E-3</v>
      </c>
    </row>
    <row r="346" spans="1:18" x14ac:dyDescent="0.2">
      <c r="A346" s="11">
        <v>45544</v>
      </c>
      <c r="B346" s="12">
        <v>16.23</v>
      </c>
      <c r="C346" s="12">
        <v>11.29</v>
      </c>
      <c r="D346" s="12">
        <v>336.76</v>
      </c>
      <c r="E346" s="12">
        <v>35.326816999999998</v>
      </c>
      <c r="F346" s="12">
        <v>232.28</v>
      </c>
      <c r="G346" s="12">
        <v>120.48</v>
      </c>
      <c r="H346" s="12">
        <v>12.15</v>
      </c>
      <c r="I346" s="12">
        <v>62.851050000000001</v>
      </c>
      <c r="J346">
        <f t="shared" si="19"/>
        <v>3.0902348578492056E-3</v>
      </c>
      <c r="K346">
        <f t="shared" si="18"/>
        <v>-6.1619718309859906E-3</v>
      </c>
      <c r="L346">
        <f t="shared" si="18"/>
        <v>7.6902360932402658E-3</v>
      </c>
      <c r="M346">
        <f t="shared" si="18"/>
        <v>4.9397197248068014E-2</v>
      </c>
      <c r="N346">
        <f t="shared" si="18"/>
        <v>1.0132637529897792E-2</v>
      </c>
      <c r="O346">
        <f t="shared" si="18"/>
        <v>9.2142737476965664E-3</v>
      </c>
      <c r="P346">
        <f t="shared" si="18"/>
        <v>2.7049873203719432E-2</v>
      </c>
      <c r="Q346">
        <f t="shared" si="18"/>
        <v>3.1235964883440381E-3</v>
      </c>
      <c r="R346" s="15">
        <f t="shared" si="17"/>
        <v>1.3204196340390313E-2</v>
      </c>
    </row>
    <row r="347" spans="1:18" x14ac:dyDescent="0.2">
      <c r="A347" s="13">
        <v>45541</v>
      </c>
      <c r="B347" s="14">
        <v>16.18</v>
      </c>
      <c r="C347" s="14">
        <v>11.36</v>
      </c>
      <c r="D347" s="14">
        <v>334.19</v>
      </c>
      <c r="E347" s="14">
        <v>33.663913999999998</v>
      </c>
      <c r="F347" s="14">
        <v>229.95</v>
      </c>
      <c r="G347" s="14">
        <v>119.38</v>
      </c>
      <c r="H347" s="14">
        <v>11.83</v>
      </c>
      <c r="I347" s="14">
        <v>62.655340000000002</v>
      </c>
      <c r="J347">
        <f t="shared" si="19"/>
        <v>-7.9705702023298297E-3</v>
      </c>
      <c r="K347">
        <f t="shared" si="18"/>
        <v>-2.4054982817869552E-2</v>
      </c>
      <c r="L347">
        <f t="shared" si="18"/>
        <v>-3.1192926511088515E-2</v>
      </c>
      <c r="M347">
        <f t="shared" si="18"/>
        <v>-1.174714583105918E-3</v>
      </c>
      <c r="N347">
        <f t="shared" si="18"/>
        <v>-1.4697060587882449E-2</v>
      </c>
      <c r="O347">
        <f t="shared" si="18"/>
        <v>-2.2757039947609692E-2</v>
      </c>
      <c r="P347">
        <f t="shared" si="18"/>
        <v>1.7196904557179593E-2</v>
      </c>
      <c r="Q347">
        <f t="shared" si="18"/>
        <v>9.3001213779302372E-3</v>
      </c>
      <c r="R347" s="15">
        <f t="shared" si="17"/>
        <v>-9.7374540511279122E-3</v>
      </c>
    </row>
    <row r="348" spans="1:18" x14ac:dyDescent="0.2">
      <c r="A348" s="11">
        <v>45540</v>
      </c>
      <c r="B348" s="12">
        <v>16.309999999999999</v>
      </c>
      <c r="C348" s="12">
        <v>11.64</v>
      </c>
      <c r="D348" s="12">
        <v>344.95</v>
      </c>
      <c r="E348" s="12">
        <v>33.703505999999997</v>
      </c>
      <c r="F348" s="12">
        <v>233.38</v>
      </c>
      <c r="G348" s="12">
        <v>122.16</v>
      </c>
      <c r="H348" s="12">
        <v>11.63</v>
      </c>
      <c r="I348" s="12">
        <v>62.078006999999999</v>
      </c>
      <c r="J348">
        <f t="shared" si="19"/>
        <v>1.3673088875077566E-2</v>
      </c>
      <c r="K348">
        <f t="shared" si="18"/>
        <v>8.6655112651647936E-3</v>
      </c>
      <c r="L348">
        <f t="shared" si="18"/>
        <v>-1.4344086635997511E-2</v>
      </c>
      <c r="M348">
        <f t="shared" si="18"/>
        <v>1.7632990343154242E-2</v>
      </c>
      <c r="N348">
        <f t="shared" si="18"/>
        <v>1.350588439657785E-2</v>
      </c>
      <c r="O348">
        <f t="shared" si="18"/>
        <v>-2.9937266735488022E-2</v>
      </c>
      <c r="P348">
        <f t="shared" si="18"/>
        <v>4.0250447227191399E-2</v>
      </c>
      <c r="Q348">
        <f t="shared" si="18"/>
        <v>0</v>
      </c>
      <c r="R348" s="15">
        <f t="shared" si="17"/>
        <v>7.4003264926740774E-3</v>
      </c>
    </row>
    <row r="349" spans="1:18" x14ac:dyDescent="0.2">
      <c r="A349" s="13">
        <v>45539</v>
      </c>
      <c r="B349" s="14">
        <v>16.09</v>
      </c>
      <c r="C349" s="14">
        <v>11.54</v>
      </c>
      <c r="D349" s="14">
        <v>349.97</v>
      </c>
      <c r="E349" s="14">
        <v>33.119509999999998</v>
      </c>
      <c r="F349" s="14">
        <v>230.27</v>
      </c>
      <c r="G349" s="14">
        <v>125.93</v>
      </c>
      <c r="H349" s="14">
        <v>11.18</v>
      </c>
      <c r="I349" s="14">
        <v>62.078006999999999</v>
      </c>
      <c r="J349">
        <f t="shared" si="19"/>
        <v>0</v>
      </c>
      <c r="K349">
        <f t="shared" si="18"/>
        <v>-2.533783783783794E-2</v>
      </c>
      <c r="L349">
        <f t="shared" si="18"/>
        <v>1.7443381690263715E-2</v>
      </c>
      <c r="M349">
        <f t="shared" si="18"/>
        <v>-1.2688128993965986E-2</v>
      </c>
      <c r="N349">
        <f t="shared" si="18"/>
        <v>-2.1002508396751773E-2</v>
      </c>
      <c r="O349">
        <f t="shared" si="18"/>
        <v>2.0689106389750744E-3</v>
      </c>
      <c r="P349">
        <f t="shared" si="18"/>
        <v>8.9525514771704451E-4</v>
      </c>
      <c r="Q349">
        <f t="shared" si="18"/>
        <v>7.4638296214910582E-3</v>
      </c>
      <c r="R349" s="15">
        <f t="shared" si="17"/>
        <v>-5.207467497817646E-3</v>
      </c>
    </row>
    <row r="350" spans="1:18" x14ac:dyDescent="0.2">
      <c r="A350" s="11">
        <v>45538</v>
      </c>
      <c r="B350" s="12">
        <v>16.09</v>
      </c>
      <c r="C350" s="12">
        <v>11.84</v>
      </c>
      <c r="D350" s="12">
        <v>343.97</v>
      </c>
      <c r="E350" s="12">
        <v>33.545135000000002</v>
      </c>
      <c r="F350" s="12">
        <v>235.21</v>
      </c>
      <c r="G350" s="12">
        <v>125.67</v>
      </c>
      <c r="H350" s="12">
        <v>11.17</v>
      </c>
      <c r="I350" s="12">
        <v>61.618099999999998</v>
      </c>
      <c r="J350">
        <f t="shared" si="19"/>
        <v>-2.9553679131483657E-2</v>
      </c>
      <c r="K350">
        <f t="shared" si="18"/>
        <v>-1.0860484544695126E-2</v>
      </c>
      <c r="L350">
        <f t="shared" si="18"/>
        <v>-1.6863406408094361E-2</v>
      </c>
      <c r="M350">
        <f t="shared" si="18"/>
        <v>1.5278602737715197E-2</v>
      </c>
      <c r="N350">
        <f t="shared" si="18"/>
        <v>-1.5528210279591392E-2</v>
      </c>
      <c r="O350">
        <f t="shared" si="18"/>
        <v>-5.032872364543195E-2</v>
      </c>
      <c r="P350">
        <f t="shared" si="18"/>
        <v>1.7937219730941312E-3</v>
      </c>
      <c r="Q350">
        <f t="shared" si="18"/>
        <v>-2.508121567545607E-2</v>
      </c>
      <c r="R350" s="15">
        <f t="shared" si="17"/>
        <v>-1.6215992140697261E-2</v>
      </c>
    </row>
    <row r="351" spans="1:18" x14ac:dyDescent="0.2">
      <c r="A351" s="13">
        <v>45537</v>
      </c>
      <c r="B351" s="14">
        <v>16.579999999999998</v>
      </c>
      <c r="C351" s="14">
        <v>11.97</v>
      </c>
      <c r="D351" s="14">
        <v>349.87</v>
      </c>
      <c r="E351" s="14">
        <v>33.040325000000003</v>
      </c>
      <c r="F351" s="14">
        <v>238.92</v>
      </c>
      <c r="G351" s="14">
        <v>132.33000000000001</v>
      </c>
      <c r="H351" s="14">
        <v>11.15</v>
      </c>
      <c r="I351" s="14">
        <v>63.203316000000001</v>
      </c>
      <c r="J351">
        <f t="shared" si="19"/>
        <v>1.7177914110429349E-2</v>
      </c>
      <c r="K351">
        <f t="shared" si="18"/>
        <v>0</v>
      </c>
      <c r="L351">
        <f t="shared" si="18"/>
        <v>3.1539409926313322E-3</v>
      </c>
      <c r="M351">
        <f t="shared" si="18"/>
        <v>-9.4955881916486407E-3</v>
      </c>
      <c r="N351">
        <f t="shared" si="18"/>
        <v>1.0916476263010955E-2</v>
      </c>
      <c r="O351">
        <f t="shared" si="18"/>
        <v>6.0676498877845431E-2</v>
      </c>
      <c r="P351">
        <f t="shared" si="18"/>
        <v>-4.4642857142855874E-3</v>
      </c>
      <c r="Q351">
        <f t="shared" si="18"/>
        <v>2.9650857522206753E-2</v>
      </c>
      <c r="R351" s="15">
        <f t="shared" si="17"/>
        <v>1.3298412999180383E-2</v>
      </c>
    </row>
    <row r="352" spans="1:18" x14ac:dyDescent="0.2">
      <c r="A352" s="11">
        <v>45534</v>
      </c>
      <c r="B352" s="12">
        <v>16.3</v>
      </c>
      <c r="C352" s="12">
        <v>11.97</v>
      </c>
      <c r="D352" s="12">
        <v>348.77</v>
      </c>
      <c r="E352" s="12">
        <v>33.35707</v>
      </c>
      <c r="F352" s="12">
        <v>236.34</v>
      </c>
      <c r="G352" s="12">
        <v>124.76</v>
      </c>
      <c r="H352" s="12">
        <v>11.2</v>
      </c>
      <c r="I352" s="12">
        <v>61.383249999999997</v>
      </c>
      <c r="J352">
        <f t="shared" si="19"/>
        <v>-3.6674816625915652E-3</v>
      </c>
      <c r="K352">
        <f t="shared" si="18"/>
        <v>1.6736401673640433E-3</v>
      </c>
      <c r="L352">
        <f t="shared" si="18"/>
        <v>-1.1310806213856495E-2</v>
      </c>
      <c r="M352">
        <f t="shared" si="18"/>
        <v>-9.9882440617078405E-3</v>
      </c>
      <c r="N352">
        <f t="shared" si="18"/>
        <v>-2.405976953273381E-3</v>
      </c>
      <c r="O352">
        <f t="shared" si="18"/>
        <v>-7.3991566552629173E-3</v>
      </c>
      <c r="P352">
        <f t="shared" si="18"/>
        <v>-1.4951627088830244E-2</v>
      </c>
      <c r="Q352">
        <f t="shared" si="18"/>
        <v>2.9373145281165858E-2</v>
      </c>
      <c r="R352" s="15">
        <f t="shared" si="17"/>
        <v>-4.0985989003458571E-3</v>
      </c>
    </row>
    <row r="353" spans="1:18" x14ac:dyDescent="0.2">
      <c r="A353" s="13">
        <v>45533</v>
      </c>
      <c r="B353" s="14">
        <v>16.36</v>
      </c>
      <c r="C353" s="14">
        <v>11.95</v>
      </c>
      <c r="D353" s="14">
        <v>352.76</v>
      </c>
      <c r="E353" s="14">
        <v>33.69361</v>
      </c>
      <c r="F353" s="14">
        <v>236.91</v>
      </c>
      <c r="G353" s="14">
        <v>125.69</v>
      </c>
      <c r="H353" s="14">
        <v>11.37</v>
      </c>
      <c r="I353" s="14">
        <v>59.631680000000003</v>
      </c>
      <c r="J353">
        <f t="shared" si="19"/>
        <v>6.1162079510701517E-4</v>
      </c>
      <c r="K353">
        <f t="shared" si="18"/>
        <v>2.4871355060034128E-2</v>
      </c>
      <c r="L353">
        <f t="shared" si="18"/>
        <v>5.3297900928607644E-2</v>
      </c>
      <c r="M353">
        <f t="shared" si="18"/>
        <v>-1.3619174547133905E-2</v>
      </c>
      <c r="N353">
        <f t="shared" si="18"/>
        <v>-5.7912627470728673E-3</v>
      </c>
      <c r="O353">
        <f t="shared" si="18"/>
        <v>-6.2460468058191942E-3</v>
      </c>
      <c r="P353">
        <f t="shared" si="18"/>
        <v>4.4169611307418588E-3</v>
      </c>
      <c r="Q353">
        <f t="shared" si="18"/>
        <v>-2.7818642186037135E-3</v>
      </c>
      <c r="R353" s="15">
        <f t="shared" si="17"/>
        <v>6.3925236474410112E-3</v>
      </c>
    </row>
    <row r="354" spans="1:18" x14ac:dyDescent="0.2">
      <c r="A354" s="11">
        <v>45532</v>
      </c>
      <c r="B354" s="12">
        <v>16.350000000000001</v>
      </c>
      <c r="C354" s="12">
        <v>11.66</v>
      </c>
      <c r="D354" s="12">
        <v>334.91</v>
      </c>
      <c r="E354" s="12">
        <v>34.158825</v>
      </c>
      <c r="F354" s="12">
        <v>238.29</v>
      </c>
      <c r="G354" s="12">
        <v>126.48</v>
      </c>
      <c r="H354" s="12">
        <v>11.32</v>
      </c>
      <c r="I354" s="12">
        <v>59.798029999999997</v>
      </c>
      <c r="J354">
        <f t="shared" si="19"/>
        <v>-7.2859744990890762E-3</v>
      </c>
      <c r="K354">
        <f t="shared" si="18"/>
        <v>-1.2701100762066098E-2</v>
      </c>
      <c r="L354">
        <f t="shared" si="18"/>
        <v>8.4237107060766148E-2</v>
      </c>
      <c r="M354">
        <f t="shared" si="18"/>
        <v>-5.7620342296238469E-3</v>
      </c>
      <c r="N354">
        <f t="shared" si="18"/>
        <v>-3.5731628358692147E-2</v>
      </c>
      <c r="O354">
        <f t="shared" si="18"/>
        <v>4.9261083743843415E-3</v>
      </c>
      <c r="P354">
        <f t="shared" si="18"/>
        <v>6.2222222222223511E-3</v>
      </c>
      <c r="Q354">
        <f t="shared" si="18"/>
        <v>1.6974561890187312E-2</v>
      </c>
      <c r="R354" s="15">
        <f t="shared" si="17"/>
        <v>3.2116266689526359E-3</v>
      </c>
    </row>
    <row r="355" spans="1:18" x14ac:dyDescent="0.2">
      <c r="A355" s="13">
        <v>45531</v>
      </c>
      <c r="B355" s="14">
        <v>16.47</v>
      </c>
      <c r="C355" s="14">
        <v>11.81</v>
      </c>
      <c r="D355" s="14">
        <v>308.89</v>
      </c>
      <c r="E355" s="14">
        <v>34.356789999999997</v>
      </c>
      <c r="F355" s="14">
        <v>247.12</v>
      </c>
      <c r="G355" s="14">
        <v>125.86</v>
      </c>
      <c r="H355" s="14">
        <v>11.25</v>
      </c>
      <c r="I355" s="14">
        <v>58.799926999999997</v>
      </c>
      <c r="J355">
        <f t="shared" si="19"/>
        <v>-6.634499396863669E-3</v>
      </c>
      <c r="K355">
        <f t="shared" si="18"/>
        <v>-2.8782894736842035E-2</v>
      </c>
      <c r="L355">
        <f t="shared" si="18"/>
        <v>-2.0391982747684945E-2</v>
      </c>
      <c r="M355">
        <f t="shared" si="18"/>
        <v>2.7531105234787967E-2</v>
      </c>
      <c r="N355">
        <f t="shared" si="18"/>
        <v>-1.8897887883118858E-2</v>
      </c>
      <c r="O355">
        <f t="shared" si="18"/>
        <v>-7.1783545002760407E-3</v>
      </c>
      <c r="P355">
        <f t="shared" si="18"/>
        <v>8.0645161290322509E-3</v>
      </c>
      <c r="Q355">
        <f t="shared" si="18"/>
        <v>-4.4977723265644975E-2</v>
      </c>
      <c r="R355" s="15">
        <f t="shared" si="17"/>
        <v>-1.0866893036202717E-2</v>
      </c>
    </row>
    <row r="356" spans="1:18" x14ac:dyDescent="0.2">
      <c r="A356" s="11">
        <v>45530</v>
      </c>
      <c r="B356" s="12">
        <v>16.579999999999998</v>
      </c>
      <c r="C356" s="12">
        <v>12.16</v>
      </c>
      <c r="D356" s="12">
        <v>315.32</v>
      </c>
      <c r="E356" s="12">
        <v>33.436253000000001</v>
      </c>
      <c r="F356" s="12">
        <v>251.88</v>
      </c>
      <c r="G356" s="12">
        <v>126.77</v>
      </c>
      <c r="H356" s="12">
        <v>11.16</v>
      </c>
      <c r="I356" s="12">
        <v>61.569167999999998</v>
      </c>
      <c r="J356">
        <f t="shared" si="19"/>
        <v>3.024803387779551E-3</v>
      </c>
      <c r="K356">
        <f t="shared" si="18"/>
        <v>-2.7977617905675434E-2</v>
      </c>
      <c r="L356">
        <f t="shared" si="18"/>
        <v>-5.6133711762851313E-3</v>
      </c>
      <c r="M356">
        <f t="shared" si="18"/>
        <v>1.808314018846402E-2</v>
      </c>
      <c r="N356">
        <f t="shared" si="18"/>
        <v>4.025989556343923E-3</v>
      </c>
      <c r="O356">
        <f t="shared" si="18"/>
        <v>-2.2364463638466781E-2</v>
      </c>
      <c r="P356">
        <f t="shared" si="18"/>
        <v>-5.3475935828877219E-3</v>
      </c>
      <c r="Q356">
        <f t="shared" si="18"/>
        <v>-3.5856657555334182E-2</v>
      </c>
      <c r="R356" s="15">
        <f t="shared" si="17"/>
        <v>-7.9448662388651604E-3</v>
      </c>
    </row>
    <row r="357" spans="1:18" x14ac:dyDescent="0.2">
      <c r="A357" s="13">
        <v>45527</v>
      </c>
      <c r="B357" s="14">
        <v>16.53</v>
      </c>
      <c r="C357" s="14">
        <v>12.51</v>
      </c>
      <c r="D357" s="14">
        <v>317.10000000000002</v>
      </c>
      <c r="E357" s="14">
        <v>32.842359999999999</v>
      </c>
      <c r="F357" s="14">
        <v>250.87</v>
      </c>
      <c r="G357" s="14">
        <v>129.66999999999999</v>
      </c>
      <c r="H357" s="14">
        <v>11.22</v>
      </c>
      <c r="I357" s="14">
        <v>63.858936</v>
      </c>
      <c r="J357">
        <f t="shared" si="19"/>
        <v>5.4744525547445466E-3</v>
      </c>
      <c r="K357">
        <f t="shared" si="18"/>
        <v>8.058017727639033E-3</v>
      </c>
      <c r="L357">
        <f t="shared" si="18"/>
        <v>2.6280018124150484E-2</v>
      </c>
      <c r="M357">
        <f t="shared" si="18"/>
        <v>-5.0973886349571229E-3</v>
      </c>
      <c r="N357">
        <f t="shared" si="18"/>
        <v>2.9183657151996556E-3</v>
      </c>
      <c r="O357">
        <f t="shared" si="18"/>
        <v>1.0993294869795722E-2</v>
      </c>
      <c r="P357">
        <f t="shared" si="18"/>
        <v>4.7619047619047672E-2</v>
      </c>
      <c r="Q357">
        <f t="shared" si="18"/>
        <v>2.7658331606021935E-3</v>
      </c>
      <c r="R357" s="15">
        <f t="shared" si="17"/>
        <v>1.4487598182221385E-2</v>
      </c>
    </row>
    <row r="358" spans="1:18" x14ac:dyDescent="0.2">
      <c r="A358" s="11">
        <v>45526</v>
      </c>
      <c r="B358" s="12">
        <v>16.440000000000001</v>
      </c>
      <c r="C358" s="12">
        <v>12.41</v>
      </c>
      <c r="D358" s="12">
        <v>308.98</v>
      </c>
      <c r="E358" s="12">
        <v>33.010627999999997</v>
      </c>
      <c r="F358" s="12">
        <v>250.14</v>
      </c>
      <c r="G358" s="12">
        <v>128.26</v>
      </c>
      <c r="H358" s="12">
        <v>10.71</v>
      </c>
      <c r="I358" s="12">
        <v>63.6828</v>
      </c>
      <c r="J358">
        <f t="shared" si="19"/>
        <v>-2.4271844660194164E-3</v>
      </c>
      <c r="K358">
        <f t="shared" si="18"/>
        <v>0</v>
      </c>
      <c r="L358">
        <f t="shared" si="18"/>
        <v>1.16648305359357E-3</v>
      </c>
      <c r="M358">
        <f t="shared" si="18"/>
        <v>5.9989384325098705E-4</v>
      </c>
      <c r="N358">
        <f t="shared" si="18"/>
        <v>-3.3163265306122569E-2</v>
      </c>
      <c r="O358">
        <f t="shared" si="18"/>
        <v>-1.1559802712700407E-2</v>
      </c>
      <c r="P358">
        <f t="shared" si="18"/>
        <v>0</v>
      </c>
      <c r="Q358">
        <f t="shared" si="18"/>
        <v>-2.0174561889734322E-2</v>
      </c>
      <c r="R358" s="15">
        <f t="shared" si="17"/>
        <v>-1.0196829390200279E-2</v>
      </c>
    </row>
    <row r="359" spans="1:18" x14ac:dyDescent="0.2">
      <c r="A359" s="13">
        <v>45525</v>
      </c>
      <c r="B359" s="14">
        <v>16.48</v>
      </c>
      <c r="C359" s="14">
        <v>12.41</v>
      </c>
      <c r="D359" s="14">
        <v>308.62</v>
      </c>
      <c r="E359" s="14">
        <v>32.990836999999999</v>
      </c>
      <c r="F359" s="14">
        <v>258.72000000000003</v>
      </c>
      <c r="G359" s="14">
        <v>129.76</v>
      </c>
      <c r="H359" s="14">
        <v>10.71</v>
      </c>
      <c r="I359" s="14">
        <v>64.994026000000005</v>
      </c>
      <c r="J359">
        <f t="shared" si="19"/>
        <v>1.1663597298956496E-2</v>
      </c>
      <c r="K359">
        <f t="shared" si="18"/>
        <v>-5.608974358974339E-3</v>
      </c>
      <c r="L359">
        <f t="shared" si="18"/>
        <v>-1.4025111018817205E-2</v>
      </c>
      <c r="M359">
        <f t="shared" si="18"/>
        <v>-6.2610591693119666E-3</v>
      </c>
      <c r="N359">
        <f t="shared" si="18"/>
        <v>2.7359726799825346E-2</v>
      </c>
      <c r="O359">
        <f t="shared" si="18"/>
        <v>-1.1578305911029929E-2</v>
      </c>
      <c r="P359">
        <f t="shared" si="18"/>
        <v>1.4204545454545414E-2</v>
      </c>
      <c r="Q359">
        <f t="shared" si="18"/>
        <v>-2.1796733253313882E-2</v>
      </c>
      <c r="R359" s="15">
        <f t="shared" si="17"/>
        <v>2.8652058243599432E-3</v>
      </c>
    </row>
    <row r="360" spans="1:18" x14ac:dyDescent="0.2">
      <c r="A360" s="11">
        <v>45524</v>
      </c>
      <c r="B360" s="12">
        <v>16.29</v>
      </c>
      <c r="C360" s="12">
        <v>12.48</v>
      </c>
      <c r="D360" s="12">
        <v>313.01</v>
      </c>
      <c r="E360" s="12">
        <v>33.198695999999998</v>
      </c>
      <c r="F360" s="12">
        <v>251.83</v>
      </c>
      <c r="G360" s="12">
        <v>131.28</v>
      </c>
      <c r="H360" s="12">
        <v>10.56</v>
      </c>
      <c r="I360" s="12">
        <v>66.442250000000001</v>
      </c>
      <c r="J360">
        <f t="shared" si="19"/>
        <v>3.696857670979492E-3</v>
      </c>
      <c r="K360">
        <f t="shared" si="18"/>
        <v>6.4516129032257119E-3</v>
      </c>
      <c r="L360">
        <f t="shared" si="18"/>
        <v>1.7602253088395692E-3</v>
      </c>
      <c r="M360">
        <f t="shared" si="18"/>
        <v>-7.9858483025284643E-3</v>
      </c>
      <c r="N360">
        <f t="shared" si="18"/>
        <v>-7.7229205248432464E-3</v>
      </c>
      <c r="O360">
        <f t="shared" si="18"/>
        <v>-1.8173659412160648E-2</v>
      </c>
      <c r="P360">
        <f t="shared" si="18"/>
        <v>9.4786729857809782E-4</v>
      </c>
      <c r="Q360">
        <f t="shared" si="18"/>
        <v>-1.3081573680531533E-2</v>
      </c>
      <c r="R360" s="15">
        <f t="shared" si="17"/>
        <v>-4.5535873587374438E-3</v>
      </c>
    </row>
    <row r="361" spans="1:18" x14ac:dyDescent="0.2">
      <c r="A361" s="13">
        <v>45523</v>
      </c>
      <c r="B361" s="14">
        <v>16.23</v>
      </c>
      <c r="C361" s="14">
        <v>12.4</v>
      </c>
      <c r="D361" s="14">
        <v>312.45999999999998</v>
      </c>
      <c r="E361" s="14">
        <v>33.465949999999999</v>
      </c>
      <c r="F361" s="14">
        <v>253.79</v>
      </c>
      <c r="G361" s="14">
        <v>133.71</v>
      </c>
      <c r="H361" s="14">
        <v>10.55</v>
      </c>
      <c r="I361" s="14">
        <v>67.322940000000003</v>
      </c>
      <c r="J361">
        <f t="shared" si="19"/>
        <v>1.1845386533665847E-2</v>
      </c>
      <c r="K361">
        <f t="shared" si="18"/>
        <v>-8.058017727639033E-4</v>
      </c>
      <c r="L361">
        <f t="shared" si="18"/>
        <v>3.3717607013261652E-3</v>
      </c>
      <c r="M361">
        <f t="shared" si="18"/>
        <v>-4.1237598731860281E-3</v>
      </c>
      <c r="N361">
        <f t="shared" si="18"/>
        <v>1.4672956980649188E-2</v>
      </c>
      <c r="O361">
        <f t="shared" si="18"/>
        <v>1.2111119521610814E-2</v>
      </c>
      <c r="P361">
        <f t="shared" si="18"/>
        <v>3.8058991436726863E-3</v>
      </c>
      <c r="Q361">
        <f t="shared" si="18"/>
        <v>-1.0071829297959134E-2</v>
      </c>
      <c r="R361" s="15">
        <f t="shared" si="17"/>
        <v>5.5105998328111062E-3</v>
      </c>
    </row>
    <row r="362" spans="1:18" x14ac:dyDescent="0.2">
      <c r="A362" s="11">
        <v>45520</v>
      </c>
      <c r="B362" s="12">
        <v>16.04</v>
      </c>
      <c r="C362" s="12">
        <v>12.41</v>
      </c>
      <c r="D362" s="12">
        <v>311.41000000000003</v>
      </c>
      <c r="E362" s="12">
        <v>33.604526999999997</v>
      </c>
      <c r="F362" s="12">
        <v>250.12</v>
      </c>
      <c r="G362" s="12">
        <v>132.11000000000001</v>
      </c>
      <c r="H362" s="12">
        <v>10.51</v>
      </c>
      <c r="I362" s="12">
        <v>68.007903999999996</v>
      </c>
      <c r="J362">
        <f t="shared" si="19"/>
        <v>-1.2453300124533051E-3</v>
      </c>
      <c r="K362">
        <f t="shared" si="18"/>
        <v>-2.6666666666666616E-2</v>
      </c>
      <c r="L362">
        <f t="shared" si="18"/>
        <v>2.145176632663115E-2</v>
      </c>
      <c r="M362">
        <f t="shared" si="18"/>
        <v>2.0662147718297774E-3</v>
      </c>
      <c r="N362">
        <f t="shared" si="18"/>
        <v>-2.2930583225907242E-2</v>
      </c>
      <c r="O362">
        <f t="shared" si="18"/>
        <v>1.8895573037174263E-2</v>
      </c>
      <c r="P362">
        <f t="shared" si="18"/>
        <v>-6.6162570888469441E-3</v>
      </c>
      <c r="Q362">
        <f t="shared" si="18"/>
        <v>-1.1941923756497275E-2</v>
      </c>
      <c r="R362" s="15">
        <f t="shared" si="17"/>
        <v>-4.5229483035290601E-3</v>
      </c>
    </row>
    <row r="363" spans="1:18" x14ac:dyDescent="0.2">
      <c r="A363" s="13">
        <v>45519</v>
      </c>
      <c r="B363" s="14">
        <v>16.059999999999999</v>
      </c>
      <c r="C363" s="14">
        <v>12.75</v>
      </c>
      <c r="D363" s="14">
        <v>304.87</v>
      </c>
      <c r="E363" s="14">
        <v>33.535235999999998</v>
      </c>
      <c r="F363" s="14">
        <v>255.99</v>
      </c>
      <c r="G363" s="14">
        <v>129.66</v>
      </c>
      <c r="H363" s="14">
        <v>10.58</v>
      </c>
      <c r="I363" s="14">
        <v>68.829864999999998</v>
      </c>
      <c r="J363">
        <f t="shared" si="19"/>
        <v>-3.7220843672457482E-3</v>
      </c>
      <c r="K363">
        <f t="shared" si="18"/>
        <v>6.25E-2</v>
      </c>
      <c r="L363">
        <f t="shared" si="18"/>
        <v>3.1918394208623191E-3</v>
      </c>
      <c r="M363">
        <f t="shared" si="18"/>
        <v>3.554415997385707E-3</v>
      </c>
      <c r="N363">
        <f t="shared" si="18"/>
        <v>1.5631819083515186E-2</v>
      </c>
      <c r="O363">
        <f t="shared" si="18"/>
        <v>1.2336039975015423E-2</v>
      </c>
      <c r="P363">
        <f t="shared" si="18"/>
        <v>2.8436018957345155E-3</v>
      </c>
      <c r="Q363">
        <f t="shared" si="18"/>
        <v>4.2661018491796376E-4</v>
      </c>
      <c r="R363" s="15">
        <f t="shared" si="17"/>
        <v>1.2807420161997186E-2</v>
      </c>
    </row>
    <row r="364" spans="1:18" x14ac:dyDescent="0.2">
      <c r="A364" s="11">
        <v>45518</v>
      </c>
      <c r="B364" s="12">
        <v>16.12</v>
      </c>
      <c r="C364" s="12">
        <v>12</v>
      </c>
      <c r="D364" s="12">
        <v>303.89999999999998</v>
      </c>
      <c r="E364" s="12">
        <v>33.416460000000001</v>
      </c>
      <c r="F364" s="12">
        <v>252.05</v>
      </c>
      <c r="G364" s="12">
        <v>128.08000000000001</v>
      </c>
      <c r="H364" s="12">
        <v>10.55</v>
      </c>
      <c r="I364" s="12">
        <v>68.800514000000007</v>
      </c>
      <c r="J364">
        <f t="shared" si="19"/>
        <v>5.6144728633811258E-3</v>
      </c>
      <c r="K364">
        <f t="shared" si="18"/>
        <v>-3.3222591362125353E-3</v>
      </c>
      <c r="L364">
        <f t="shared" si="18"/>
        <v>3.1689443454148147E-3</v>
      </c>
      <c r="M364">
        <f t="shared" si="18"/>
        <v>1.1384119254274738E-2</v>
      </c>
      <c r="N364">
        <f t="shared" si="18"/>
        <v>6.9916100679185966E-3</v>
      </c>
      <c r="O364">
        <f t="shared" si="18"/>
        <v>-2.8804982483454644E-3</v>
      </c>
      <c r="P364">
        <f t="shared" si="18"/>
        <v>-6.5913370998115228E-3</v>
      </c>
      <c r="Q364">
        <f t="shared" si="18"/>
        <v>1.7096493474595409E-3</v>
      </c>
      <c r="R364" s="15">
        <f t="shared" si="17"/>
        <v>1.5697663787449601E-3</v>
      </c>
    </row>
    <row r="365" spans="1:18" x14ac:dyDescent="0.2">
      <c r="A365" s="13">
        <v>45517</v>
      </c>
      <c r="B365" s="14">
        <v>16.03</v>
      </c>
      <c r="C365" s="14">
        <v>12.04</v>
      </c>
      <c r="D365" s="14">
        <v>302.94</v>
      </c>
      <c r="E365" s="14">
        <v>33.040325000000003</v>
      </c>
      <c r="F365" s="14">
        <v>250.3</v>
      </c>
      <c r="G365" s="14">
        <v>128.44999999999999</v>
      </c>
      <c r="H365" s="14">
        <v>10.62</v>
      </c>
      <c r="I365" s="14">
        <v>68.683090000000007</v>
      </c>
      <c r="J365">
        <f t="shared" si="19"/>
        <v>-9.8826436071649537E-3</v>
      </c>
      <c r="K365">
        <f t="shared" si="18"/>
        <v>1.1764705882352899E-2</v>
      </c>
      <c r="L365">
        <f t="shared" si="18"/>
        <v>3.7572353323971575E-2</v>
      </c>
      <c r="M365">
        <f t="shared" si="18"/>
        <v>9.0688560557889986E-3</v>
      </c>
      <c r="N365">
        <f t="shared" ref="N365:Q428" si="20">F365/F366-1</f>
        <v>3.5709852277899801E-2</v>
      </c>
      <c r="O365">
        <f t="shared" si="20"/>
        <v>1.1417322834645471E-2</v>
      </c>
      <c r="P365">
        <f t="shared" si="20"/>
        <v>4.219823356231589E-2</v>
      </c>
      <c r="Q365">
        <f t="shared" si="20"/>
        <v>2.752161954537069E-2</v>
      </c>
      <c r="R365" s="15">
        <f t="shared" si="17"/>
        <v>2.4301309046815905E-2</v>
      </c>
    </row>
    <row r="366" spans="1:18" x14ac:dyDescent="0.2">
      <c r="A366" s="11">
        <v>45516</v>
      </c>
      <c r="B366" s="12">
        <v>16.190000000000001</v>
      </c>
      <c r="C366" s="12">
        <v>11.9</v>
      </c>
      <c r="D366" s="12">
        <v>291.97000000000003</v>
      </c>
      <c r="E366" s="12">
        <v>32.743380000000002</v>
      </c>
      <c r="F366" s="12">
        <v>241.67</v>
      </c>
      <c r="G366" s="12">
        <v>127</v>
      </c>
      <c r="H366" s="12">
        <v>10.19</v>
      </c>
      <c r="I366" s="12">
        <v>66.843450000000004</v>
      </c>
      <c r="J366">
        <f t="shared" si="19"/>
        <v>1.2368583797155441E-3</v>
      </c>
      <c r="K366">
        <f t="shared" si="19"/>
        <v>-7.5062552126772264E-3</v>
      </c>
      <c r="L366">
        <f t="shared" si="19"/>
        <v>7.2098799503244049E-3</v>
      </c>
      <c r="M366">
        <f t="shared" si="19"/>
        <v>-7.2027675141036474E-3</v>
      </c>
      <c r="N366">
        <f t="shared" si="20"/>
        <v>-2.6412446865585748E-3</v>
      </c>
      <c r="O366">
        <f t="shared" si="20"/>
        <v>-3.9215686274509665E-3</v>
      </c>
      <c r="P366">
        <f t="shared" si="20"/>
        <v>-2.1133525456292102E-2</v>
      </c>
      <c r="Q366">
        <f t="shared" si="20"/>
        <v>7.3247021368905152E-4</v>
      </c>
      <c r="R366" s="15">
        <f t="shared" si="17"/>
        <v>-5.1475855877426207E-3</v>
      </c>
    </row>
    <row r="367" spans="1:18" x14ac:dyDescent="0.2">
      <c r="A367" s="13">
        <v>45513</v>
      </c>
      <c r="B367" s="14">
        <v>16.170000000000002</v>
      </c>
      <c r="C367" s="14">
        <v>11.99</v>
      </c>
      <c r="D367" s="14">
        <v>289.88</v>
      </c>
      <c r="E367" s="14">
        <v>32.980933999999998</v>
      </c>
      <c r="F367" s="14">
        <v>242.31</v>
      </c>
      <c r="G367" s="14">
        <v>127.5</v>
      </c>
      <c r="H367" s="14">
        <v>10.41</v>
      </c>
      <c r="I367" s="14">
        <v>66.794524999999993</v>
      </c>
      <c r="J367">
        <f t="shared" si="19"/>
        <v>9.3632958801499466E-3</v>
      </c>
      <c r="K367">
        <f t="shared" si="19"/>
        <v>-3.3250207813798616E-3</v>
      </c>
      <c r="L367">
        <f t="shared" si="19"/>
        <v>-5.9666689527467787E-3</v>
      </c>
      <c r="M367">
        <f t="shared" si="19"/>
        <v>-2.9922686023586831E-3</v>
      </c>
      <c r="N367">
        <f t="shared" si="20"/>
        <v>-1.307429130009774E-2</v>
      </c>
      <c r="O367">
        <f t="shared" si="20"/>
        <v>6.0759094137141645E-3</v>
      </c>
      <c r="P367">
        <f t="shared" si="20"/>
        <v>9.6153846153845812E-4</v>
      </c>
      <c r="Q367">
        <f t="shared" si="20"/>
        <v>-1.2156280220993465E-2</v>
      </c>
      <c r="R367" s="15">
        <f t="shared" si="17"/>
        <v>-3.3060077984001651E-3</v>
      </c>
    </row>
    <row r="368" spans="1:18" x14ac:dyDescent="0.2">
      <c r="A368" s="11">
        <v>45512</v>
      </c>
      <c r="B368" s="12">
        <v>16.02</v>
      </c>
      <c r="C368" s="12">
        <v>12.03</v>
      </c>
      <c r="D368" s="12">
        <v>291.62</v>
      </c>
      <c r="E368" s="12">
        <v>33.079917999999999</v>
      </c>
      <c r="F368" s="12">
        <v>245.52</v>
      </c>
      <c r="G368" s="12">
        <v>126.73</v>
      </c>
      <c r="H368" s="12">
        <v>10.4</v>
      </c>
      <c r="I368" s="12">
        <v>67.616489999999999</v>
      </c>
      <c r="J368">
        <f t="shared" si="19"/>
        <v>-6.8195908245505255E-3</v>
      </c>
      <c r="K368">
        <f t="shared" si="19"/>
        <v>5.0125313283206907E-3</v>
      </c>
      <c r="L368">
        <f t="shared" si="19"/>
        <v>7.5665964136406583E-3</v>
      </c>
      <c r="M368">
        <f t="shared" si="19"/>
        <v>5.7177689914067464E-3</v>
      </c>
      <c r="N368">
        <f t="shared" si="20"/>
        <v>-1.8700707374582626E-3</v>
      </c>
      <c r="O368">
        <f t="shared" si="20"/>
        <v>1.6598166297818739E-3</v>
      </c>
      <c r="P368">
        <f t="shared" si="20"/>
        <v>-1.9193857965450478E-3</v>
      </c>
      <c r="Q368">
        <f t="shared" si="20"/>
        <v>2.3097449870615794E-2</v>
      </c>
      <c r="R368" s="15">
        <f t="shared" si="17"/>
        <v>2.7895618365545525E-3</v>
      </c>
    </row>
    <row r="369" spans="1:18" x14ac:dyDescent="0.2">
      <c r="A369" s="13">
        <v>45511</v>
      </c>
      <c r="B369" s="14">
        <v>16.13</v>
      </c>
      <c r="C369" s="14">
        <v>11.97</v>
      </c>
      <c r="D369" s="14">
        <v>289.43</v>
      </c>
      <c r="E369" s="14">
        <v>32.891849999999998</v>
      </c>
      <c r="F369" s="14">
        <v>245.98</v>
      </c>
      <c r="G369" s="14">
        <v>126.52</v>
      </c>
      <c r="H369" s="14">
        <v>10.42</v>
      </c>
      <c r="I369" s="14">
        <v>66.089979999999997</v>
      </c>
      <c r="J369">
        <f t="shared" si="19"/>
        <v>1.510383889238498E-2</v>
      </c>
      <c r="K369">
        <f t="shared" si="19"/>
        <v>0</v>
      </c>
      <c r="L369">
        <f t="shared" si="19"/>
        <v>-1.0935310802036691E-2</v>
      </c>
      <c r="M369">
        <f t="shared" si="19"/>
        <v>-3.2993813591771781E-3</v>
      </c>
      <c r="N369">
        <f t="shared" si="20"/>
        <v>-3.0162047076449983E-2</v>
      </c>
      <c r="O369">
        <f t="shared" si="20"/>
        <v>1.4269680936347617E-2</v>
      </c>
      <c r="P369">
        <f t="shared" si="20"/>
        <v>-1.883239171374762E-2</v>
      </c>
      <c r="Q369">
        <f t="shared" si="20"/>
        <v>7.0703729108796409E-2</v>
      </c>
      <c r="R369" s="15">
        <f t="shared" si="17"/>
        <v>-2.2823573247787625E-3</v>
      </c>
    </row>
    <row r="370" spans="1:18" x14ac:dyDescent="0.2">
      <c r="A370" s="11">
        <v>45510</v>
      </c>
      <c r="B370" s="12">
        <v>15.89</v>
      </c>
      <c r="C370" s="12">
        <v>11.97</v>
      </c>
      <c r="D370" s="12">
        <v>292.63</v>
      </c>
      <c r="E370" s="12">
        <v>33.000731999999999</v>
      </c>
      <c r="F370" s="12">
        <v>253.63</v>
      </c>
      <c r="G370" s="12">
        <v>124.74</v>
      </c>
      <c r="H370" s="12">
        <v>10.62</v>
      </c>
      <c r="I370" s="12">
        <v>61.725740000000002</v>
      </c>
      <c r="J370">
        <f t="shared" si="19"/>
        <v>1.5984654731457715E-2</v>
      </c>
      <c r="K370">
        <f t="shared" si="19"/>
        <v>3.0120481927710996E-2</v>
      </c>
      <c r="L370">
        <f t="shared" si="19"/>
        <v>-7.6975245846049312E-3</v>
      </c>
      <c r="M370">
        <f t="shared" si="19"/>
        <v>5.1251718573630534E-3</v>
      </c>
      <c r="N370">
        <f t="shared" si="20"/>
        <v>-1.0571896699695604E-2</v>
      </c>
      <c r="O370">
        <f t="shared" si="20"/>
        <v>1.203948952564371E-3</v>
      </c>
      <c r="P370">
        <f t="shared" si="20"/>
        <v>1.3358778625954137E-2</v>
      </c>
      <c r="Q370">
        <f t="shared" si="20"/>
        <v>1.9392418024326563E-2</v>
      </c>
      <c r="R370" s="15">
        <f t="shared" si="17"/>
        <v>5.9004282623561742E-3</v>
      </c>
    </row>
    <row r="371" spans="1:18" x14ac:dyDescent="0.2">
      <c r="A371" s="13">
        <v>45509</v>
      </c>
      <c r="B371" s="14">
        <v>15.64</v>
      </c>
      <c r="C371" s="14">
        <v>11.62</v>
      </c>
      <c r="D371" s="14">
        <v>294.89999999999998</v>
      </c>
      <c r="E371" s="14">
        <v>32.832459999999998</v>
      </c>
      <c r="F371" s="14">
        <v>256.33999999999997</v>
      </c>
      <c r="G371" s="14">
        <v>124.59</v>
      </c>
      <c r="H371" s="14">
        <v>10.48</v>
      </c>
      <c r="I371" s="14">
        <v>60.551499999999997</v>
      </c>
      <c r="J371">
        <f t="shared" si="19"/>
        <v>-2.5510204081632404E-3</v>
      </c>
      <c r="K371">
        <f t="shared" si="19"/>
        <v>1.7241379310344307E-3</v>
      </c>
      <c r="L371">
        <f t="shared" si="19"/>
        <v>5.3523335492449142E-3</v>
      </c>
      <c r="M371">
        <f t="shared" si="19"/>
        <v>-1.6602536963374548E-2</v>
      </c>
      <c r="N371">
        <f t="shared" si="20"/>
        <v>-4.8266132026435038E-2</v>
      </c>
      <c r="O371">
        <f t="shared" si="20"/>
        <v>-3.8063619518221126E-2</v>
      </c>
      <c r="P371">
        <f t="shared" si="20"/>
        <v>-1.5962441314553932E-2</v>
      </c>
      <c r="Q371">
        <f t="shared" si="20"/>
        <v>7.3254284229418154E-3</v>
      </c>
      <c r="R371" s="15">
        <f t="shared" si="17"/>
        <v>-1.8458749968774731E-2</v>
      </c>
    </row>
    <row r="372" spans="1:18" x14ac:dyDescent="0.2">
      <c r="A372" s="11">
        <v>45506</v>
      </c>
      <c r="B372" s="12">
        <v>15.68</v>
      </c>
      <c r="C372" s="12">
        <v>11.6</v>
      </c>
      <c r="D372" s="12">
        <v>293.33</v>
      </c>
      <c r="E372" s="12">
        <v>33.386764999999997</v>
      </c>
      <c r="F372" s="12">
        <v>269.33999999999997</v>
      </c>
      <c r="G372" s="12">
        <v>129.52000000000001</v>
      </c>
      <c r="H372" s="12">
        <v>10.65</v>
      </c>
      <c r="I372" s="12">
        <v>60.111159999999998</v>
      </c>
      <c r="J372">
        <f t="shared" si="19"/>
        <v>1.226597805035512E-2</v>
      </c>
      <c r="K372">
        <f t="shared" si="19"/>
        <v>-1.4443500424808797E-2</v>
      </c>
      <c r="L372">
        <f t="shared" si="19"/>
        <v>-1.04243978139128E-2</v>
      </c>
      <c r="M372">
        <f t="shared" si="19"/>
        <v>-2.1183879497145286E-2</v>
      </c>
      <c r="N372">
        <f t="shared" si="20"/>
        <v>1.4577918408859469E-2</v>
      </c>
      <c r="O372">
        <f t="shared" si="20"/>
        <v>-1.2127221417130629E-2</v>
      </c>
      <c r="P372">
        <f t="shared" si="20"/>
        <v>-3.3575317604355615E-2</v>
      </c>
      <c r="Q372">
        <f t="shared" si="20"/>
        <v>-1.285555522675097E-2</v>
      </c>
      <c r="R372" s="15">
        <f t="shared" si="17"/>
        <v>-9.1376802385315023E-3</v>
      </c>
    </row>
    <row r="373" spans="1:18" x14ac:dyDescent="0.2">
      <c r="A373" s="13">
        <v>45505</v>
      </c>
      <c r="B373" s="14">
        <v>15.49</v>
      </c>
      <c r="C373" s="14">
        <v>11.77</v>
      </c>
      <c r="D373" s="14">
        <v>296.42</v>
      </c>
      <c r="E373" s="14">
        <v>34.109332999999999</v>
      </c>
      <c r="F373" s="14">
        <v>265.47000000000003</v>
      </c>
      <c r="G373" s="14">
        <v>131.11000000000001</v>
      </c>
      <c r="H373" s="14">
        <v>11.02</v>
      </c>
      <c r="I373" s="14">
        <v>60.893985999999998</v>
      </c>
      <c r="J373">
        <f t="shared" si="19"/>
        <v>-4.4987146529563704E-3</v>
      </c>
      <c r="K373">
        <f t="shared" si="19"/>
        <v>-2.2425249169435224E-2</v>
      </c>
      <c r="L373">
        <f t="shared" si="19"/>
        <v>-2.7922624053826617E-3</v>
      </c>
      <c r="M373">
        <f t="shared" si="19"/>
        <v>-6.0571090948107198E-3</v>
      </c>
      <c r="N373">
        <f t="shared" si="20"/>
        <v>-2.4652803291939085E-2</v>
      </c>
      <c r="O373">
        <f t="shared" si="20"/>
        <v>-3.0394911995266893E-2</v>
      </c>
      <c r="P373">
        <f t="shared" si="20"/>
        <v>-3.9232781168265118E-2</v>
      </c>
      <c r="Q373">
        <f t="shared" si="20"/>
        <v>4.8234912402644881E-4</v>
      </c>
      <c r="R373" s="15">
        <f t="shared" si="17"/>
        <v>-1.9770247127380798E-2</v>
      </c>
    </row>
    <row r="374" spans="1:18" x14ac:dyDescent="0.2">
      <c r="A374" s="11">
        <v>45504</v>
      </c>
      <c r="B374" s="12">
        <v>15.56</v>
      </c>
      <c r="C374" s="12">
        <v>12.04</v>
      </c>
      <c r="D374" s="12">
        <v>297.25</v>
      </c>
      <c r="E374" s="12">
        <v>34.317196000000003</v>
      </c>
      <c r="F374" s="12">
        <v>272.18</v>
      </c>
      <c r="G374" s="12">
        <v>135.22</v>
      </c>
      <c r="H374" s="12">
        <v>11.47</v>
      </c>
      <c r="I374" s="12">
        <v>60.864628000000003</v>
      </c>
      <c r="J374">
        <f t="shared" si="19"/>
        <v>4.5190445448677341E-3</v>
      </c>
      <c r="K374">
        <f t="shared" si="19"/>
        <v>2.120441051738764E-2</v>
      </c>
      <c r="L374">
        <f t="shared" si="19"/>
        <v>2.4787974901744558E-2</v>
      </c>
      <c r="M374">
        <f t="shared" si="19"/>
        <v>-6.8748857610221314E-3</v>
      </c>
      <c r="N374">
        <f t="shared" si="20"/>
        <v>7.05632473253619E-2</v>
      </c>
      <c r="O374">
        <f t="shared" si="20"/>
        <v>3.7360951285001942E-2</v>
      </c>
      <c r="P374">
        <f t="shared" si="20"/>
        <v>-6.0658578856150891E-3</v>
      </c>
      <c r="Q374">
        <f t="shared" si="20"/>
        <v>5.0853179210711641E-2</v>
      </c>
      <c r="R374" s="15">
        <f t="shared" si="17"/>
        <v>2.8135699604748047E-2</v>
      </c>
    </row>
    <row r="375" spans="1:18" x14ac:dyDescent="0.2">
      <c r="A375" s="13">
        <v>45503</v>
      </c>
      <c r="B375" s="14">
        <v>15.49</v>
      </c>
      <c r="C375" s="14">
        <v>11.79</v>
      </c>
      <c r="D375" s="14">
        <v>290.06</v>
      </c>
      <c r="E375" s="14">
        <v>34.554755999999998</v>
      </c>
      <c r="F375" s="14">
        <v>254.24</v>
      </c>
      <c r="G375" s="14">
        <v>130.35</v>
      </c>
      <c r="H375" s="14">
        <v>11.54</v>
      </c>
      <c r="I375" s="14">
        <v>57.919249999999998</v>
      </c>
      <c r="J375">
        <f t="shared" si="19"/>
        <v>-5.138086062941527E-3</v>
      </c>
      <c r="K375">
        <f t="shared" si="19"/>
        <v>-1.0906040268456429E-2</v>
      </c>
      <c r="L375">
        <f t="shared" si="19"/>
        <v>8.0978695304625425E-3</v>
      </c>
      <c r="M375">
        <f t="shared" si="19"/>
        <v>1.3646884058863717E-2</v>
      </c>
      <c r="N375">
        <f t="shared" si="20"/>
        <v>6.0543706224525096E-3</v>
      </c>
      <c r="O375">
        <f t="shared" si="20"/>
        <v>4.0825758742875085E-3</v>
      </c>
      <c r="P375">
        <f t="shared" si="20"/>
        <v>-1.7035775127768438E-2</v>
      </c>
      <c r="Q375">
        <f t="shared" si="20"/>
        <v>-7.378842266548169E-3</v>
      </c>
      <c r="R375" s="15">
        <f t="shared" si="17"/>
        <v>-1.0541581055414995E-3</v>
      </c>
    </row>
    <row r="376" spans="1:18" x14ac:dyDescent="0.2">
      <c r="A376" s="11">
        <v>45502</v>
      </c>
      <c r="B376" s="12">
        <v>15.57</v>
      </c>
      <c r="C376" s="12">
        <v>11.92</v>
      </c>
      <c r="D376" s="12">
        <v>287.73</v>
      </c>
      <c r="E376" s="12">
        <v>34.08954</v>
      </c>
      <c r="F376" s="12">
        <v>252.71</v>
      </c>
      <c r="G376" s="12">
        <v>129.82</v>
      </c>
      <c r="H376" s="12">
        <v>11.74</v>
      </c>
      <c r="I376" s="12">
        <v>58.349803999999999</v>
      </c>
      <c r="J376">
        <f t="shared" si="19"/>
        <v>-3.8387715930902067E-3</v>
      </c>
      <c r="K376">
        <f t="shared" si="19"/>
        <v>3.3670033670032407E-3</v>
      </c>
      <c r="L376">
        <f t="shared" si="19"/>
        <v>-2.3419203747072515E-2</v>
      </c>
      <c r="M376">
        <f t="shared" si="19"/>
        <v>-1.2614690956537999E-2</v>
      </c>
      <c r="N376">
        <f t="shared" si="20"/>
        <v>1.9526364626618831E-2</v>
      </c>
      <c r="O376">
        <f t="shared" si="20"/>
        <v>-3.0542901949070278E-2</v>
      </c>
      <c r="P376">
        <f t="shared" si="20"/>
        <v>-8.4459459459459429E-3</v>
      </c>
      <c r="Q376">
        <f t="shared" si="20"/>
        <v>1.1752824966673181E-3</v>
      </c>
      <c r="R376" s="15">
        <f t="shared" si="17"/>
        <v>-5.3996159051712921E-3</v>
      </c>
    </row>
    <row r="377" spans="1:18" x14ac:dyDescent="0.2">
      <c r="A377" s="13">
        <v>45499</v>
      </c>
      <c r="B377" s="14">
        <v>15.63</v>
      </c>
      <c r="C377" s="14">
        <v>11.88</v>
      </c>
      <c r="D377" s="14">
        <v>294.63</v>
      </c>
      <c r="E377" s="14">
        <v>34.525063000000003</v>
      </c>
      <c r="F377" s="14">
        <v>247.87</v>
      </c>
      <c r="G377" s="14">
        <v>133.91</v>
      </c>
      <c r="H377" s="14">
        <v>11.84</v>
      </c>
      <c r="I377" s="14">
        <v>58.281306999999998</v>
      </c>
      <c r="J377">
        <f t="shared" si="19"/>
        <v>-1.2010113780025256E-2</v>
      </c>
      <c r="K377">
        <f t="shared" si="19"/>
        <v>1.5384615384615552E-2</v>
      </c>
      <c r="L377">
        <f t="shared" si="19"/>
        <v>5.1514737991265047E-3</v>
      </c>
      <c r="M377">
        <f t="shared" si="19"/>
        <v>1.7503054124521134E-2</v>
      </c>
      <c r="N377">
        <f t="shared" si="20"/>
        <v>1.4322543683758182E-2</v>
      </c>
      <c r="O377">
        <f t="shared" si="20"/>
        <v>1.0107867541676141E-2</v>
      </c>
      <c r="P377">
        <f t="shared" si="20"/>
        <v>1.3698630136986356E-2</v>
      </c>
      <c r="Q377">
        <f t="shared" si="20"/>
        <v>1.3450332527407127E-3</v>
      </c>
      <c r="R377" s="15">
        <f t="shared" si="17"/>
        <v>9.7841557299385897E-3</v>
      </c>
    </row>
    <row r="378" spans="1:18" x14ac:dyDescent="0.2">
      <c r="A378" s="11">
        <v>45498</v>
      </c>
      <c r="B378" s="12">
        <v>15.82</v>
      </c>
      <c r="C378" s="12">
        <v>11.7</v>
      </c>
      <c r="D378" s="12">
        <v>293.12</v>
      </c>
      <c r="E378" s="12">
        <v>33.931164000000003</v>
      </c>
      <c r="F378" s="12">
        <v>244.37</v>
      </c>
      <c r="G378" s="12">
        <v>132.57</v>
      </c>
      <c r="H378" s="12">
        <v>11.68</v>
      </c>
      <c r="I378" s="12">
        <v>58.203021999999997</v>
      </c>
      <c r="J378">
        <f t="shared" si="19"/>
        <v>4.4444444444444731E-3</v>
      </c>
      <c r="K378">
        <f t="shared" si="19"/>
        <v>2.8119507908611396E-2</v>
      </c>
      <c r="L378">
        <f t="shared" si="19"/>
        <v>-2.149819735612235E-2</v>
      </c>
      <c r="M378">
        <f t="shared" si="19"/>
        <v>-2.2247669741404352E-2</v>
      </c>
      <c r="N378">
        <f t="shared" si="20"/>
        <v>-2.1188816790835507E-2</v>
      </c>
      <c r="O378">
        <f t="shared" si="20"/>
        <v>-2.0828717039663158E-2</v>
      </c>
      <c r="P378">
        <f t="shared" si="20"/>
        <v>5.2252252252252163E-2</v>
      </c>
      <c r="Q378">
        <f t="shared" si="20"/>
        <v>-1.1467536122446775E-2</v>
      </c>
      <c r="R378" s="15">
        <f t="shared" si="17"/>
        <v>-5.3356445249943608E-4</v>
      </c>
    </row>
    <row r="379" spans="1:18" x14ac:dyDescent="0.2">
      <c r="A379" s="13">
        <v>45497</v>
      </c>
      <c r="B379" s="14">
        <v>15.75</v>
      </c>
      <c r="C379" s="14">
        <v>11.38</v>
      </c>
      <c r="D379" s="14">
        <v>299.56</v>
      </c>
      <c r="E379" s="14">
        <v>34.703229999999998</v>
      </c>
      <c r="F379" s="14">
        <v>249.66</v>
      </c>
      <c r="G379" s="14">
        <v>135.38999999999999</v>
      </c>
      <c r="H379" s="14">
        <v>11.1</v>
      </c>
      <c r="I379" s="14">
        <v>58.878210000000003</v>
      </c>
      <c r="J379">
        <f t="shared" si="19"/>
        <v>0</v>
      </c>
      <c r="K379">
        <f t="shared" si="19"/>
        <v>-3.4775233248515502E-2</v>
      </c>
      <c r="L379">
        <f t="shared" si="19"/>
        <v>1.2027027027027071E-2</v>
      </c>
      <c r="M379">
        <f t="shared" si="19"/>
        <v>-8.7644770826684759E-3</v>
      </c>
      <c r="N379">
        <f t="shared" si="20"/>
        <v>1.1957358842365373E-2</v>
      </c>
      <c r="O379">
        <f t="shared" si="20"/>
        <v>-1.6775599128540319E-2</v>
      </c>
      <c r="P379">
        <f t="shared" si="20"/>
        <v>-4.3927648578811374E-2</v>
      </c>
      <c r="Q379">
        <f t="shared" si="20"/>
        <v>-2.51134631552552E-2</v>
      </c>
      <c r="R379" s="15">
        <f t="shared" si="17"/>
        <v>-1.2485151183450886E-2</v>
      </c>
    </row>
    <row r="380" spans="1:18" x14ac:dyDescent="0.2">
      <c r="A380" s="11">
        <v>45496</v>
      </c>
      <c r="B380" s="12">
        <v>15.75</v>
      </c>
      <c r="C380" s="12">
        <v>11.79</v>
      </c>
      <c r="D380" s="12">
        <v>296</v>
      </c>
      <c r="E380" s="12">
        <v>35.010075000000001</v>
      </c>
      <c r="F380" s="12">
        <v>246.71</v>
      </c>
      <c r="G380" s="12">
        <v>137.69999999999999</v>
      </c>
      <c r="H380" s="12">
        <v>11.61</v>
      </c>
      <c r="I380" s="12">
        <v>60.394936000000001</v>
      </c>
      <c r="J380">
        <f t="shared" si="19"/>
        <v>-1.9011406844106071E-3</v>
      </c>
      <c r="K380">
        <f t="shared" si="19"/>
        <v>2.0779220779220564E-2</v>
      </c>
      <c r="L380">
        <f t="shared" si="19"/>
        <v>1.4984740938860819E-2</v>
      </c>
      <c r="M380">
        <f t="shared" si="19"/>
        <v>-6.4606030830814953E-3</v>
      </c>
      <c r="N380">
        <f t="shared" si="20"/>
        <v>-3.5309298506295494E-2</v>
      </c>
      <c r="O380">
        <f t="shared" si="20"/>
        <v>-2.9393106364982158E-2</v>
      </c>
      <c r="P380">
        <f t="shared" si="20"/>
        <v>2.2007042253521236E-2</v>
      </c>
      <c r="Q380">
        <f t="shared" si="20"/>
        <v>-5.7989825639394033E-3</v>
      </c>
      <c r="R380" s="15">
        <f t="shared" si="17"/>
        <v>-4.9023713332887213E-3</v>
      </c>
    </row>
    <row r="381" spans="1:18" x14ac:dyDescent="0.2">
      <c r="A381" s="13">
        <v>45495</v>
      </c>
      <c r="B381" s="14">
        <v>15.78</v>
      </c>
      <c r="C381" s="14">
        <v>11.55</v>
      </c>
      <c r="D381" s="14">
        <v>291.63</v>
      </c>
      <c r="E381" s="14">
        <v>35.237732000000001</v>
      </c>
      <c r="F381" s="14">
        <v>255.74</v>
      </c>
      <c r="G381" s="14">
        <v>141.87</v>
      </c>
      <c r="H381" s="14">
        <v>11.36</v>
      </c>
      <c r="I381" s="14">
        <v>60.747208000000001</v>
      </c>
      <c r="J381">
        <f t="shared" si="19"/>
        <v>-9.4161958568738102E-3</v>
      </c>
      <c r="K381">
        <f t="shared" si="19"/>
        <v>3.0330062444246186E-2</v>
      </c>
      <c r="L381">
        <f t="shared" si="19"/>
        <v>-6.6421418352748951E-3</v>
      </c>
      <c r="M381">
        <f t="shared" si="19"/>
        <v>3.9480147103236884E-3</v>
      </c>
      <c r="N381">
        <f t="shared" si="20"/>
        <v>-1.0562154215189468E-2</v>
      </c>
      <c r="O381">
        <f t="shared" si="20"/>
        <v>6.384337092998571E-3</v>
      </c>
      <c r="P381">
        <f t="shared" si="20"/>
        <v>1.3380909901873128E-2</v>
      </c>
      <c r="Q381">
        <f t="shared" si="20"/>
        <v>2.0884783949844499E-2</v>
      </c>
      <c r="R381" s="15">
        <f t="shared" si="17"/>
        <v>4.762567711149324E-3</v>
      </c>
    </row>
    <row r="382" spans="1:18" x14ac:dyDescent="0.2">
      <c r="A382" s="11">
        <v>45492</v>
      </c>
      <c r="B382" s="12">
        <v>15.93</v>
      </c>
      <c r="C382" s="12">
        <v>11.21</v>
      </c>
      <c r="D382" s="12">
        <v>293.58</v>
      </c>
      <c r="E382" s="12">
        <v>35.099159999999998</v>
      </c>
      <c r="F382" s="12">
        <v>258.47000000000003</v>
      </c>
      <c r="G382" s="12">
        <v>140.97</v>
      </c>
      <c r="H382" s="12">
        <v>11.21</v>
      </c>
      <c r="I382" s="12">
        <v>59.504469999999998</v>
      </c>
      <c r="J382">
        <f t="shared" si="19"/>
        <v>1.9193857965450922E-2</v>
      </c>
      <c r="K382">
        <f t="shared" si="19"/>
        <v>-1.4072119613016576E-2</v>
      </c>
      <c r="L382">
        <f t="shared" si="19"/>
        <v>8.4847652090274117E-3</v>
      </c>
      <c r="M382">
        <f t="shared" si="19"/>
        <v>1.6337127150986896E-2</v>
      </c>
      <c r="N382">
        <f t="shared" si="20"/>
        <v>3.2599576525109031E-2</v>
      </c>
      <c r="O382">
        <f t="shared" si="20"/>
        <v>2.0782041998551826E-2</v>
      </c>
      <c r="P382">
        <f t="shared" si="20"/>
        <v>-2.1815008726003504E-2</v>
      </c>
      <c r="Q382">
        <f t="shared" si="20"/>
        <v>-5.5601390125834538E-3</v>
      </c>
      <c r="R382" s="15">
        <f t="shared" si="17"/>
        <v>8.0781230941192397E-3</v>
      </c>
    </row>
    <row r="383" spans="1:18" x14ac:dyDescent="0.2">
      <c r="A383" s="13">
        <v>45491</v>
      </c>
      <c r="B383" s="14">
        <v>15.63</v>
      </c>
      <c r="C383" s="14">
        <v>11.37</v>
      </c>
      <c r="D383" s="14">
        <v>291.11</v>
      </c>
      <c r="E383" s="14">
        <v>34.534958000000003</v>
      </c>
      <c r="F383" s="14">
        <v>250.31</v>
      </c>
      <c r="G383" s="14">
        <v>138.1</v>
      </c>
      <c r="H383" s="14">
        <v>11.46</v>
      </c>
      <c r="I383" s="14">
        <v>59.837173</v>
      </c>
      <c r="J383">
        <f t="shared" si="19"/>
        <v>-2.1902377972465525E-2</v>
      </c>
      <c r="K383">
        <f t="shared" si="19"/>
        <v>-1.302083333333337E-2</v>
      </c>
      <c r="L383">
        <f t="shared" si="19"/>
        <v>-4.7181100208554261E-3</v>
      </c>
      <c r="M383">
        <f t="shared" si="19"/>
        <v>-2.2962792901102369E-2</v>
      </c>
      <c r="N383">
        <f t="shared" si="20"/>
        <v>-4.6510742038701758E-2</v>
      </c>
      <c r="O383">
        <f t="shared" si="20"/>
        <v>-4.4290657439446379E-2</v>
      </c>
      <c r="P383">
        <f t="shared" si="20"/>
        <v>-2.2184300341296925E-2</v>
      </c>
      <c r="Q383">
        <f t="shared" si="20"/>
        <v>-3.5641063795534778E-2</v>
      </c>
      <c r="R383" s="15">
        <f t="shared" si="17"/>
        <v>-2.8407870499378901E-2</v>
      </c>
    </row>
    <row r="384" spans="1:18" x14ac:dyDescent="0.2">
      <c r="A384" s="11">
        <v>45490</v>
      </c>
      <c r="B384" s="12">
        <v>15.98</v>
      </c>
      <c r="C384" s="12">
        <v>11.52</v>
      </c>
      <c r="D384" s="12">
        <v>292.49</v>
      </c>
      <c r="E384" s="12">
        <v>35.346615</v>
      </c>
      <c r="F384" s="12">
        <v>262.52</v>
      </c>
      <c r="G384" s="12">
        <v>144.5</v>
      </c>
      <c r="H384" s="12">
        <v>11.72</v>
      </c>
      <c r="I384" s="12">
        <v>62.048653000000002</v>
      </c>
      <c r="J384">
        <f t="shared" si="19"/>
        <v>-1.2970969734404036E-2</v>
      </c>
      <c r="K384">
        <f t="shared" si="19"/>
        <v>-4.7933884297520657E-2</v>
      </c>
      <c r="L384">
        <f t="shared" si="19"/>
        <v>-1.2758632328619068E-2</v>
      </c>
      <c r="M384">
        <f t="shared" si="19"/>
        <v>-1.8686443624800209E-2</v>
      </c>
      <c r="N384">
        <f t="shared" si="20"/>
        <v>-1.3231093068711619E-2</v>
      </c>
      <c r="O384">
        <f t="shared" si="20"/>
        <v>-6.1898211829436445E-3</v>
      </c>
      <c r="P384">
        <f t="shared" si="20"/>
        <v>-2.006688963210701E-2</v>
      </c>
      <c r="Q384">
        <f t="shared" si="20"/>
        <v>-2.7453887813579048E-2</v>
      </c>
      <c r="R384" s="15">
        <f t="shared" si="17"/>
        <v>-1.877600742973197E-2</v>
      </c>
    </row>
    <row r="385" spans="1:18" x14ac:dyDescent="0.2">
      <c r="A385" s="13">
        <v>45489</v>
      </c>
      <c r="B385" s="14">
        <v>16.190000000000001</v>
      </c>
      <c r="C385" s="14">
        <v>12.1</v>
      </c>
      <c r="D385" s="14">
        <v>296.27</v>
      </c>
      <c r="E385" s="14">
        <v>36.019694999999999</v>
      </c>
      <c r="F385" s="14">
        <v>266.04000000000002</v>
      </c>
      <c r="G385" s="14">
        <v>145.4</v>
      </c>
      <c r="H385" s="14">
        <v>11.96</v>
      </c>
      <c r="I385" s="14">
        <v>63.800217000000004</v>
      </c>
      <c r="J385">
        <f t="shared" si="19"/>
        <v>5.5900621118012417E-3</v>
      </c>
      <c r="K385">
        <f t="shared" si="19"/>
        <v>1.4249790444258226E-2</v>
      </c>
      <c r="L385">
        <f t="shared" si="19"/>
        <v>1.0298380221653858E-2</v>
      </c>
      <c r="M385">
        <f t="shared" si="19"/>
        <v>1.1003859549818529E-3</v>
      </c>
      <c r="N385">
        <f t="shared" si="20"/>
        <v>1.3678795961135526E-2</v>
      </c>
      <c r="O385">
        <f t="shared" si="20"/>
        <v>1.0634600681170614E-2</v>
      </c>
      <c r="P385">
        <f t="shared" si="20"/>
        <v>1.7006802721088565E-2</v>
      </c>
      <c r="Q385">
        <f t="shared" si="20"/>
        <v>1.8437788539449329E-3</v>
      </c>
      <c r="R385" s="15">
        <f t="shared" si="17"/>
        <v>1.0749572298462332E-2</v>
      </c>
    </row>
    <row r="386" spans="1:18" x14ac:dyDescent="0.2">
      <c r="A386" s="11">
        <v>45488</v>
      </c>
      <c r="B386" s="12">
        <v>16.100000000000001</v>
      </c>
      <c r="C386" s="12">
        <v>11.93</v>
      </c>
      <c r="D386" s="12">
        <v>293.25</v>
      </c>
      <c r="E386" s="12">
        <v>35.980103</v>
      </c>
      <c r="F386" s="12">
        <v>262.45</v>
      </c>
      <c r="G386" s="12">
        <v>143.87</v>
      </c>
      <c r="H386" s="12">
        <v>11.76</v>
      </c>
      <c r="I386" s="12">
        <v>63.6828</v>
      </c>
      <c r="J386">
        <f t="shared" si="19"/>
        <v>-8.6206896551722645E-3</v>
      </c>
      <c r="K386">
        <f t="shared" si="19"/>
        <v>-1.8914473684210509E-2</v>
      </c>
      <c r="L386">
        <f t="shared" si="19"/>
        <v>-6.6729896348486362E-3</v>
      </c>
      <c r="M386">
        <f t="shared" si="19"/>
        <v>-1.2764793943365049E-2</v>
      </c>
      <c r="N386">
        <f t="shared" si="20"/>
        <v>-4.2493455249079659E-3</v>
      </c>
      <c r="O386">
        <f t="shared" si="20"/>
        <v>-9.1597796143250143E-3</v>
      </c>
      <c r="P386">
        <f t="shared" si="20"/>
        <v>1.1177987962166736E-2</v>
      </c>
      <c r="Q386">
        <f t="shared" si="20"/>
        <v>-3.4850928155843452E-2</v>
      </c>
      <c r="R386" s="15">
        <f t="shared" si="17"/>
        <v>-7.7823854938969339E-3</v>
      </c>
    </row>
    <row r="387" spans="1:18" x14ac:dyDescent="0.2">
      <c r="A387" s="13">
        <v>45485</v>
      </c>
      <c r="B387" s="14">
        <v>16.239999999999998</v>
      </c>
      <c r="C387" s="14">
        <v>12.16</v>
      </c>
      <c r="D387" s="14">
        <v>295.22000000000003</v>
      </c>
      <c r="E387" s="14">
        <v>36.445320000000002</v>
      </c>
      <c r="F387" s="14">
        <v>263.57</v>
      </c>
      <c r="G387" s="14">
        <v>145.19999999999999</v>
      </c>
      <c r="H387" s="14">
        <v>11.63</v>
      </c>
      <c r="I387" s="14">
        <v>65.982346000000007</v>
      </c>
      <c r="J387">
        <f t="shared" si="19"/>
        <v>-1.635372501514254E-2</v>
      </c>
      <c r="K387">
        <f t="shared" si="19"/>
        <v>-1.6420361247947435E-3</v>
      </c>
      <c r="L387">
        <f t="shared" si="19"/>
        <v>2.6780745687256635E-2</v>
      </c>
      <c r="M387">
        <f t="shared" si="19"/>
        <v>1.6322243240725065E-3</v>
      </c>
      <c r="N387">
        <f t="shared" si="20"/>
        <v>8.4943562272812301E-3</v>
      </c>
      <c r="O387">
        <f t="shared" si="20"/>
        <v>8.2633150475661665E-3</v>
      </c>
      <c r="P387">
        <f t="shared" si="20"/>
        <v>2.017543859649118E-2</v>
      </c>
      <c r="Q387">
        <f t="shared" si="20"/>
        <v>1.6277356534478926E-2</v>
      </c>
      <c r="R387" s="15">
        <f t="shared" ref="R387:R450" si="21">SUMPRODUCT($T$2:$AA$2,J387:Q387)</f>
        <v>9.5443596952486352E-3</v>
      </c>
    </row>
    <row r="388" spans="1:18" x14ac:dyDescent="0.2">
      <c r="A388" s="11">
        <v>45484</v>
      </c>
      <c r="B388" s="12">
        <v>16.510000000000002</v>
      </c>
      <c r="C388" s="12">
        <v>12.18</v>
      </c>
      <c r="D388" s="12">
        <v>287.52</v>
      </c>
      <c r="E388" s="12">
        <v>36.385930000000002</v>
      </c>
      <c r="F388" s="12">
        <v>261.35000000000002</v>
      </c>
      <c r="G388" s="12">
        <v>144.01</v>
      </c>
      <c r="H388" s="12">
        <v>11.4</v>
      </c>
      <c r="I388" s="12">
        <v>64.925529999999995</v>
      </c>
      <c r="J388">
        <f t="shared" si="19"/>
        <v>1.1642156862745168E-2</v>
      </c>
      <c r="K388">
        <f t="shared" si="19"/>
        <v>2.1812080536912637E-2</v>
      </c>
      <c r="L388">
        <f t="shared" si="19"/>
        <v>-8.6200951658506053E-3</v>
      </c>
      <c r="M388">
        <f t="shared" si="19"/>
        <v>3.5489172153568838E-3</v>
      </c>
      <c r="N388">
        <f t="shared" si="20"/>
        <v>1.2160644436699064E-2</v>
      </c>
      <c r="O388">
        <f t="shared" si="20"/>
        <v>-1.3176144244104737E-3</v>
      </c>
      <c r="P388">
        <f t="shared" si="20"/>
        <v>9.7431355181578638E-3</v>
      </c>
      <c r="Q388">
        <f t="shared" si="20"/>
        <v>-3.3048406981738276E-3</v>
      </c>
      <c r="R388" s="15">
        <f t="shared" si="21"/>
        <v>6.3769076320823181E-3</v>
      </c>
    </row>
    <row r="389" spans="1:18" x14ac:dyDescent="0.2">
      <c r="A389" s="13">
        <v>45483</v>
      </c>
      <c r="B389" s="14">
        <v>16.32</v>
      </c>
      <c r="C389" s="14">
        <v>11.92</v>
      </c>
      <c r="D389" s="14">
        <v>290.02</v>
      </c>
      <c r="E389" s="14">
        <v>36.257255999999998</v>
      </c>
      <c r="F389" s="14">
        <v>258.20999999999998</v>
      </c>
      <c r="G389" s="14">
        <v>144.19999999999999</v>
      </c>
      <c r="H389" s="14">
        <v>11.29</v>
      </c>
      <c r="I389" s="14">
        <v>65.140810000000002</v>
      </c>
      <c r="J389">
        <f t="shared" si="19"/>
        <v>9.2764378478662479E-3</v>
      </c>
      <c r="K389">
        <f t="shared" si="19"/>
        <v>6.5236818588024992E-2</v>
      </c>
      <c r="L389">
        <f t="shared" si="19"/>
        <v>1.1897700708279446E-2</v>
      </c>
      <c r="M389">
        <f t="shared" si="19"/>
        <v>-9.1966408732233607E-3</v>
      </c>
      <c r="N389">
        <f t="shared" si="20"/>
        <v>4.0078949488439486E-2</v>
      </c>
      <c r="O389">
        <f t="shared" si="20"/>
        <v>2.2549992908807104E-2</v>
      </c>
      <c r="P389">
        <f t="shared" si="20"/>
        <v>7.1364852809989721E-3</v>
      </c>
      <c r="Q389">
        <f t="shared" si="20"/>
        <v>1.7578790884925644E-2</v>
      </c>
      <c r="R389" s="15">
        <f t="shared" si="21"/>
        <v>2.2711275647284646E-2</v>
      </c>
    </row>
    <row r="390" spans="1:18" x14ac:dyDescent="0.2">
      <c r="A390" s="11">
        <v>45482</v>
      </c>
      <c r="B390" s="12">
        <v>16.170000000000002</v>
      </c>
      <c r="C390" s="12">
        <v>11.19</v>
      </c>
      <c r="D390" s="12">
        <v>286.61</v>
      </c>
      <c r="E390" s="12">
        <v>36.593795999999998</v>
      </c>
      <c r="F390" s="12">
        <v>248.26</v>
      </c>
      <c r="G390" s="12">
        <v>141.02000000000001</v>
      </c>
      <c r="H390" s="12">
        <v>11.21</v>
      </c>
      <c r="I390" s="12">
        <v>64.015495000000001</v>
      </c>
      <c r="J390">
        <f t="shared" si="19"/>
        <v>2.0833333333333481E-2</v>
      </c>
      <c r="K390">
        <f t="shared" si="19"/>
        <v>-1.148409893992941E-2</v>
      </c>
      <c r="L390">
        <f t="shared" si="19"/>
        <v>2.6981510677941856E-2</v>
      </c>
      <c r="M390">
        <f t="shared" si="19"/>
        <v>-6.4497771599466569E-3</v>
      </c>
      <c r="N390">
        <f t="shared" si="20"/>
        <v>-1.0876927367624245E-2</v>
      </c>
      <c r="O390">
        <f t="shared" si="20"/>
        <v>-7.6002814919069461E-3</v>
      </c>
      <c r="P390">
        <f t="shared" si="20"/>
        <v>-4.4404973357015098E-3</v>
      </c>
      <c r="Q390">
        <f t="shared" si="20"/>
        <v>3.1210538057383275E-2</v>
      </c>
      <c r="R390" s="15">
        <f t="shared" si="21"/>
        <v>1.4544814616856082E-3</v>
      </c>
    </row>
    <row r="391" spans="1:18" x14ac:dyDescent="0.2">
      <c r="A391" s="13">
        <v>45481</v>
      </c>
      <c r="B391" s="14">
        <v>15.84</v>
      </c>
      <c r="C391" s="14">
        <v>11.32</v>
      </c>
      <c r="D391" s="14">
        <v>279.08</v>
      </c>
      <c r="E391" s="14">
        <v>36.83135</v>
      </c>
      <c r="F391" s="14">
        <v>250.99</v>
      </c>
      <c r="G391" s="14">
        <v>142.1</v>
      </c>
      <c r="H391" s="14">
        <v>11.26</v>
      </c>
      <c r="I391" s="14">
        <v>62.078006999999999</v>
      </c>
      <c r="J391">
        <f t="shared" si="19"/>
        <v>6.3532401524777349E-3</v>
      </c>
      <c r="K391">
        <f t="shared" si="19"/>
        <v>1.8901890189018999E-2</v>
      </c>
      <c r="L391">
        <f t="shared" si="19"/>
        <v>7.1454348610608953E-3</v>
      </c>
      <c r="M391">
        <f t="shared" si="19"/>
        <v>3.0462407462523933E-2</v>
      </c>
      <c r="N391">
        <f t="shared" si="20"/>
        <v>9.6138374899437107E-3</v>
      </c>
      <c r="O391">
        <f t="shared" si="20"/>
        <v>2.3848980474097559E-2</v>
      </c>
      <c r="P391">
        <f t="shared" si="20"/>
        <v>5.3571428571428381E-3</v>
      </c>
      <c r="Q391">
        <f t="shared" si="20"/>
        <v>3.1539629246846168E-4</v>
      </c>
      <c r="R391" s="15">
        <f t="shared" si="21"/>
        <v>1.2480245116318366E-2</v>
      </c>
    </row>
    <row r="392" spans="1:18" x14ac:dyDescent="0.2">
      <c r="A392" s="11">
        <v>45478</v>
      </c>
      <c r="B392" s="12">
        <v>15.74</v>
      </c>
      <c r="C392" s="12">
        <v>11.11</v>
      </c>
      <c r="D392" s="12">
        <v>277.10000000000002</v>
      </c>
      <c r="E392" s="12">
        <v>35.742545999999997</v>
      </c>
      <c r="F392" s="12">
        <v>248.6</v>
      </c>
      <c r="G392" s="12">
        <v>138.79</v>
      </c>
      <c r="H392" s="12">
        <v>11.2</v>
      </c>
      <c r="I392" s="12">
        <v>62.058433999999998</v>
      </c>
      <c r="J392">
        <f t="shared" si="19"/>
        <v>-1.2547051442910906E-2</v>
      </c>
      <c r="K392">
        <f t="shared" si="19"/>
        <v>-1.7969451931717506E-3</v>
      </c>
      <c r="L392">
        <f t="shared" si="19"/>
        <v>-2.1263068663464169E-2</v>
      </c>
      <c r="M392">
        <f t="shared" si="19"/>
        <v>-1.2848570267967929E-2</v>
      </c>
      <c r="N392">
        <f t="shared" si="20"/>
        <v>8.519269776876337E-3</v>
      </c>
      <c r="O392">
        <f t="shared" si="20"/>
        <v>4.9963794351919333E-3</v>
      </c>
      <c r="P392">
        <f t="shared" si="20"/>
        <v>-3.4482758620689724E-2</v>
      </c>
      <c r="Q392">
        <f t="shared" si="20"/>
        <v>2.5052478692624947E-2</v>
      </c>
      <c r="R392" s="15">
        <f t="shared" si="21"/>
        <v>-6.2786985464509358E-3</v>
      </c>
    </row>
    <row r="393" spans="1:18" x14ac:dyDescent="0.2">
      <c r="A393" s="13">
        <v>45477</v>
      </c>
      <c r="B393" s="14">
        <v>15.94</v>
      </c>
      <c r="C393" s="14">
        <v>11.13</v>
      </c>
      <c r="D393" s="14">
        <v>283.12</v>
      </c>
      <c r="E393" s="14">
        <v>36.207763999999997</v>
      </c>
      <c r="F393" s="14">
        <v>246.5</v>
      </c>
      <c r="G393" s="14">
        <v>138.1</v>
      </c>
      <c r="H393" s="14">
        <v>11.6</v>
      </c>
      <c r="I393" s="14">
        <v>60.541713999999999</v>
      </c>
      <c r="J393">
        <f t="shared" si="19"/>
        <v>3.7783375314861534E-3</v>
      </c>
      <c r="K393">
        <f t="shared" si="19"/>
        <v>-8.9766606822261341E-4</v>
      </c>
      <c r="L393">
        <f t="shared" si="19"/>
        <v>-3.3091600366119689E-3</v>
      </c>
      <c r="M393">
        <f t="shared" si="19"/>
        <v>-2.7262152728431133E-3</v>
      </c>
      <c r="N393">
        <f t="shared" si="20"/>
        <v>1.1240564489662042E-2</v>
      </c>
      <c r="O393">
        <f t="shared" si="20"/>
        <v>-5.9742316274383755E-3</v>
      </c>
      <c r="P393">
        <f t="shared" si="20"/>
        <v>-8.6132644272174375E-4</v>
      </c>
      <c r="Q393">
        <f t="shared" si="20"/>
        <v>-6.5831447825513978E-3</v>
      </c>
      <c r="R393" s="15">
        <f t="shared" si="21"/>
        <v>4.1211419318593588E-4</v>
      </c>
    </row>
    <row r="394" spans="1:18" x14ac:dyDescent="0.2">
      <c r="A394" s="11">
        <v>45476</v>
      </c>
      <c r="B394" s="12">
        <v>15.88</v>
      </c>
      <c r="C394" s="12">
        <v>11.14</v>
      </c>
      <c r="D394" s="12">
        <v>284.06</v>
      </c>
      <c r="E394" s="12">
        <v>36.306744000000002</v>
      </c>
      <c r="F394" s="12">
        <v>243.76</v>
      </c>
      <c r="G394" s="12">
        <v>138.93</v>
      </c>
      <c r="H394" s="12">
        <v>11.61</v>
      </c>
      <c r="I394" s="12">
        <v>60.942909999999998</v>
      </c>
      <c r="J394">
        <f t="shared" ref="J394:P445" si="22">B394/B395-1</f>
        <v>2.5839793281653867E-2</v>
      </c>
      <c r="K394">
        <f t="shared" si="22"/>
        <v>-4.4682752457549935E-3</v>
      </c>
      <c r="L394">
        <f t="shared" si="22"/>
        <v>1.7625564233001434E-2</v>
      </c>
      <c r="M394">
        <f t="shared" si="22"/>
        <v>2.3152082497069015E-2</v>
      </c>
      <c r="N394">
        <f t="shared" si="20"/>
        <v>4.0198002901766561E-2</v>
      </c>
      <c r="O394">
        <f t="shared" si="20"/>
        <v>2.2822645954502008E-2</v>
      </c>
      <c r="P394">
        <f t="shared" si="20"/>
        <v>1.752848378615246E-2</v>
      </c>
      <c r="Q394">
        <f t="shared" si="20"/>
        <v>2.9591659861053943E-2</v>
      </c>
      <c r="R394" s="15">
        <f t="shared" si="21"/>
        <v>2.2758354393727136E-2</v>
      </c>
    </row>
    <row r="395" spans="1:18" x14ac:dyDescent="0.2">
      <c r="A395" s="13">
        <v>45475</v>
      </c>
      <c r="B395" s="14">
        <v>15.48</v>
      </c>
      <c r="C395" s="14">
        <v>11.19</v>
      </c>
      <c r="D395" s="14">
        <v>279.14</v>
      </c>
      <c r="E395" s="14">
        <v>35.485188000000001</v>
      </c>
      <c r="F395" s="14">
        <v>234.34</v>
      </c>
      <c r="G395" s="14">
        <v>135.83000000000001</v>
      </c>
      <c r="H395" s="14">
        <v>11.41</v>
      </c>
      <c r="I395" s="14">
        <v>59.191339999999997</v>
      </c>
      <c r="J395">
        <f t="shared" si="22"/>
        <v>-1.5893197711379536E-2</v>
      </c>
      <c r="K395">
        <f t="shared" si="22"/>
        <v>-3.3678756476683946E-2</v>
      </c>
      <c r="L395">
        <f t="shared" si="22"/>
        <v>-2.2961148057402903E-2</v>
      </c>
      <c r="M395">
        <f t="shared" si="22"/>
        <v>-1.2396728026604631E-2</v>
      </c>
      <c r="N395">
        <f t="shared" si="20"/>
        <v>-1.7483543666932166E-2</v>
      </c>
      <c r="O395">
        <f t="shared" si="20"/>
        <v>-1.8214672930972009E-2</v>
      </c>
      <c r="P395">
        <f t="shared" si="20"/>
        <v>-9.5486111111110494E-3</v>
      </c>
      <c r="Q395">
        <f t="shared" si="20"/>
        <v>-4.9350339329814474E-3</v>
      </c>
      <c r="R395" s="15">
        <f t="shared" si="21"/>
        <v>-1.708682730254759E-2</v>
      </c>
    </row>
    <row r="396" spans="1:18" x14ac:dyDescent="0.2">
      <c r="A396" s="11">
        <v>45474</v>
      </c>
      <c r="B396" s="12">
        <v>15.73</v>
      </c>
      <c r="C396" s="12">
        <v>11.58</v>
      </c>
      <c r="D396" s="12">
        <v>285.7</v>
      </c>
      <c r="E396" s="12">
        <v>35.930610000000001</v>
      </c>
      <c r="F396" s="12">
        <v>238.51</v>
      </c>
      <c r="G396" s="12">
        <v>138.35</v>
      </c>
      <c r="H396" s="12">
        <v>11.52</v>
      </c>
      <c r="I396" s="12">
        <v>59.484900000000003</v>
      </c>
      <c r="J396">
        <f t="shared" si="22"/>
        <v>1.0276172125883054E-2</v>
      </c>
      <c r="K396">
        <f t="shared" si="22"/>
        <v>-1.1101622544833489E-2</v>
      </c>
      <c r="L396">
        <f t="shared" si="22"/>
        <v>-1.6772660563282304E-3</v>
      </c>
      <c r="M396">
        <f t="shared" si="22"/>
        <v>1.7947270093372936E-2</v>
      </c>
      <c r="N396">
        <f t="shared" si="20"/>
        <v>3.196635120925384E-3</v>
      </c>
      <c r="O396">
        <f t="shared" si="20"/>
        <v>1.340462935833564E-2</v>
      </c>
      <c r="P396">
        <f t="shared" si="20"/>
        <v>-5.1813471502590858E-3</v>
      </c>
      <c r="Q396">
        <f t="shared" si="20"/>
        <v>1.6895311934635782E-2</v>
      </c>
      <c r="R396" s="15">
        <f t="shared" si="21"/>
        <v>4.0336350965712751E-3</v>
      </c>
    </row>
    <row r="397" spans="1:18" x14ac:dyDescent="0.2">
      <c r="A397" s="13">
        <v>45471</v>
      </c>
      <c r="B397" s="14">
        <v>15.57</v>
      </c>
      <c r="C397" s="14">
        <v>11.71</v>
      </c>
      <c r="D397" s="14">
        <v>286.18</v>
      </c>
      <c r="E397" s="14">
        <v>35.297122999999999</v>
      </c>
      <c r="F397" s="14">
        <v>237.75</v>
      </c>
      <c r="G397" s="14">
        <v>136.52000000000001</v>
      </c>
      <c r="H397" s="14">
        <v>11.58</v>
      </c>
      <c r="I397" s="14">
        <v>58.496581999999997</v>
      </c>
      <c r="J397">
        <f t="shared" si="22"/>
        <v>6.4641241111829117E-3</v>
      </c>
      <c r="K397">
        <f t="shared" si="22"/>
        <v>-1.7050298380221207E-3</v>
      </c>
      <c r="L397">
        <f t="shared" si="22"/>
        <v>3.6473311355826876E-3</v>
      </c>
      <c r="M397">
        <f t="shared" si="22"/>
        <v>-3.2030393980657879E-2</v>
      </c>
      <c r="N397">
        <f t="shared" si="20"/>
        <v>-2.1405187610172849E-3</v>
      </c>
      <c r="O397">
        <f t="shared" si="20"/>
        <v>1.6833010576493557E-2</v>
      </c>
      <c r="P397">
        <f t="shared" si="20"/>
        <v>-9.4097519247219319E-3</v>
      </c>
      <c r="Q397">
        <f t="shared" si="20"/>
        <v>-2.0963025654744616E-2</v>
      </c>
      <c r="R397" s="15">
        <f t="shared" si="21"/>
        <v>-3.4850664139639163E-3</v>
      </c>
    </row>
    <row r="398" spans="1:18" x14ac:dyDescent="0.2">
      <c r="A398" s="11">
        <v>45470</v>
      </c>
      <c r="B398" s="12">
        <v>15.47</v>
      </c>
      <c r="C398" s="12">
        <v>11.73</v>
      </c>
      <c r="D398" s="12">
        <v>285.14</v>
      </c>
      <c r="E398" s="12">
        <v>36.465114999999997</v>
      </c>
      <c r="F398" s="12">
        <v>238.26</v>
      </c>
      <c r="G398" s="12">
        <v>134.26</v>
      </c>
      <c r="H398" s="12">
        <v>11.69</v>
      </c>
      <c r="I398" s="12">
        <v>59.749104000000003</v>
      </c>
      <c r="J398">
        <f t="shared" si="22"/>
        <v>-1.2911555842478606E-3</v>
      </c>
      <c r="K398">
        <f t="shared" si="22"/>
        <v>9.4664371772805733E-3</v>
      </c>
      <c r="L398">
        <f t="shared" si="22"/>
        <v>1.5202762844020334E-2</v>
      </c>
      <c r="M398">
        <f t="shared" si="22"/>
        <v>-1.8385303967412225E-2</v>
      </c>
      <c r="N398">
        <f t="shared" si="20"/>
        <v>-4.5540004177981874E-3</v>
      </c>
      <c r="O398">
        <f t="shared" si="20"/>
        <v>-2.2924095771777897E-2</v>
      </c>
      <c r="P398">
        <f t="shared" si="20"/>
        <v>-1.1834319526627279E-2</v>
      </c>
      <c r="Q398">
        <f t="shared" si="20"/>
        <v>-5.0513509440497373E-3</v>
      </c>
      <c r="R398" s="15">
        <f t="shared" si="21"/>
        <v>-5.4739860638607684E-3</v>
      </c>
    </row>
    <row r="399" spans="1:18" x14ac:dyDescent="0.2">
      <c r="A399" s="13">
        <v>45469</v>
      </c>
      <c r="B399" s="14">
        <v>15.49</v>
      </c>
      <c r="C399" s="14">
        <v>11.62</v>
      </c>
      <c r="D399" s="14">
        <v>280.87</v>
      </c>
      <c r="E399" s="14">
        <v>37.148094</v>
      </c>
      <c r="F399" s="14">
        <v>239.35</v>
      </c>
      <c r="G399" s="14">
        <v>137.41</v>
      </c>
      <c r="H399" s="14">
        <v>11.83</v>
      </c>
      <c r="I399" s="14">
        <v>60.05245</v>
      </c>
      <c r="J399">
        <f t="shared" si="22"/>
        <v>1.3743455497382318E-2</v>
      </c>
      <c r="K399">
        <f t="shared" si="22"/>
        <v>6.0606060606058776E-3</v>
      </c>
      <c r="L399">
        <f t="shared" si="22"/>
        <v>-2.702047320469747E-2</v>
      </c>
      <c r="M399">
        <f t="shared" si="22"/>
        <v>-2.897808749839903E-2</v>
      </c>
      <c r="N399">
        <f t="shared" si="20"/>
        <v>-2.9160591543428982E-3</v>
      </c>
      <c r="O399">
        <f t="shared" si="20"/>
        <v>2.9751199040767284E-2</v>
      </c>
      <c r="P399">
        <f t="shared" si="20"/>
        <v>-1.9071310116086315E-2</v>
      </c>
      <c r="Q399">
        <f t="shared" si="20"/>
        <v>-4.8645143098455801E-3</v>
      </c>
      <c r="R399" s="15">
        <f t="shared" si="21"/>
        <v>-4.1628299741892864E-3</v>
      </c>
    </row>
    <row r="400" spans="1:18" x14ac:dyDescent="0.2">
      <c r="A400" s="11">
        <v>45468</v>
      </c>
      <c r="B400" s="12">
        <v>15.28</v>
      </c>
      <c r="C400" s="12">
        <v>11.55</v>
      </c>
      <c r="D400" s="12">
        <v>288.67</v>
      </c>
      <c r="E400" s="12">
        <v>38.256700000000002</v>
      </c>
      <c r="F400" s="12">
        <v>240.05</v>
      </c>
      <c r="G400" s="12">
        <v>133.44</v>
      </c>
      <c r="H400" s="12">
        <v>12.06</v>
      </c>
      <c r="I400" s="12">
        <v>60.346004000000001</v>
      </c>
      <c r="J400">
        <f t="shared" si="22"/>
        <v>7.9155672823219003E-3</v>
      </c>
      <c r="K400">
        <f t="shared" si="22"/>
        <v>6.0975609756097615E-3</v>
      </c>
      <c r="L400">
        <f t="shared" si="22"/>
        <v>-1.7327069716775556E-2</v>
      </c>
      <c r="M400">
        <f t="shared" si="22"/>
        <v>2.7379087245597011E-2</v>
      </c>
      <c r="N400">
        <f t="shared" si="20"/>
        <v>-1.4143683181495614E-3</v>
      </c>
      <c r="O400">
        <f t="shared" si="20"/>
        <v>1.1828935395814311E-2</v>
      </c>
      <c r="P400">
        <f t="shared" si="20"/>
        <v>8.3612040133778098E-3</v>
      </c>
      <c r="Q400">
        <f t="shared" si="20"/>
        <v>-7.882896453682231E-3</v>
      </c>
      <c r="R400" s="15">
        <f t="shared" si="21"/>
        <v>3.8386531505757351E-3</v>
      </c>
    </row>
    <row r="401" spans="1:18" x14ac:dyDescent="0.2">
      <c r="A401" s="13">
        <v>45467</v>
      </c>
      <c r="B401" s="14">
        <v>15.16</v>
      </c>
      <c r="C401" s="14">
        <v>11.48</v>
      </c>
      <c r="D401" s="14">
        <v>293.76</v>
      </c>
      <c r="E401" s="14">
        <v>37.237180000000002</v>
      </c>
      <c r="F401" s="14">
        <v>240.39</v>
      </c>
      <c r="G401" s="14">
        <v>131.88</v>
      </c>
      <c r="H401" s="14">
        <v>11.96</v>
      </c>
      <c r="I401" s="14">
        <v>60.825485</v>
      </c>
      <c r="J401">
        <f t="shared" si="22"/>
        <v>-8.5022890778285731E-3</v>
      </c>
      <c r="K401">
        <f t="shared" si="22"/>
        <v>3.4965034965035446E-3</v>
      </c>
      <c r="L401">
        <f t="shared" si="22"/>
        <v>-5.113963491042095E-3</v>
      </c>
      <c r="M401">
        <f t="shared" si="22"/>
        <v>-3.0412311675745651E-2</v>
      </c>
      <c r="N401">
        <f t="shared" si="20"/>
        <v>2.7530972343887683E-3</v>
      </c>
      <c r="O401">
        <f t="shared" si="20"/>
        <v>-5.7297949336548859E-3</v>
      </c>
      <c r="P401">
        <f t="shared" si="20"/>
        <v>3.1924072476272825E-2</v>
      </c>
      <c r="Q401">
        <f t="shared" si="20"/>
        <v>6.313709945062973E-3</v>
      </c>
      <c r="R401" s="15">
        <f t="shared" si="21"/>
        <v>2.0618168337283201E-3</v>
      </c>
    </row>
    <row r="402" spans="1:18" x14ac:dyDescent="0.2">
      <c r="A402" s="11">
        <v>45464</v>
      </c>
      <c r="B402" s="12">
        <v>15.29</v>
      </c>
      <c r="C402" s="12">
        <v>11.44</v>
      </c>
      <c r="D402" s="12">
        <v>295.27</v>
      </c>
      <c r="E402" s="12">
        <v>38.405169999999998</v>
      </c>
      <c r="F402" s="12">
        <v>239.73</v>
      </c>
      <c r="G402" s="12">
        <v>132.63999999999999</v>
      </c>
      <c r="H402" s="12">
        <v>11.59</v>
      </c>
      <c r="I402" s="12">
        <v>60.443860000000001</v>
      </c>
      <c r="J402">
        <f t="shared" si="22"/>
        <v>-1.0355987055016169E-2</v>
      </c>
      <c r="K402">
        <f t="shared" si="22"/>
        <v>-2.7210884353741527E-2</v>
      </c>
      <c r="L402">
        <f t="shared" si="22"/>
        <v>-2.0403423794041697E-2</v>
      </c>
      <c r="M402">
        <f t="shared" si="22"/>
        <v>5.6932742194838903E-2</v>
      </c>
      <c r="N402">
        <f t="shared" si="20"/>
        <v>-7.0669871297875608E-2</v>
      </c>
      <c r="O402">
        <f t="shared" si="20"/>
        <v>4.9246155011741788E-3</v>
      </c>
      <c r="P402">
        <f t="shared" si="20"/>
        <v>-4.1356492969396141E-2</v>
      </c>
      <c r="Q402">
        <f t="shared" si="20"/>
        <v>-1.2943478962284427E-2</v>
      </c>
      <c r="R402" s="15">
        <f t="shared" si="21"/>
        <v>-2.3363449225231956E-2</v>
      </c>
    </row>
    <row r="403" spans="1:18" x14ac:dyDescent="0.2">
      <c r="A403" s="13">
        <v>45463</v>
      </c>
      <c r="B403" s="14">
        <v>15.45</v>
      </c>
      <c r="C403" s="14">
        <v>11.76</v>
      </c>
      <c r="D403" s="14">
        <v>301.42</v>
      </c>
      <c r="E403" s="14">
        <v>36.336436999999997</v>
      </c>
      <c r="F403" s="14">
        <v>257.95999999999998</v>
      </c>
      <c r="G403" s="14">
        <v>131.99</v>
      </c>
      <c r="H403" s="14">
        <v>12.09</v>
      </c>
      <c r="I403" s="14">
        <v>61.236472999999997</v>
      </c>
      <c r="J403">
        <f t="shared" si="22"/>
        <v>-1.5296367112810683E-2</v>
      </c>
      <c r="K403">
        <f t="shared" si="22"/>
        <v>-1.9182652210175233E-2</v>
      </c>
      <c r="L403">
        <f t="shared" si="22"/>
        <v>3.982741453700811E-4</v>
      </c>
      <c r="M403">
        <f t="shared" si="22"/>
        <v>3.2795326920622703E-3</v>
      </c>
      <c r="N403">
        <f t="shared" si="20"/>
        <v>4.7553299492385737E-2</v>
      </c>
      <c r="O403">
        <f t="shared" si="20"/>
        <v>-6.3238726191372496E-3</v>
      </c>
      <c r="P403">
        <f t="shared" si="20"/>
        <v>-2.5000000000000022E-2</v>
      </c>
      <c r="Q403">
        <f t="shared" si="20"/>
        <v>-1.9890282849643337E-2</v>
      </c>
      <c r="R403" s="15">
        <f t="shared" si="21"/>
        <v>2.6877782633620323E-4</v>
      </c>
    </row>
    <row r="404" spans="1:18" x14ac:dyDescent="0.2">
      <c r="A404" s="11">
        <v>45462</v>
      </c>
      <c r="B404" s="12">
        <v>15.69</v>
      </c>
      <c r="C404" s="12">
        <v>11.99</v>
      </c>
      <c r="D404" s="12">
        <v>301.3</v>
      </c>
      <c r="E404" s="12">
        <v>36.217660000000002</v>
      </c>
      <c r="F404" s="12">
        <v>246.25</v>
      </c>
      <c r="G404" s="12">
        <v>132.83000000000001</v>
      </c>
      <c r="H404" s="12">
        <v>12.4</v>
      </c>
      <c r="I404" s="12">
        <v>62.479202000000001</v>
      </c>
      <c r="J404">
        <f t="shared" si="22"/>
        <v>3.8387715930900956E-3</v>
      </c>
      <c r="K404">
        <f t="shared" si="22"/>
        <v>3.3472803347280866E-3</v>
      </c>
      <c r="L404">
        <f t="shared" si="22"/>
        <v>-1.4618831147594546E-2</v>
      </c>
      <c r="M404">
        <f t="shared" si="22"/>
        <v>1.6953787948347232E-2</v>
      </c>
      <c r="N404">
        <f t="shared" si="20"/>
        <v>-8.6553945249597808E-3</v>
      </c>
      <c r="O404">
        <f t="shared" si="20"/>
        <v>4.3856332703213763E-3</v>
      </c>
      <c r="P404">
        <f t="shared" si="20"/>
        <v>1.1419249592169667E-2</v>
      </c>
      <c r="Q404">
        <f t="shared" si="20"/>
        <v>2.2090524416022772E-2</v>
      </c>
      <c r="R404" s="15">
        <f t="shared" si="21"/>
        <v>2.9517539334613071E-3</v>
      </c>
    </row>
    <row r="405" spans="1:18" x14ac:dyDescent="0.2">
      <c r="A405" s="13">
        <v>45461</v>
      </c>
      <c r="B405" s="14">
        <v>15.63</v>
      </c>
      <c r="C405" s="14">
        <v>11.95</v>
      </c>
      <c r="D405" s="14">
        <v>305.77</v>
      </c>
      <c r="E405" s="14">
        <v>35.613869999999999</v>
      </c>
      <c r="F405" s="14">
        <v>248.4</v>
      </c>
      <c r="G405" s="14">
        <v>132.25</v>
      </c>
      <c r="H405" s="14">
        <v>12.26</v>
      </c>
      <c r="I405" s="14">
        <v>61.128833999999998</v>
      </c>
      <c r="J405">
        <f t="shared" si="22"/>
        <v>-1.9157088122604415E-3</v>
      </c>
      <c r="K405">
        <f t="shared" si="22"/>
        <v>-8.2987551867220732E-3</v>
      </c>
      <c r="L405">
        <f t="shared" si="22"/>
        <v>1.1913823344474883E-2</v>
      </c>
      <c r="M405">
        <f t="shared" si="22"/>
        <v>2.5655713301024008E-2</v>
      </c>
      <c r="N405">
        <f t="shared" si="20"/>
        <v>3.8027580442958619E-2</v>
      </c>
      <c r="O405">
        <f t="shared" si="20"/>
        <v>2.8382581648522587E-2</v>
      </c>
      <c r="P405">
        <f t="shared" si="20"/>
        <v>-5.6772100567721306E-3</v>
      </c>
      <c r="Q405">
        <f t="shared" si="20"/>
        <v>5.6342916220033512E-3</v>
      </c>
      <c r="R405" s="15">
        <f t="shared" si="21"/>
        <v>1.4117524166832363E-2</v>
      </c>
    </row>
    <row r="406" spans="1:18" x14ac:dyDescent="0.2">
      <c r="A406" s="11">
        <v>45460</v>
      </c>
      <c r="B406" s="12">
        <v>15.66</v>
      </c>
      <c r="C406" s="12">
        <v>12.05</v>
      </c>
      <c r="D406" s="12">
        <v>302.17</v>
      </c>
      <c r="E406" s="12">
        <v>34.723025999999997</v>
      </c>
      <c r="F406" s="12">
        <v>239.3</v>
      </c>
      <c r="G406" s="12">
        <v>128.6</v>
      </c>
      <c r="H406" s="12">
        <v>12.33</v>
      </c>
      <c r="I406" s="12">
        <v>60.786346000000002</v>
      </c>
      <c r="J406">
        <f t="shared" si="22"/>
        <v>0</v>
      </c>
      <c r="K406">
        <f t="shared" si="22"/>
        <v>1.345668629100083E-2</v>
      </c>
      <c r="L406">
        <f t="shared" si="22"/>
        <v>-2.1058087925616364E-2</v>
      </c>
      <c r="M406">
        <f t="shared" si="22"/>
        <v>-1.7091576634260641E-2</v>
      </c>
      <c r="N406">
        <f t="shared" si="20"/>
        <v>-3.912753912753919E-3</v>
      </c>
      <c r="O406">
        <f t="shared" si="20"/>
        <v>1.2997243009058579E-2</v>
      </c>
      <c r="P406">
        <f t="shared" si="20"/>
        <v>-1.1226944667201311E-2</v>
      </c>
      <c r="Q406">
        <f t="shared" si="20"/>
        <v>-7.9846451141000196E-3</v>
      </c>
      <c r="R406" s="15">
        <f t="shared" si="21"/>
        <v>-4.1343934591096757E-3</v>
      </c>
    </row>
    <row r="407" spans="1:18" x14ac:dyDescent="0.2">
      <c r="A407" s="13">
        <v>45457</v>
      </c>
      <c r="B407" s="14">
        <v>15.66</v>
      </c>
      <c r="C407" s="14">
        <v>11.89</v>
      </c>
      <c r="D407" s="14">
        <v>308.67</v>
      </c>
      <c r="E407" s="14">
        <v>35.326816999999998</v>
      </c>
      <c r="F407" s="14">
        <v>240.24</v>
      </c>
      <c r="G407" s="14">
        <v>126.95</v>
      </c>
      <c r="H407" s="14">
        <v>12.47</v>
      </c>
      <c r="I407" s="14">
        <v>61.27561</v>
      </c>
      <c r="J407">
        <f t="shared" si="22"/>
        <v>7.0739549839227145E-3</v>
      </c>
      <c r="K407">
        <f t="shared" si="22"/>
        <v>-2.4610336341263195E-2</v>
      </c>
      <c r="L407">
        <f t="shared" si="22"/>
        <v>1.330046065010082E-3</v>
      </c>
      <c r="M407">
        <f t="shared" si="22"/>
        <v>-7.5083574314486201E-3</v>
      </c>
      <c r="N407">
        <f t="shared" si="20"/>
        <v>1.7513134851139256E-3</v>
      </c>
      <c r="O407">
        <f t="shared" si="20"/>
        <v>-6.495539208013712E-3</v>
      </c>
      <c r="P407">
        <f t="shared" si="20"/>
        <v>-1.6561514195583493E-2</v>
      </c>
      <c r="Q407">
        <f t="shared" si="20"/>
        <v>-6.9775037875065005E-3</v>
      </c>
      <c r="R407" s="15">
        <f t="shared" si="21"/>
        <v>-6.5726246133520089E-3</v>
      </c>
    </row>
    <row r="408" spans="1:18" x14ac:dyDescent="0.2">
      <c r="A408" s="11">
        <v>45456</v>
      </c>
      <c r="B408" s="12">
        <v>15.55</v>
      </c>
      <c r="C408" s="12">
        <v>12.19</v>
      </c>
      <c r="D408" s="12">
        <v>308.26</v>
      </c>
      <c r="E408" s="12">
        <v>35.594070000000002</v>
      </c>
      <c r="F408" s="12">
        <v>239.82</v>
      </c>
      <c r="G408" s="12">
        <v>127.78</v>
      </c>
      <c r="H408" s="12">
        <v>12.68</v>
      </c>
      <c r="I408" s="12">
        <v>61.706164999999999</v>
      </c>
      <c r="J408">
        <f t="shared" si="22"/>
        <v>-1.5822784810126556E-2</v>
      </c>
      <c r="K408">
        <f t="shared" si="22"/>
        <v>-1.6935483870967771E-2</v>
      </c>
      <c r="L408">
        <f t="shared" si="22"/>
        <v>1.7729208623592729E-2</v>
      </c>
      <c r="M408">
        <f t="shared" si="22"/>
        <v>4.1886722188368974E-3</v>
      </c>
      <c r="N408">
        <f t="shared" si="20"/>
        <v>-1.2110726643598579E-2</v>
      </c>
      <c r="O408">
        <f t="shared" si="20"/>
        <v>-1.5562403697996996E-2</v>
      </c>
      <c r="P408">
        <f t="shared" si="20"/>
        <v>-2.9839326702371882E-2</v>
      </c>
      <c r="Q408">
        <f t="shared" si="20"/>
        <v>-1.4841486828940376E-2</v>
      </c>
      <c r="R408" s="15">
        <f t="shared" si="21"/>
        <v>-1.1606234074683863E-2</v>
      </c>
    </row>
    <row r="409" spans="1:18" x14ac:dyDescent="0.2">
      <c r="A409" s="13">
        <v>45455</v>
      </c>
      <c r="B409" s="14">
        <v>15.8</v>
      </c>
      <c r="C409" s="14">
        <v>12.4</v>
      </c>
      <c r="D409" s="14">
        <v>302.89</v>
      </c>
      <c r="E409" s="14">
        <v>35.445599999999999</v>
      </c>
      <c r="F409" s="14">
        <v>242.76</v>
      </c>
      <c r="G409" s="14">
        <v>129.80000000000001</v>
      </c>
      <c r="H409" s="14">
        <v>13.07</v>
      </c>
      <c r="I409" s="14">
        <v>62.635773</v>
      </c>
      <c r="J409">
        <f t="shared" si="22"/>
        <v>6.3694267515923553E-3</v>
      </c>
      <c r="K409">
        <f t="shared" si="22"/>
        <v>3.8525963149078857E-2</v>
      </c>
      <c r="L409">
        <f t="shared" si="22"/>
        <v>2.7146025755619974E-3</v>
      </c>
      <c r="M409">
        <f t="shared" si="22"/>
        <v>2.7937927005816654E-4</v>
      </c>
      <c r="N409">
        <f t="shared" si="20"/>
        <v>6.0505594695399179E-3</v>
      </c>
      <c r="O409">
        <f t="shared" si="20"/>
        <v>-3.9514577475210699E-2</v>
      </c>
      <c r="P409">
        <f t="shared" si="20"/>
        <v>4.6118370484242721E-3</v>
      </c>
      <c r="Q409">
        <f t="shared" si="20"/>
        <v>1.5065074940243006E-2</v>
      </c>
      <c r="R409" s="15">
        <f t="shared" si="21"/>
        <v>2.826101465424188E-3</v>
      </c>
    </row>
    <row r="410" spans="1:18" x14ac:dyDescent="0.2">
      <c r="A410" s="11">
        <v>45454</v>
      </c>
      <c r="B410" s="12">
        <v>15.7</v>
      </c>
      <c r="C410" s="12">
        <v>11.94</v>
      </c>
      <c r="D410" s="12">
        <v>302.07</v>
      </c>
      <c r="E410" s="12">
        <v>35.435699999999997</v>
      </c>
      <c r="F410" s="12">
        <v>241.3</v>
      </c>
      <c r="G410" s="12">
        <v>135.13999999999999</v>
      </c>
      <c r="H410" s="12">
        <v>13.01</v>
      </c>
      <c r="I410" s="12">
        <v>61.706164999999999</v>
      </c>
      <c r="J410">
        <f t="shared" si="22"/>
        <v>1.0946555054732743E-2</v>
      </c>
      <c r="K410">
        <f t="shared" si="22"/>
        <v>-1.9704433497536922E-2</v>
      </c>
      <c r="L410">
        <f t="shared" si="22"/>
        <v>2.2562128803211845E-3</v>
      </c>
      <c r="M410">
        <f t="shared" si="22"/>
        <v>-5.0028261461054768E-3</v>
      </c>
      <c r="N410">
        <f t="shared" si="20"/>
        <v>2.0037199864727739E-2</v>
      </c>
      <c r="O410">
        <f t="shared" si="20"/>
        <v>1.4801657785667999E-4</v>
      </c>
      <c r="P410">
        <f t="shared" si="20"/>
        <v>7.6923076923085532E-4</v>
      </c>
      <c r="Q410">
        <f t="shared" si="20"/>
        <v>-1.0202477583005187E-2</v>
      </c>
      <c r="R410" s="15">
        <f t="shared" si="21"/>
        <v>2.0718332287601978E-3</v>
      </c>
    </row>
    <row r="411" spans="1:18" x14ac:dyDescent="0.2">
      <c r="A411" s="13">
        <v>45453</v>
      </c>
      <c r="B411" s="14">
        <v>15.53</v>
      </c>
      <c r="C411" s="14">
        <v>12.18</v>
      </c>
      <c r="D411" s="14">
        <v>301.39</v>
      </c>
      <c r="E411" s="14">
        <v>35.613869999999999</v>
      </c>
      <c r="F411" s="14">
        <v>236.56</v>
      </c>
      <c r="G411" s="14">
        <v>135.12</v>
      </c>
      <c r="H411" s="14">
        <v>13</v>
      </c>
      <c r="I411" s="14">
        <v>62.342210000000001</v>
      </c>
      <c r="J411">
        <f t="shared" si="22"/>
        <v>-2.080706179066838E-2</v>
      </c>
      <c r="K411">
        <f t="shared" si="22"/>
        <v>6.6115702479339067E-3</v>
      </c>
      <c r="L411">
        <f t="shared" si="22"/>
        <v>1.9380369343164228E-2</v>
      </c>
      <c r="M411">
        <f t="shared" si="22"/>
        <v>2.4487509859728585E-2</v>
      </c>
      <c r="N411">
        <f t="shared" si="20"/>
        <v>-2.0941975002069402E-2</v>
      </c>
      <c r="O411">
        <f t="shared" si="20"/>
        <v>6.6651855143295968E-4</v>
      </c>
      <c r="P411">
        <f t="shared" si="20"/>
        <v>1.7214397496087663E-2</v>
      </c>
      <c r="Q411">
        <f t="shared" si="20"/>
        <v>-2.9993969184962332E-2</v>
      </c>
      <c r="R411" s="15">
        <f t="shared" si="21"/>
        <v>-1.853441211215048E-4</v>
      </c>
    </row>
    <row r="412" spans="1:18" x14ac:dyDescent="0.2">
      <c r="A412" s="11">
        <v>45450</v>
      </c>
      <c r="B412" s="12">
        <v>15.86</v>
      </c>
      <c r="C412" s="12">
        <v>12.1</v>
      </c>
      <c r="D412" s="12">
        <v>295.66000000000003</v>
      </c>
      <c r="E412" s="12">
        <v>34.762619999999998</v>
      </c>
      <c r="F412" s="12">
        <v>241.62</v>
      </c>
      <c r="G412" s="12">
        <v>135.03</v>
      </c>
      <c r="H412" s="12">
        <v>12.78</v>
      </c>
      <c r="I412" s="12">
        <v>64.269919999999999</v>
      </c>
      <c r="J412">
        <f t="shared" si="22"/>
        <v>-1.8879798615482057E-3</v>
      </c>
      <c r="K412">
        <f t="shared" si="22"/>
        <v>-2.4979854955680891E-2</v>
      </c>
      <c r="L412">
        <f t="shared" si="22"/>
        <v>-7.3860202779828521E-3</v>
      </c>
      <c r="M412">
        <f t="shared" si="22"/>
        <v>-1.2928638074799381E-2</v>
      </c>
      <c r="N412">
        <f t="shared" si="20"/>
        <v>-6.4213787761425167E-2</v>
      </c>
      <c r="O412">
        <f t="shared" si="20"/>
        <v>-3.3843732112192271E-2</v>
      </c>
      <c r="P412">
        <f t="shared" si="20"/>
        <v>1.5673981191222097E-3</v>
      </c>
      <c r="Q412">
        <f t="shared" si="20"/>
        <v>-4.8115898069037044E-2</v>
      </c>
      <c r="R412" s="15">
        <f t="shared" si="21"/>
        <v>-2.6754554385017032E-2</v>
      </c>
    </row>
    <row r="413" spans="1:18" x14ac:dyDescent="0.2">
      <c r="A413" s="13">
        <v>45449</v>
      </c>
      <c r="B413" s="14">
        <v>15.89</v>
      </c>
      <c r="C413" s="14">
        <v>12.41</v>
      </c>
      <c r="D413" s="14">
        <v>297.86</v>
      </c>
      <c r="E413" s="14">
        <v>35.217939999999999</v>
      </c>
      <c r="F413" s="14">
        <v>258.2</v>
      </c>
      <c r="G413" s="14">
        <v>139.76</v>
      </c>
      <c r="H413" s="14">
        <v>12.76</v>
      </c>
      <c r="I413" s="14">
        <v>67.518640000000005</v>
      </c>
      <c r="J413">
        <f t="shared" si="22"/>
        <v>1.3392857142857206E-2</v>
      </c>
      <c r="K413">
        <f t="shared" si="22"/>
        <v>-1.6090104585679832E-3</v>
      </c>
      <c r="L413">
        <f t="shared" si="22"/>
        <v>2.6890988071433641E-2</v>
      </c>
      <c r="M413">
        <f t="shared" si="22"/>
        <v>-1.683517431733117E-3</v>
      </c>
      <c r="N413">
        <f t="shared" si="20"/>
        <v>2.3587710604558998E-2</v>
      </c>
      <c r="O413">
        <f t="shared" si="20"/>
        <v>5.1301338949902187E-2</v>
      </c>
      <c r="P413">
        <f t="shared" si="20"/>
        <v>1.5923566878980777E-2</v>
      </c>
      <c r="Q413">
        <f t="shared" si="20"/>
        <v>1.3811416707468327E-2</v>
      </c>
      <c r="R413" s="15">
        <f t="shared" si="21"/>
        <v>1.9917365806670053E-2</v>
      </c>
    </row>
    <row r="414" spans="1:18" x14ac:dyDescent="0.2">
      <c r="A414" s="11">
        <v>45448</v>
      </c>
      <c r="B414" s="12">
        <v>15.68</v>
      </c>
      <c r="C414" s="12">
        <v>12.43</v>
      </c>
      <c r="D414" s="12">
        <v>290.06</v>
      </c>
      <c r="E414" s="12">
        <v>35.277329999999999</v>
      </c>
      <c r="F414" s="12">
        <v>252.25</v>
      </c>
      <c r="G414" s="12">
        <v>132.94</v>
      </c>
      <c r="H414" s="12">
        <v>12.56</v>
      </c>
      <c r="I414" s="12">
        <v>66.598815999999999</v>
      </c>
      <c r="J414">
        <f t="shared" si="22"/>
        <v>-1.5693659761456424E-2</v>
      </c>
      <c r="K414">
        <f t="shared" si="22"/>
        <v>7.2933549432738776E-3</v>
      </c>
      <c r="L414">
        <f t="shared" si="22"/>
        <v>7.7476288086717471E-3</v>
      </c>
      <c r="M414">
        <f t="shared" si="22"/>
        <v>2.2497493688800052E-3</v>
      </c>
      <c r="N414">
        <f t="shared" si="20"/>
        <v>-8.3181494098083508E-4</v>
      </c>
      <c r="O414">
        <f t="shared" si="20"/>
        <v>3.0542635658914685E-2</v>
      </c>
      <c r="P414">
        <f t="shared" si="20"/>
        <v>2.1138211382113692E-2</v>
      </c>
      <c r="Q414">
        <f t="shared" si="20"/>
        <v>2.9471810614183358E-3</v>
      </c>
      <c r="R414" s="15">
        <f t="shared" si="21"/>
        <v>8.6095274375982984E-3</v>
      </c>
    </row>
    <row r="415" spans="1:18" x14ac:dyDescent="0.2">
      <c r="A415" s="13">
        <v>45447</v>
      </c>
      <c r="B415" s="14">
        <v>15.93</v>
      </c>
      <c r="C415" s="14">
        <v>12.34</v>
      </c>
      <c r="D415" s="14">
        <v>287.83</v>
      </c>
      <c r="E415" s="14">
        <v>35.198143000000002</v>
      </c>
      <c r="F415" s="14">
        <v>252.46</v>
      </c>
      <c r="G415" s="14">
        <v>129</v>
      </c>
      <c r="H415" s="14">
        <v>12.3</v>
      </c>
      <c r="I415" s="14">
        <v>66.403114000000002</v>
      </c>
      <c r="J415">
        <f t="shared" si="22"/>
        <v>4.7337278106508895E-2</v>
      </c>
      <c r="K415">
        <f t="shared" si="22"/>
        <v>1.8992568125516085E-2</v>
      </c>
      <c r="L415">
        <f t="shared" si="22"/>
        <v>-7.2088852097130784E-3</v>
      </c>
      <c r="M415">
        <f t="shared" si="22"/>
        <v>1.3683052853746158E-2</v>
      </c>
      <c r="N415">
        <f t="shared" si="20"/>
        <v>2.1691622824767443E-2</v>
      </c>
      <c r="O415">
        <f t="shared" si="20"/>
        <v>1.1288805268109048E-2</v>
      </c>
      <c r="P415">
        <f t="shared" si="20"/>
        <v>-4.5031055900621175E-2</v>
      </c>
      <c r="Q415">
        <f t="shared" si="20"/>
        <v>6.2470648424709063E-2</v>
      </c>
      <c r="R415" s="15">
        <f t="shared" si="21"/>
        <v>9.7206191756066193E-3</v>
      </c>
    </row>
    <row r="416" spans="1:18" x14ac:dyDescent="0.2">
      <c r="A416" s="11">
        <v>45446</v>
      </c>
      <c r="B416" s="12">
        <v>15.21</v>
      </c>
      <c r="C416" s="12">
        <v>12.11</v>
      </c>
      <c r="D416" s="12">
        <v>289.92</v>
      </c>
      <c r="E416" s="12">
        <v>34.723025999999997</v>
      </c>
      <c r="F416" s="12">
        <v>247.1</v>
      </c>
      <c r="G416" s="12">
        <v>127.56</v>
      </c>
      <c r="H416" s="12">
        <v>12.88</v>
      </c>
      <c r="I416" s="12">
        <v>62.498775000000002</v>
      </c>
      <c r="J416">
        <f t="shared" si="22"/>
        <v>-3.244274809160308E-2</v>
      </c>
      <c r="K416">
        <f t="shared" si="22"/>
        <v>-5.1683633516053318E-2</v>
      </c>
      <c r="L416">
        <f t="shared" si="22"/>
        <v>-9.1814679071515859E-2</v>
      </c>
      <c r="M416">
        <f t="shared" si="22"/>
        <v>-7.5869357625489409E-2</v>
      </c>
      <c r="N416">
        <f t="shared" si="20"/>
        <v>-7.9770594369134473E-2</v>
      </c>
      <c r="O416">
        <f t="shared" si="20"/>
        <v>-0.13412978550095023</v>
      </c>
      <c r="P416">
        <f t="shared" si="20"/>
        <v>-5.0147492625368661E-2</v>
      </c>
      <c r="Q416">
        <f t="shared" si="20"/>
        <v>-7.5018108540420125E-2</v>
      </c>
      <c r="R416" s="15">
        <f t="shared" si="21"/>
        <v>-7.6183140426167625E-2</v>
      </c>
    </row>
    <row r="417" spans="1:18" x14ac:dyDescent="0.2">
      <c r="A417" s="13">
        <v>45443</v>
      </c>
      <c r="B417" s="14">
        <v>15.72</v>
      </c>
      <c r="C417" s="14">
        <v>12.77</v>
      </c>
      <c r="D417" s="14">
        <v>319.23</v>
      </c>
      <c r="E417" s="14">
        <v>37.573720000000002</v>
      </c>
      <c r="F417" s="14">
        <v>268.52</v>
      </c>
      <c r="G417" s="14">
        <v>147.32</v>
      </c>
      <c r="H417" s="14">
        <v>13.56</v>
      </c>
      <c r="I417" s="14">
        <v>67.567565999999999</v>
      </c>
      <c r="J417">
        <f t="shared" si="22"/>
        <v>-2.0560747663551426E-2</v>
      </c>
      <c r="K417">
        <f t="shared" si="22"/>
        <v>-1.8447348193697199E-2</v>
      </c>
      <c r="L417">
        <f t="shared" si="22"/>
        <v>7.0664689737847119E-3</v>
      </c>
      <c r="M417">
        <f t="shared" si="22"/>
        <v>3.8009285906779322E-2</v>
      </c>
      <c r="N417">
        <f t="shared" si="20"/>
        <v>9.663470577176092E-3</v>
      </c>
      <c r="O417">
        <f t="shared" si="20"/>
        <v>1.202170776945799E-2</v>
      </c>
      <c r="P417">
        <f t="shared" si="20"/>
        <v>7.3800738007379074E-4</v>
      </c>
      <c r="Q417">
        <f t="shared" si="20"/>
        <v>5.3073020472464538E-2</v>
      </c>
      <c r="R417" s="15">
        <f t="shared" si="21"/>
        <v>8.6784146954143031E-3</v>
      </c>
    </row>
    <row r="418" spans="1:18" x14ac:dyDescent="0.2">
      <c r="A418" s="11">
        <v>45442</v>
      </c>
      <c r="B418" s="12">
        <v>16.05</v>
      </c>
      <c r="C418" s="12">
        <v>13.01</v>
      </c>
      <c r="D418" s="12">
        <v>316.99</v>
      </c>
      <c r="E418" s="12">
        <v>36.197865</v>
      </c>
      <c r="F418" s="12">
        <v>265.95</v>
      </c>
      <c r="G418" s="12">
        <v>145.57</v>
      </c>
      <c r="H418" s="12">
        <v>13.55</v>
      </c>
      <c r="I418" s="12">
        <v>64.162279999999996</v>
      </c>
      <c r="J418">
        <f t="shared" si="22"/>
        <v>6.9008782936010871E-3</v>
      </c>
      <c r="K418">
        <f t="shared" si="22"/>
        <v>2.0392156862744981E-2</v>
      </c>
      <c r="L418">
        <f t="shared" si="22"/>
        <v>9.040267388190415E-3</v>
      </c>
      <c r="M418">
        <f t="shared" si="22"/>
        <v>4.0990558061365645E-2</v>
      </c>
      <c r="N418">
        <f t="shared" si="20"/>
        <v>1.6745039568757836E-2</v>
      </c>
      <c r="O418">
        <f t="shared" si="20"/>
        <v>8.661308203991025E-3</v>
      </c>
      <c r="P418">
        <f t="shared" si="20"/>
        <v>0</v>
      </c>
      <c r="Q418">
        <f t="shared" si="20"/>
        <v>-6.0958157059964879E-4</v>
      </c>
      <c r="R418" s="15">
        <f t="shared" si="21"/>
        <v>1.224946476284571E-2</v>
      </c>
    </row>
    <row r="419" spans="1:18" x14ac:dyDescent="0.2">
      <c r="A419" s="13">
        <v>45441</v>
      </c>
      <c r="B419" s="14">
        <v>15.94</v>
      </c>
      <c r="C419" s="14">
        <v>12.75</v>
      </c>
      <c r="D419" s="14">
        <v>314.14999999999998</v>
      </c>
      <c r="E419" s="14">
        <v>34.77252</v>
      </c>
      <c r="F419" s="14">
        <v>261.57</v>
      </c>
      <c r="G419" s="14">
        <v>144.32</v>
      </c>
      <c r="H419" s="14">
        <v>13.55</v>
      </c>
      <c r="I419" s="14">
        <v>64.201415999999995</v>
      </c>
      <c r="J419">
        <f t="shared" si="22"/>
        <v>-1.3613861386138626E-2</v>
      </c>
      <c r="K419">
        <f t="shared" si="22"/>
        <v>7.8492935635798844E-4</v>
      </c>
      <c r="L419">
        <f t="shared" si="22"/>
        <v>2.4391039227834366E-2</v>
      </c>
      <c r="M419">
        <f t="shared" si="22"/>
        <v>1.9147087584258982E-2</v>
      </c>
      <c r="N419">
        <f t="shared" si="20"/>
        <v>-2.2862266054017755E-2</v>
      </c>
      <c r="O419">
        <f t="shared" si="20"/>
        <v>1.6409606310303415E-2</v>
      </c>
      <c r="P419">
        <f t="shared" si="20"/>
        <v>6.6864784546805112E-3</v>
      </c>
      <c r="Q419">
        <f t="shared" si="20"/>
        <v>1.0472736567383345E-2</v>
      </c>
      <c r="R419" s="15">
        <f t="shared" si="21"/>
        <v>3.1181851830168255E-3</v>
      </c>
    </row>
    <row r="420" spans="1:18" x14ac:dyDescent="0.2">
      <c r="A420" s="11">
        <v>45440</v>
      </c>
      <c r="B420" s="12">
        <v>16.16</v>
      </c>
      <c r="C420" s="12">
        <v>12.74</v>
      </c>
      <c r="D420" s="12">
        <v>306.67</v>
      </c>
      <c r="E420" s="12">
        <v>34.119236000000001</v>
      </c>
      <c r="F420" s="12">
        <v>267.69</v>
      </c>
      <c r="G420" s="12">
        <v>141.99</v>
      </c>
      <c r="H420" s="12">
        <v>13.46</v>
      </c>
      <c r="I420" s="12">
        <v>63.536020000000001</v>
      </c>
      <c r="J420">
        <f t="shared" si="22"/>
        <v>3.1036623215394687E-3</v>
      </c>
      <c r="K420">
        <f t="shared" si="22"/>
        <v>1.5723270440251014E-3</v>
      </c>
      <c r="L420">
        <f t="shared" si="22"/>
        <v>-2.7062182741116714E-2</v>
      </c>
      <c r="M420">
        <f t="shared" si="22"/>
        <v>1.085047255058802E-2</v>
      </c>
      <c r="N420">
        <f t="shared" si="20"/>
        <v>1.8839917789449601E-2</v>
      </c>
      <c r="O420">
        <f t="shared" si="20"/>
        <v>-2.1837971893083452E-2</v>
      </c>
      <c r="P420">
        <f t="shared" si="20"/>
        <v>8.239700374532033E-3</v>
      </c>
      <c r="Q420">
        <f t="shared" si="20"/>
        <v>-3.5298332277464706E-3</v>
      </c>
      <c r="R420" s="15">
        <f t="shared" si="21"/>
        <v>1.6775863738829492E-4</v>
      </c>
    </row>
    <row r="421" spans="1:18" x14ac:dyDescent="0.2">
      <c r="A421" s="13">
        <v>45439</v>
      </c>
      <c r="B421" s="14">
        <v>16.11</v>
      </c>
      <c r="C421" s="14">
        <v>12.72</v>
      </c>
      <c r="D421" s="14">
        <v>315.2</v>
      </c>
      <c r="E421" s="14">
        <v>33.753</v>
      </c>
      <c r="F421" s="14">
        <v>262.74</v>
      </c>
      <c r="G421" s="14">
        <v>145.16</v>
      </c>
      <c r="H421" s="14">
        <v>13.35</v>
      </c>
      <c r="I421" s="14">
        <v>63.761085999999999</v>
      </c>
      <c r="J421">
        <f t="shared" si="22"/>
        <v>-6.781750924784169E-3</v>
      </c>
      <c r="K421">
        <f t="shared" si="22"/>
        <v>0</v>
      </c>
      <c r="L421">
        <f t="shared" si="22"/>
        <v>-2.2211192455639739E-2</v>
      </c>
      <c r="M421">
        <f t="shared" si="22"/>
        <v>-9.2968129489688911E-3</v>
      </c>
      <c r="N421">
        <f t="shared" si="20"/>
        <v>9.1411891227530795E-3</v>
      </c>
      <c r="O421">
        <f t="shared" si="20"/>
        <v>2.624671916010568E-3</v>
      </c>
      <c r="P421">
        <f t="shared" si="20"/>
        <v>1.7530487804878092E-2</v>
      </c>
      <c r="Q421">
        <f t="shared" si="20"/>
        <v>-9.1990268724473356E-4</v>
      </c>
      <c r="R421" s="15">
        <f t="shared" si="21"/>
        <v>1.1490981618026207E-3</v>
      </c>
    </row>
    <row r="422" spans="1:18" x14ac:dyDescent="0.2">
      <c r="A422" s="11">
        <v>45436</v>
      </c>
      <c r="B422" s="12">
        <v>16.22</v>
      </c>
      <c r="C422" s="12">
        <v>12.72</v>
      </c>
      <c r="D422" s="12">
        <v>322.36</v>
      </c>
      <c r="E422" s="12">
        <v>34.069740000000003</v>
      </c>
      <c r="F422" s="12">
        <v>260.36</v>
      </c>
      <c r="G422" s="12">
        <v>144.78</v>
      </c>
      <c r="H422" s="12">
        <v>13.12</v>
      </c>
      <c r="I422" s="12">
        <v>63.819794000000002</v>
      </c>
      <c r="J422">
        <f t="shared" si="22"/>
        <v>-1.0372178157413203E-2</v>
      </c>
      <c r="K422">
        <f t="shared" si="22"/>
        <v>-7.8554595443836028E-4</v>
      </c>
      <c r="L422">
        <f t="shared" si="22"/>
        <v>-1.2407708097178394E-2</v>
      </c>
      <c r="M422">
        <f t="shared" si="22"/>
        <v>-1.063533029321817E-2</v>
      </c>
      <c r="N422">
        <f t="shared" si="20"/>
        <v>-5.6427354763889381E-2</v>
      </c>
      <c r="O422">
        <f t="shared" si="20"/>
        <v>-6.5870728694936709E-3</v>
      </c>
      <c r="P422">
        <f t="shared" si="20"/>
        <v>-2.5260029717682153E-2</v>
      </c>
      <c r="Q422">
        <f t="shared" si="20"/>
        <v>-2.5694690934916276E-2</v>
      </c>
      <c r="R422" s="15">
        <f t="shared" si="21"/>
        <v>-2.2484004034577468E-2</v>
      </c>
    </row>
    <row r="423" spans="1:18" x14ac:dyDescent="0.2">
      <c r="A423" s="13">
        <v>45435</v>
      </c>
      <c r="B423" s="14">
        <v>16.39</v>
      </c>
      <c r="C423" s="14">
        <v>12.73</v>
      </c>
      <c r="D423" s="14">
        <v>326.41000000000003</v>
      </c>
      <c r="E423" s="14">
        <v>34.435977999999999</v>
      </c>
      <c r="F423" s="14">
        <v>275.93</v>
      </c>
      <c r="G423" s="14">
        <v>145.74</v>
      </c>
      <c r="H423" s="14">
        <v>13.46</v>
      </c>
      <c r="I423" s="14">
        <v>65.502870000000001</v>
      </c>
      <c r="J423">
        <f t="shared" si="22"/>
        <v>-3.6474164133737386E-3</v>
      </c>
      <c r="K423">
        <f t="shared" si="22"/>
        <v>5.5292259083727924E-3</v>
      </c>
      <c r="L423">
        <f t="shared" si="22"/>
        <v>2.7956989247313047E-3</v>
      </c>
      <c r="M423">
        <f t="shared" si="22"/>
        <v>-1.4168319215456582E-2</v>
      </c>
      <c r="N423">
        <f t="shared" si="20"/>
        <v>9.5492463046977782E-3</v>
      </c>
      <c r="O423">
        <f t="shared" si="20"/>
        <v>-1.4337887190585707E-2</v>
      </c>
      <c r="P423">
        <f t="shared" si="20"/>
        <v>-4.1992882562277623E-2</v>
      </c>
      <c r="Q423">
        <f t="shared" si="20"/>
        <v>-9.0302886076608635E-3</v>
      </c>
      <c r="R423" s="15">
        <f t="shared" si="21"/>
        <v>-8.4864189284677583E-3</v>
      </c>
    </row>
    <row r="424" spans="1:18" x14ac:dyDescent="0.2">
      <c r="A424" s="11">
        <v>45434</v>
      </c>
      <c r="B424" s="12">
        <v>16.45</v>
      </c>
      <c r="C424" s="12">
        <v>12.66</v>
      </c>
      <c r="D424" s="12">
        <v>325.5</v>
      </c>
      <c r="E424" s="12">
        <v>34.930889999999998</v>
      </c>
      <c r="F424" s="12">
        <v>273.32</v>
      </c>
      <c r="G424" s="12">
        <v>147.86000000000001</v>
      </c>
      <c r="H424" s="12">
        <v>14.05</v>
      </c>
      <c r="I424" s="12">
        <v>66.099770000000007</v>
      </c>
      <c r="J424">
        <f t="shared" si="22"/>
        <v>5.5012224938875143E-3</v>
      </c>
      <c r="K424">
        <f t="shared" si="22"/>
        <v>-1.8604651162790753E-2</v>
      </c>
      <c r="L424">
        <f t="shared" si="22"/>
        <v>3.8860103626943143E-3</v>
      </c>
      <c r="M424">
        <f t="shared" si="22"/>
        <v>-3.1073832329731044E-3</v>
      </c>
      <c r="N424">
        <f t="shared" si="20"/>
        <v>3.8805062521378719E-2</v>
      </c>
      <c r="O424">
        <f t="shared" si="20"/>
        <v>1.6848909978681048E-2</v>
      </c>
      <c r="P424">
        <f t="shared" si="20"/>
        <v>2.1818181818181959E-2</v>
      </c>
      <c r="Q424">
        <f t="shared" si="20"/>
        <v>2.2255245743976193E-3</v>
      </c>
      <c r="R424" s="15">
        <f t="shared" si="21"/>
        <v>1.2975286325707377E-2</v>
      </c>
    </row>
    <row r="425" spans="1:18" x14ac:dyDescent="0.2">
      <c r="A425" s="13">
        <v>45433</v>
      </c>
      <c r="B425" s="14">
        <v>16.36</v>
      </c>
      <c r="C425" s="14">
        <v>12.9</v>
      </c>
      <c r="D425" s="14">
        <v>324.24</v>
      </c>
      <c r="E425" s="14">
        <v>35.039771999999999</v>
      </c>
      <c r="F425" s="14">
        <v>263.11</v>
      </c>
      <c r="G425" s="14">
        <v>145.41</v>
      </c>
      <c r="H425" s="14">
        <v>13.75</v>
      </c>
      <c r="I425" s="14">
        <v>65.95299</v>
      </c>
      <c r="J425">
        <f t="shared" si="22"/>
        <v>-3.6540803897686658E-3</v>
      </c>
      <c r="K425">
        <f t="shared" si="22"/>
        <v>-7.692307692307665E-3</v>
      </c>
      <c r="L425">
        <f t="shared" si="22"/>
        <v>-5.3377507822566228E-3</v>
      </c>
      <c r="M425">
        <f t="shared" si="22"/>
        <v>-2.3178774807873226E-2</v>
      </c>
      <c r="N425">
        <f t="shared" si="20"/>
        <v>-1.7989773448288671E-2</v>
      </c>
      <c r="O425">
        <f t="shared" si="20"/>
        <v>-5.2580140734949099E-2</v>
      </c>
      <c r="P425">
        <f t="shared" si="20"/>
        <v>-2.758132956152759E-2</v>
      </c>
      <c r="Q425">
        <f t="shared" si="20"/>
        <v>-1.7779104886606611E-2</v>
      </c>
      <c r="R425" s="15">
        <f t="shared" si="21"/>
        <v>-2.1115326647336438E-2</v>
      </c>
    </row>
    <row r="426" spans="1:18" x14ac:dyDescent="0.2">
      <c r="A426" s="11">
        <v>45432</v>
      </c>
      <c r="B426" s="12">
        <v>16.420000000000002</v>
      </c>
      <c r="C426" s="12">
        <v>13</v>
      </c>
      <c r="D426" s="12">
        <v>325.98</v>
      </c>
      <c r="E426" s="12">
        <v>35.871223000000001</v>
      </c>
      <c r="F426" s="12">
        <v>267.93</v>
      </c>
      <c r="G426" s="12">
        <v>153.47999999999999</v>
      </c>
      <c r="H426" s="12">
        <v>14.14</v>
      </c>
      <c r="I426" s="12">
        <v>67.146799999999999</v>
      </c>
      <c r="J426">
        <f t="shared" si="22"/>
        <v>1.2195121951221743E-3</v>
      </c>
      <c r="K426">
        <f t="shared" si="22"/>
        <v>6.9713400464754827E-3</v>
      </c>
      <c r="L426">
        <f t="shared" si="22"/>
        <v>1.3052396046988823E-2</v>
      </c>
      <c r="M426">
        <f t="shared" si="22"/>
        <v>-5.2154385300120509E-3</v>
      </c>
      <c r="N426">
        <f t="shared" si="20"/>
        <v>-1.8894869823135152E-2</v>
      </c>
      <c r="O426">
        <f t="shared" si="20"/>
        <v>-1.2164510523267169E-2</v>
      </c>
      <c r="P426">
        <f t="shared" si="20"/>
        <v>-2.9512697323267001E-2</v>
      </c>
      <c r="Q426">
        <f t="shared" si="20"/>
        <v>-2.6163444436622108E-3</v>
      </c>
      <c r="R426" s="15">
        <f t="shared" si="21"/>
        <v>-8.9361137979045019E-3</v>
      </c>
    </row>
    <row r="427" spans="1:18" x14ac:dyDescent="0.2">
      <c r="A427" s="13">
        <v>45429</v>
      </c>
      <c r="B427" s="14">
        <v>16.399999999999999</v>
      </c>
      <c r="C427" s="14">
        <v>12.91</v>
      </c>
      <c r="D427" s="14">
        <v>321.77999999999997</v>
      </c>
      <c r="E427" s="14">
        <v>36.059288000000002</v>
      </c>
      <c r="F427" s="14">
        <v>273.08999999999997</v>
      </c>
      <c r="G427" s="14">
        <v>155.37</v>
      </c>
      <c r="H427" s="14">
        <v>14.57</v>
      </c>
      <c r="I427" s="14">
        <v>67.322940000000003</v>
      </c>
      <c r="J427">
        <f t="shared" si="22"/>
        <v>-5.4578532443905203E-3</v>
      </c>
      <c r="K427">
        <f t="shared" si="22"/>
        <v>-1.072796934865905E-2</v>
      </c>
      <c r="L427">
        <f t="shared" si="22"/>
        <v>-7.3726748311072621E-3</v>
      </c>
      <c r="M427">
        <f t="shared" si="22"/>
        <v>-7.6273025888584645E-3</v>
      </c>
      <c r="N427">
        <f t="shared" si="20"/>
        <v>9.2097896504838683E-2</v>
      </c>
      <c r="O427">
        <f t="shared" si="20"/>
        <v>-8.8670579229394031E-3</v>
      </c>
      <c r="P427">
        <f t="shared" si="20"/>
        <v>2.3174157303370801E-2</v>
      </c>
      <c r="Q427">
        <f t="shared" si="20"/>
        <v>4.819775040348917E-3</v>
      </c>
      <c r="R427" s="15">
        <f t="shared" si="21"/>
        <v>1.9236475800971684E-2</v>
      </c>
    </row>
    <row r="428" spans="1:18" x14ac:dyDescent="0.2">
      <c r="A428" s="11">
        <v>45428</v>
      </c>
      <c r="B428" s="12">
        <v>16.489999999999998</v>
      </c>
      <c r="C428" s="12">
        <v>13.05</v>
      </c>
      <c r="D428" s="12">
        <v>324.17</v>
      </c>
      <c r="E428" s="12">
        <v>36.336436999999997</v>
      </c>
      <c r="F428" s="12">
        <v>250.06</v>
      </c>
      <c r="G428" s="12">
        <v>156.76</v>
      </c>
      <c r="H428" s="12">
        <v>14.24</v>
      </c>
      <c r="I428" s="12">
        <v>67.000015000000005</v>
      </c>
      <c r="J428">
        <f t="shared" si="22"/>
        <v>-1.0204081632653184E-2</v>
      </c>
      <c r="K428">
        <f t="shared" si="22"/>
        <v>-9.8634294385431254E-3</v>
      </c>
      <c r="L428">
        <f t="shared" si="22"/>
        <v>1.7195393642724932E-2</v>
      </c>
      <c r="M428">
        <f t="shared" si="22"/>
        <v>-1.3702385233943071E-2</v>
      </c>
      <c r="N428">
        <f t="shared" si="20"/>
        <v>-1.7291519295763558E-2</v>
      </c>
      <c r="O428">
        <f t="shared" si="20"/>
        <v>-7.7224965185466177E-3</v>
      </c>
      <c r="P428">
        <f t="shared" si="20"/>
        <v>-2.2649279341111828E-2</v>
      </c>
      <c r="Q428">
        <f t="shared" ref="Q428:Q491" si="23">I428/I429-1</f>
        <v>3.2729900652947341E-2</v>
      </c>
      <c r="R428" s="15">
        <f t="shared" si="21"/>
        <v>-7.0154252032399809E-3</v>
      </c>
    </row>
    <row r="429" spans="1:18" x14ac:dyDescent="0.2">
      <c r="A429" s="13">
        <v>45427</v>
      </c>
      <c r="B429" s="14">
        <v>16.66</v>
      </c>
      <c r="C429" s="14">
        <v>13.18</v>
      </c>
      <c r="D429" s="14">
        <v>318.69</v>
      </c>
      <c r="E429" s="14">
        <v>36.841250000000002</v>
      </c>
      <c r="F429" s="14">
        <v>254.46</v>
      </c>
      <c r="G429" s="14">
        <v>157.97999999999999</v>
      </c>
      <c r="H429" s="14">
        <v>14.57</v>
      </c>
      <c r="I429" s="14">
        <v>64.876609999999999</v>
      </c>
      <c r="J429">
        <f t="shared" si="22"/>
        <v>-8.3333333333334147E-3</v>
      </c>
      <c r="K429">
        <f t="shared" si="22"/>
        <v>-4.5317220543806824E-3</v>
      </c>
      <c r="L429">
        <f t="shared" si="22"/>
        <v>8.4807442802443678E-3</v>
      </c>
      <c r="M429">
        <f t="shared" si="22"/>
        <v>-2.6794635550454471E-3</v>
      </c>
      <c r="N429">
        <f t="shared" si="22"/>
        <v>1.6579441492549307E-2</v>
      </c>
      <c r="O429">
        <f t="shared" si="22"/>
        <v>2.6577425433751412E-2</v>
      </c>
      <c r="P429">
        <f t="shared" si="22"/>
        <v>-1.2203389830508504E-2</v>
      </c>
      <c r="Q429">
        <f t="shared" si="23"/>
        <v>1.3594071642553107E-3</v>
      </c>
      <c r="R429" s="15">
        <f t="shared" si="21"/>
        <v>4.8480800771412173E-3</v>
      </c>
    </row>
    <row r="430" spans="1:18" x14ac:dyDescent="0.2">
      <c r="A430" s="11">
        <v>45426</v>
      </c>
      <c r="B430" s="12">
        <v>16.8</v>
      </c>
      <c r="C430" s="12">
        <v>13.24</v>
      </c>
      <c r="D430" s="12">
        <v>316.01</v>
      </c>
      <c r="E430" s="12">
        <v>36.94023</v>
      </c>
      <c r="F430" s="12">
        <v>250.31</v>
      </c>
      <c r="G430" s="12">
        <v>153.88999999999999</v>
      </c>
      <c r="H430" s="12">
        <v>14.75</v>
      </c>
      <c r="I430" s="12">
        <v>64.788535999999993</v>
      </c>
      <c r="J430">
        <f t="shared" si="22"/>
        <v>1.7889087656530744E-3</v>
      </c>
      <c r="K430">
        <f t="shared" si="22"/>
        <v>-8.9820359281436168E-3</v>
      </c>
      <c r="L430">
        <f t="shared" si="22"/>
        <v>-4.7444331983814703E-4</v>
      </c>
      <c r="M430">
        <f t="shared" si="22"/>
        <v>-1.4783594856786375E-2</v>
      </c>
      <c r="N430">
        <f t="shared" si="22"/>
        <v>-5.0085463290534538E-3</v>
      </c>
      <c r="O430">
        <f t="shared" si="22"/>
        <v>-1.4662568830836387E-2</v>
      </c>
      <c r="P430">
        <f t="shared" si="22"/>
        <v>2.8591352859135277E-2</v>
      </c>
      <c r="Q430">
        <f t="shared" si="23"/>
        <v>-4.8099226947635465E-3</v>
      </c>
      <c r="R430" s="15">
        <f t="shared" si="21"/>
        <v>-8.6118618128130898E-4</v>
      </c>
    </row>
    <row r="431" spans="1:18" x14ac:dyDescent="0.2">
      <c r="A431" s="13">
        <v>45425</v>
      </c>
      <c r="B431" s="14">
        <v>16.77</v>
      </c>
      <c r="C431" s="14">
        <v>13.36</v>
      </c>
      <c r="D431" s="14">
        <v>316.16000000000003</v>
      </c>
      <c r="E431" s="14">
        <v>37.494534000000002</v>
      </c>
      <c r="F431" s="14">
        <v>251.57</v>
      </c>
      <c r="G431" s="14">
        <v>156.18</v>
      </c>
      <c r="H431" s="14">
        <v>14.34</v>
      </c>
      <c r="I431" s="14">
        <v>65.101669999999999</v>
      </c>
      <c r="J431">
        <f t="shared" si="22"/>
        <v>-1.2948793407886905E-2</v>
      </c>
      <c r="K431">
        <f t="shared" si="22"/>
        <v>5.2671181339352113E-3</v>
      </c>
      <c r="L431">
        <f t="shared" si="22"/>
        <v>5.2142947984230581E-3</v>
      </c>
      <c r="M431">
        <f t="shared" si="22"/>
        <v>2.9123470730243461E-3</v>
      </c>
      <c r="N431">
        <f t="shared" si="22"/>
        <v>-8.3406148224640653E-4</v>
      </c>
      <c r="O431">
        <f t="shared" si="22"/>
        <v>2.4390243902439046E-3</v>
      </c>
      <c r="P431">
        <f t="shared" si="22"/>
        <v>-9.6685082872928207E-3</v>
      </c>
      <c r="Q431">
        <f t="shared" si="23"/>
        <v>0</v>
      </c>
      <c r="R431" s="15">
        <f t="shared" si="21"/>
        <v>-1.0460297709924994E-3</v>
      </c>
    </row>
    <row r="432" spans="1:18" x14ac:dyDescent="0.2">
      <c r="A432" s="11">
        <v>45422</v>
      </c>
      <c r="B432" s="12">
        <v>16.989999999999998</v>
      </c>
      <c r="C432" s="12">
        <v>13.29</v>
      </c>
      <c r="D432" s="12">
        <v>314.52</v>
      </c>
      <c r="E432" s="12">
        <v>37.385654000000002</v>
      </c>
      <c r="F432" s="12">
        <v>251.78</v>
      </c>
      <c r="G432" s="12">
        <v>155.80000000000001</v>
      </c>
      <c r="H432" s="12">
        <v>14.48</v>
      </c>
      <c r="I432" s="12">
        <v>65.101669999999999</v>
      </c>
      <c r="J432">
        <f t="shared" si="22"/>
        <v>-1.762632197414904E-3</v>
      </c>
      <c r="K432">
        <f t="shared" si="22"/>
        <v>4.5351473922901064E-3</v>
      </c>
      <c r="L432">
        <f t="shared" si="22"/>
        <v>-1.7309254514778494E-2</v>
      </c>
      <c r="M432">
        <f t="shared" si="22"/>
        <v>-4.743021343409648E-3</v>
      </c>
      <c r="N432">
        <f t="shared" si="22"/>
        <v>-6.157732691244977E-3</v>
      </c>
      <c r="O432">
        <f t="shared" si="22"/>
        <v>3.2841779895680379E-3</v>
      </c>
      <c r="P432">
        <f t="shared" si="22"/>
        <v>1.9718309859154903E-2</v>
      </c>
      <c r="Q432">
        <f t="shared" si="23"/>
        <v>-1.051033075471941E-3</v>
      </c>
      <c r="R432" s="15">
        <f t="shared" si="21"/>
        <v>2.8856425807509043E-4</v>
      </c>
    </row>
    <row r="433" spans="1:18" x14ac:dyDescent="0.2">
      <c r="A433" s="13">
        <v>45421</v>
      </c>
      <c r="B433" s="14">
        <v>17.02</v>
      </c>
      <c r="C433" s="14">
        <v>13.23</v>
      </c>
      <c r="D433" s="14">
        <v>320.06</v>
      </c>
      <c r="E433" s="14">
        <v>37.56382</v>
      </c>
      <c r="F433" s="14">
        <v>253.34</v>
      </c>
      <c r="G433" s="14">
        <v>155.29</v>
      </c>
      <c r="H433" s="14">
        <v>14.2</v>
      </c>
      <c r="I433" s="14">
        <v>65.170165999999995</v>
      </c>
      <c r="J433">
        <f t="shared" si="22"/>
        <v>2.1608643457383003E-2</v>
      </c>
      <c r="K433">
        <f t="shared" si="22"/>
        <v>9.1533180778031742E-3</v>
      </c>
      <c r="L433">
        <f t="shared" si="22"/>
        <v>1.8942408710324266E-2</v>
      </c>
      <c r="M433">
        <f t="shared" si="22"/>
        <v>1.0383349844087064E-2</v>
      </c>
      <c r="N433">
        <f t="shared" si="22"/>
        <v>-5.7299843014129159E-3</v>
      </c>
      <c r="O433">
        <f t="shared" si="22"/>
        <v>0</v>
      </c>
      <c r="P433">
        <f t="shared" si="22"/>
        <v>3.5335689045936647E-3</v>
      </c>
      <c r="Q433">
        <f t="shared" si="23"/>
        <v>3.127900662623162E-2</v>
      </c>
      <c r="R433" s="15">
        <f t="shared" si="21"/>
        <v>7.8428775369384779E-3</v>
      </c>
    </row>
    <row r="434" spans="1:18" x14ac:dyDescent="0.2">
      <c r="A434" s="11">
        <v>45420</v>
      </c>
      <c r="B434" s="12">
        <v>16.66</v>
      </c>
      <c r="C434" s="12">
        <v>13.11</v>
      </c>
      <c r="D434" s="12">
        <v>314.11</v>
      </c>
      <c r="E434" s="12">
        <v>37.177790000000002</v>
      </c>
      <c r="F434" s="12">
        <v>254.8</v>
      </c>
      <c r="G434" s="12">
        <v>155.29</v>
      </c>
      <c r="H434" s="12">
        <v>14.15</v>
      </c>
      <c r="I434" s="12">
        <v>63.193534999999997</v>
      </c>
      <c r="J434">
        <f t="shared" si="22"/>
        <v>3.6144578313253017E-3</v>
      </c>
      <c r="K434">
        <f t="shared" si="22"/>
        <v>-6.0652009097801329E-3</v>
      </c>
      <c r="L434">
        <f t="shared" si="22"/>
        <v>2.6173832551310561E-3</v>
      </c>
      <c r="M434">
        <f t="shared" si="22"/>
        <v>1.6508805422606798E-2</v>
      </c>
      <c r="N434">
        <f t="shared" si="22"/>
        <v>1.5584519111961459E-2</v>
      </c>
      <c r="O434">
        <f t="shared" si="22"/>
        <v>-8.6184882533196783E-3</v>
      </c>
      <c r="P434">
        <f t="shared" si="22"/>
        <v>-7.0621468926557185E-4</v>
      </c>
      <c r="Q434">
        <f t="shared" si="23"/>
        <v>1.909424860799569E-2</v>
      </c>
      <c r="R434" s="15">
        <f t="shared" si="21"/>
        <v>4.895507054592207E-3</v>
      </c>
    </row>
    <row r="435" spans="1:18" x14ac:dyDescent="0.2">
      <c r="A435" s="13">
        <v>45419</v>
      </c>
      <c r="B435" s="14">
        <v>16.600000000000001</v>
      </c>
      <c r="C435" s="14">
        <v>13.19</v>
      </c>
      <c r="D435" s="14">
        <v>313.29000000000002</v>
      </c>
      <c r="E435" s="14">
        <v>36.573996999999999</v>
      </c>
      <c r="F435" s="14">
        <v>250.89</v>
      </c>
      <c r="G435" s="14">
        <v>156.63999999999999</v>
      </c>
      <c r="H435" s="14">
        <v>14.16</v>
      </c>
      <c r="I435" s="14">
        <v>62.009509999999999</v>
      </c>
      <c r="J435">
        <f t="shared" si="22"/>
        <v>-5.3924505692031222E-3</v>
      </c>
      <c r="K435">
        <f t="shared" si="22"/>
        <v>-1.5671641791044855E-2</v>
      </c>
      <c r="L435">
        <f t="shared" si="22"/>
        <v>3.5556409763597419E-3</v>
      </c>
      <c r="M435">
        <f t="shared" si="22"/>
        <v>3.2581616569589134E-3</v>
      </c>
      <c r="N435">
        <f t="shared" si="22"/>
        <v>2.7978736160516604E-3</v>
      </c>
      <c r="O435">
        <f t="shared" si="22"/>
        <v>-1.2108980827447158E-2</v>
      </c>
      <c r="P435">
        <f t="shared" si="22"/>
        <v>-1.4104372355430161E-3</v>
      </c>
      <c r="Q435">
        <f t="shared" si="23"/>
        <v>-3.2519068152947028E-2</v>
      </c>
      <c r="R435" s="15">
        <f t="shared" si="21"/>
        <v>-5.3843688150115414E-3</v>
      </c>
    </row>
    <row r="436" spans="1:18" x14ac:dyDescent="0.2">
      <c r="A436" s="11">
        <v>45418</v>
      </c>
      <c r="B436" s="12">
        <v>16.690000000000001</v>
      </c>
      <c r="C436" s="12">
        <v>13.4</v>
      </c>
      <c r="D436" s="12">
        <v>312.18</v>
      </c>
      <c r="E436" s="12">
        <v>36.455219999999997</v>
      </c>
      <c r="F436" s="12">
        <v>250.19</v>
      </c>
      <c r="G436" s="12">
        <v>158.56</v>
      </c>
      <c r="H436" s="12">
        <v>14.18</v>
      </c>
      <c r="I436" s="12">
        <v>64.093779999999995</v>
      </c>
      <c r="J436">
        <f t="shared" si="22"/>
        <v>1.458966565349562E-2</v>
      </c>
      <c r="K436">
        <f t="shared" si="22"/>
        <v>-1.6874541452677971E-2</v>
      </c>
      <c r="L436">
        <f t="shared" si="22"/>
        <v>-1.4713408393038918E-3</v>
      </c>
      <c r="M436">
        <f t="shared" si="22"/>
        <v>4.6372042841849037E-3</v>
      </c>
      <c r="N436">
        <f t="shared" si="22"/>
        <v>-1.4689666036546867E-2</v>
      </c>
      <c r="O436">
        <f t="shared" si="22"/>
        <v>-7.7596996245307137E-3</v>
      </c>
      <c r="P436">
        <f t="shared" si="22"/>
        <v>-1.4593467685893091E-2</v>
      </c>
      <c r="Q436">
        <f t="shared" si="23"/>
        <v>-1.4296456794681722E-2</v>
      </c>
      <c r="R436" s="15">
        <f t="shared" si="21"/>
        <v>-8.2440326879402587E-3</v>
      </c>
    </row>
    <row r="437" spans="1:18" x14ac:dyDescent="0.2">
      <c r="A437" s="13">
        <v>45415</v>
      </c>
      <c r="B437" s="14">
        <v>16.45</v>
      </c>
      <c r="C437" s="14">
        <v>13.63</v>
      </c>
      <c r="D437" s="14">
        <v>312.64</v>
      </c>
      <c r="E437" s="14">
        <v>36.286949999999997</v>
      </c>
      <c r="F437" s="14">
        <v>253.92</v>
      </c>
      <c r="G437" s="14">
        <v>159.80000000000001</v>
      </c>
      <c r="H437" s="14">
        <v>14.39</v>
      </c>
      <c r="I437" s="14">
        <v>65.023383999999993</v>
      </c>
      <c r="J437">
        <f t="shared" si="22"/>
        <v>2.4283935242839449E-2</v>
      </c>
      <c r="K437">
        <f t="shared" si="22"/>
        <v>2.4042073628850469E-2</v>
      </c>
      <c r="L437">
        <f t="shared" si="22"/>
        <v>2.1797666367482371E-3</v>
      </c>
      <c r="M437">
        <f t="shared" si="22"/>
        <v>4.9342569868047192E-3</v>
      </c>
      <c r="N437">
        <f t="shared" si="22"/>
        <v>1.7266936420816448E-2</v>
      </c>
      <c r="O437">
        <f t="shared" si="22"/>
        <v>-1.2499999999999734E-3</v>
      </c>
      <c r="P437">
        <f t="shared" si="22"/>
        <v>6.2937062937062915E-3</v>
      </c>
      <c r="Q437">
        <f t="shared" si="23"/>
        <v>-4.1961254800729764E-3</v>
      </c>
      <c r="R437" s="15">
        <f t="shared" si="21"/>
        <v>9.4782947237186093E-3</v>
      </c>
    </row>
    <row r="438" spans="1:18" x14ac:dyDescent="0.2">
      <c r="A438" s="11">
        <v>45414</v>
      </c>
      <c r="B438" s="12">
        <v>16.059999999999999</v>
      </c>
      <c r="C438" s="12">
        <v>13.31</v>
      </c>
      <c r="D438" s="12">
        <v>311.95999999999998</v>
      </c>
      <c r="E438" s="12">
        <v>36.108780000000003</v>
      </c>
      <c r="F438" s="12">
        <v>249.61</v>
      </c>
      <c r="G438" s="12">
        <v>160</v>
      </c>
      <c r="H438" s="12">
        <v>14.3</v>
      </c>
      <c r="I438" s="12">
        <v>65.297380000000004</v>
      </c>
      <c r="J438">
        <f t="shared" si="22"/>
        <v>-1.5328019619865074E-2</v>
      </c>
      <c r="K438">
        <f t="shared" si="22"/>
        <v>-1.9159911569638921E-2</v>
      </c>
      <c r="L438">
        <f t="shared" si="22"/>
        <v>-1.9229536568166061E-4</v>
      </c>
      <c r="M438">
        <f t="shared" si="22"/>
        <v>-5.7236292462383709E-3</v>
      </c>
      <c r="N438">
        <f t="shared" si="22"/>
        <v>4.0223643457624192E-3</v>
      </c>
      <c r="O438">
        <f t="shared" si="22"/>
        <v>3.4126163391933861E-2</v>
      </c>
      <c r="P438">
        <f t="shared" si="22"/>
        <v>1.4904187366926891E-2</v>
      </c>
      <c r="Q438">
        <f t="shared" si="23"/>
        <v>-1.2285214465988625E-2</v>
      </c>
      <c r="R438" s="15">
        <f t="shared" si="21"/>
        <v>3.3012201642865901E-3</v>
      </c>
    </row>
    <row r="439" spans="1:18" x14ac:dyDescent="0.2">
      <c r="A439" s="13">
        <v>45412</v>
      </c>
      <c r="B439" s="14">
        <v>16.309999999999999</v>
      </c>
      <c r="C439" s="14">
        <v>13.57</v>
      </c>
      <c r="D439" s="14">
        <v>312.02</v>
      </c>
      <c r="E439" s="14">
        <v>36.316642999999999</v>
      </c>
      <c r="F439" s="14">
        <v>248.61</v>
      </c>
      <c r="G439" s="14">
        <v>154.72</v>
      </c>
      <c r="H439" s="14">
        <v>14.09</v>
      </c>
      <c r="I439" s="14">
        <v>66.109549999999999</v>
      </c>
      <c r="J439">
        <f t="shared" si="22"/>
        <v>-1.4501510574018273E-2</v>
      </c>
      <c r="K439">
        <f t="shared" si="22"/>
        <v>-1.8089725036179449E-2</v>
      </c>
      <c r="L439">
        <f t="shared" si="22"/>
        <v>-9.8375222137598861E-3</v>
      </c>
      <c r="M439">
        <f t="shared" si="22"/>
        <v>-1.0250873359922474E-2</v>
      </c>
      <c r="N439">
        <f t="shared" si="22"/>
        <v>-0.12387228643924431</v>
      </c>
      <c r="O439">
        <f t="shared" si="22"/>
        <v>1.1903204708960002E-2</v>
      </c>
      <c r="P439">
        <f t="shared" si="22"/>
        <v>-2.016689847009745E-2</v>
      </c>
      <c r="Q439">
        <f t="shared" si="23"/>
        <v>-4.3195162306235324E-2</v>
      </c>
      <c r="R439" s="15">
        <f t="shared" si="21"/>
        <v>-3.6483789085347704E-2</v>
      </c>
    </row>
    <row r="440" spans="1:18" x14ac:dyDescent="0.2">
      <c r="A440" s="11">
        <v>45411</v>
      </c>
      <c r="B440" s="12">
        <v>16.55</v>
      </c>
      <c r="C440" s="12">
        <v>13.82</v>
      </c>
      <c r="D440" s="12">
        <v>315.12</v>
      </c>
      <c r="E440" s="12">
        <v>36.692776000000002</v>
      </c>
      <c r="F440" s="12">
        <v>283.76</v>
      </c>
      <c r="G440" s="12">
        <v>152.9</v>
      </c>
      <c r="H440" s="12">
        <v>14.38</v>
      </c>
      <c r="I440" s="12">
        <v>69.094080000000005</v>
      </c>
      <c r="J440">
        <f t="shared" si="22"/>
        <v>2.2867737948084166E-2</v>
      </c>
      <c r="K440">
        <f t="shared" si="22"/>
        <v>-2.2630834512022635E-2</v>
      </c>
      <c r="L440">
        <f t="shared" si="22"/>
        <v>1.9713831478538335E-3</v>
      </c>
      <c r="M440">
        <f t="shared" si="22"/>
        <v>-9.6179897851268459E-3</v>
      </c>
      <c r="N440">
        <f t="shared" si="22"/>
        <v>-1.6974987875008729E-2</v>
      </c>
      <c r="O440">
        <f t="shared" si="22"/>
        <v>-9.4584089142265571E-3</v>
      </c>
      <c r="P440">
        <f t="shared" si="22"/>
        <v>-2.0435967302452229E-2</v>
      </c>
      <c r="Q440">
        <f t="shared" si="23"/>
        <v>-9.1214528241166937E-3</v>
      </c>
      <c r="R440" s="15">
        <f t="shared" si="21"/>
        <v>-1.0381781232484479E-2</v>
      </c>
    </row>
    <row r="441" spans="1:18" x14ac:dyDescent="0.2">
      <c r="A441" s="13">
        <v>45408</v>
      </c>
      <c r="B441" s="14">
        <v>16.18</v>
      </c>
      <c r="C441" s="14">
        <v>14.14</v>
      </c>
      <c r="D441" s="14">
        <v>314.5</v>
      </c>
      <c r="E441" s="14">
        <v>37.049114000000003</v>
      </c>
      <c r="F441" s="14">
        <v>288.66000000000003</v>
      </c>
      <c r="G441" s="14">
        <v>154.36000000000001</v>
      </c>
      <c r="H441" s="14">
        <v>14.68</v>
      </c>
      <c r="I441" s="14">
        <v>69.730119999999999</v>
      </c>
      <c r="J441">
        <f t="shared" si="22"/>
        <v>2.7954256670902122E-2</v>
      </c>
      <c r="K441">
        <f t="shared" si="22"/>
        <v>2.8368794326241176E-3</v>
      </c>
      <c r="L441">
        <f t="shared" si="22"/>
        <v>1.4483403761168967E-2</v>
      </c>
      <c r="M441">
        <f t="shared" si="22"/>
        <v>8.3513080901811421E-3</v>
      </c>
      <c r="N441">
        <f t="shared" si="22"/>
        <v>1.3090934615519689E-2</v>
      </c>
      <c r="O441">
        <f t="shared" si="22"/>
        <v>2.4490608614853748E-2</v>
      </c>
      <c r="P441">
        <f t="shared" si="22"/>
        <v>-2.1333333333333315E-2</v>
      </c>
      <c r="Q441">
        <f t="shared" si="23"/>
        <v>-6.4138278003137428E-3</v>
      </c>
      <c r="R441" s="15">
        <f t="shared" si="21"/>
        <v>7.0760320353642978E-3</v>
      </c>
    </row>
    <row r="442" spans="1:18" x14ac:dyDescent="0.2">
      <c r="A442" s="11">
        <v>45407</v>
      </c>
      <c r="B442" s="12">
        <v>15.74</v>
      </c>
      <c r="C442" s="12">
        <v>14.1</v>
      </c>
      <c r="D442" s="12">
        <v>310.01</v>
      </c>
      <c r="E442" s="12">
        <v>36.742268000000003</v>
      </c>
      <c r="F442" s="12">
        <v>284.93</v>
      </c>
      <c r="G442" s="12">
        <v>150.66999999999999</v>
      </c>
      <c r="H442" s="12">
        <v>15</v>
      </c>
      <c r="I442" s="12">
        <v>70.180244000000002</v>
      </c>
      <c r="J442">
        <f t="shared" si="22"/>
        <v>5.7507987220446477E-3</v>
      </c>
      <c r="K442">
        <f t="shared" si="22"/>
        <v>2.2480058013053084E-2</v>
      </c>
      <c r="L442">
        <f t="shared" si="22"/>
        <v>3.2196843577279033E-2</v>
      </c>
      <c r="M442">
        <f t="shared" si="22"/>
        <v>3.6292654672926083E-2</v>
      </c>
      <c r="N442">
        <f t="shared" si="22"/>
        <v>9.3520847355554881E-3</v>
      </c>
      <c r="O442">
        <f t="shared" si="22"/>
        <v>-5.7410584664114861E-3</v>
      </c>
      <c r="P442">
        <f t="shared" si="22"/>
        <v>1.8329938900203624E-2</v>
      </c>
      <c r="Q442">
        <f t="shared" si="23"/>
        <v>-4.1811945944703055E-4</v>
      </c>
      <c r="R442" s="15">
        <f t="shared" si="21"/>
        <v>1.4305660094484141E-2</v>
      </c>
    </row>
    <row r="443" spans="1:18" x14ac:dyDescent="0.2">
      <c r="A443" s="13">
        <v>45406</v>
      </c>
      <c r="B443" s="14">
        <v>15.65</v>
      </c>
      <c r="C443" s="14">
        <v>13.79</v>
      </c>
      <c r="D443" s="14">
        <v>300.33999999999997</v>
      </c>
      <c r="E443" s="14">
        <v>35.455494000000002</v>
      </c>
      <c r="F443" s="14">
        <v>282.29000000000002</v>
      </c>
      <c r="G443" s="14">
        <v>151.54</v>
      </c>
      <c r="H443" s="14">
        <v>14.73</v>
      </c>
      <c r="I443" s="14">
        <v>70.209599999999995</v>
      </c>
      <c r="J443">
        <f t="shared" si="22"/>
        <v>-1.2618296529968376E-2</v>
      </c>
      <c r="K443">
        <f t="shared" si="22"/>
        <v>-1.7806267806267817E-2</v>
      </c>
      <c r="L443">
        <f t="shared" si="22"/>
        <v>-9.3346967048192342E-3</v>
      </c>
      <c r="M443">
        <f t="shared" si="22"/>
        <v>-1.6474509000013571E-2</v>
      </c>
      <c r="N443">
        <f t="shared" si="22"/>
        <v>3.9972001178897765E-2</v>
      </c>
      <c r="O443">
        <f t="shared" si="22"/>
        <v>1.0334022268151166E-2</v>
      </c>
      <c r="P443">
        <f t="shared" si="22"/>
        <v>2.9350104821803003E-2</v>
      </c>
      <c r="Q443">
        <f t="shared" si="23"/>
        <v>-2.0862925530682475E-3</v>
      </c>
      <c r="R443" s="15">
        <f t="shared" si="21"/>
        <v>9.0924751849042855E-3</v>
      </c>
    </row>
    <row r="444" spans="1:18" x14ac:dyDescent="0.2">
      <c r="A444" s="11">
        <v>45405</v>
      </c>
      <c r="B444" s="12">
        <v>15.85</v>
      </c>
      <c r="C444" s="12">
        <v>14.04</v>
      </c>
      <c r="D444" s="12">
        <v>303.17</v>
      </c>
      <c r="E444" s="12">
        <v>36.049390000000002</v>
      </c>
      <c r="F444" s="12">
        <v>271.44</v>
      </c>
      <c r="G444" s="12">
        <v>149.99</v>
      </c>
      <c r="H444" s="12">
        <v>14.31</v>
      </c>
      <c r="I444" s="12">
        <v>70.356384000000006</v>
      </c>
      <c r="J444">
        <f t="shared" si="22"/>
        <v>1.2634238787112562E-3</v>
      </c>
      <c r="K444">
        <f t="shared" si="22"/>
        <v>0</v>
      </c>
      <c r="L444">
        <f t="shared" si="22"/>
        <v>0.1058947982782521</v>
      </c>
      <c r="M444">
        <f t="shared" si="22"/>
        <v>2.9686168909949462E-2</v>
      </c>
      <c r="N444">
        <f t="shared" si="22"/>
        <v>-1.0101746836366221E-2</v>
      </c>
      <c r="O444">
        <f t="shared" si="22"/>
        <v>-3.2010325911584259E-2</v>
      </c>
      <c r="P444">
        <f t="shared" si="22"/>
        <v>4.7584187408491907E-2</v>
      </c>
      <c r="Q444">
        <f t="shared" si="23"/>
        <v>3.1268023566183967E-2</v>
      </c>
      <c r="R444" s="15">
        <f t="shared" si="21"/>
        <v>1.9468146187062243E-2</v>
      </c>
    </row>
    <row r="445" spans="1:18" x14ac:dyDescent="0.2">
      <c r="A445" s="13">
        <v>45404</v>
      </c>
      <c r="B445" s="14">
        <v>15.83</v>
      </c>
      <c r="C445" s="14">
        <v>14.04</v>
      </c>
      <c r="D445" s="14">
        <v>274.14</v>
      </c>
      <c r="E445" s="14">
        <v>35.010075000000001</v>
      </c>
      <c r="F445" s="14">
        <v>274.20999999999998</v>
      </c>
      <c r="G445" s="14">
        <v>154.94999999999999</v>
      </c>
      <c r="H445" s="14">
        <v>13.66</v>
      </c>
      <c r="I445" s="14">
        <v>68.223179999999999</v>
      </c>
      <c r="J445">
        <f t="shared" si="22"/>
        <v>1.4093529788597126E-2</v>
      </c>
      <c r="K445">
        <f t="shared" si="22"/>
        <v>2.631578947368407E-2</v>
      </c>
      <c r="L445">
        <f t="shared" si="22"/>
        <v>3.0020665038512195E-2</v>
      </c>
      <c r="M445">
        <f t="shared" ref="M445:Q501" si="24">E445/E446-1</f>
        <v>3.1198076627185767E-3</v>
      </c>
      <c r="N445">
        <f t="shared" si="24"/>
        <v>-7.323915100716516E-2</v>
      </c>
      <c r="O445">
        <f t="shared" si="24"/>
        <v>3.9305117714132365E-2</v>
      </c>
      <c r="P445">
        <f t="shared" si="24"/>
        <v>2.9389600602863553E-2</v>
      </c>
      <c r="Q445">
        <f t="shared" si="23"/>
        <v>3.2888907998747774E-2</v>
      </c>
      <c r="R445" s="15">
        <f t="shared" si="21"/>
        <v>5.6553212303196276E-3</v>
      </c>
    </row>
    <row r="446" spans="1:18" x14ac:dyDescent="0.2">
      <c r="A446" s="11">
        <v>45401</v>
      </c>
      <c r="B446" s="12">
        <v>15.61</v>
      </c>
      <c r="C446" s="12">
        <v>13.68</v>
      </c>
      <c r="D446" s="12">
        <v>266.14999999999998</v>
      </c>
      <c r="E446" s="12">
        <v>34.90119</v>
      </c>
      <c r="F446" s="12">
        <v>295.88</v>
      </c>
      <c r="G446" s="12">
        <v>149.09</v>
      </c>
      <c r="H446" s="12">
        <v>13.27</v>
      </c>
      <c r="I446" s="12">
        <v>66.050839999999994</v>
      </c>
      <c r="J446">
        <f t="shared" ref="J446:L501" si="25">B446/B447-1</f>
        <v>3.3090668431502213E-2</v>
      </c>
      <c r="K446">
        <f t="shared" si="25"/>
        <v>-5.0909090909091459E-3</v>
      </c>
      <c r="L446">
        <f t="shared" si="25"/>
        <v>-6.7585326474672858E-4</v>
      </c>
      <c r="M446">
        <f t="shared" si="24"/>
        <v>-2.8372069108695275E-4</v>
      </c>
      <c r="N446">
        <f t="shared" si="24"/>
        <v>-3.656670248445193E-2</v>
      </c>
      <c r="O446">
        <f t="shared" si="24"/>
        <v>-1.3106506917323069E-2</v>
      </c>
      <c r="P446">
        <f t="shared" si="24"/>
        <v>-1.5048908954100604E-3</v>
      </c>
      <c r="Q446">
        <f t="shared" si="23"/>
        <v>4.446431407083562E-4</v>
      </c>
      <c r="R446" s="15">
        <f t="shared" si="21"/>
        <v>-7.7535622705704396E-3</v>
      </c>
    </row>
    <row r="447" spans="1:18" x14ac:dyDescent="0.2">
      <c r="A447" s="13">
        <v>45400</v>
      </c>
      <c r="B447" s="14">
        <v>15.11</v>
      </c>
      <c r="C447" s="14">
        <v>13.75</v>
      </c>
      <c r="D447" s="14">
        <v>266.33</v>
      </c>
      <c r="E447" s="14">
        <v>34.911095000000003</v>
      </c>
      <c r="F447" s="14">
        <v>307.11</v>
      </c>
      <c r="G447" s="14">
        <v>151.07</v>
      </c>
      <c r="H447" s="14">
        <v>13.29</v>
      </c>
      <c r="I447" s="14">
        <v>66.021484000000001</v>
      </c>
      <c r="J447">
        <f t="shared" si="25"/>
        <v>-1.2418300653594838E-2</v>
      </c>
      <c r="K447">
        <f t="shared" si="25"/>
        <v>-1.2212643678160884E-2</v>
      </c>
      <c r="L447">
        <f t="shared" si="25"/>
        <v>1.5906316753127703E-2</v>
      </c>
      <c r="M447">
        <f t="shared" si="24"/>
        <v>3.1588244730680559E-2</v>
      </c>
      <c r="N447">
        <f t="shared" si="24"/>
        <v>6.2911628821391563E-3</v>
      </c>
      <c r="O447">
        <f t="shared" si="24"/>
        <v>-8.7270341207349444E-3</v>
      </c>
      <c r="P447">
        <f t="shared" si="24"/>
        <v>4.0720438527799496E-2</v>
      </c>
      <c r="Q447">
        <f t="shared" si="23"/>
        <v>1.397655865443026E-2</v>
      </c>
      <c r="R447" s="15">
        <f t="shared" si="21"/>
        <v>1.0554803849677956E-2</v>
      </c>
    </row>
    <row r="448" spans="1:18" x14ac:dyDescent="0.2">
      <c r="A448" s="11">
        <v>45399</v>
      </c>
      <c r="B448" s="12">
        <v>15.3</v>
      </c>
      <c r="C448" s="12">
        <v>13.92</v>
      </c>
      <c r="D448" s="12">
        <v>262.16000000000003</v>
      </c>
      <c r="E448" s="12">
        <v>33.842083000000002</v>
      </c>
      <c r="F448" s="12">
        <v>305.19</v>
      </c>
      <c r="G448" s="12">
        <v>152.4</v>
      </c>
      <c r="H448" s="12">
        <v>12.77</v>
      </c>
      <c r="I448" s="12">
        <v>65.111450000000005</v>
      </c>
      <c r="J448">
        <f t="shared" si="25"/>
        <v>1.5262110152621133E-2</v>
      </c>
      <c r="K448">
        <f t="shared" si="25"/>
        <v>-2.9288702928870314E-2</v>
      </c>
      <c r="L448">
        <f t="shared" si="25"/>
        <v>-2.6585474528441844E-2</v>
      </c>
      <c r="M448">
        <f t="shared" si="24"/>
        <v>-3.7443722792890988E-2</v>
      </c>
      <c r="N448">
        <f t="shared" si="24"/>
        <v>2.104382736701238E-2</v>
      </c>
      <c r="O448">
        <f t="shared" si="24"/>
        <v>-8.2644628099172168E-3</v>
      </c>
      <c r="P448">
        <f t="shared" si="24"/>
        <v>6.3280599500416201E-2</v>
      </c>
      <c r="Q448">
        <f t="shared" si="23"/>
        <v>5.2877172510232828E-3</v>
      </c>
      <c r="R448" s="15">
        <f t="shared" si="21"/>
        <v>5.8819177440975548E-3</v>
      </c>
    </row>
    <row r="449" spans="1:18" x14ac:dyDescent="0.2">
      <c r="A449" s="13">
        <v>45398</v>
      </c>
      <c r="B449" s="14">
        <v>15.07</v>
      </c>
      <c r="C449" s="14">
        <v>14.34</v>
      </c>
      <c r="D449" s="14">
        <v>269.32</v>
      </c>
      <c r="E449" s="14">
        <v>35.158549999999998</v>
      </c>
      <c r="F449" s="14">
        <v>298.89999999999998</v>
      </c>
      <c r="G449" s="14">
        <v>153.66999999999999</v>
      </c>
      <c r="H449" s="14">
        <v>12.01</v>
      </c>
      <c r="I449" s="14">
        <v>64.768969999999996</v>
      </c>
      <c r="J449">
        <f t="shared" si="25"/>
        <v>2.6613439787093185E-3</v>
      </c>
      <c r="K449">
        <f t="shared" si="25"/>
        <v>2.2824536376604865E-2</v>
      </c>
      <c r="L449">
        <f t="shared" si="25"/>
        <v>3.3155757553178233E-3</v>
      </c>
      <c r="M449">
        <f t="shared" si="24"/>
        <v>-8.6520108600505186E-3</v>
      </c>
      <c r="N449">
        <f t="shared" si="24"/>
        <v>-2.8630853725910788E-2</v>
      </c>
      <c r="O449">
        <f t="shared" si="24"/>
        <v>-5.8226046451446134E-3</v>
      </c>
      <c r="P449">
        <f t="shared" si="24"/>
        <v>-1.6625103906898753E-3</v>
      </c>
      <c r="Q449">
        <f t="shared" si="23"/>
        <v>-1.5469310153592875E-2</v>
      </c>
      <c r="R449" s="15">
        <f t="shared" si="21"/>
        <v>-6.0050208785093475E-3</v>
      </c>
    </row>
    <row r="450" spans="1:18" x14ac:dyDescent="0.2">
      <c r="A450" s="11">
        <v>45397</v>
      </c>
      <c r="B450" s="12">
        <v>15.03</v>
      </c>
      <c r="C450" s="12">
        <v>14.02</v>
      </c>
      <c r="D450" s="12">
        <v>268.43</v>
      </c>
      <c r="E450" s="12">
        <v>35.465397000000003</v>
      </c>
      <c r="F450" s="12">
        <v>307.70999999999998</v>
      </c>
      <c r="G450" s="12">
        <v>154.57</v>
      </c>
      <c r="H450" s="12">
        <v>12.03</v>
      </c>
      <c r="I450" s="12">
        <v>65.786643999999995</v>
      </c>
      <c r="J450">
        <f t="shared" si="25"/>
        <v>-3.3156498673740931E-3</v>
      </c>
      <c r="K450">
        <f t="shared" si="25"/>
        <v>-1.4064697609001531E-2</v>
      </c>
      <c r="L450">
        <f t="shared" si="25"/>
        <v>-1.1453192899756992E-2</v>
      </c>
      <c r="M450">
        <f t="shared" si="24"/>
        <v>-1.2947539716136158E-2</v>
      </c>
      <c r="N450">
        <f t="shared" si="24"/>
        <v>-5.697211155378501E-2</v>
      </c>
      <c r="O450">
        <f t="shared" si="24"/>
        <v>-1.0878607538235219E-2</v>
      </c>
      <c r="P450">
        <f t="shared" si="24"/>
        <v>2.6450511945392385E-2</v>
      </c>
      <c r="Q450">
        <f t="shared" si="23"/>
        <v>-2.6075620299638835E-2</v>
      </c>
      <c r="R450" s="15">
        <f t="shared" si="21"/>
        <v>-1.5428641523705371E-2</v>
      </c>
    </row>
    <row r="451" spans="1:18" x14ac:dyDescent="0.2">
      <c r="A451" s="13">
        <v>45394</v>
      </c>
      <c r="B451" s="14">
        <v>15.08</v>
      </c>
      <c r="C451" s="14">
        <v>14.22</v>
      </c>
      <c r="D451" s="14">
        <v>271.54000000000002</v>
      </c>
      <c r="E451" s="14">
        <v>35.930610000000001</v>
      </c>
      <c r="F451" s="14">
        <v>326.3</v>
      </c>
      <c r="G451" s="14">
        <v>156.27000000000001</v>
      </c>
      <c r="H451" s="14">
        <v>11.72</v>
      </c>
      <c r="I451" s="14">
        <v>67.548000000000002</v>
      </c>
      <c r="J451">
        <f t="shared" si="25"/>
        <v>-1.4379084967320321E-2</v>
      </c>
      <c r="K451">
        <f t="shared" si="25"/>
        <v>-9.0592334494772331E-3</v>
      </c>
      <c r="L451">
        <f t="shared" si="25"/>
        <v>5.5919712624525886E-3</v>
      </c>
      <c r="M451">
        <f t="shared" si="24"/>
        <v>-1.9184003880613143E-2</v>
      </c>
      <c r="N451">
        <f t="shared" si="24"/>
        <v>2.8688524590164022E-2</v>
      </c>
      <c r="O451">
        <f t="shared" si="24"/>
        <v>3.7898252826311651E-3</v>
      </c>
      <c r="P451">
        <f t="shared" si="24"/>
        <v>-4.9472830494728282E-2</v>
      </c>
      <c r="Q451">
        <f t="shared" si="23"/>
        <v>-5.6178733224180322E-3</v>
      </c>
      <c r="R451" s="15">
        <f t="shared" ref="R451:R501" si="26">SUMPRODUCT($T$2:$AA$2,J451:Q451)</f>
        <v>-5.5070116209834374E-3</v>
      </c>
    </row>
    <row r="452" spans="1:18" x14ac:dyDescent="0.2">
      <c r="A452" s="11">
        <v>45393</v>
      </c>
      <c r="B452" s="12">
        <v>15.3</v>
      </c>
      <c r="C452" s="12">
        <v>14.35</v>
      </c>
      <c r="D452" s="12">
        <v>270.02999999999997</v>
      </c>
      <c r="E452" s="12">
        <v>36.633384999999997</v>
      </c>
      <c r="F452" s="12">
        <v>317.2</v>
      </c>
      <c r="G452" s="12">
        <v>155.68</v>
      </c>
      <c r="H452" s="12">
        <v>12.33</v>
      </c>
      <c r="I452" s="12">
        <v>67.92962</v>
      </c>
      <c r="J452">
        <f t="shared" si="25"/>
        <v>6.5789473684212396E-3</v>
      </c>
      <c r="K452">
        <f t="shared" si="25"/>
        <v>1.4134275618374437E-2</v>
      </c>
      <c r="L452">
        <f t="shared" si="25"/>
        <v>3.8289962825277524E-3</v>
      </c>
      <c r="M452">
        <f t="shared" si="24"/>
        <v>1.0098256962568053E-2</v>
      </c>
      <c r="N452">
        <f t="shared" si="24"/>
        <v>1.29423277249896E-3</v>
      </c>
      <c r="O452">
        <f t="shared" si="24"/>
        <v>-3.4566636794264305E-3</v>
      </c>
      <c r="P452">
        <f t="shared" si="24"/>
        <v>-2.3752969121140222E-2</v>
      </c>
      <c r="Q452">
        <f t="shared" si="23"/>
        <v>-2.0183496295629544E-2</v>
      </c>
      <c r="R452" s="15">
        <f t="shared" si="26"/>
        <v>-2.4154196991097781E-3</v>
      </c>
    </row>
    <row r="453" spans="1:18" x14ac:dyDescent="0.2">
      <c r="A453" s="13">
        <v>45392</v>
      </c>
      <c r="B453" s="14">
        <v>15.2</v>
      </c>
      <c r="C453" s="14">
        <v>14.15</v>
      </c>
      <c r="D453" s="14">
        <v>269</v>
      </c>
      <c r="E453" s="14">
        <v>36.267150000000001</v>
      </c>
      <c r="F453" s="14">
        <v>316.79000000000002</v>
      </c>
      <c r="G453" s="14">
        <v>156.22</v>
      </c>
      <c r="H453" s="14">
        <v>12.63</v>
      </c>
      <c r="I453" s="14">
        <v>69.328919999999997</v>
      </c>
      <c r="J453">
        <f t="shared" si="25"/>
        <v>-1.9987105093488111E-2</v>
      </c>
      <c r="K453">
        <f t="shared" si="25"/>
        <v>-1.5994436717663429E-2</v>
      </c>
      <c r="L453">
        <f t="shared" si="25"/>
        <v>-1.0993051215118288E-2</v>
      </c>
      <c r="M453">
        <f t="shared" si="24"/>
        <v>-3.8067766303234385E-2</v>
      </c>
      <c r="N453">
        <f t="shared" si="24"/>
        <v>-2.6280199176246244E-2</v>
      </c>
      <c r="O453">
        <f t="shared" si="24"/>
        <v>-2.3869032741814511E-2</v>
      </c>
      <c r="P453">
        <f t="shared" si="24"/>
        <v>6.3745019920318224E-3</v>
      </c>
      <c r="Q453">
        <f t="shared" si="23"/>
        <v>-1.6382111070108785E-2</v>
      </c>
      <c r="R453" s="15">
        <f t="shared" si="26"/>
        <v>-1.7191031517356348E-2</v>
      </c>
    </row>
    <row r="454" spans="1:18" x14ac:dyDescent="0.2">
      <c r="A454" s="11">
        <v>45391</v>
      </c>
      <c r="B454" s="12">
        <v>15.51</v>
      </c>
      <c r="C454" s="12">
        <v>14.38</v>
      </c>
      <c r="D454" s="12">
        <v>271.99</v>
      </c>
      <c r="E454" s="12">
        <v>37.702396</v>
      </c>
      <c r="F454" s="12">
        <v>325.33999999999997</v>
      </c>
      <c r="G454" s="12">
        <v>160.04</v>
      </c>
      <c r="H454" s="12">
        <v>12.55</v>
      </c>
      <c r="I454" s="12">
        <v>70.483590000000007</v>
      </c>
      <c r="J454">
        <f t="shared" si="25"/>
        <v>-7.0422535211267512E-3</v>
      </c>
      <c r="K454">
        <f t="shared" si="25"/>
        <v>-1.1004126547455195E-2</v>
      </c>
      <c r="L454">
        <f t="shared" si="25"/>
        <v>-3.7510173749955689E-2</v>
      </c>
      <c r="M454">
        <f t="shared" si="24"/>
        <v>-7.8145559565448997E-3</v>
      </c>
      <c r="N454">
        <f t="shared" si="24"/>
        <v>1.767337107823197E-2</v>
      </c>
      <c r="O454">
        <f t="shared" si="24"/>
        <v>-1.0327128810834307E-2</v>
      </c>
      <c r="P454">
        <f t="shared" si="24"/>
        <v>-2.2585669781931439E-2</v>
      </c>
      <c r="Q454">
        <f t="shared" si="23"/>
        <v>-1.6631490116075787E-3</v>
      </c>
      <c r="R454" s="15">
        <f t="shared" si="26"/>
        <v>-8.6853709789389763E-3</v>
      </c>
    </row>
    <row r="455" spans="1:18" x14ac:dyDescent="0.2">
      <c r="A455" s="13">
        <v>45390</v>
      </c>
      <c r="B455" s="14">
        <v>15.62</v>
      </c>
      <c r="C455" s="14">
        <v>14.54</v>
      </c>
      <c r="D455" s="14">
        <v>282.58999999999997</v>
      </c>
      <c r="E455" s="14">
        <v>37.999344000000001</v>
      </c>
      <c r="F455" s="14">
        <v>319.69</v>
      </c>
      <c r="G455" s="14">
        <v>161.71</v>
      </c>
      <c r="H455" s="14">
        <v>12.84</v>
      </c>
      <c r="I455" s="14">
        <v>70.601010000000002</v>
      </c>
      <c r="J455">
        <f t="shared" si="25"/>
        <v>1.4944769330734076E-2</v>
      </c>
      <c r="K455">
        <f t="shared" si="25"/>
        <v>-1.3736263736264798E-3</v>
      </c>
      <c r="L455">
        <f t="shared" si="25"/>
        <v>-6.7190041728548699E-4</v>
      </c>
      <c r="M455">
        <f t="shared" si="24"/>
        <v>-1.8660442180644443E-2</v>
      </c>
      <c r="N455">
        <f t="shared" si="24"/>
        <v>3.0992002063983559E-2</v>
      </c>
      <c r="O455">
        <f t="shared" si="24"/>
        <v>-2.0981178648565857E-3</v>
      </c>
      <c r="P455">
        <f t="shared" si="24"/>
        <v>-1.2307692307692353E-2</v>
      </c>
      <c r="Q455">
        <f t="shared" si="23"/>
        <v>3.9925038090760312E-2</v>
      </c>
      <c r="R455" s="15">
        <f t="shared" si="26"/>
        <v>6.6006940863373052E-3</v>
      </c>
    </row>
    <row r="456" spans="1:18" x14ac:dyDescent="0.2">
      <c r="A456" s="11">
        <v>45387</v>
      </c>
      <c r="B456" s="12">
        <v>15.39</v>
      </c>
      <c r="C456" s="12">
        <v>14.56</v>
      </c>
      <c r="D456" s="12">
        <v>282.77999999999997</v>
      </c>
      <c r="E456" s="12">
        <v>38.721912000000003</v>
      </c>
      <c r="F456" s="12">
        <v>310.08</v>
      </c>
      <c r="G456" s="12">
        <v>162.05000000000001</v>
      </c>
      <c r="H456" s="12">
        <v>13</v>
      </c>
      <c r="I456" s="12">
        <v>67.890479999999997</v>
      </c>
      <c r="J456">
        <f t="shared" si="25"/>
        <v>-7.7369439071566237E-3</v>
      </c>
      <c r="K456">
        <f t="shared" si="25"/>
        <v>-1.3550135501354976E-2</v>
      </c>
      <c r="L456">
        <f t="shared" si="25"/>
        <v>6.0123092248034471E-3</v>
      </c>
      <c r="M456">
        <f t="shared" si="24"/>
        <v>1.0069625628040813E-2</v>
      </c>
      <c r="N456">
        <f t="shared" si="24"/>
        <v>6.1699650756693813E-2</v>
      </c>
      <c r="O456">
        <f t="shared" si="24"/>
        <v>-1.1588899054589707E-2</v>
      </c>
      <c r="P456">
        <f t="shared" si="24"/>
        <v>7.698229407235857E-4</v>
      </c>
      <c r="Q456">
        <f t="shared" si="23"/>
        <v>-8.9987936992096396E-3</v>
      </c>
      <c r="R456" s="15">
        <f t="shared" si="26"/>
        <v>1.0263720191027888E-2</v>
      </c>
    </row>
    <row r="457" spans="1:18" x14ac:dyDescent="0.2">
      <c r="A457" s="13">
        <v>45386</v>
      </c>
      <c r="B457" s="14">
        <v>15.51</v>
      </c>
      <c r="C457" s="14">
        <v>14.76</v>
      </c>
      <c r="D457" s="14">
        <v>281.08999999999997</v>
      </c>
      <c r="E457" s="14">
        <v>38.335884</v>
      </c>
      <c r="F457" s="14">
        <v>292.06</v>
      </c>
      <c r="G457" s="14">
        <v>163.95</v>
      </c>
      <c r="H457" s="14">
        <v>12.99</v>
      </c>
      <c r="I457" s="14">
        <v>68.506960000000007</v>
      </c>
      <c r="J457">
        <f t="shared" si="25"/>
        <v>9.1086532205595372E-3</v>
      </c>
      <c r="K457">
        <f t="shared" si="25"/>
        <v>-2.5742574257425765E-2</v>
      </c>
      <c r="L457">
        <f t="shared" si="25"/>
        <v>2.8578747072599553E-2</v>
      </c>
      <c r="M457">
        <f t="shared" si="24"/>
        <v>2.4332157380283936E-2</v>
      </c>
      <c r="N457">
        <f t="shared" si="24"/>
        <v>4.1100773535807322E-2</v>
      </c>
      <c r="O457">
        <f t="shared" si="24"/>
        <v>-6.0957025297181389E-4</v>
      </c>
      <c r="P457">
        <f t="shared" si="24"/>
        <v>-6.8807339449541427E-3</v>
      </c>
      <c r="Q457">
        <f t="shared" si="23"/>
        <v>-7.1357847058484136E-4</v>
      </c>
      <c r="R457" s="15">
        <f t="shared" si="26"/>
        <v>1.0835364461079921E-2</v>
      </c>
    </row>
    <row r="458" spans="1:18" x14ac:dyDescent="0.2">
      <c r="A458" s="11">
        <v>45385</v>
      </c>
      <c r="B458" s="12">
        <v>15.37</v>
      </c>
      <c r="C458" s="12">
        <v>15.15</v>
      </c>
      <c r="D458" s="12">
        <v>273.27999999999997</v>
      </c>
      <c r="E458" s="12">
        <v>37.425246999999999</v>
      </c>
      <c r="F458" s="12">
        <v>280.52999999999997</v>
      </c>
      <c r="G458" s="12">
        <v>164.05</v>
      </c>
      <c r="H458" s="12">
        <v>13.08</v>
      </c>
      <c r="I458" s="12">
        <v>68.555880000000002</v>
      </c>
      <c r="J458">
        <f t="shared" si="25"/>
        <v>-9.0264345583495054E-3</v>
      </c>
      <c r="K458">
        <f t="shared" si="25"/>
        <v>1.0673782521681163E-2</v>
      </c>
      <c r="L458">
        <f t="shared" si="25"/>
        <v>3.5621167052255487E-3</v>
      </c>
      <c r="M458">
        <f t="shared" si="24"/>
        <v>-6.5685756607376522E-3</v>
      </c>
      <c r="N458">
        <f t="shared" si="24"/>
        <v>6.5519598906107479E-2</v>
      </c>
      <c r="O458">
        <f t="shared" si="24"/>
        <v>2.811907818326409E-3</v>
      </c>
      <c r="P458">
        <f t="shared" si="24"/>
        <v>2.0280811232449292E-2</v>
      </c>
      <c r="Q458">
        <f t="shared" si="23"/>
        <v>-3.3121799562114251E-2</v>
      </c>
      <c r="R458" s="15">
        <f t="shared" si="26"/>
        <v>1.5239060317273153E-2</v>
      </c>
    </row>
    <row r="459" spans="1:18" x14ac:dyDescent="0.2">
      <c r="A459" s="13">
        <v>45384</v>
      </c>
      <c r="B459" s="14">
        <v>15.51</v>
      </c>
      <c r="C459" s="14">
        <v>14.99</v>
      </c>
      <c r="D459" s="14">
        <v>272.31</v>
      </c>
      <c r="E459" s="14">
        <v>37.672702999999998</v>
      </c>
      <c r="F459" s="14">
        <v>263.27999999999997</v>
      </c>
      <c r="G459" s="14">
        <v>163.59</v>
      </c>
      <c r="H459" s="14">
        <v>12.82</v>
      </c>
      <c r="I459" s="14">
        <v>70.904359999999997</v>
      </c>
      <c r="J459">
        <f t="shared" si="25"/>
        <v>-6.4061499039077541E-3</v>
      </c>
      <c r="K459">
        <f t="shared" si="25"/>
        <v>-3.3244680851063357E-3</v>
      </c>
      <c r="L459">
        <f t="shared" si="25"/>
        <v>1.4454420146779334E-2</v>
      </c>
      <c r="M459">
        <f t="shared" si="24"/>
        <v>0</v>
      </c>
      <c r="N459">
        <f t="shared" si="24"/>
        <v>2.0860798759208876E-2</v>
      </c>
      <c r="O459">
        <f t="shared" si="24"/>
        <v>-3.2900749405958551E-3</v>
      </c>
      <c r="P459">
        <f t="shared" si="24"/>
        <v>2.5600000000000067E-2</v>
      </c>
      <c r="Q459">
        <f t="shared" si="23"/>
        <v>4.8536976214661465E-3</v>
      </c>
      <c r="R459" s="15">
        <f t="shared" si="26"/>
        <v>9.5167999934069516E-3</v>
      </c>
    </row>
    <row r="460" spans="1:18" x14ac:dyDescent="0.2">
      <c r="A460" s="11">
        <v>45383</v>
      </c>
      <c r="B460" s="12">
        <v>15.61</v>
      </c>
      <c r="C460" s="12">
        <v>15.04</v>
      </c>
      <c r="D460" s="12">
        <v>268.43</v>
      </c>
      <c r="E460" s="12">
        <v>37.672702999999998</v>
      </c>
      <c r="F460" s="12">
        <v>257.89999999999998</v>
      </c>
      <c r="G460" s="12">
        <v>164.13</v>
      </c>
      <c r="H460" s="12">
        <v>12.5</v>
      </c>
      <c r="I460" s="12">
        <v>70.561874000000003</v>
      </c>
      <c r="J460">
        <f t="shared" si="25"/>
        <v>1.9255455712452463E-3</v>
      </c>
      <c r="K460">
        <f t="shared" si="25"/>
        <v>2.5221540558963751E-2</v>
      </c>
      <c r="L460">
        <f t="shared" si="25"/>
        <v>5.318152878169391E-3</v>
      </c>
      <c r="M460">
        <f t="shared" si="24"/>
        <v>-2.3601818816100462E-2</v>
      </c>
      <c r="N460">
        <f t="shared" si="24"/>
        <v>9.7586925990551965E-2</v>
      </c>
      <c r="O460">
        <f t="shared" si="24"/>
        <v>2.6880078196591661E-3</v>
      </c>
      <c r="P460">
        <f t="shared" si="24"/>
        <v>2.9654036243822013E-2</v>
      </c>
      <c r="Q460">
        <f t="shared" si="23"/>
        <v>-8.9334077961890079E-3</v>
      </c>
      <c r="R460" s="15">
        <f t="shared" si="26"/>
        <v>2.6638516849639738E-2</v>
      </c>
    </row>
    <row r="461" spans="1:18" x14ac:dyDescent="0.2">
      <c r="A461" s="13">
        <v>45378</v>
      </c>
      <c r="B461" s="14">
        <v>15.58</v>
      </c>
      <c r="C461" s="14">
        <v>14.67</v>
      </c>
      <c r="D461" s="14">
        <v>267.01</v>
      </c>
      <c r="E461" s="14">
        <v>38.58334</v>
      </c>
      <c r="F461" s="14">
        <v>234.97</v>
      </c>
      <c r="G461" s="14">
        <v>163.69</v>
      </c>
      <c r="H461" s="14">
        <v>12.14</v>
      </c>
      <c r="I461" s="14">
        <v>71.197913999999997</v>
      </c>
      <c r="J461">
        <f t="shared" si="25"/>
        <v>2.5000000000000133E-2</v>
      </c>
      <c r="K461">
        <f t="shared" si="25"/>
        <v>6.8212824010904782E-4</v>
      </c>
      <c r="L461">
        <f t="shared" si="25"/>
        <v>8.0033221337159066E-3</v>
      </c>
      <c r="M461">
        <f t="shared" si="24"/>
        <v>-1.0250904825143126E-3</v>
      </c>
      <c r="N461">
        <f t="shared" si="24"/>
        <v>1.9746549778665079E-2</v>
      </c>
      <c r="O461">
        <f t="shared" si="24"/>
        <v>3.0554876558297472E-4</v>
      </c>
      <c r="P461">
        <f t="shared" si="24"/>
        <v>9.9833610648918381E-3</v>
      </c>
      <c r="Q461">
        <f t="shared" si="23"/>
        <v>3.7205959155905077E-2</v>
      </c>
      <c r="R461" s="15">
        <f t="shared" si="26"/>
        <v>1.1806375013236928E-2</v>
      </c>
    </row>
    <row r="462" spans="1:18" x14ac:dyDescent="0.2">
      <c r="A462" s="11">
        <v>45377</v>
      </c>
      <c r="B462" s="12">
        <v>15.2</v>
      </c>
      <c r="C462" s="12">
        <v>14.66</v>
      </c>
      <c r="D462" s="12">
        <v>264.89</v>
      </c>
      <c r="E462" s="12">
        <v>38.622931999999999</v>
      </c>
      <c r="F462" s="12">
        <v>230.42</v>
      </c>
      <c r="G462" s="12">
        <v>163.63999999999999</v>
      </c>
      <c r="H462" s="12">
        <v>12.02</v>
      </c>
      <c r="I462" s="12">
        <v>68.643950000000004</v>
      </c>
      <c r="J462">
        <f t="shared" si="25"/>
        <v>-1.1060507482107962E-2</v>
      </c>
      <c r="K462">
        <f t="shared" si="25"/>
        <v>1.453287197231834E-2</v>
      </c>
      <c r="L462">
        <f t="shared" si="25"/>
        <v>2.6785022094735877E-2</v>
      </c>
      <c r="M462">
        <f t="shared" si="24"/>
        <v>4.1173485410985755E-3</v>
      </c>
      <c r="N462">
        <f t="shared" si="24"/>
        <v>1.3726352837659439E-2</v>
      </c>
      <c r="O462">
        <f t="shared" si="24"/>
        <v>1.702921068986929E-2</v>
      </c>
      <c r="P462">
        <f t="shared" si="24"/>
        <v>2.5020850708923348E-3</v>
      </c>
      <c r="Q462">
        <f t="shared" si="23"/>
        <v>-6.2331251040542712E-3</v>
      </c>
      <c r="R462" s="15">
        <f t="shared" si="26"/>
        <v>9.4918673846710964E-3</v>
      </c>
    </row>
    <row r="463" spans="1:18" x14ac:dyDescent="0.2">
      <c r="A463" s="13">
        <v>45376</v>
      </c>
      <c r="B463" s="14">
        <v>15.37</v>
      </c>
      <c r="C463" s="14">
        <v>14.45</v>
      </c>
      <c r="D463" s="14">
        <v>257.98</v>
      </c>
      <c r="E463" s="14">
        <v>38.464559999999999</v>
      </c>
      <c r="F463" s="14">
        <v>227.3</v>
      </c>
      <c r="G463" s="14">
        <v>160.9</v>
      </c>
      <c r="H463" s="14">
        <v>11.99</v>
      </c>
      <c r="I463" s="14">
        <v>69.0745</v>
      </c>
      <c r="J463">
        <f t="shared" si="25"/>
        <v>-5.1779935275081401E-3</v>
      </c>
      <c r="K463">
        <f t="shared" si="25"/>
        <v>3.4722222222220989E-3</v>
      </c>
      <c r="L463">
        <f t="shared" si="25"/>
        <v>-3.4765142150802175E-3</v>
      </c>
      <c r="M463">
        <f t="shared" si="24"/>
        <v>-9.1790762192530684E-3</v>
      </c>
      <c r="N463">
        <f t="shared" si="24"/>
        <v>2.120585856770596E-2</v>
      </c>
      <c r="O463">
        <f t="shared" si="24"/>
        <v>-1.4893881097181039E-3</v>
      </c>
      <c r="P463">
        <f t="shared" si="24"/>
        <v>-1.7213114754098258E-2</v>
      </c>
      <c r="Q463">
        <f t="shared" si="23"/>
        <v>-2.4024835050406868E-3</v>
      </c>
      <c r="R463" s="15">
        <f t="shared" si="26"/>
        <v>-1.4930582804086455E-4</v>
      </c>
    </row>
    <row r="464" spans="1:18" x14ac:dyDescent="0.2">
      <c r="A464" s="11">
        <v>45373</v>
      </c>
      <c r="B464" s="12">
        <v>15.45</v>
      </c>
      <c r="C464" s="12">
        <v>14.4</v>
      </c>
      <c r="D464" s="12">
        <v>258.88</v>
      </c>
      <c r="E464" s="12">
        <v>38.820900000000002</v>
      </c>
      <c r="F464" s="12">
        <v>222.58</v>
      </c>
      <c r="G464" s="12">
        <v>161.13999999999999</v>
      </c>
      <c r="H464" s="12">
        <v>12.2</v>
      </c>
      <c r="I464" s="12">
        <v>69.240849999999995</v>
      </c>
      <c r="J464">
        <f t="shared" si="25"/>
        <v>-1.5923566878980888E-2</v>
      </c>
      <c r="K464">
        <f t="shared" si="25"/>
        <v>1.1946591707659771E-2</v>
      </c>
      <c r="L464">
        <f t="shared" si="25"/>
        <v>3.1641029728221914E-2</v>
      </c>
      <c r="M464">
        <f t="shared" si="24"/>
        <v>9.2641122113448215E-3</v>
      </c>
      <c r="N464">
        <f t="shared" si="24"/>
        <v>-2.6717390353753978E-2</v>
      </c>
      <c r="O464">
        <f t="shared" si="24"/>
        <v>8.637956935403146E-3</v>
      </c>
      <c r="P464">
        <f t="shared" si="24"/>
        <v>4.1152263374484299E-3</v>
      </c>
      <c r="Q464">
        <f t="shared" si="23"/>
        <v>1.4480193704146327E-2</v>
      </c>
      <c r="R464" s="15">
        <f t="shared" si="26"/>
        <v>2.1275993742978115E-3</v>
      </c>
    </row>
    <row r="465" spans="1:18" x14ac:dyDescent="0.2">
      <c r="A465" s="13">
        <v>45372</v>
      </c>
      <c r="B465" s="14">
        <v>15.7</v>
      </c>
      <c r="C465" s="14">
        <v>14.23</v>
      </c>
      <c r="D465" s="14">
        <v>250.94</v>
      </c>
      <c r="E465" s="14">
        <v>38.464559999999999</v>
      </c>
      <c r="F465" s="14">
        <v>228.69</v>
      </c>
      <c r="G465" s="14">
        <v>159.76</v>
      </c>
      <c r="H465" s="14">
        <v>12.15</v>
      </c>
      <c r="I465" s="14">
        <v>68.252539999999996</v>
      </c>
      <c r="J465">
        <f t="shared" si="25"/>
        <v>-2.1197007481296715E-2</v>
      </c>
      <c r="K465">
        <f t="shared" si="25"/>
        <v>1.0653409090909172E-2</v>
      </c>
      <c r="L465">
        <f t="shared" si="25"/>
        <v>1.0371788734642173E-3</v>
      </c>
      <c r="M465">
        <f t="shared" si="24"/>
        <v>-6.1381136815302773E-3</v>
      </c>
      <c r="N465">
        <f t="shared" si="24"/>
        <v>9.758036029671624E-3</v>
      </c>
      <c r="O465">
        <f t="shared" si="24"/>
        <v>-6.0349654700428967E-3</v>
      </c>
      <c r="P465">
        <f t="shared" si="24"/>
        <v>2.3588879528222417E-2</v>
      </c>
      <c r="Q465">
        <f t="shared" si="23"/>
        <v>3.4527782404840668E-3</v>
      </c>
      <c r="R465" s="15">
        <f t="shared" si="26"/>
        <v>4.5387698144358241E-3</v>
      </c>
    </row>
    <row r="466" spans="1:18" x14ac:dyDescent="0.2">
      <c r="A466" s="11">
        <v>45371</v>
      </c>
      <c r="B466" s="12">
        <v>16.04</v>
      </c>
      <c r="C466" s="12">
        <v>14.08</v>
      </c>
      <c r="D466" s="12">
        <v>250.68</v>
      </c>
      <c r="E466" s="12">
        <v>38.702117999999999</v>
      </c>
      <c r="F466" s="12">
        <v>226.48</v>
      </c>
      <c r="G466" s="12">
        <v>160.72999999999999</v>
      </c>
      <c r="H466" s="12">
        <v>11.87</v>
      </c>
      <c r="I466" s="12">
        <v>68.017690000000002</v>
      </c>
      <c r="J466">
        <f t="shared" si="25"/>
        <v>2.4920127795527103E-2</v>
      </c>
      <c r="K466">
        <f t="shared" si="25"/>
        <v>1.0043041606886627E-2</v>
      </c>
      <c r="L466">
        <f t="shared" si="25"/>
        <v>2.1474267552259452E-2</v>
      </c>
      <c r="M466">
        <f t="shared" si="24"/>
        <v>1.5848202052331395E-2</v>
      </c>
      <c r="N466">
        <f t="shared" si="24"/>
        <v>2.3499638467100459E-2</v>
      </c>
      <c r="O466">
        <f t="shared" si="24"/>
        <v>7.1433047183406817E-3</v>
      </c>
      <c r="P466">
        <f t="shared" si="24"/>
        <v>3.1277150304083401E-2</v>
      </c>
      <c r="Q466">
        <f t="shared" si="23"/>
        <v>-7.4254452983391062E-3</v>
      </c>
      <c r="R466" s="15">
        <f t="shared" si="26"/>
        <v>1.7759661757866498E-2</v>
      </c>
    </row>
    <row r="467" spans="1:18" x14ac:dyDescent="0.2">
      <c r="A467" s="13">
        <v>45370</v>
      </c>
      <c r="B467" s="14">
        <v>15.65</v>
      </c>
      <c r="C467" s="14">
        <v>13.94</v>
      </c>
      <c r="D467" s="14">
        <v>245.41</v>
      </c>
      <c r="E467" s="14">
        <v>38.098328000000002</v>
      </c>
      <c r="F467" s="14">
        <v>221.28</v>
      </c>
      <c r="G467" s="14">
        <v>159.59</v>
      </c>
      <c r="H467" s="14">
        <v>11.51</v>
      </c>
      <c r="I467" s="14">
        <v>68.526529999999994</v>
      </c>
      <c r="J467">
        <f t="shared" si="25"/>
        <v>-7.609384908053185E-3</v>
      </c>
      <c r="K467">
        <f t="shared" si="25"/>
        <v>-1.7618040873854879E-2</v>
      </c>
      <c r="L467">
        <f t="shared" si="25"/>
        <v>-2.1686266693242917E-2</v>
      </c>
      <c r="M467">
        <f t="shared" si="24"/>
        <v>-1.8153086540856345E-3</v>
      </c>
      <c r="N467">
        <f t="shared" si="24"/>
        <v>-3.6320877972302101E-2</v>
      </c>
      <c r="O467">
        <f t="shared" si="24"/>
        <v>-5.304693526375126E-2</v>
      </c>
      <c r="P467">
        <f t="shared" si="24"/>
        <v>-1.7079419299743881E-2</v>
      </c>
      <c r="Q467">
        <f t="shared" si="23"/>
        <v>-1.5187687167646957E-2</v>
      </c>
      <c r="R467" s="15">
        <f t="shared" si="26"/>
        <v>-2.4484936636301982E-2</v>
      </c>
    </row>
    <row r="468" spans="1:18" x14ac:dyDescent="0.2">
      <c r="A468" s="11">
        <v>45366</v>
      </c>
      <c r="B468" s="12">
        <v>15.77</v>
      </c>
      <c r="C468" s="12">
        <v>14.19</v>
      </c>
      <c r="D468" s="12">
        <v>250.85</v>
      </c>
      <c r="E468" s="12">
        <v>38.167614</v>
      </c>
      <c r="F468" s="12">
        <v>229.62</v>
      </c>
      <c r="G468" s="12">
        <v>168.53</v>
      </c>
      <c r="H468" s="12">
        <v>11.71</v>
      </c>
      <c r="I468" s="12">
        <v>69.583340000000007</v>
      </c>
      <c r="J468">
        <f t="shared" si="25"/>
        <v>-2.6543209876543239E-2</v>
      </c>
      <c r="K468">
        <f t="shared" si="25"/>
        <v>1.0683760683760646E-2</v>
      </c>
      <c r="L468">
        <f t="shared" si="25"/>
        <v>1.0595439529449635E-2</v>
      </c>
      <c r="M468">
        <f t="shared" si="24"/>
        <v>-2.3286378595122059E-3</v>
      </c>
      <c r="N468">
        <f t="shared" si="24"/>
        <v>2.894784011471585E-2</v>
      </c>
      <c r="O468">
        <f t="shared" si="24"/>
        <v>2.7872651866308829E-2</v>
      </c>
      <c r="P468">
        <f t="shared" si="24"/>
        <v>-1.5966386554621792E-2</v>
      </c>
      <c r="Q468">
        <f t="shared" si="23"/>
        <v>3.1033732885588083E-3</v>
      </c>
      <c r="R468" s="15">
        <f t="shared" si="26"/>
        <v>7.6288340554406349E-3</v>
      </c>
    </row>
    <row r="469" spans="1:18" x14ac:dyDescent="0.2">
      <c r="A469" s="13">
        <v>45365</v>
      </c>
      <c r="B469" s="14">
        <v>16.2</v>
      </c>
      <c r="C469" s="14">
        <v>14.04</v>
      </c>
      <c r="D469" s="14">
        <v>248.22</v>
      </c>
      <c r="E469" s="14">
        <v>38.256700000000002</v>
      </c>
      <c r="F469" s="14">
        <v>223.16</v>
      </c>
      <c r="G469" s="14">
        <v>163.96</v>
      </c>
      <c r="H469" s="14">
        <v>11.9</v>
      </c>
      <c r="I469" s="14">
        <v>69.368065000000001</v>
      </c>
      <c r="J469">
        <f t="shared" si="25"/>
        <v>-4.3023970497848563E-3</v>
      </c>
      <c r="K469">
        <f t="shared" si="25"/>
        <v>3.616236162361619E-2</v>
      </c>
      <c r="L469">
        <f t="shared" si="25"/>
        <v>2.3039195482833952E-2</v>
      </c>
      <c r="M469">
        <f t="shared" si="24"/>
        <v>-1.5788059537764187E-2</v>
      </c>
      <c r="N469">
        <f t="shared" si="24"/>
        <v>7.1306074555463894E-3</v>
      </c>
      <c r="O469">
        <f t="shared" si="24"/>
        <v>1.2786459941936057E-2</v>
      </c>
      <c r="P469">
        <f t="shared" si="24"/>
        <v>-3.4090909090909061E-2</v>
      </c>
      <c r="Q469">
        <f t="shared" si="23"/>
        <v>-2.3419097088674401E-2</v>
      </c>
      <c r="R469" s="15">
        <f t="shared" si="26"/>
        <v>5.9599575914358522E-4</v>
      </c>
    </row>
    <row r="470" spans="1:18" x14ac:dyDescent="0.2">
      <c r="A470" s="11">
        <v>45364</v>
      </c>
      <c r="B470" s="12">
        <v>16.27</v>
      </c>
      <c r="C470" s="12">
        <v>13.55</v>
      </c>
      <c r="D470" s="12">
        <v>242.63</v>
      </c>
      <c r="E470" s="12">
        <v>38.870387999999998</v>
      </c>
      <c r="F470" s="12">
        <v>221.58</v>
      </c>
      <c r="G470" s="12">
        <v>161.88999999999999</v>
      </c>
      <c r="H470" s="12">
        <v>12.32</v>
      </c>
      <c r="I470" s="12">
        <v>71.031559999999999</v>
      </c>
      <c r="J470">
        <f t="shared" si="25"/>
        <v>1.055900621118E-2</v>
      </c>
      <c r="K470">
        <f t="shared" si="25"/>
        <v>1.4781966001480296E-3</v>
      </c>
      <c r="L470">
        <f t="shared" si="25"/>
        <v>1.5145809798753129E-2</v>
      </c>
      <c r="M470">
        <f t="shared" si="24"/>
        <v>1.7857225697208712E-3</v>
      </c>
      <c r="N470">
        <f t="shared" si="24"/>
        <v>2.1718079955733938E-2</v>
      </c>
      <c r="O470">
        <f t="shared" si="24"/>
        <v>6.9038437616617543E-3</v>
      </c>
      <c r="P470">
        <f t="shared" si="24"/>
        <v>2.3255813953488413E-2</v>
      </c>
      <c r="Q470">
        <f t="shared" si="23"/>
        <v>1.2271603308378065E-2</v>
      </c>
      <c r="R470" s="15">
        <f t="shared" si="26"/>
        <v>1.3448085884135985E-2</v>
      </c>
    </row>
    <row r="471" spans="1:18" x14ac:dyDescent="0.2">
      <c r="A471" s="13">
        <v>45363</v>
      </c>
      <c r="B471" s="14">
        <v>16.100000000000001</v>
      </c>
      <c r="C471" s="14">
        <v>13.53</v>
      </c>
      <c r="D471" s="14">
        <v>239.01</v>
      </c>
      <c r="E471" s="14">
        <v>38.801099999999998</v>
      </c>
      <c r="F471" s="14">
        <v>216.87</v>
      </c>
      <c r="G471" s="14">
        <v>160.78</v>
      </c>
      <c r="H471" s="14">
        <v>12.04</v>
      </c>
      <c r="I471" s="14">
        <v>70.170456000000001</v>
      </c>
      <c r="J471">
        <f t="shared" si="25"/>
        <v>1.0037641154328814E-2</v>
      </c>
      <c r="K471">
        <f t="shared" si="25"/>
        <v>-7.3367571533383691E-3</v>
      </c>
      <c r="L471">
        <f t="shared" si="25"/>
        <v>3.8219235615286618E-3</v>
      </c>
      <c r="M471">
        <f t="shared" si="24"/>
        <v>-6.8407280818266747E-3</v>
      </c>
      <c r="N471">
        <f t="shared" si="24"/>
        <v>8.6507604297474394E-3</v>
      </c>
      <c r="O471">
        <f t="shared" si="24"/>
        <v>-6.1197997156456907E-3</v>
      </c>
      <c r="P471">
        <f t="shared" si="24"/>
        <v>-2.0341741253051215E-2</v>
      </c>
      <c r="Q471">
        <f t="shared" si="23"/>
        <v>-1.5513371295519551E-2</v>
      </c>
      <c r="R471" s="15">
        <f t="shared" si="26"/>
        <v>-3.9003446811055826E-3</v>
      </c>
    </row>
    <row r="472" spans="1:18" x14ac:dyDescent="0.2">
      <c r="A472" s="11">
        <v>45362</v>
      </c>
      <c r="B472" s="12">
        <v>15.94</v>
      </c>
      <c r="C472" s="12">
        <v>13.63</v>
      </c>
      <c r="D472" s="12">
        <v>238.1</v>
      </c>
      <c r="E472" s="12">
        <v>39.068356000000001</v>
      </c>
      <c r="F472" s="12">
        <v>215.01</v>
      </c>
      <c r="G472" s="12">
        <v>161.77000000000001</v>
      </c>
      <c r="H472" s="12">
        <v>12.29</v>
      </c>
      <c r="I472" s="12">
        <v>71.27619</v>
      </c>
      <c r="J472">
        <f t="shared" si="25"/>
        <v>-8.0896079651524566E-3</v>
      </c>
      <c r="K472">
        <f t="shared" si="25"/>
        <v>2.3273273273273221E-2</v>
      </c>
      <c r="L472">
        <f t="shared" si="25"/>
        <v>-1.4259352457641761E-3</v>
      </c>
      <c r="M472">
        <f t="shared" si="24"/>
        <v>-2.7791394670910741E-3</v>
      </c>
      <c r="N472">
        <f t="shared" si="24"/>
        <v>6.6953834628709075E-3</v>
      </c>
      <c r="O472">
        <f t="shared" si="24"/>
        <v>-2.3435090965155947E-3</v>
      </c>
      <c r="P472">
        <f t="shared" si="24"/>
        <v>-8.0710250201776468E-3</v>
      </c>
      <c r="Q472">
        <f t="shared" si="23"/>
        <v>4.4124925492932121E-3</v>
      </c>
      <c r="R472" s="15">
        <f t="shared" si="26"/>
        <v>1.5505210455219239E-3</v>
      </c>
    </row>
    <row r="473" spans="1:18" x14ac:dyDescent="0.2">
      <c r="A473" s="13">
        <v>45359</v>
      </c>
      <c r="B473" s="14">
        <v>16.07</v>
      </c>
      <c r="C473" s="14">
        <v>13.32</v>
      </c>
      <c r="D473" s="14">
        <v>238.44</v>
      </c>
      <c r="E473" s="14">
        <v>39.177235000000003</v>
      </c>
      <c r="F473" s="14">
        <v>213.58</v>
      </c>
      <c r="G473" s="14">
        <v>162.15</v>
      </c>
      <c r="H473" s="14">
        <v>12.39</v>
      </c>
      <c r="I473" s="14">
        <v>70.963065999999998</v>
      </c>
      <c r="J473">
        <f t="shared" si="25"/>
        <v>5.632040050062459E-3</v>
      </c>
      <c r="K473">
        <f t="shared" si="25"/>
        <v>-4.484304932735439E-3</v>
      </c>
      <c r="L473">
        <f t="shared" si="25"/>
        <v>6.2948508120364011E-4</v>
      </c>
      <c r="M473">
        <f t="shared" si="24"/>
        <v>-4.276727417782511E-3</v>
      </c>
      <c r="N473">
        <f t="shared" si="24"/>
        <v>-1.1224394350387579E-3</v>
      </c>
      <c r="O473">
        <f t="shared" si="24"/>
        <v>1.3374164114742904E-2</v>
      </c>
      <c r="P473">
        <f t="shared" si="24"/>
        <v>-2.4154589371979673E-3</v>
      </c>
      <c r="Q473">
        <f t="shared" si="23"/>
        <v>-6.3030933081129614E-3</v>
      </c>
      <c r="R473" s="15">
        <f t="shared" si="26"/>
        <v>3.6971761428128533E-4</v>
      </c>
    </row>
    <row r="474" spans="1:18" x14ac:dyDescent="0.2">
      <c r="A474" s="11">
        <v>45358</v>
      </c>
      <c r="B474" s="12">
        <v>15.98</v>
      </c>
      <c r="C474" s="12">
        <v>13.38</v>
      </c>
      <c r="D474" s="12">
        <v>238.29</v>
      </c>
      <c r="E474" s="12">
        <v>39.345505000000003</v>
      </c>
      <c r="F474" s="12">
        <v>213.82</v>
      </c>
      <c r="G474" s="12">
        <v>160.01</v>
      </c>
      <c r="H474" s="12">
        <v>12.42</v>
      </c>
      <c r="I474" s="12">
        <v>71.41319</v>
      </c>
      <c r="J474">
        <f t="shared" si="25"/>
        <v>-1.4796547472256338E-2</v>
      </c>
      <c r="K474">
        <f t="shared" si="25"/>
        <v>8.2893745290129051E-3</v>
      </c>
      <c r="L474">
        <f t="shared" si="25"/>
        <v>-5.4259359739555757E-3</v>
      </c>
      <c r="M474">
        <f t="shared" si="24"/>
        <v>9.3956351671029559E-3</v>
      </c>
      <c r="N474">
        <f t="shared" si="24"/>
        <v>-7.7958236658932645E-3</v>
      </c>
      <c r="O474">
        <f t="shared" si="24"/>
        <v>9.0811628933593624E-3</v>
      </c>
      <c r="P474">
        <f t="shared" si="24"/>
        <v>-2.5117739403453743E-2</v>
      </c>
      <c r="Q474">
        <f t="shared" si="23"/>
        <v>1.0103697555562174E-2</v>
      </c>
      <c r="R474" s="15">
        <f t="shared" si="26"/>
        <v>-3.9048778103339277E-3</v>
      </c>
    </row>
    <row r="475" spans="1:18" x14ac:dyDescent="0.2">
      <c r="A475" s="13">
        <v>45357</v>
      </c>
      <c r="B475" s="14">
        <v>16.22</v>
      </c>
      <c r="C475" s="14">
        <v>13.27</v>
      </c>
      <c r="D475" s="14">
        <v>239.59</v>
      </c>
      <c r="E475" s="14">
        <v>38.97927</v>
      </c>
      <c r="F475" s="14">
        <v>215.5</v>
      </c>
      <c r="G475" s="14">
        <v>158.57</v>
      </c>
      <c r="H475" s="14">
        <v>12.74</v>
      </c>
      <c r="I475" s="14">
        <v>70.698869999999999</v>
      </c>
      <c r="J475">
        <f t="shared" si="25"/>
        <v>5.5796652200867936E-3</v>
      </c>
      <c r="K475">
        <f t="shared" si="25"/>
        <v>1.2977099236641143E-2</v>
      </c>
      <c r="L475">
        <f t="shared" si="25"/>
        <v>6.4269511887760089E-3</v>
      </c>
      <c r="M475">
        <f t="shared" si="24"/>
        <v>-4.2982780755785877E-3</v>
      </c>
      <c r="N475">
        <f t="shared" si="24"/>
        <v>-6.7751302023321136E-3</v>
      </c>
      <c r="O475">
        <f t="shared" si="24"/>
        <v>-2.4424756982896478E-2</v>
      </c>
      <c r="P475">
        <f t="shared" si="24"/>
        <v>3.6615134255492343E-2</v>
      </c>
      <c r="Q475">
        <f t="shared" si="23"/>
        <v>1.4035072118122383E-2</v>
      </c>
      <c r="R475" s="15">
        <f t="shared" si="26"/>
        <v>4.7633785222767561E-3</v>
      </c>
    </row>
    <row r="476" spans="1:18" x14ac:dyDescent="0.2">
      <c r="A476" s="11">
        <v>45356</v>
      </c>
      <c r="B476" s="12">
        <v>16.13</v>
      </c>
      <c r="C476" s="12">
        <v>13.1</v>
      </c>
      <c r="D476" s="12">
        <v>238.06</v>
      </c>
      <c r="E476" s="12">
        <v>39.147537</v>
      </c>
      <c r="F476" s="12">
        <v>216.97</v>
      </c>
      <c r="G476" s="12">
        <v>162.54</v>
      </c>
      <c r="H476" s="12">
        <v>12.29</v>
      </c>
      <c r="I476" s="12">
        <v>69.720339999999993</v>
      </c>
      <c r="J476">
        <f t="shared" si="25"/>
        <v>0</v>
      </c>
      <c r="K476">
        <f t="shared" si="25"/>
        <v>-9.8261526832955637E-3</v>
      </c>
      <c r="L476">
        <f t="shared" si="25"/>
        <v>-1.8996991799563157E-2</v>
      </c>
      <c r="M476">
        <f t="shared" si="24"/>
        <v>1.7730323133713366E-3</v>
      </c>
      <c r="N476">
        <f t="shared" si="24"/>
        <v>1.6872100107794052E-2</v>
      </c>
      <c r="O476">
        <f t="shared" si="24"/>
        <v>1.2836490528414846E-2</v>
      </c>
      <c r="P476">
        <f t="shared" si="24"/>
        <v>1.8227009113504389E-2</v>
      </c>
      <c r="Q476">
        <f t="shared" si="23"/>
        <v>-4.6184579074223575E-2</v>
      </c>
      <c r="R476" s="15">
        <f t="shared" si="26"/>
        <v>1.54313201706602E-3</v>
      </c>
    </row>
    <row r="477" spans="1:18" x14ac:dyDescent="0.2">
      <c r="A477" s="13">
        <v>45355</v>
      </c>
      <c r="B477" s="14">
        <v>16.13</v>
      </c>
      <c r="C477" s="14">
        <v>13.23</v>
      </c>
      <c r="D477" s="14">
        <v>242.67</v>
      </c>
      <c r="E477" s="14">
        <v>39.078249999999997</v>
      </c>
      <c r="F477" s="14">
        <v>213.37</v>
      </c>
      <c r="G477" s="14">
        <v>160.47999999999999</v>
      </c>
      <c r="H477" s="14">
        <v>12.07</v>
      </c>
      <c r="I477" s="14">
        <v>73.096260000000001</v>
      </c>
      <c r="J477">
        <f t="shared" si="25"/>
        <v>1.2554927809165006E-2</v>
      </c>
      <c r="K477">
        <f t="shared" si="25"/>
        <v>-1.2686567164179152E-2</v>
      </c>
      <c r="L477">
        <f t="shared" si="25"/>
        <v>-3.3803153368370809E-2</v>
      </c>
      <c r="M477">
        <f t="shared" si="24"/>
        <v>-7.7909670302204193E-3</v>
      </c>
      <c r="N477">
        <f t="shared" si="24"/>
        <v>-1.9033607650222883E-2</v>
      </c>
      <c r="O477">
        <f t="shared" si="24"/>
        <v>-8.648381517173287E-3</v>
      </c>
      <c r="P477">
        <f t="shared" si="24"/>
        <v>-2.425222312045261E-2</v>
      </c>
      <c r="Q477">
        <f t="shared" si="23"/>
        <v>-1.1102197197122687E-2</v>
      </c>
      <c r="R477" s="15">
        <f t="shared" si="26"/>
        <v>-1.5367578325448664E-2</v>
      </c>
    </row>
    <row r="478" spans="1:18" x14ac:dyDescent="0.2">
      <c r="A478" s="11">
        <v>45352</v>
      </c>
      <c r="B478" s="12">
        <v>15.93</v>
      </c>
      <c r="C478" s="12">
        <v>13.4</v>
      </c>
      <c r="D478" s="12">
        <v>251.16</v>
      </c>
      <c r="E478" s="12">
        <v>39.385097999999999</v>
      </c>
      <c r="F478" s="12">
        <v>217.51</v>
      </c>
      <c r="G478" s="12">
        <v>161.88</v>
      </c>
      <c r="H478" s="12">
        <v>12.37</v>
      </c>
      <c r="I478" s="12">
        <v>73.916899999999998</v>
      </c>
      <c r="J478">
        <f t="shared" si="25"/>
        <v>-1.87969924812037E-3</v>
      </c>
      <c r="K478">
        <f t="shared" si="25"/>
        <v>2.8396009209516571E-2</v>
      </c>
      <c r="L478">
        <f t="shared" si="25"/>
        <v>-2.0264632256525861E-3</v>
      </c>
      <c r="M478">
        <f t="shared" si="24"/>
        <v>-1.5055843674978142E-3</v>
      </c>
      <c r="N478">
        <f t="shared" si="24"/>
        <v>1.8400599307051069E-2</v>
      </c>
      <c r="O478">
        <f t="shared" si="24"/>
        <v>1.7921146953405076E-2</v>
      </c>
      <c r="P478">
        <f t="shared" si="24"/>
        <v>-2.4193548387098085E-3</v>
      </c>
      <c r="Q478">
        <f t="shared" si="23"/>
        <v>-1.0573069807050972E-2</v>
      </c>
      <c r="R478" s="15">
        <f t="shared" si="26"/>
        <v>7.7104574138567696E-3</v>
      </c>
    </row>
    <row r="479" spans="1:18" x14ac:dyDescent="0.2">
      <c r="A479" s="13">
        <v>45351</v>
      </c>
      <c r="B479" s="14">
        <v>15.96</v>
      </c>
      <c r="C479" s="14">
        <v>13.03</v>
      </c>
      <c r="D479" s="14">
        <v>251.67</v>
      </c>
      <c r="E479" s="14">
        <v>39.444485</v>
      </c>
      <c r="F479" s="14">
        <v>213.58</v>
      </c>
      <c r="G479" s="14">
        <v>159.03</v>
      </c>
      <c r="H479" s="14">
        <v>12.4</v>
      </c>
      <c r="I479" s="14">
        <v>74.706779999999995</v>
      </c>
      <c r="J479">
        <f t="shared" si="25"/>
        <v>-1.4814814814814725E-2</v>
      </c>
      <c r="K479">
        <f t="shared" si="25"/>
        <v>-1.2878787878787823E-2</v>
      </c>
      <c r="L479">
        <f t="shared" si="25"/>
        <v>9.9927763062845898E-3</v>
      </c>
      <c r="M479">
        <f t="shared" si="24"/>
        <v>-2.5089734007754938E-4</v>
      </c>
      <c r="N479">
        <f t="shared" si="24"/>
        <v>-1.5427048758822615E-3</v>
      </c>
      <c r="O479">
        <f t="shared" si="24"/>
        <v>3.6604607131587308E-3</v>
      </c>
      <c r="P479">
        <f t="shared" si="24"/>
        <v>-6.4102564102563875E-3</v>
      </c>
      <c r="Q479">
        <f t="shared" si="23"/>
        <v>5.1468586743352418E-2</v>
      </c>
      <c r="R479" s="15">
        <f t="shared" si="26"/>
        <v>1.7909403699268873E-3</v>
      </c>
    </row>
    <row r="480" spans="1:18" x14ac:dyDescent="0.2">
      <c r="A480" s="11">
        <v>45350</v>
      </c>
      <c r="B480" s="12">
        <v>16.2</v>
      </c>
      <c r="C480" s="12">
        <v>13.2</v>
      </c>
      <c r="D480" s="12">
        <v>249.18</v>
      </c>
      <c r="E480" s="12">
        <v>39.454383999999997</v>
      </c>
      <c r="F480" s="12">
        <v>213.91</v>
      </c>
      <c r="G480" s="12">
        <v>158.44999999999999</v>
      </c>
      <c r="H480" s="12">
        <v>12.48</v>
      </c>
      <c r="I480" s="12">
        <v>71.049940000000007</v>
      </c>
      <c r="J480">
        <f t="shared" si="25"/>
        <v>-2.0556227327690468E-2</v>
      </c>
      <c r="K480">
        <f t="shared" si="25"/>
        <v>-3.3674963396779001E-2</v>
      </c>
      <c r="L480">
        <f t="shared" si="25"/>
        <v>-2.755229472369658E-2</v>
      </c>
      <c r="M480">
        <f t="shared" si="24"/>
        <v>-3.8359512965300047E-2</v>
      </c>
      <c r="N480">
        <f t="shared" si="24"/>
        <v>-1.1597819055540137E-2</v>
      </c>
      <c r="O480">
        <f t="shared" si="24"/>
        <v>-3.9347641566630398E-2</v>
      </c>
      <c r="P480">
        <f t="shared" si="24"/>
        <v>-7.1599045346062429E-3</v>
      </c>
      <c r="Q480">
        <f t="shared" si="23"/>
        <v>-1.646866131512581E-2</v>
      </c>
      <c r="R480" s="15">
        <f t="shared" si="26"/>
        <v>-2.2586264190666332E-2</v>
      </c>
    </row>
    <row r="481" spans="1:18" x14ac:dyDescent="0.2">
      <c r="A481" s="13">
        <v>45349</v>
      </c>
      <c r="B481" s="14">
        <v>16.54</v>
      </c>
      <c r="C481" s="14">
        <v>13.66</v>
      </c>
      <c r="D481" s="14">
        <v>256.24</v>
      </c>
      <c r="E481" s="14">
        <v>41.028205999999997</v>
      </c>
      <c r="F481" s="14">
        <v>216.42</v>
      </c>
      <c r="G481" s="14">
        <v>164.94</v>
      </c>
      <c r="H481" s="14">
        <v>12.57</v>
      </c>
      <c r="I481" s="14">
        <v>72.239630000000005</v>
      </c>
      <c r="J481">
        <f t="shared" si="25"/>
        <v>-1.8105009052504784E-3</v>
      </c>
      <c r="K481">
        <f t="shared" si="25"/>
        <v>-1.6558675305975545E-2</v>
      </c>
      <c r="L481">
        <f t="shared" si="25"/>
        <v>-1.0961865060984954E-2</v>
      </c>
      <c r="M481">
        <f t="shared" si="24"/>
        <v>-1.003099850810496E-2</v>
      </c>
      <c r="N481">
        <f t="shared" si="24"/>
        <v>8.5278903956380603E-3</v>
      </c>
      <c r="O481">
        <f t="shared" si="24"/>
        <v>2.4919467574302523E-3</v>
      </c>
      <c r="P481">
        <f t="shared" si="24"/>
        <v>3.9936102236421966E-3</v>
      </c>
      <c r="Q481">
        <f t="shared" si="23"/>
        <v>-1.0287229159959055E-2</v>
      </c>
      <c r="R481" s="15">
        <f t="shared" si="26"/>
        <v>-2.1888430947783121E-3</v>
      </c>
    </row>
    <row r="482" spans="1:18" x14ac:dyDescent="0.2">
      <c r="A482" s="11">
        <v>45348</v>
      </c>
      <c r="B482" s="12">
        <v>16.57</v>
      </c>
      <c r="C482" s="12">
        <v>13.89</v>
      </c>
      <c r="D482" s="12">
        <v>259.08</v>
      </c>
      <c r="E482" s="12">
        <v>41.443930000000002</v>
      </c>
      <c r="F482" s="12">
        <v>214.59</v>
      </c>
      <c r="G482" s="12">
        <v>164.53</v>
      </c>
      <c r="H482" s="12">
        <v>12.52</v>
      </c>
      <c r="I482" s="12">
        <v>72.990499999999997</v>
      </c>
      <c r="J482">
        <f t="shared" si="25"/>
        <v>1.8137847642081262E-3</v>
      </c>
      <c r="K482">
        <f t="shared" si="25"/>
        <v>-7.1479628305932685E-3</v>
      </c>
      <c r="L482">
        <f t="shared" si="25"/>
        <v>-1.3254113345521068E-2</v>
      </c>
      <c r="M482">
        <f t="shared" si="24"/>
        <v>-9.9314478377114934E-3</v>
      </c>
      <c r="N482">
        <f t="shared" si="24"/>
        <v>4.0707467714766743E-3</v>
      </c>
      <c r="O482">
        <f t="shared" si="24"/>
        <v>-5.1396783166041127E-3</v>
      </c>
      <c r="P482">
        <f t="shared" si="24"/>
        <v>-8.7094220110848219E-3</v>
      </c>
      <c r="Q482">
        <f t="shared" si="23"/>
        <v>6.5894682143867733E-3</v>
      </c>
      <c r="R482" s="15">
        <f t="shared" si="26"/>
        <v>-3.9436394641331239E-3</v>
      </c>
    </row>
    <row r="483" spans="1:18" x14ac:dyDescent="0.2">
      <c r="A483" s="13">
        <v>45345</v>
      </c>
      <c r="B483" s="14">
        <v>16.54</v>
      </c>
      <c r="C483" s="14">
        <v>13.99</v>
      </c>
      <c r="D483" s="14">
        <v>262.56</v>
      </c>
      <c r="E483" s="14">
        <v>41.859656999999999</v>
      </c>
      <c r="F483" s="14">
        <v>213.72</v>
      </c>
      <c r="G483" s="14">
        <v>165.38</v>
      </c>
      <c r="H483" s="14">
        <v>12.63</v>
      </c>
      <c r="I483" s="14">
        <v>72.512680000000003</v>
      </c>
      <c r="J483">
        <f t="shared" si="25"/>
        <v>1.7846153846153845E-2</v>
      </c>
      <c r="K483">
        <f t="shared" si="25"/>
        <v>2.116788321167884E-2</v>
      </c>
      <c r="L483">
        <f t="shared" si="25"/>
        <v>-5.8687668017114447E-3</v>
      </c>
      <c r="M483">
        <f t="shared" si="24"/>
        <v>3.3213901316324623E-3</v>
      </c>
      <c r="N483">
        <f t="shared" si="24"/>
        <v>3.6158722704859869E-3</v>
      </c>
      <c r="O483">
        <f t="shared" si="24"/>
        <v>8.5991339879245565E-3</v>
      </c>
      <c r="P483">
        <f t="shared" si="24"/>
        <v>0</v>
      </c>
      <c r="Q483">
        <f t="shared" si="23"/>
        <v>-1.344411653055877E-4</v>
      </c>
      <c r="R483" s="15">
        <f t="shared" si="26"/>
        <v>5.3032891985055767E-3</v>
      </c>
    </row>
    <row r="484" spans="1:18" x14ac:dyDescent="0.2">
      <c r="A484" s="11">
        <v>45344</v>
      </c>
      <c r="B484" s="12">
        <v>16.25</v>
      </c>
      <c r="C484" s="12">
        <v>13.7</v>
      </c>
      <c r="D484" s="12">
        <v>264.11</v>
      </c>
      <c r="E484" s="12">
        <v>41.721085000000002</v>
      </c>
      <c r="F484" s="12">
        <v>212.95</v>
      </c>
      <c r="G484" s="12">
        <v>163.97</v>
      </c>
      <c r="H484" s="12">
        <v>12.63</v>
      </c>
      <c r="I484" s="12">
        <v>72.52243</v>
      </c>
      <c r="J484">
        <f t="shared" si="25"/>
        <v>1.6260162601626105E-2</v>
      </c>
      <c r="K484">
        <f t="shared" si="25"/>
        <v>1.2564671101256364E-2</v>
      </c>
      <c r="L484">
        <f t="shared" si="25"/>
        <v>1.8392843371635825E-2</v>
      </c>
      <c r="M484">
        <f t="shared" si="24"/>
        <v>1.3708569718460017E-2</v>
      </c>
      <c r="N484">
        <f t="shared" si="24"/>
        <v>-1.0409405641526148E-2</v>
      </c>
      <c r="O484">
        <f t="shared" si="24"/>
        <v>2.0166218528478996E-3</v>
      </c>
      <c r="P484">
        <f t="shared" si="24"/>
        <v>5.5732484076433941E-3</v>
      </c>
      <c r="Q484">
        <f t="shared" si="23"/>
        <v>2.9485129889358141E-2</v>
      </c>
      <c r="R484" s="15">
        <f t="shared" si="26"/>
        <v>7.5264538036522322E-3</v>
      </c>
    </row>
    <row r="485" spans="1:18" x14ac:dyDescent="0.2">
      <c r="A485" s="13">
        <v>45343</v>
      </c>
      <c r="B485" s="14">
        <v>15.99</v>
      </c>
      <c r="C485" s="14">
        <v>13.53</v>
      </c>
      <c r="D485" s="14">
        <v>259.33999999999997</v>
      </c>
      <c r="E485" s="14">
        <v>41.156883000000001</v>
      </c>
      <c r="F485" s="14">
        <v>215.19</v>
      </c>
      <c r="G485" s="14">
        <v>163.63999999999999</v>
      </c>
      <c r="H485" s="14">
        <v>12.56</v>
      </c>
      <c r="I485" s="14">
        <v>70.445340000000002</v>
      </c>
      <c r="J485">
        <f t="shared" si="25"/>
        <v>1.5238095238095273E-2</v>
      </c>
      <c r="K485">
        <f t="shared" si="25"/>
        <v>6.6964285714286031E-3</v>
      </c>
      <c r="L485">
        <f t="shared" si="25"/>
        <v>-1.5264277035237139E-2</v>
      </c>
      <c r="M485">
        <f t="shared" si="24"/>
        <v>-2.0955983286195967E-2</v>
      </c>
      <c r="N485">
        <f t="shared" si="24"/>
        <v>-3.0576789437108953E-3</v>
      </c>
      <c r="O485">
        <f t="shared" si="24"/>
        <v>1.9593436198872549E-3</v>
      </c>
      <c r="P485">
        <f t="shared" si="24"/>
        <v>-2.8615622583139877E-2</v>
      </c>
      <c r="Q485">
        <f t="shared" si="23"/>
        <v>4.3097647321816979E-3</v>
      </c>
      <c r="R485" s="15">
        <f t="shared" si="26"/>
        <v>-6.6497761100356417E-3</v>
      </c>
    </row>
    <row r="486" spans="1:18" x14ac:dyDescent="0.2">
      <c r="A486" s="11">
        <v>45342</v>
      </c>
      <c r="B486" s="12">
        <v>15.75</v>
      </c>
      <c r="C486" s="12">
        <v>13.44</v>
      </c>
      <c r="D486" s="12">
        <v>263.36</v>
      </c>
      <c r="E486" s="12">
        <v>42.037827</v>
      </c>
      <c r="F486" s="12">
        <v>215.85</v>
      </c>
      <c r="G486" s="12">
        <v>163.32</v>
      </c>
      <c r="H486" s="12">
        <v>12.93</v>
      </c>
      <c r="I486" s="12">
        <v>70.143039999999999</v>
      </c>
      <c r="J486">
        <f t="shared" si="25"/>
        <v>-6.3091482649841879E-3</v>
      </c>
      <c r="K486">
        <f t="shared" si="25"/>
        <v>-3.7064492216457579E-3</v>
      </c>
      <c r="L486">
        <f t="shared" si="25"/>
        <v>1.8564356435643692E-2</v>
      </c>
      <c r="M486">
        <f t="shared" si="24"/>
        <v>-5.8520361765590501E-3</v>
      </c>
      <c r="N486">
        <f t="shared" si="24"/>
        <v>-1.0044028618602097E-2</v>
      </c>
      <c r="O486">
        <f t="shared" si="24"/>
        <v>-8.9805825242719184E-3</v>
      </c>
      <c r="P486">
        <f t="shared" si="24"/>
        <v>1.491365777080067E-2</v>
      </c>
      <c r="Q486">
        <f t="shared" si="23"/>
        <v>-1.9359197044615972E-2</v>
      </c>
      <c r="R486" s="15">
        <f t="shared" si="26"/>
        <v>-1.5913432650305123E-3</v>
      </c>
    </row>
    <row r="487" spans="1:18" x14ac:dyDescent="0.2">
      <c r="A487" s="13">
        <v>45341</v>
      </c>
      <c r="B487" s="14">
        <v>15.85</v>
      </c>
      <c r="C487" s="14">
        <v>13.49</v>
      </c>
      <c r="D487" s="14">
        <v>258.56</v>
      </c>
      <c r="E487" s="14">
        <v>42.285282000000002</v>
      </c>
      <c r="F487" s="14">
        <v>218.04</v>
      </c>
      <c r="G487" s="14">
        <v>164.8</v>
      </c>
      <c r="H487" s="14">
        <v>12.74</v>
      </c>
      <c r="I487" s="14">
        <v>71.527760000000001</v>
      </c>
      <c r="J487">
        <f t="shared" si="25"/>
        <v>1.6677357280307836E-2</v>
      </c>
      <c r="K487">
        <f t="shared" si="25"/>
        <v>5.2160953800297616E-3</v>
      </c>
      <c r="L487">
        <f t="shared" si="25"/>
        <v>-2.8992038455760705E-2</v>
      </c>
      <c r="M487">
        <f t="shared" si="24"/>
        <v>7.072250789683876E-3</v>
      </c>
      <c r="N487">
        <f t="shared" si="24"/>
        <v>6.462333825701716E-3</v>
      </c>
      <c r="O487">
        <f t="shared" si="24"/>
        <v>3.4096444227960099E-3</v>
      </c>
      <c r="P487">
        <f t="shared" si="24"/>
        <v>-7.8431372549014888E-4</v>
      </c>
      <c r="Q487">
        <f t="shared" si="23"/>
        <v>1.4803427995008667E-2</v>
      </c>
      <c r="R487" s="15">
        <f t="shared" si="26"/>
        <v>1.9507982594643349E-3</v>
      </c>
    </row>
    <row r="488" spans="1:18" x14ac:dyDescent="0.2">
      <c r="A488" s="11">
        <v>45338</v>
      </c>
      <c r="B488" s="12">
        <v>15.59</v>
      </c>
      <c r="C488" s="12">
        <v>13.42</v>
      </c>
      <c r="D488" s="12">
        <v>266.27999999999997</v>
      </c>
      <c r="E488" s="12">
        <v>41.988329999999998</v>
      </c>
      <c r="F488" s="12">
        <v>216.64</v>
      </c>
      <c r="G488" s="12">
        <v>164.24</v>
      </c>
      <c r="H488" s="12">
        <v>12.75</v>
      </c>
      <c r="I488" s="12">
        <v>70.484350000000006</v>
      </c>
      <c r="J488">
        <f t="shared" si="25"/>
        <v>1.962066710268151E-2</v>
      </c>
      <c r="K488">
        <f t="shared" si="25"/>
        <v>1.7437452615618021E-2</v>
      </c>
      <c r="L488">
        <f t="shared" si="25"/>
        <v>9.7737012254706102E-4</v>
      </c>
      <c r="M488">
        <f t="shared" si="24"/>
        <v>-5.6259323367725544E-3</v>
      </c>
      <c r="N488">
        <f t="shared" si="24"/>
        <v>-1.3845940831680448E-4</v>
      </c>
      <c r="O488">
        <f t="shared" si="24"/>
        <v>1.0334645669291431E-2</v>
      </c>
      <c r="P488">
        <f t="shared" si="24"/>
        <v>5.5205047318611644E-3</v>
      </c>
      <c r="Q488">
        <f t="shared" si="23"/>
        <v>7.9486893114124602E-3</v>
      </c>
      <c r="R488" s="15">
        <f t="shared" si="26"/>
        <v>6.0908785276122873E-3</v>
      </c>
    </row>
    <row r="489" spans="1:18" x14ac:dyDescent="0.2">
      <c r="A489" s="13">
        <v>45337</v>
      </c>
      <c r="B489" s="14">
        <v>15.29</v>
      </c>
      <c r="C489" s="14">
        <v>13.19</v>
      </c>
      <c r="D489" s="14">
        <v>266.02</v>
      </c>
      <c r="E489" s="14">
        <v>42.22589</v>
      </c>
      <c r="F489" s="14">
        <v>216.67</v>
      </c>
      <c r="G489" s="14">
        <v>162.56</v>
      </c>
      <c r="H489" s="14">
        <v>12.68</v>
      </c>
      <c r="I489" s="14">
        <v>69.928510000000003</v>
      </c>
      <c r="J489">
        <f t="shared" si="25"/>
        <v>1.865423051299131E-2</v>
      </c>
      <c r="K489">
        <f t="shared" si="25"/>
        <v>1.3056835637480724E-2</v>
      </c>
      <c r="L489">
        <f t="shared" si="25"/>
        <v>-2.0258103241297398E-3</v>
      </c>
      <c r="M489">
        <f t="shared" si="24"/>
        <v>5.1837584772280731E-3</v>
      </c>
      <c r="N489">
        <f t="shared" si="24"/>
        <v>-6.4572667312401411E-4</v>
      </c>
      <c r="O489">
        <f t="shared" si="24"/>
        <v>1.0631022691949044E-2</v>
      </c>
      <c r="P489">
        <f t="shared" si="24"/>
        <v>1.9292604501607746E-2</v>
      </c>
      <c r="Q489">
        <f t="shared" si="23"/>
        <v>-3.7511498848654679E-3</v>
      </c>
      <c r="R489" s="15">
        <f t="shared" si="26"/>
        <v>7.4844227352180454E-3</v>
      </c>
    </row>
    <row r="490" spans="1:18" x14ac:dyDescent="0.2">
      <c r="A490" s="11">
        <v>45336</v>
      </c>
      <c r="B490" s="12">
        <v>15.01</v>
      </c>
      <c r="C490" s="12">
        <v>13.02</v>
      </c>
      <c r="D490" s="12">
        <v>266.56</v>
      </c>
      <c r="E490" s="12">
        <v>42.008130000000001</v>
      </c>
      <c r="F490" s="12">
        <v>216.81</v>
      </c>
      <c r="G490" s="12">
        <v>160.85</v>
      </c>
      <c r="H490" s="12">
        <v>12.44</v>
      </c>
      <c r="I490" s="12">
        <v>70.191810000000004</v>
      </c>
      <c r="J490">
        <f t="shared" si="25"/>
        <v>2.9492455418381303E-2</v>
      </c>
      <c r="K490">
        <f t="shared" si="25"/>
        <v>-8.3777608530084535E-3</v>
      </c>
      <c r="L490">
        <f t="shared" si="25"/>
        <v>-1.0468483183606825E-2</v>
      </c>
      <c r="M490">
        <f t="shared" si="24"/>
        <v>3.5469234733576105E-3</v>
      </c>
      <c r="N490">
        <f t="shared" si="24"/>
        <v>8.3248069946981751E-3</v>
      </c>
      <c r="O490">
        <f t="shared" si="24"/>
        <v>-9.9372709769574019E-4</v>
      </c>
      <c r="P490">
        <f t="shared" si="24"/>
        <v>1.7170891251022002E-2</v>
      </c>
      <c r="Q490">
        <f t="shared" si="23"/>
        <v>1.0245763758990334E-2</v>
      </c>
      <c r="R490" s="15">
        <f t="shared" si="26"/>
        <v>5.8486481588111211E-3</v>
      </c>
    </row>
    <row r="491" spans="1:18" x14ac:dyDescent="0.2">
      <c r="A491" s="13">
        <v>45335</v>
      </c>
      <c r="B491" s="14">
        <v>14.58</v>
      </c>
      <c r="C491" s="14">
        <v>13.13</v>
      </c>
      <c r="D491" s="14">
        <v>269.38</v>
      </c>
      <c r="E491" s="14">
        <v>41.859656999999999</v>
      </c>
      <c r="F491" s="14">
        <v>215.02</v>
      </c>
      <c r="G491" s="14">
        <v>161.01</v>
      </c>
      <c r="H491" s="14">
        <v>12.23</v>
      </c>
      <c r="I491" s="14">
        <v>69.479934999999998</v>
      </c>
      <c r="J491">
        <f t="shared" si="25"/>
        <v>-7.4880871341047595E-3</v>
      </c>
      <c r="K491">
        <f t="shared" si="25"/>
        <v>-1.3523666416228375E-2</v>
      </c>
      <c r="L491">
        <f t="shared" si="25"/>
        <v>-9.3409826419535991E-3</v>
      </c>
      <c r="M491">
        <f t="shared" si="24"/>
        <v>-1.6053919370716985E-2</v>
      </c>
      <c r="N491">
        <f t="shared" si="24"/>
        <v>-1.4438282073612196E-2</v>
      </c>
      <c r="O491">
        <f t="shared" si="24"/>
        <v>-2.4772864930345251E-2</v>
      </c>
      <c r="P491">
        <f t="shared" si="24"/>
        <v>-5.1937984496124079E-2</v>
      </c>
      <c r="Q491">
        <f t="shared" si="23"/>
        <v>-2.5707642186449942E-2</v>
      </c>
      <c r="R491" s="15">
        <f t="shared" si="26"/>
        <v>-2.203873000187645E-2</v>
      </c>
    </row>
    <row r="492" spans="1:18" x14ac:dyDescent="0.2">
      <c r="A492" s="11">
        <v>45334</v>
      </c>
      <c r="B492" s="12">
        <v>14.69</v>
      </c>
      <c r="C492" s="12">
        <v>13.31</v>
      </c>
      <c r="D492" s="12">
        <v>271.92</v>
      </c>
      <c r="E492" s="12">
        <v>42.542633000000002</v>
      </c>
      <c r="F492" s="12">
        <v>218.17</v>
      </c>
      <c r="G492" s="12">
        <v>165.1</v>
      </c>
      <c r="H492" s="12">
        <v>12.9</v>
      </c>
      <c r="I492" s="12">
        <v>71.313230000000004</v>
      </c>
      <c r="J492">
        <f t="shared" si="25"/>
        <v>1.3633265167007913E-3</v>
      </c>
      <c r="K492">
        <f t="shared" si="25"/>
        <v>1.3709063214013772E-2</v>
      </c>
      <c r="L492">
        <f t="shared" si="25"/>
        <v>-2.8232435136873679E-2</v>
      </c>
      <c r="M492">
        <f t="shared" si="24"/>
        <v>8.6833632078604506E-3</v>
      </c>
      <c r="N492">
        <f t="shared" si="24"/>
        <v>1.2061047455582896E-2</v>
      </c>
      <c r="O492">
        <f t="shared" si="24"/>
        <v>-1.9071950567405405E-2</v>
      </c>
      <c r="P492">
        <f t="shared" si="24"/>
        <v>7.0257611241217877E-3</v>
      </c>
      <c r="Q492">
        <f t="shared" si="24"/>
        <v>8.5504402290865755E-3</v>
      </c>
      <c r="R492" s="15">
        <f t="shared" si="26"/>
        <v>7.5183504282345861E-4</v>
      </c>
    </row>
    <row r="493" spans="1:18" x14ac:dyDescent="0.2">
      <c r="A493" s="13">
        <v>45331</v>
      </c>
      <c r="B493" s="14">
        <v>14.67</v>
      </c>
      <c r="C493" s="14">
        <v>13.13</v>
      </c>
      <c r="D493" s="14">
        <v>279.82</v>
      </c>
      <c r="E493" s="14">
        <v>42.176400000000001</v>
      </c>
      <c r="F493" s="14">
        <v>215.57</v>
      </c>
      <c r="G493" s="14">
        <v>168.31</v>
      </c>
      <c r="H493" s="14">
        <v>12.81</v>
      </c>
      <c r="I493" s="14">
        <v>70.708640000000003</v>
      </c>
      <c r="J493">
        <f t="shared" si="25"/>
        <v>-1.2121212121212088E-2</v>
      </c>
      <c r="K493">
        <f t="shared" si="25"/>
        <v>-3.6683785766691068E-2</v>
      </c>
      <c r="L493">
        <f t="shared" si="25"/>
        <v>-9.4165958651940551E-3</v>
      </c>
      <c r="M493">
        <f t="shared" si="24"/>
        <v>-6.7599311878804302E-3</v>
      </c>
      <c r="N493">
        <f t="shared" si="24"/>
        <v>-7.6873503958756473E-3</v>
      </c>
      <c r="O493">
        <f t="shared" si="24"/>
        <v>7.0603721653803575E-3</v>
      </c>
      <c r="P493">
        <f t="shared" si="24"/>
        <v>-8.5139318885448789E-3</v>
      </c>
      <c r="Q493">
        <f t="shared" si="24"/>
        <v>3.3209982025579343E-3</v>
      </c>
      <c r="R493" s="15">
        <f t="shared" si="26"/>
        <v>-8.5508787595941389E-3</v>
      </c>
    </row>
    <row r="494" spans="1:18" x14ac:dyDescent="0.2">
      <c r="A494" s="11">
        <v>45330</v>
      </c>
      <c r="B494" s="12">
        <v>14.85</v>
      </c>
      <c r="C494" s="12">
        <v>13.63</v>
      </c>
      <c r="D494" s="12">
        <v>282.48</v>
      </c>
      <c r="E494" s="12">
        <v>42.463450000000002</v>
      </c>
      <c r="F494" s="12">
        <v>217.24</v>
      </c>
      <c r="G494" s="12">
        <v>167.13</v>
      </c>
      <c r="H494" s="12">
        <v>12.92</v>
      </c>
      <c r="I494" s="12">
        <v>70.474593999999996</v>
      </c>
      <c r="J494">
        <f t="shared" si="25"/>
        <v>-2.5590551181102428E-2</v>
      </c>
      <c r="K494">
        <f t="shared" si="25"/>
        <v>-8.2772543741588045E-2</v>
      </c>
      <c r="L494">
        <f t="shared" si="25"/>
        <v>-6.0145055722615748E-4</v>
      </c>
      <c r="M494">
        <f t="shared" si="24"/>
        <v>7.0423203253768829E-3</v>
      </c>
      <c r="N494">
        <f t="shared" si="24"/>
        <v>-1.3755845099196473E-2</v>
      </c>
      <c r="O494">
        <f t="shared" si="24"/>
        <v>3.4221902017290695E-3</v>
      </c>
      <c r="P494">
        <f t="shared" si="24"/>
        <v>-1.1476664116296886E-2</v>
      </c>
      <c r="Q494">
        <f t="shared" si="24"/>
        <v>-1.162476221356934E-2</v>
      </c>
      <c r="R494" s="15">
        <f t="shared" si="26"/>
        <v>-1.588122386309131E-2</v>
      </c>
    </row>
    <row r="495" spans="1:18" x14ac:dyDescent="0.2">
      <c r="A495" s="13">
        <v>45329</v>
      </c>
      <c r="B495" s="14">
        <v>15.24</v>
      </c>
      <c r="C495" s="14">
        <v>14.86</v>
      </c>
      <c r="D495" s="14">
        <v>282.64999999999998</v>
      </c>
      <c r="E495" s="14">
        <v>42.166499999999999</v>
      </c>
      <c r="F495" s="14">
        <v>220.27</v>
      </c>
      <c r="G495" s="14">
        <v>166.56</v>
      </c>
      <c r="H495" s="14">
        <v>13.07</v>
      </c>
      <c r="I495" s="14">
        <v>71.303479999999993</v>
      </c>
      <c r="J495">
        <f t="shared" si="25"/>
        <v>-8.4580351333766179E-3</v>
      </c>
      <c r="K495">
        <f t="shared" si="25"/>
        <v>5.412719891745521E-3</v>
      </c>
      <c r="L495">
        <f t="shared" si="25"/>
        <v>-1.4401283213613225E-2</v>
      </c>
      <c r="M495">
        <f t="shared" si="24"/>
        <v>3.8011559145475937E-2</v>
      </c>
      <c r="N495">
        <f t="shared" si="24"/>
        <v>-7.4798359843193385E-3</v>
      </c>
      <c r="O495">
        <f t="shared" si="24"/>
        <v>2.7957785595260187E-2</v>
      </c>
      <c r="P495">
        <f t="shared" si="24"/>
        <v>-2.9695619896065395E-2</v>
      </c>
      <c r="Q495">
        <f t="shared" si="24"/>
        <v>5.9154251224216026E-3</v>
      </c>
      <c r="R495" s="15">
        <f t="shared" si="26"/>
        <v>-6.2005423102689866E-4</v>
      </c>
    </row>
    <row r="496" spans="1:18" x14ac:dyDescent="0.2">
      <c r="A496" s="11">
        <v>45328</v>
      </c>
      <c r="B496" s="12">
        <v>15.37</v>
      </c>
      <c r="C496" s="12">
        <v>14.78</v>
      </c>
      <c r="D496" s="12">
        <v>286.77999999999997</v>
      </c>
      <c r="E496" s="12">
        <v>40.62238</v>
      </c>
      <c r="F496" s="12">
        <v>221.93</v>
      </c>
      <c r="G496" s="12">
        <v>162.03</v>
      </c>
      <c r="H496" s="12">
        <v>13.47</v>
      </c>
      <c r="I496" s="12">
        <v>70.884169999999997</v>
      </c>
      <c r="J496">
        <f t="shared" si="25"/>
        <v>-9.0264345583495054E-3</v>
      </c>
      <c r="K496">
        <f t="shared" si="25"/>
        <v>4.7586675730795225E-3</v>
      </c>
      <c r="L496">
        <f t="shared" si="25"/>
        <v>2.6634209207417436E-2</v>
      </c>
      <c r="M496">
        <f t="shared" si="24"/>
        <v>1.2333597757386183E-2</v>
      </c>
      <c r="N496">
        <f t="shared" si="24"/>
        <v>2.3237585873023381E-2</v>
      </c>
      <c r="O496">
        <f t="shared" si="24"/>
        <v>6.7934782608713995E-4</v>
      </c>
      <c r="P496">
        <f t="shared" si="24"/>
        <v>-2.8138528138528018E-2</v>
      </c>
      <c r="Q496">
        <f t="shared" si="24"/>
        <v>2.3514674890188658E-2</v>
      </c>
      <c r="R496" s="15">
        <f t="shared" si="26"/>
        <v>6.1800935080780755E-3</v>
      </c>
    </row>
    <row r="497" spans="1:18" x14ac:dyDescent="0.2">
      <c r="A497" s="13">
        <v>45324</v>
      </c>
      <c r="B497" s="14">
        <v>15.51</v>
      </c>
      <c r="C497" s="14">
        <v>14.71</v>
      </c>
      <c r="D497" s="14">
        <v>279.33999999999997</v>
      </c>
      <c r="E497" s="14">
        <v>40.127464000000003</v>
      </c>
      <c r="F497" s="14">
        <v>216.89</v>
      </c>
      <c r="G497" s="14">
        <v>161.91999999999999</v>
      </c>
      <c r="H497" s="14">
        <v>13.86</v>
      </c>
      <c r="I497" s="14">
        <v>69.255645999999999</v>
      </c>
      <c r="J497">
        <f t="shared" si="25"/>
        <v>1.2911555842478606E-3</v>
      </c>
      <c r="K497">
        <f t="shared" si="25"/>
        <v>2.0110957004160879E-2</v>
      </c>
      <c r="L497">
        <f t="shared" si="25"/>
        <v>3.6627453890970996E-2</v>
      </c>
      <c r="M497">
        <f t="shared" si="24"/>
        <v>-1.2318504169402944E-3</v>
      </c>
      <c r="N497">
        <f t="shared" si="24"/>
        <v>-3.5572946773978376E-2</v>
      </c>
      <c r="O497">
        <f t="shared" si="24"/>
        <v>1.2253063265816433E-2</v>
      </c>
      <c r="P497">
        <f t="shared" si="24"/>
        <v>6.5359477124182774E-3</v>
      </c>
      <c r="Q497">
        <f t="shared" si="24"/>
        <v>1.254624546734262E-2</v>
      </c>
      <c r="R497" s="15">
        <f t="shared" si="26"/>
        <v>2.9598464297667781E-3</v>
      </c>
    </row>
    <row r="498" spans="1:18" x14ac:dyDescent="0.2">
      <c r="A498" s="11">
        <v>45323</v>
      </c>
      <c r="B498" s="12">
        <v>15.49</v>
      </c>
      <c r="C498" s="12">
        <v>14.42</v>
      </c>
      <c r="D498" s="12">
        <v>269.47000000000003</v>
      </c>
      <c r="E498" s="12">
        <v>40.176955999999997</v>
      </c>
      <c r="F498" s="12">
        <v>224.89</v>
      </c>
      <c r="G498" s="12">
        <v>159.96</v>
      </c>
      <c r="H498" s="12">
        <v>13.77</v>
      </c>
      <c r="I498" s="12">
        <v>68.397514000000001</v>
      </c>
      <c r="J498">
        <f t="shared" si="25"/>
        <v>-3.8585209003215715E-3</v>
      </c>
      <c r="K498">
        <f t="shared" si="25"/>
        <v>8.3916083916082407E-3</v>
      </c>
      <c r="L498">
        <f t="shared" si="25"/>
        <v>5.6727001306215996E-3</v>
      </c>
      <c r="M498">
        <f t="shared" si="24"/>
        <v>4.4543600784692217E-3</v>
      </c>
      <c r="N498">
        <f t="shared" si="24"/>
        <v>-6.4062914199877197E-3</v>
      </c>
      <c r="O498">
        <f t="shared" si="24"/>
        <v>1.3145539906103121E-3</v>
      </c>
      <c r="P498">
        <f t="shared" si="24"/>
        <v>7.2674418604656843E-4</v>
      </c>
      <c r="Q498">
        <f t="shared" si="24"/>
        <v>-1.1137697791395507E-2</v>
      </c>
      <c r="R498" s="15">
        <f t="shared" si="26"/>
        <v>-2.3274127740769888E-4</v>
      </c>
    </row>
    <row r="499" spans="1:18" x14ac:dyDescent="0.2">
      <c r="A499" s="13">
        <v>45322</v>
      </c>
      <c r="B499" s="14">
        <v>15.55</v>
      </c>
      <c r="C499" s="14">
        <v>14.3</v>
      </c>
      <c r="D499" s="14">
        <v>267.95</v>
      </c>
      <c r="E499" s="14">
        <v>39.998787</v>
      </c>
      <c r="F499" s="14">
        <v>226.34</v>
      </c>
      <c r="G499" s="14">
        <v>159.75</v>
      </c>
      <c r="H499" s="14">
        <v>13.76</v>
      </c>
      <c r="I499" s="14">
        <v>69.167884999999998</v>
      </c>
      <c r="J499">
        <f t="shared" si="25"/>
        <v>-1.2845215157353262E-3</v>
      </c>
      <c r="K499">
        <f t="shared" si="25"/>
        <v>-5.5632823365785455E-3</v>
      </c>
      <c r="L499">
        <f t="shared" si="25"/>
        <v>-1.3438880706922118E-2</v>
      </c>
      <c r="M499">
        <f t="shared" si="24"/>
        <v>-5.4147608385104462E-3</v>
      </c>
      <c r="N499">
        <f t="shared" si="24"/>
        <v>-2.5320816467143237E-2</v>
      </c>
      <c r="O499">
        <f t="shared" si="24"/>
        <v>-1.089715807070768E-2</v>
      </c>
      <c r="P499">
        <f t="shared" si="24"/>
        <v>-8.6455331412104153E-3</v>
      </c>
      <c r="Q499">
        <f t="shared" si="24"/>
        <v>2.4999975919099526E-2</v>
      </c>
      <c r="R499" s="15">
        <f t="shared" si="26"/>
        <v>-9.1274330870560229E-3</v>
      </c>
    </row>
    <row r="500" spans="1:18" x14ac:dyDescent="0.2">
      <c r="A500" s="11">
        <v>45321</v>
      </c>
      <c r="B500" s="12">
        <v>15.57</v>
      </c>
      <c r="C500" s="12">
        <v>14.38</v>
      </c>
      <c r="D500" s="12">
        <v>271.60000000000002</v>
      </c>
      <c r="E500" s="12">
        <v>40.216549999999998</v>
      </c>
      <c r="F500" s="12">
        <v>232.22</v>
      </c>
      <c r="G500" s="12">
        <v>161.51</v>
      </c>
      <c r="H500" s="12">
        <v>13.88</v>
      </c>
      <c r="I500" s="12">
        <v>67.480864999999994</v>
      </c>
      <c r="J500">
        <f t="shared" si="25"/>
        <v>5.1646223369916644E-3</v>
      </c>
      <c r="K500">
        <f t="shared" si="25"/>
        <v>6.2981105668300508E-3</v>
      </c>
      <c r="L500">
        <f t="shared" si="25"/>
        <v>-1.4656798722971875E-2</v>
      </c>
      <c r="M500">
        <f t="shared" si="24"/>
        <v>-1.4744784578067938E-3</v>
      </c>
      <c r="N500">
        <f t="shared" si="24"/>
        <v>-2.6983993966311903E-2</v>
      </c>
      <c r="O500">
        <f t="shared" si="24"/>
        <v>1.629750818021658E-2</v>
      </c>
      <c r="P500">
        <f t="shared" si="24"/>
        <v>-3.2078103207810238E-2</v>
      </c>
      <c r="Q500">
        <f t="shared" si="24"/>
        <v>-1.3410096685448458E-2</v>
      </c>
      <c r="R500" s="15">
        <f t="shared" si="26"/>
        <v>-1.0696629826507393E-2</v>
      </c>
    </row>
    <row r="501" spans="1:18" x14ac:dyDescent="0.2">
      <c r="A501" s="13">
        <v>45320</v>
      </c>
      <c r="B501" s="14">
        <v>15.49</v>
      </c>
      <c r="C501" s="14">
        <v>14.29</v>
      </c>
      <c r="D501" s="14">
        <v>275.64</v>
      </c>
      <c r="E501" s="14">
        <v>40.275936000000002</v>
      </c>
      <c r="F501" s="14">
        <v>238.66</v>
      </c>
      <c r="G501" s="14">
        <v>158.91999999999999</v>
      </c>
      <c r="H501" s="14">
        <v>14.34</v>
      </c>
      <c r="I501" s="14">
        <v>68.398089999999996</v>
      </c>
      <c r="J501">
        <f t="shared" si="25"/>
        <v>1.2928248222365823E-3</v>
      </c>
      <c r="K501">
        <f t="shared" si="25"/>
        <v>9.8939929328620835E-3</v>
      </c>
      <c r="L501">
        <f t="shared" si="25"/>
        <v>1.2080044060950756E-2</v>
      </c>
      <c r="M501">
        <f t="shared" si="24"/>
        <v>1.969860551426672E-3</v>
      </c>
      <c r="N501">
        <f t="shared" si="24"/>
        <v>7.2147349505840008E-2</v>
      </c>
      <c r="O501">
        <f t="shared" si="24"/>
        <v>-5.4446460980036582E-3</v>
      </c>
      <c r="P501">
        <f t="shared" si="24"/>
        <v>2.501786990707644E-2</v>
      </c>
      <c r="Q501">
        <f t="shared" si="24"/>
        <v>-1.987376080067671E-2</v>
      </c>
      <c r="R501" s="15">
        <f t="shared" si="26"/>
        <v>1.9870487907990998E-2</v>
      </c>
    </row>
    <row r="502" spans="1:18" x14ac:dyDescent="0.2">
      <c r="A502" s="11">
        <v>45317</v>
      </c>
      <c r="B502" s="12">
        <v>15.47</v>
      </c>
      <c r="C502" s="12">
        <v>14.15</v>
      </c>
      <c r="D502" s="12">
        <v>272.35000000000002</v>
      </c>
      <c r="E502" s="12">
        <v>40.196753999999999</v>
      </c>
      <c r="F502" s="12">
        <v>222.6</v>
      </c>
      <c r="G502" s="12">
        <v>159.79</v>
      </c>
      <c r="H502" s="12">
        <v>13.99</v>
      </c>
      <c r="I502" s="12">
        <v>69.784980000000004</v>
      </c>
      <c r="R502" s="15"/>
    </row>
  </sheetData>
  <mergeCells count="1">
    <mergeCell ref="J1:Q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7744-8496-463B-85ED-153F4D371EF6}">
  <dimension ref="B2:H501"/>
  <sheetViews>
    <sheetView zoomScale="150" zoomScaleNormal="150" workbookViewId="0">
      <selection activeCell="G23" sqref="G23"/>
    </sheetView>
  </sheetViews>
  <sheetFormatPr baseColWidth="10" defaultRowHeight="12.75" x14ac:dyDescent="0.2"/>
  <sheetData>
    <row r="2" spans="2:8" x14ac:dyDescent="0.2">
      <c r="B2">
        <v>4.2606619993643671E-3</v>
      </c>
      <c r="D2" t="s">
        <v>54</v>
      </c>
      <c r="E2">
        <f>MAX(B2:B501)</f>
        <v>5.1489595566802333E-2</v>
      </c>
      <c r="G2" t="s">
        <v>79</v>
      </c>
      <c r="H2">
        <f>COUNT(B2:B501)</f>
        <v>500</v>
      </c>
    </row>
    <row r="3" spans="2:8" x14ac:dyDescent="0.2">
      <c r="B3">
        <v>-4.3890241611363222E-3</v>
      </c>
      <c r="D3" t="s">
        <v>55</v>
      </c>
      <c r="E3">
        <f>MIN(B2:B501)</f>
        <v>-7.6183140426167625E-2</v>
      </c>
      <c r="G3" t="s">
        <v>80</v>
      </c>
      <c r="H3">
        <f>H2*0.01</f>
        <v>5</v>
      </c>
    </row>
    <row r="4" spans="2:8" x14ac:dyDescent="0.2">
      <c r="B4">
        <v>1.7057353837593939E-2</v>
      </c>
      <c r="D4" t="s">
        <v>56</v>
      </c>
      <c r="E4">
        <f>SQRT(COUNT(B2:B501))</f>
        <v>22.360679774997898</v>
      </c>
    </row>
    <row r="5" spans="2:8" x14ac:dyDescent="0.2">
      <c r="B5">
        <v>3.4682570438169967E-3</v>
      </c>
    </row>
    <row r="6" spans="2:8" x14ac:dyDescent="0.2">
      <c r="B6">
        <v>1.8622154715800008E-2</v>
      </c>
      <c r="D6" t="s">
        <v>57</v>
      </c>
      <c r="E6" s="18">
        <f>E3</f>
        <v>-7.6183140426167625E-2</v>
      </c>
      <c r="F6">
        <f t="array" ref="F6:F27">FREQUENCY(B2:B501,E6:E27)</f>
        <v>1</v>
      </c>
    </row>
    <row r="7" spans="2:8" x14ac:dyDescent="0.2">
      <c r="B7">
        <v>-6.3368755351889371E-3</v>
      </c>
      <c r="D7" t="s">
        <v>58</v>
      </c>
      <c r="E7" s="18">
        <f>E6+($E$2-$E$3)/21</f>
        <v>-7.0103486331264286E-2</v>
      </c>
      <c r="F7">
        <v>0</v>
      </c>
    </row>
    <row r="8" spans="2:8" x14ac:dyDescent="0.2">
      <c r="B8">
        <v>1.0978715506599296E-2</v>
      </c>
      <c r="D8" t="s">
        <v>59</v>
      </c>
      <c r="E8" s="18">
        <f t="shared" ref="E8:E27" si="0">E7+($E$2-$E$3)/21</f>
        <v>-6.4023832236360961E-2</v>
      </c>
      <c r="F8">
        <v>1</v>
      </c>
    </row>
    <row r="9" spans="2:8" x14ac:dyDescent="0.2">
      <c r="B9">
        <v>-1.4251463568089205E-2</v>
      </c>
      <c r="D9" t="s">
        <v>60</v>
      </c>
      <c r="E9" s="18">
        <f t="shared" si="0"/>
        <v>-5.7944178141457629E-2</v>
      </c>
      <c r="F9">
        <v>0</v>
      </c>
    </row>
    <row r="10" spans="2:8" x14ac:dyDescent="0.2">
      <c r="B10">
        <v>-1.1745813167831165E-3</v>
      </c>
      <c r="D10" t="s">
        <v>61</v>
      </c>
      <c r="E10" s="18">
        <f t="shared" si="0"/>
        <v>-5.1864524046554297E-2</v>
      </c>
      <c r="F10">
        <v>0</v>
      </c>
    </row>
    <row r="11" spans="2:8" x14ac:dyDescent="0.2">
      <c r="B11">
        <v>-9.5861354918730553E-3</v>
      </c>
      <c r="D11" t="s">
        <v>62</v>
      </c>
      <c r="E11" s="18">
        <f t="shared" si="0"/>
        <v>-4.5784869951650965E-2</v>
      </c>
      <c r="F11">
        <v>1</v>
      </c>
    </row>
    <row r="12" spans="2:8" x14ac:dyDescent="0.2">
      <c r="B12">
        <v>1.7001070588415112E-2</v>
      </c>
      <c r="D12" t="s">
        <v>63</v>
      </c>
      <c r="E12" s="18">
        <f t="shared" si="0"/>
        <v>-3.9705215856747633E-2</v>
      </c>
      <c r="F12">
        <v>0</v>
      </c>
    </row>
    <row r="13" spans="2:8" x14ac:dyDescent="0.2">
      <c r="B13">
        <v>3.7884893366902971E-3</v>
      </c>
      <c r="D13" s="19" t="s">
        <v>64</v>
      </c>
      <c r="E13" s="20">
        <f t="shared" si="0"/>
        <v>-3.3625561761844301E-2</v>
      </c>
      <c r="F13" s="19">
        <v>2</v>
      </c>
      <c r="G13" s="19">
        <f>SMALL(B2:B501,5)</f>
        <v>-3.6483789085347704E-2</v>
      </c>
    </row>
    <row r="14" spans="2:8" x14ac:dyDescent="0.2">
      <c r="B14">
        <v>1.8332972415132789E-2</v>
      </c>
      <c r="D14" s="19" t="s">
        <v>65</v>
      </c>
      <c r="E14" s="20">
        <f t="shared" si="0"/>
        <v>-2.7545907666940969E-2</v>
      </c>
      <c r="F14" s="19">
        <v>3</v>
      </c>
    </row>
    <row r="15" spans="2:8" x14ac:dyDescent="0.2">
      <c r="B15">
        <v>-2.8421048552727925E-3</v>
      </c>
      <c r="D15" t="s">
        <v>66</v>
      </c>
      <c r="E15" s="18">
        <f t="shared" si="0"/>
        <v>-2.1466253572037637E-2</v>
      </c>
      <c r="F15">
        <v>15</v>
      </c>
    </row>
    <row r="16" spans="2:8" x14ac:dyDescent="0.2">
      <c r="B16">
        <v>-3.5539403864396023E-3</v>
      </c>
      <c r="D16" t="s">
        <v>67</v>
      </c>
      <c r="E16" s="18">
        <f t="shared" si="0"/>
        <v>-1.5386599477134305E-2</v>
      </c>
      <c r="F16">
        <v>17</v>
      </c>
    </row>
    <row r="17" spans="2:6" x14ac:dyDescent="0.2">
      <c r="B17">
        <v>2.2089979215978783E-2</v>
      </c>
      <c r="D17" t="s">
        <v>68</v>
      </c>
      <c r="E17" s="18">
        <f t="shared" si="0"/>
        <v>-9.3069453822309731E-3</v>
      </c>
      <c r="F17">
        <v>39</v>
      </c>
    </row>
    <row r="18" spans="2:6" x14ac:dyDescent="0.2">
      <c r="B18">
        <v>-8.7810954616341589E-3</v>
      </c>
      <c r="D18" t="s">
        <v>69</v>
      </c>
      <c r="E18" s="18">
        <f t="shared" si="0"/>
        <v>-3.227291287327641E-3</v>
      </c>
      <c r="F18">
        <v>94</v>
      </c>
    </row>
    <row r="19" spans="2:6" x14ac:dyDescent="0.2">
      <c r="B19">
        <v>-4.6039848275598481E-3</v>
      </c>
      <c r="D19" t="s">
        <v>70</v>
      </c>
      <c r="E19" s="18">
        <f t="shared" si="0"/>
        <v>2.852362807575691E-3</v>
      </c>
      <c r="F19">
        <v>99</v>
      </c>
    </row>
    <row r="20" spans="2:6" x14ac:dyDescent="0.2">
      <c r="B20">
        <v>-1.690558934736771E-2</v>
      </c>
      <c r="D20" t="s">
        <v>71</v>
      </c>
      <c r="E20" s="18">
        <f t="shared" si="0"/>
        <v>8.932016902479023E-3</v>
      </c>
      <c r="F20">
        <v>99</v>
      </c>
    </row>
    <row r="21" spans="2:6" x14ac:dyDescent="0.2">
      <c r="B21">
        <v>-4.4120281131342894E-3</v>
      </c>
      <c r="D21" t="s">
        <v>72</v>
      </c>
      <c r="E21" s="18">
        <f t="shared" si="0"/>
        <v>1.5011670997382355E-2</v>
      </c>
      <c r="F21">
        <v>63</v>
      </c>
    </row>
    <row r="22" spans="2:6" x14ac:dyDescent="0.2">
      <c r="B22">
        <v>2.7224229839023935E-3</v>
      </c>
      <c r="D22" t="s">
        <v>73</v>
      </c>
      <c r="E22" s="18">
        <f t="shared" si="0"/>
        <v>2.1091325092285687E-2</v>
      </c>
      <c r="F22">
        <v>44</v>
      </c>
    </row>
    <row r="23" spans="2:6" x14ac:dyDescent="0.2">
      <c r="B23">
        <v>3.0999518847336584E-3</v>
      </c>
      <c r="D23" t="s">
        <v>74</v>
      </c>
      <c r="E23" s="18">
        <f t="shared" si="0"/>
        <v>2.7170979187189019E-2</v>
      </c>
      <c r="F23">
        <v>18</v>
      </c>
    </row>
    <row r="24" spans="2:6" x14ac:dyDescent="0.2">
      <c r="B24">
        <v>8.8341070737727422E-3</v>
      </c>
      <c r="D24" t="s">
        <v>75</v>
      </c>
      <c r="E24" s="18">
        <f t="shared" si="0"/>
        <v>3.3250633282092351E-2</v>
      </c>
      <c r="F24">
        <v>2</v>
      </c>
    </row>
    <row r="25" spans="2:6" x14ac:dyDescent="0.2">
      <c r="B25">
        <v>1.6090244751470154E-2</v>
      </c>
      <c r="D25" t="s">
        <v>76</v>
      </c>
      <c r="E25" s="18">
        <f t="shared" si="0"/>
        <v>3.9330287376995683E-2</v>
      </c>
      <c r="F25">
        <v>0</v>
      </c>
    </row>
    <row r="26" spans="2:6" x14ac:dyDescent="0.2">
      <c r="B26">
        <v>4.881034469769522E-2</v>
      </c>
      <c r="D26" t="s">
        <v>77</v>
      </c>
      <c r="E26" s="18">
        <f t="shared" si="0"/>
        <v>4.5409941471899015E-2</v>
      </c>
      <c r="F26">
        <v>0</v>
      </c>
    </row>
    <row r="27" spans="2:6" x14ac:dyDescent="0.2">
      <c r="B27">
        <v>2.1442755161360568E-2</v>
      </c>
      <c r="D27" t="s">
        <v>78</v>
      </c>
      <c r="E27" s="18">
        <f t="shared" si="0"/>
        <v>5.1489595566802347E-2</v>
      </c>
      <c r="F27">
        <v>2</v>
      </c>
    </row>
    <row r="28" spans="2:6" x14ac:dyDescent="0.2">
      <c r="B28">
        <v>1.9846984739865219E-3</v>
      </c>
    </row>
    <row r="29" spans="2:6" x14ac:dyDescent="0.2">
      <c r="B29">
        <v>-5.2533669271638116E-3</v>
      </c>
    </row>
    <row r="30" spans="2:6" x14ac:dyDescent="0.2">
      <c r="B30">
        <v>-1.1346302755822119E-2</v>
      </c>
    </row>
    <row r="31" spans="2:6" x14ac:dyDescent="0.2">
      <c r="B31">
        <v>2.6124707600289173E-2</v>
      </c>
    </row>
    <row r="32" spans="2:6" x14ac:dyDescent="0.2">
      <c r="B32">
        <v>-5.7474986816125635E-3</v>
      </c>
    </row>
    <row r="33" spans="2:2" x14ac:dyDescent="0.2">
      <c r="B33">
        <v>8.2733507172628243E-3</v>
      </c>
    </row>
    <row r="34" spans="2:2" x14ac:dyDescent="0.2">
      <c r="B34">
        <v>8.058790292034886E-5</v>
      </c>
    </row>
    <row r="35" spans="2:2" x14ac:dyDescent="0.2">
      <c r="B35">
        <v>-1.1719055533474789E-2</v>
      </c>
    </row>
    <row r="36" spans="2:2" x14ac:dyDescent="0.2">
      <c r="B36">
        <v>8.2266804524444462E-4</v>
      </c>
    </row>
    <row r="37" spans="2:2" x14ac:dyDescent="0.2">
      <c r="B37">
        <v>-2.4606868050015829E-4</v>
      </c>
    </row>
    <row r="38" spans="2:2" x14ac:dyDescent="0.2">
      <c r="B38">
        <v>1.6789182086279263E-3</v>
      </c>
    </row>
    <row r="39" spans="2:2" x14ac:dyDescent="0.2">
      <c r="B39">
        <v>7.0192470295368306E-3</v>
      </c>
    </row>
    <row r="40" spans="2:2" x14ac:dyDescent="0.2">
      <c r="B40">
        <v>1.1776617845203747E-2</v>
      </c>
    </row>
    <row r="41" spans="2:2" x14ac:dyDescent="0.2">
      <c r="B41">
        <v>-1.0497046445146707E-2</v>
      </c>
    </row>
    <row r="42" spans="2:2" x14ac:dyDescent="0.2">
      <c r="B42">
        <v>1.2618476277814544E-2</v>
      </c>
    </row>
    <row r="43" spans="2:2" x14ac:dyDescent="0.2">
      <c r="B43">
        <v>1.9943549506936002E-2</v>
      </c>
    </row>
    <row r="44" spans="2:2" x14ac:dyDescent="0.2">
      <c r="B44">
        <v>1.4180877380427805E-2</v>
      </c>
    </row>
    <row r="45" spans="2:2" x14ac:dyDescent="0.2">
      <c r="B45">
        <v>9.4536077896899828E-3</v>
      </c>
    </row>
    <row r="46" spans="2:2" x14ac:dyDescent="0.2">
      <c r="B46">
        <v>-1.334437724418453E-2</v>
      </c>
    </row>
    <row r="47" spans="2:2" x14ac:dyDescent="0.2">
      <c r="B47">
        <v>6.5518975824966352E-3</v>
      </c>
    </row>
    <row r="48" spans="2:2" x14ac:dyDescent="0.2">
      <c r="B48">
        <v>-6.4843091940944425E-3</v>
      </c>
    </row>
    <row r="49" spans="2:2" x14ac:dyDescent="0.2">
      <c r="B49">
        <v>-9.2061392333059652E-3</v>
      </c>
    </row>
    <row r="50" spans="2:2" x14ac:dyDescent="0.2">
      <c r="B50">
        <v>-4.1273775621606581E-3</v>
      </c>
    </row>
    <row r="51" spans="2:2" x14ac:dyDescent="0.2">
      <c r="B51">
        <v>-9.8807132185299296E-3</v>
      </c>
    </row>
    <row r="52" spans="2:2" x14ac:dyDescent="0.2">
      <c r="B52">
        <v>1.8194366182692406E-2</v>
      </c>
    </row>
    <row r="53" spans="2:2" x14ac:dyDescent="0.2">
      <c r="B53">
        <v>1.6453831577597482E-3</v>
      </c>
    </row>
    <row r="54" spans="2:2" x14ac:dyDescent="0.2">
      <c r="B54">
        <v>-2.4890683917870183E-3</v>
      </c>
    </row>
    <row r="55" spans="2:2" x14ac:dyDescent="0.2">
      <c r="B55">
        <v>-3.7892396069816609E-3</v>
      </c>
    </row>
    <row r="56" spans="2:2" x14ac:dyDescent="0.2">
      <c r="B56">
        <v>2.3886939148814464E-2</v>
      </c>
    </row>
    <row r="57" spans="2:2" x14ac:dyDescent="0.2">
      <c r="B57">
        <v>-2.1121384171175353E-3</v>
      </c>
    </row>
    <row r="58" spans="2:2" x14ac:dyDescent="0.2">
      <c r="B58">
        <v>-1.746897960423896E-2</v>
      </c>
    </row>
    <row r="59" spans="2:2" x14ac:dyDescent="0.2">
      <c r="B59">
        <v>1.3352830117229585E-2</v>
      </c>
    </row>
    <row r="60" spans="2:2" x14ac:dyDescent="0.2">
      <c r="B60">
        <v>-5.9475712770774812E-3</v>
      </c>
    </row>
    <row r="61" spans="2:2" x14ac:dyDescent="0.2">
      <c r="B61">
        <v>-8.3632949802728233E-3</v>
      </c>
    </row>
    <row r="62" spans="2:2" x14ac:dyDescent="0.2">
      <c r="B62">
        <v>1.1994219634110362E-2</v>
      </c>
    </row>
    <row r="63" spans="2:2" x14ac:dyDescent="0.2">
      <c r="B63">
        <v>1.5535143454827025E-2</v>
      </c>
    </row>
    <row r="64" spans="2:2" x14ac:dyDescent="0.2">
      <c r="B64">
        <v>-1.7851982415186055E-2</v>
      </c>
    </row>
    <row r="65" spans="2:2" x14ac:dyDescent="0.2">
      <c r="B65">
        <v>5.674664601333243E-3</v>
      </c>
    </row>
    <row r="66" spans="2:2" x14ac:dyDescent="0.2">
      <c r="B66">
        <v>1.1319305943853089E-2</v>
      </c>
    </row>
    <row r="67" spans="2:2" x14ac:dyDescent="0.2">
      <c r="B67">
        <v>-2.2930023228429488E-2</v>
      </c>
    </row>
    <row r="68" spans="2:2" x14ac:dyDescent="0.2">
      <c r="B68">
        <v>-2.0490206054487739E-3</v>
      </c>
    </row>
    <row r="69" spans="2:2" x14ac:dyDescent="0.2">
      <c r="B69">
        <v>-2.2464024135639218E-2</v>
      </c>
    </row>
    <row r="70" spans="2:2" x14ac:dyDescent="0.2">
      <c r="B70">
        <v>8.2917848277738165E-3</v>
      </c>
    </row>
    <row r="71" spans="2:2" x14ac:dyDescent="0.2">
      <c r="B71">
        <v>8.7839775433292758E-3</v>
      </c>
    </row>
    <row r="72" spans="2:2" x14ac:dyDescent="0.2">
      <c r="B72">
        <v>-6.7781881890028968E-3</v>
      </c>
    </row>
    <row r="73" spans="2:2" x14ac:dyDescent="0.2">
      <c r="B73">
        <v>1.9775338796823732E-2</v>
      </c>
    </row>
    <row r="74" spans="2:2" x14ac:dyDescent="0.2">
      <c r="B74">
        <v>-9.2571821270378257E-3</v>
      </c>
    </row>
    <row r="75" spans="2:2" x14ac:dyDescent="0.2">
      <c r="B75">
        <v>-9.5470897896763503E-3</v>
      </c>
    </row>
    <row r="76" spans="2:2" x14ac:dyDescent="0.2">
      <c r="B76">
        <v>1.2075556499120779E-2</v>
      </c>
    </row>
    <row r="77" spans="2:2" x14ac:dyDescent="0.2">
      <c r="B77">
        <v>-1.6509084894188463E-2</v>
      </c>
    </row>
    <row r="78" spans="2:2" x14ac:dyDescent="0.2">
      <c r="B78">
        <v>-3.3210188281831265E-3</v>
      </c>
    </row>
    <row r="79" spans="2:2" x14ac:dyDescent="0.2">
      <c r="B79">
        <v>-6.5961125901612492E-3</v>
      </c>
    </row>
    <row r="80" spans="2:2" x14ac:dyDescent="0.2">
      <c r="B80">
        <v>2.2584550843069671E-3</v>
      </c>
    </row>
    <row r="81" spans="2:2" x14ac:dyDescent="0.2">
      <c r="B81">
        <v>-1.6048494671122598E-2</v>
      </c>
    </row>
    <row r="82" spans="2:2" x14ac:dyDescent="0.2">
      <c r="B82">
        <v>1.6956770193670062E-2</v>
      </c>
    </row>
    <row r="83" spans="2:2" x14ac:dyDescent="0.2">
      <c r="B83">
        <v>2.1500859627839974E-4</v>
      </c>
    </row>
    <row r="84" spans="2:2" x14ac:dyDescent="0.2">
      <c r="B84">
        <v>-1.3007960112876868E-4</v>
      </c>
    </row>
    <row r="85" spans="2:2" x14ac:dyDescent="0.2">
      <c r="B85">
        <v>4.2812484257914807E-3</v>
      </c>
    </row>
    <row r="86" spans="2:2" x14ac:dyDescent="0.2">
      <c r="B86">
        <v>-5.5136339605316529E-3</v>
      </c>
    </row>
    <row r="87" spans="2:2" x14ac:dyDescent="0.2">
      <c r="B87">
        <v>4.4327401255798678E-3</v>
      </c>
    </row>
    <row r="88" spans="2:2" x14ac:dyDescent="0.2">
      <c r="B88">
        <v>2.2208173538830381E-2</v>
      </c>
    </row>
    <row r="89" spans="2:2" x14ac:dyDescent="0.2">
      <c r="B89">
        <v>3.9027427902841119E-3</v>
      </c>
    </row>
    <row r="90" spans="2:2" x14ac:dyDescent="0.2">
      <c r="B90">
        <v>-5.4189976586485507E-3</v>
      </c>
    </row>
    <row r="91" spans="2:2" x14ac:dyDescent="0.2">
      <c r="B91">
        <v>-4.1736750410670542E-3</v>
      </c>
    </row>
    <row r="92" spans="2:2" x14ac:dyDescent="0.2">
      <c r="B92">
        <v>-4.2800909715414419E-4</v>
      </c>
    </row>
    <row r="93" spans="2:2" x14ac:dyDescent="0.2">
      <c r="B93">
        <v>-6.4326757654751812E-3</v>
      </c>
    </row>
    <row r="94" spans="2:2" x14ac:dyDescent="0.2">
      <c r="B94">
        <v>2.0957057131711043E-2</v>
      </c>
    </row>
    <row r="95" spans="2:2" x14ac:dyDescent="0.2">
      <c r="B95">
        <v>8.9006328130761102E-3</v>
      </c>
    </row>
    <row r="96" spans="2:2" x14ac:dyDescent="0.2">
      <c r="B96">
        <v>-2.938979816167058E-3</v>
      </c>
    </row>
    <row r="97" spans="2:2" x14ac:dyDescent="0.2">
      <c r="B97">
        <v>4.5242296376389185E-3</v>
      </c>
    </row>
    <row r="98" spans="2:2" x14ac:dyDescent="0.2">
      <c r="B98">
        <v>1.477925243829873E-2</v>
      </c>
    </row>
    <row r="99" spans="2:2" x14ac:dyDescent="0.2">
      <c r="B99">
        <v>-7.9932728227231301E-3</v>
      </c>
    </row>
    <row r="100" spans="2:2" x14ac:dyDescent="0.2">
      <c r="B100">
        <v>1.8398362178960365E-2</v>
      </c>
    </row>
    <row r="101" spans="2:2" x14ac:dyDescent="0.2">
      <c r="B101">
        <v>2.3419241673424296E-2</v>
      </c>
    </row>
    <row r="102" spans="2:2" x14ac:dyDescent="0.2">
      <c r="B102">
        <v>1.863053766853888E-3</v>
      </c>
    </row>
    <row r="103" spans="2:2" x14ac:dyDescent="0.2">
      <c r="B103">
        <v>-7.0393692443658749E-3</v>
      </c>
    </row>
    <row r="104" spans="2:2" x14ac:dyDescent="0.2">
      <c r="B104">
        <v>2.4553232545015541E-2</v>
      </c>
    </row>
    <row r="105" spans="2:2" x14ac:dyDescent="0.2">
      <c r="B105">
        <v>1.933211250319692E-2</v>
      </c>
    </row>
    <row r="106" spans="2:2" x14ac:dyDescent="0.2">
      <c r="B106">
        <v>-3.6902234349539195E-3</v>
      </c>
    </row>
    <row r="107" spans="2:2" x14ac:dyDescent="0.2">
      <c r="B107">
        <v>-1.3787203578672752E-2</v>
      </c>
    </row>
    <row r="108" spans="2:2" x14ac:dyDescent="0.2">
      <c r="B108">
        <v>1.0725031209719167E-2</v>
      </c>
    </row>
    <row r="109" spans="2:2" x14ac:dyDescent="0.2">
      <c r="B109">
        <v>8.0624471689850624E-3</v>
      </c>
    </row>
    <row r="110" spans="2:2" x14ac:dyDescent="0.2">
      <c r="B110">
        <v>-1.7629987319493104E-3</v>
      </c>
    </row>
    <row r="111" spans="2:2" x14ac:dyDescent="0.2">
      <c r="B111">
        <v>-3.5095721384554024E-3</v>
      </c>
    </row>
    <row r="112" spans="2:2" x14ac:dyDescent="0.2">
      <c r="B112">
        <v>1.1856679527875658E-2</v>
      </c>
    </row>
    <row r="113" spans="2:2" x14ac:dyDescent="0.2">
      <c r="B113">
        <v>-8.6875124477631283E-3</v>
      </c>
    </row>
    <row r="114" spans="2:2" x14ac:dyDescent="0.2">
      <c r="B114">
        <v>-9.0235485417105681E-3</v>
      </c>
    </row>
    <row r="115" spans="2:2" x14ac:dyDescent="0.2">
      <c r="B115">
        <v>-7.7917376155470256E-3</v>
      </c>
    </row>
    <row r="116" spans="2:2" x14ac:dyDescent="0.2">
      <c r="B116">
        <v>1.4058514771837448E-2</v>
      </c>
    </row>
    <row r="117" spans="2:2" x14ac:dyDescent="0.2">
      <c r="B117">
        <v>5.3029300608865137E-3</v>
      </c>
    </row>
    <row r="118" spans="2:2" x14ac:dyDescent="0.2">
      <c r="B118">
        <v>-6.0891352491995506E-3</v>
      </c>
    </row>
    <row r="119" spans="2:2" x14ac:dyDescent="0.2">
      <c r="B119">
        <v>2.066166583558135E-2</v>
      </c>
    </row>
    <row r="120" spans="2:2" x14ac:dyDescent="0.2">
      <c r="B120">
        <v>2.2615296726664343E-2</v>
      </c>
    </row>
    <row r="121" spans="2:2" x14ac:dyDescent="0.2">
      <c r="B121">
        <v>7.9954703174839256E-3</v>
      </c>
    </row>
    <row r="122" spans="2:2" x14ac:dyDescent="0.2">
      <c r="B122">
        <v>-2.918321717550772E-3</v>
      </c>
    </row>
    <row r="123" spans="2:2" x14ac:dyDescent="0.2">
      <c r="B123">
        <v>-1.4208128699254563E-2</v>
      </c>
    </row>
    <row r="124" spans="2:2" x14ac:dyDescent="0.2">
      <c r="B124">
        <v>5.3521251051824705E-3</v>
      </c>
    </row>
    <row r="125" spans="2:2" x14ac:dyDescent="0.2">
      <c r="B125">
        <v>7.9174549767081874E-3</v>
      </c>
    </row>
    <row r="126" spans="2:2" x14ac:dyDescent="0.2">
      <c r="B126">
        <v>1.354097339310162E-2</v>
      </c>
    </row>
    <row r="127" spans="2:2" x14ac:dyDescent="0.2">
      <c r="B127">
        <v>4.9978498935169813E-3</v>
      </c>
    </row>
    <row r="128" spans="2:2" x14ac:dyDescent="0.2">
      <c r="B128">
        <v>1.0593190164984671E-2</v>
      </c>
    </row>
    <row r="129" spans="2:2" x14ac:dyDescent="0.2">
      <c r="B129">
        <v>-3.4347523049150586E-4</v>
      </c>
    </row>
    <row r="130" spans="2:2" x14ac:dyDescent="0.2">
      <c r="B130">
        <v>1.9636343039063801E-2</v>
      </c>
    </row>
    <row r="131" spans="2:2" x14ac:dyDescent="0.2">
      <c r="B131">
        <v>1.8492138662001098E-2</v>
      </c>
    </row>
    <row r="132" spans="2:2" x14ac:dyDescent="0.2">
      <c r="B132">
        <v>-2.4748519681182229E-3</v>
      </c>
    </row>
    <row r="133" spans="2:2" x14ac:dyDescent="0.2">
      <c r="B133">
        <v>-2.0356178057297343E-2</v>
      </c>
    </row>
    <row r="134" spans="2:2" x14ac:dyDescent="0.2">
      <c r="B134">
        <v>8.2395837779989066E-3</v>
      </c>
    </row>
    <row r="135" spans="2:2" x14ac:dyDescent="0.2">
      <c r="B135">
        <v>-8.8025110122518456E-5</v>
      </c>
    </row>
    <row r="136" spans="2:2" x14ac:dyDescent="0.2">
      <c r="B136">
        <v>-8.1545997106786984E-3</v>
      </c>
    </row>
    <row r="137" spans="2:2" x14ac:dyDescent="0.2">
      <c r="B137">
        <v>3.0428311259623041E-3</v>
      </c>
    </row>
    <row r="138" spans="2:2" x14ac:dyDescent="0.2">
      <c r="B138">
        <v>1.5134889922217725E-3</v>
      </c>
    </row>
    <row r="139" spans="2:2" x14ac:dyDescent="0.2">
      <c r="B139">
        <v>9.3588740630415473E-3</v>
      </c>
    </row>
    <row r="140" spans="2:2" x14ac:dyDescent="0.2">
      <c r="B140">
        <v>-1.6458291391989754E-3</v>
      </c>
    </row>
    <row r="141" spans="2:2" x14ac:dyDescent="0.2">
      <c r="B141">
        <v>-1.0600156081352861E-2</v>
      </c>
    </row>
    <row r="142" spans="2:2" x14ac:dyDescent="0.2">
      <c r="B142">
        <v>-1.3841042767380166E-2</v>
      </c>
    </row>
    <row r="143" spans="2:2" x14ac:dyDescent="0.2">
      <c r="B143">
        <v>1.0405957856771347E-4</v>
      </c>
    </row>
    <row r="144" spans="2:2" x14ac:dyDescent="0.2">
      <c r="B144">
        <v>-6.8631513537760255E-3</v>
      </c>
    </row>
    <row r="145" spans="2:2" x14ac:dyDescent="0.2">
      <c r="B145">
        <v>4.0927473354098005E-3</v>
      </c>
    </row>
    <row r="146" spans="2:2" x14ac:dyDescent="0.2">
      <c r="B146">
        <v>9.9394889686442289E-3</v>
      </c>
    </row>
    <row r="147" spans="2:2" x14ac:dyDescent="0.2">
      <c r="B147">
        <v>1.0431122634580669E-2</v>
      </c>
    </row>
    <row r="148" spans="2:2" x14ac:dyDescent="0.2">
      <c r="B148">
        <v>2.7160034771607326E-3</v>
      </c>
    </row>
    <row r="149" spans="2:2" x14ac:dyDescent="0.2">
      <c r="B149">
        <v>1.515795973042666E-2</v>
      </c>
    </row>
    <row r="150" spans="2:2" x14ac:dyDescent="0.2">
      <c r="B150">
        <v>-2.175328958046853E-3</v>
      </c>
    </row>
    <row r="151" spans="2:2" x14ac:dyDescent="0.2">
      <c r="B151">
        <v>1.044471570881763E-2</v>
      </c>
    </row>
    <row r="152" spans="2:2" x14ac:dyDescent="0.2">
      <c r="B152">
        <v>6.336693534121687E-3</v>
      </c>
    </row>
    <row r="153" spans="2:2" x14ac:dyDescent="0.2">
      <c r="B153">
        <v>2.5383811528578489E-3</v>
      </c>
    </row>
    <row r="154" spans="2:2" x14ac:dyDescent="0.2">
      <c r="B154">
        <v>-1.4225956785313864E-2</v>
      </c>
    </row>
    <row r="155" spans="2:2" x14ac:dyDescent="0.2">
      <c r="B155">
        <v>-4.875085670849889E-3</v>
      </c>
    </row>
    <row r="156" spans="2:2" x14ac:dyDescent="0.2">
      <c r="B156">
        <v>-5.9723485007130211E-3</v>
      </c>
    </row>
    <row r="157" spans="2:2" x14ac:dyDescent="0.2">
      <c r="B157">
        <v>-1.1738391757086054E-2</v>
      </c>
    </row>
    <row r="158" spans="2:2" x14ac:dyDescent="0.2">
      <c r="B158">
        <v>-8.37874372061948E-3</v>
      </c>
    </row>
    <row r="159" spans="2:2" x14ac:dyDescent="0.2">
      <c r="B159">
        <v>2.8900473195136935E-3</v>
      </c>
    </row>
    <row r="160" spans="2:2" x14ac:dyDescent="0.2">
      <c r="B160">
        <v>-7.9075133535104446E-3</v>
      </c>
    </row>
    <row r="161" spans="2:2" x14ac:dyDescent="0.2">
      <c r="B161">
        <v>9.108093396316036E-4</v>
      </c>
    </row>
    <row r="162" spans="2:2" x14ac:dyDescent="0.2">
      <c r="B162">
        <v>3.7419928027066316E-3</v>
      </c>
    </row>
    <row r="163" spans="2:2" x14ac:dyDescent="0.2">
      <c r="B163">
        <v>1.945880499310404E-2</v>
      </c>
    </row>
    <row r="164" spans="2:2" x14ac:dyDescent="0.2">
      <c r="B164">
        <v>2.4485116688305136E-2</v>
      </c>
    </row>
    <row r="165" spans="2:2" x14ac:dyDescent="0.2">
      <c r="B165">
        <v>-1.8059097386104116E-3</v>
      </c>
    </row>
    <row r="166" spans="2:2" x14ac:dyDescent="0.2">
      <c r="B166">
        <v>4.8135271596408237E-3</v>
      </c>
    </row>
    <row r="167" spans="2:2" x14ac:dyDescent="0.2">
      <c r="B167">
        <v>-5.7835867136623604E-3</v>
      </c>
    </row>
    <row r="168" spans="2:2" x14ac:dyDescent="0.2">
      <c r="B168">
        <v>1.860699664856223E-3</v>
      </c>
    </row>
    <row r="169" spans="2:2" x14ac:dyDescent="0.2">
      <c r="B169">
        <v>6.9337585766285955E-3</v>
      </c>
    </row>
    <row r="170" spans="2:2" x14ac:dyDescent="0.2">
      <c r="B170">
        <v>8.7447995187498583E-3</v>
      </c>
    </row>
    <row r="171" spans="2:2" x14ac:dyDescent="0.2">
      <c r="B171">
        <v>-9.9273940196585794E-3</v>
      </c>
    </row>
    <row r="172" spans="2:2" x14ac:dyDescent="0.2">
      <c r="B172">
        <v>8.4771020073902865E-3</v>
      </c>
    </row>
    <row r="173" spans="2:2" x14ac:dyDescent="0.2">
      <c r="B173">
        <v>1.0364908979063125E-2</v>
      </c>
    </row>
    <row r="174" spans="2:2" x14ac:dyDescent="0.2">
      <c r="B174">
        <v>-1.3621642230050404E-2</v>
      </c>
    </row>
    <row r="175" spans="2:2" x14ac:dyDescent="0.2">
      <c r="B175">
        <v>1.1104958350363204E-2</v>
      </c>
    </row>
    <row r="176" spans="2:2" x14ac:dyDescent="0.2">
      <c r="B176">
        <v>6.4741197537273466E-3</v>
      </c>
    </row>
    <row r="177" spans="2:2" x14ac:dyDescent="0.2">
      <c r="B177">
        <v>-2.5642875596034037E-3</v>
      </c>
    </row>
    <row r="178" spans="2:2" x14ac:dyDescent="0.2">
      <c r="B178">
        <v>6.7333449291130483E-3</v>
      </c>
    </row>
    <row r="179" spans="2:2" x14ac:dyDescent="0.2">
      <c r="B179">
        <v>5.5450184263178288E-3</v>
      </c>
    </row>
    <row r="180" spans="2:2" x14ac:dyDescent="0.2">
      <c r="B180">
        <v>-3.2075018089450921E-3</v>
      </c>
    </row>
    <row r="181" spans="2:2" x14ac:dyDescent="0.2">
      <c r="B181">
        <v>1.8946218616417827E-2</v>
      </c>
    </row>
    <row r="182" spans="2:2" x14ac:dyDescent="0.2">
      <c r="B182">
        <v>-4.4385063739914065E-3</v>
      </c>
    </row>
    <row r="183" spans="2:2" x14ac:dyDescent="0.2">
      <c r="B183">
        <v>-6.4669432841637162E-3</v>
      </c>
    </row>
    <row r="184" spans="2:2" x14ac:dyDescent="0.2">
      <c r="B184">
        <v>-1.2362108087507911E-2</v>
      </c>
    </row>
    <row r="185" spans="2:2" x14ac:dyDescent="0.2">
      <c r="B185">
        <v>1.9219072766160958E-2</v>
      </c>
    </row>
    <row r="186" spans="2:2" x14ac:dyDescent="0.2">
      <c r="B186">
        <v>2.4377583288568986E-2</v>
      </c>
    </row>
    <row r="187" spans="2:2" x14ac:dyDescent="0.2">
      <c r="B187">
        <v>1.2417540973503007E-2</v>
      </c>
    </row>
    <row r="188" spans="2:2" x14ac:dyDescent="0.2">
      <c r="B188">
        <v>2.0575861505459259E-2</v>
      </c>
    </row>
    <row r="189" spans="2:2" x14ac:dyDescent="0.2">
      <c r="B189">
        <v>1.7438607513241181E-2</v>
      </c>
    </row>
    <row r="190" spans="2:2" x14ac:dyDescent="0.2">
      <c r="B190">
        <v>-4.8526466237924004E-2</v>
      </c>
    </row>
    <row r="191" spans="2:2" x14ac:dyDescent="0.2">
      <c r="B191">
        <v>-2.8531914918507071E-2</v>
      </c>
    </row>
    <row r="192" spans="2:2" x14ac:dyDescent="0.2">
      <c r="B192">
        <v>-1.0949335570254414E-4</v>
      </c>
    </row>
    <row r="193" spans="2:2" x14ac:dyDescent="0.2">
      <c r="B193">
        <v>1.5805542203251734E-2</v>
      </c>
    </row>
    <row r="194" spans="2:2" x14ac:dyDescent="0.2">
      <c r="B194">
        <v>2.2666323945295899E-2</v>
      </c>
    </row>
    <row r="195" spans="2:2" x14ac:dyDescent="0.2">
      <c r="B195">
        <v>7.8171760089223649E-3</v>
      </c>
    </row>
    <row r="196" spans="2:2" x14ac:dyDescent="0.2">
      <c r="B196">
        <v>5.1926515302987341E-3</v>
      </c>
    </row>
    <row r="197" spans="2:2" x14ac:dyDescent="0.2">
      <c r="B197">
        <v>1.9074950060740874E-2</v>
      </c>
    </row>
    <row r="198" spans="2:2" x14ac:dyDescent="0.2">
      <c r="B198">
        <v>3.0143518481122876E-3</v>
      </c>
    </row>
    <row r="199" spans="2:2" x14ac:dyDescent="0.2">
      <c r="B199">
        <v>1.1108108420293309E-2</v>
      </c>
    </row>
    <row r="200" spans="2:2" x14ac:dyDescent="0.2">
      <c r="B200">
        <v>1.2992587342659402E-2</v>
      </c>
    </row>
    <row r="201" spans="2:2" x14ac:dyDescent="0.2">
      <c r="B201">
        <v>-2.7708102167826813E-2</v>
      </c>
    </row>
    <row r="202" spans="2:2" x14ac:dyDescent="0.2">
      <c r="B202">
        <v>5.1489595566802333E-2</v>
      </c>
    </row>
    <row r="203" spans="2:2" x14ac:dyDescent="0.2">
      <c r="B203">
        <v>-1.4479679876592981E-2</v>
      </c>
    </row>
    <row r="204" spans="2:2" x14ac:dyDescent="0.2">
      <c r="B204">
        <v>-1.3403518168813022E-2</v>
      </c>
    </row>
    <row r="205" spans="2:2" x14ac:dyDescent="0.2">
      <c r="B205">
        <v>-6.4784780033145681E-2</v>
      </c>
    </row>
    <row r="206" spans="2:2" x14ac:dyDescent="0.2">
      <c r="B206">
        <v>1.1631957696655062E-2</v>
      </c>
    </row>
    <row r="207" spans="2:2" x14ac:dyDescent="0.2">
      <c r="B207">
        <v>1.0993785290813693E-2</v>
      </c>
    </row>
    <row r="208" spans="2:2" x14ac:dyDescent="0.2">
      <c r="B208">
        <v>5.8906346254294206E-3</v>
      </c>
    </row>
    <row r="209" spans="2:2" x14ac:dyDescent="0.2">
      <c r="B209">
        <v>-5.9874024699521225E-3</v>
      </c>
    </row>
    <row r="210" spans="2:2" x14ac:dyDescent="0.2">
      <c r="B210">
        <v>-1.4909594893641357E-2</v>
      </c>
    </row>
    <row r="211" spans="2:2" x14ac:dyDescent="0.2">
      <c r="B211">
        <v>4.5802684350583732E-3</v>
      </c>
    </row>
    <row r="212" spans="2:2" x14ac:dyDescent="0.2">
      <c r="B212">
        <v>-3.0636089655731351E-3</v>
      </c>
    </row>
    <row r="213" spans="2:2" x14ac:dyDescent="0.2">
      <c r="B213">
        <v>7.8759686690530253E-3</v>
      </c>
    </row>
    <row r="214" spans="2:2" x14ac:dyDescent="0.2">
      <c r="B214">
        <v>9.5311558263068436E-3</v>
      </c>
    </row>
    <row r="215" spans="2:2" x14ac:dyDescent="0.2">
      <c r="B215">
        <v>-3.7630309537766225E-3</v>
      </c>
    </row>
    <row r="216" spans="2:2" x14ac:dyDescent="0.2">
      <c r="B216">
        <v>-7.3134722566543745E-3</v>
      </c>
    </row>
    <row r="217" spans="2:2" x14ac:dyDescent="0.2">
      <c r="B217">
        <v>5.9760486499585994E-3</v>
      </c>
    </row>
    <row r="218" spans="2:2" x14ac:dyDescent="0.2">
      <c r="B218">
        <v>-1.4355723304055434E-2</v>
      </c>
    </row>
    <row r="219" spans="2:2" x14ac:dyDescent="0.2">
      <c r="B219">
        <v>2.1116205210164055E-2</v>
      </c>
    </row>
    <row r="220" spans="2:2" x14ac:dyDescent="0.2">
      <c r="B220">
        <v>2.2768550696472302E-3</v>
      </c>
    </row>
    <row r="221" spans="2:2" x14ac:dyDescent="0.2">
      <c r="B221">
        <v>1.6592384803702214E-2</v>
      </c>
    </row>
    <row r="222" spans="2:2" x14ac:dyDescent="0.2">
      <c r="B222">
        <v>3.0413493763720434E-3</v>
      </c>
    </row>
    <row r="223" spans="2:2" x14ac:dyDescent="0.2">
      <c r="B223">
        <v>-3.6905241700615134E-2</v>
      </c>
    </row>
    <row r="224" spans="2:2" x14ac:dyDescent="0.2">
      <c r="B224">
        <v>-3.182049267188276E-3</v>
      </c>
    </row>
    <row r="225" spans="2:2" x14ac:dyDescent="0.2">
      <c r="B225">
        <v>5.6909210008726403E-3</v>
      </c>
    </row>
    <row r="226" spans="2:2" x14ac:dyDescent="0.2">
      <c r="B226">
        <v>1.1867577329014519E-2</v>
      </c>
    </row>
    <row r="227" spans="2:2" x14ac:dyDescent="0.2">
      <c r="B227">
        <v>7.9142100694679536E-3</v>
      </c>
    </row>
    <row r="228" spans="2:2" x14ac:dyDescent="0.2">
      <c r="B228">
        <v>-8.4530203057717468E-3</v>
      </c>
    </row>
    <row r="229" spans="2:2" x14ac:dyDescent="0.2">
      <c r="B229">
        <v>8.0221947570246963E-3</v>
      </c>
    </row>
    <row r="230" spans="2:2" x14ac:dyDescent="0.2">
      <c r="B230">
        <v>-2.5136691240899733E-2</v>
      </c>
    </row>
    <row r="231" spans="2:2" x14ac:dyDescent="0.2">
      <c r="B231">
        <v>-1.0494708267999803E-3</v>
      </c>
    </row>
    <row r="232" spans="2:2" x14ac:dyDescent="0.2">
      <c r="B232">
        <v>-1.4054453705533942E-2</v>
      </c>
    </row>
    <row r="233" spans="2:2" x14ac:dyDescent="0.2">
      <c r="B233">
        <v>-2.5060736039302384E-2</v>
      </c>
    </row>
    <row r="234" spans="2:2" x14ac:dyDescent="0.2">
      <c r="B234">
        <v>-2.6045342844526566E-2</v>
      </c>
    </row>
    <row r="235" spans="2:2" x14ac:dyDescent="0.2">
      <c r="B235">
        <v>1.1658059683189113E-2</v>
      </c>
    </row>
    <row r="236" spans="2:2" x14ac:dyDescent="0.2">
      <c r="B236">
        <v>4.5755678342883572E-4</v>
      </c>
    </row>
    <row r="237" spans="2:2" x14ac:dyDescent="0.2">
      <c r="B237">
        <v>-1.5562806334944177E-3</v>
      </c>
    </row>
    <row r="238" spans="2:2" x14ac:dyDescent="0.2">
      <c r="B238">
        <v>9.2145630004233882E-4</v>
      </c>
    </row>
    <row r="239" spans="2:2" x14ac:dyDescent="0.2">
      <c r="B239">
        <v>8.1619743536710705E-3</v>
      </c>
    </row>
    <row r="240" spans="2:2" x14ac:dyDescent="0.2">
      <c r="B240">
        <v>1.3464690319211897E-3</v>
      </c>
    </row>
    <row r="241" spans="2:2" x14ac:dyDescent="0.2">
      <c r="B241">
        <v>1.8411955225985578E-2</v>
      </c>
    </row>
    <row r="242" spans="2:2" x14ac:dyDescent="0.2">
      <c r="B242">
        <v>-1.1701865634020554E-2</v>
      </c>
    </row>
    <row r="243" spans="2:2" x14ac:dyDescent="0.2">
      <c r="B243">
        <v>-1.0870888614166873E-3</v>
      </c>
    </row>
    <row r="244" spans="2:2" x14ac:dyDescent="0.2">
      <c r="B244">
        <v>6.3154099112260383E-3</v>
      </c>
    </row>
    <row r="245" spans="2:2" x14ac:dyDescent="0.2">
      <c r="B245">
        <v>1.2857660936228945E-2</v>
      </c>
    </row>
    <row r="246" spans="2:2" x14ac:dyDescent="0.2">
      <c r="B246">
        <v>-2.7210452715216481E-3</v>
      </c>
    </row>
    <row r="247" spans="2:2" x14ac:dyDescent="0.2">
      <c r="B247">
        <v>1.7692991375499859E-2</v>
      </c>
    </row>
    <row r="248" spans="2:2" x14ac:dyDescent="0.2">
      <c r="B248">
        <v>-1.8966833798252355E-2</v>
      </c>
    </row>
    <row r="249" spans="2:2" x14ac:dyDescent="0.2">
      <c r="B249">
        <v>1.4141224351200367E-2</v>
      </c>
    </row>
    <row r="250" spans="2:2" x14ac:dyDescent="0.2">
      <c r="B250">
        <v>1.2954218164371239E-2</v>
      </c>
    </row>
    <row r="251" spans="2:2" x14ac:dyDescent="0.2">
      <c r="B251">
        <v>-1.023602125128129E-3</v>
      </c>
    </row>
    <row r="252" spans="2:2" x14ac:dyDescent="0.2">
      <c r="B252">
        <v>-5.3572105477339531E-3</v>
      </c>
    </row>
    <row r="253" spans="2:2" x14ac:dyDescent="0.2">
      <c r="B253">
        <v>1.0013367106737583E-2</v>
      </c>
    </row>
    <row r="254" spans="2:2" x14ac:dyDescent="0.2">
      <c r="B254">
        <v>2.6950582057132903E-3</v>
      </c>
    </row>
    <row r="255" spans="2:2" x14ac:dyDescent="0.2">
      <c r="B255">
        <v>1.3395835726457259E-2</v>
      </c>
    </row>
    <row r="256" spans="2:2" x14ac:dyDescent="0.2">
      <c r="B256">
        <v>1.1012789232543726E-2</v>
      </c>
    </row>
    <row r="257" spans="2:2" x14ac:dyDescent="0.2">
      <c r="B257">
        <v>7.6724522322420873E-3</v>
      </c>
    </row>
    <row r="258" spans="2:2" x14ac:dyDescent="0.2">
      <c r="B258">
        <v>-1.5034153126134951E-2</v>
      </c>
    </row>
    <row r="259" spans="2:2" x14ac:dyDescent="0.2">
      <c r="B259">
        <v>-3.4026019528854059E-3</v>
      </c>
    </row>
    <row r="260" spans="2:2" x14ac:dyDescent="0.2">
      <c r="B260">
        <v>1.6651690134691453E-2</v>
      </c>
    </row>
    <row r="261" spans="2:2" x14ac:dyDescent="0.2">
      <c r="B261">
        <v>1.4614699278171894E-2</v>
      </c>
    </row>
    <row r="262" spans="2:2" x14ac:dyDescent="0.2">
      <c r="B262">
        <v>6.3654113408335164E-3</v>
      </c>
    </row>
    <row r="263" spans="2:2" x14ac:dyDescent="0.2">
      <c r="B263">
        <v>1.0129482532488729E-3</v>
      </c>
    </row>
    <row r="264" spans="2:2" x14ac:dyDescent="0.2">
      <c r="B264">
        <v>-4.5977651953833278E-3</v>
      </c>
    </row>
    <row r="265" spans="2:2" x14ac:dyDescent="0.2">
      <c r="B265">
        <v>3.9625112954055973E-4</v>
      </c>
    </row>
    <row r="266" spans="2:2" x14ac:dyDescent="0.2">
      <c r="B266">
        <v>1.8891172664686484E-2</v>
      </c>
    </row>
    <row r="267" spans="2:2" x14ac:dyDescent="0.2">
      <c r="B267">
        <v>4.1322507627386219E-3</v>
      </c>
    </row>
    <row r="268" spans="2:2" x14ac:dyDescent="0.2">
      <c r="B268">
        <v>-6.651915439612798E-3</v>
      </c>
    </row>
    <row r="269" spans="2:2" x14ac:dyDescent="0.2">
      <c r="B269">
        <v>5.2814102824056486E-3</v>
      </c>
    </row>
    <row r="270" spans="2:2" x14ac:dyDescent="0.2">
      <c r="B270">
        <v>1.7215625428311242E-2</v>
      </c>
    </row>
    <row r="271" spans="2:2" x14ac:dyDescent="0.2">
      <c r="B271">
        <v>-1.4957487423236847E-2</v>
      </c>
    </row>
    <row r="272" spans="2:2" x14ac:dyDescent="0.2">
      <c r="B272">
        <v>-2.6220545850069925E-3</v>
      </c>
    </row>
    <row r="273" spans="2:2" x14ac:dyDescent="0.2">
      <c r="B273">
        <v>-4.5445758396369675E-4</v>
      </c>
    </row>
    <row r="274" spans="2:2" x14ac:dyDescent="0.2">
      <c r="B274">
        <v>-3.2875680326086183E-3</v>
      </c>
    </row>
    <row r="275" spans="2:2" x14ac:dyDescent="0.2">
      <c r="B275">
        <v>-1.1201548286466342E-2</v>
      </c>
    </row>
    <row r="276" spans="2:2" x14ac:dyDescent="0.2">
      <c r="B276">
        <v>-8.3384247116447723E-4</v>
      </c>
    </row>
    <row r="277" spans="2:2" x14ac:dyDescent="0.2">
      <c r="B277">
        <v>-1.9559114540859131E-2</v>
      </c>
    </row>
    <row r="278" spans="2:2" x14ac:dyDescent="0.2">
      <c r="B278">
        <v>-2.3197146355976191E-2</v>
      </c>
    </row>
    <row r="279" spans="2:2" x14ac:dyDescent="0.2">
      <c r="B279">
        <v>-6.2017113052985507E-3</v>
      </c>
    </row>
    <row r="280" spans="2:2" x14ac:dyDescent="0.2">
      <c r="B280">
        <v>-8.2444846331142484E-3</v>
      </c>
    </row>
    <row r="281" spans="2:2" x14ac:dyDescent="0.2">
      <c r="B281">
        <v>-2.5735856575474138E-3</v>
      </c>
    </row>
    <row r="282" spans="2:2" x14ac:dyDescent="0.2">
      <c r="B282">
        <v>-2.3680907651032652E-3</v>
      </c>
    </row>
    <row r="283" spans="2:2" x14ac:dyDescent="0.2">
      <c r="B283">
        <v>-1.1150970135795859E-2</v>
      </c>
    </row>
    <row r="284" spans="2:2" x14ac:dyDescent="0.2">
      <c r="B284">
        <v>2.461321024155225E-2</v>
      </c>
    </row>
    <row r="285" spans="2:2" x14ac:dyDescent="0.2">
      <c r="B285">
        <v>-7.6774689711129147E-3</v>
      </c>
    </row>
    <row r="286" spans="2:2" x14ac:dyDescent="0.2">
      <c r="B286">
        <v>2.8426805376957503E-2</v>
      </c>
    </row>
    <row r="287" spans="2:2" x14ac:dyDescent="0.2">
      <c r="B287">
        <v>1.167368013287079E-2</v>
      </c>
    </row>
    <row r="288" spans="2:2" x14ac:dyDescent="0.2">
      <c r="B288">
        <v>4.1581459973622364E-3</v>
      </c>
    </row>
    <row r="289" spans="2:2" x14ac:dyDescent="0.2">
      <c r="B289">
        <v>1.6170435545486996E-2</v>
      </c>
    </row>
    <row r="290" spans="2:2" x14ac:dyDescent="0.2">
      <c r="B290">
        <v>-4.6342038016336014E-3</v>
      </c>
    </row>
    <row r="291" spans="2:2" x14ac:dyDescent="0.2">
      <c r="B291">
        <v>4.0126938430030947E-3</v>
      </c>
    </row>
    <row r="292" spans="2:2" x14ac:dyDescent="0.2">
      <c r="B292">
        <v>5.7668944291248527E-3</v>
      </c>
    </row>
    <row r="293" spans="2:2" x14ac:dyDescent="0.2">
      <c r="B293">
        <v>-2.3310072860592276E-2</v>
      </c>
    </row>
    <row r="294" spans="2:2" x14ac:dyDescent="0.2">
      <c r="B294">
        <v>-8.6915351990511092E-3</v>
      </c>
    </row>
    <row r="295" spans="2:2" x14ac:dyDescent="0.2">
      <c r="B295">
        <v>7.3262871486838447E-4</v>
      </c>
    </row>
    <row r="296" spans="2:2" x14ac:dyDescent="0.2">
      <c r="B296">
        <v>-3.9056230920505282E-3</v>
      </c>
    </row>
    <row r="297" spans="2:2" x14ac:dyDescent="0.2">
      <c r="B297">
        <v>-4.8254023610602246E-3</v>
      </c>
    </row>
    <row r="298" spans="2:2" x14ac:dyDescent="0.2">
      <c r="B298">
        <v>-4.0460846914146618E-3</v>
      </c>
    </row>
    <row r="299" spans="2:2" x14ac:dyDescent="0.2">
      <c r="B299">
        <v>1.769946504667946E-2</v>
      </c>
    </row>
    <row r="300" spans="2:2" x14ac:dyDescent="0.2">
      <c r="B300">
        <v>6.4081058173660549E-3</v>
      </c>
    </row>
    <row r="301" spans="2:2" x14ac:dyDescent="0.2">
      <c r="B301">
        <v>-6.2969849248364906E-4</v>
      </c>
    </row>
    <row r="302" spans="2:2" x14ac:dyDescent="0.2">
      <c r="B302">
        <v>-1.0662258759767264E-2</v>
      </c>
    </row>
    <row r="303" spans="2:2" x14ac:dyDescent="0.2">
      <c r="B303">
        <v>-8.2096012668246201E-3</v>
      </c>
    </row>
    <row r="304" spans="2:2" x14ac:dyDescent="0.2">
      <c r="B304">
        <v>-6.1192702438716828E-3</v>
      </c>
    </row>
    <row r="305" spans="2:2" x14ac:dyDescent="0.2">
      <c r="B305">
        <v>1.0909083230613162E-2</v>
      </c>
    </row>
    <row r="306" spans="2:2" x14ac:dyDescent="0.2">
      <c r="B306">
        <v>7.4962576073788183E-3</v>
      </c>
    </row>
    <row r="307" spans="2:2" x14ac:dyDescent="0.2">
      <c r="B307">
        <v>-3.1926529658157432E-3</v>
      </c>
    </row>
    <row r="308" spans="2:2" x14ac:dyDescent="0.2">
      <c r="B308">
        <v>4.8040654600030328E-3</v>
      </c>
    </row>
    <row r="309" spans="2:2" x14ac:dyDescent="0.2">
      <c r="B309">
        <v>-3.2158484389957598E-3</v>
      </c>
    </row>
    <row r="310" spans="2:2" x14ac:dyDescent="0.2">
      <c r="B310">
        <v>1.1546580571178526E-3</v>
      </c>
    </row>
    <row r="311" spans="2:2" x14ac:dyDescent="0.2">
      <c r="B311">
        <v>3.1616842975048434E-3</v>
      </c>
    </row>
    <row r="312" spans="2:2" x14ac:dyDescent="0.2">
      <c r="B312">
        <v>6.9663332770093251E-3</v>
      </c>
    </row>
    <row r="313" spans="2:2" x14ac:dyDescent="0.2">
      <c r="B313">
        <v>1.5699417359446284E-3</v>
      </c>
    </row>
    <row r="314" spans="2:2" x14ac:dyDescent="0.2">
      <c r="B314">
        <v>-5.5308042424782975E-4</v>
      </c>
    </row>
    <row r="315" spans="2:2" x14ac:dyDescent="0.2">
      <c r="B315">
        <v>6.4123488087862238E-3</v>
      </c>
    </row>
    <row r="316" spans="2:2" x14ac:dyDescent="0.2">
      <c r="B316">
        <v>-1.0097884659829965E-2</v>
      </c>
    </row>
    <row r="317" spans="2:2" x14ac:dyDescent="0.2">
      <c r="B317">
        <v>-4.623363087645058E-3</v>
      </c>
    </row>
    <row r="318" spans="2:2" x14ac:dyDescent="0.2">
      <c r="B318">
        <v>-2.4255225884875836E-3</v>
      </c>
    </row>
    <row r="319" spans="2:2" x14ac:dyDescent="0.2">
      <c r="B319">
        <v>1.9075309153747902E-2</v>
      </c>
    </row>
    <row r="320" spans="2:2" x14ac:dyDescent="0.2">
      <c r="B320">
        <v>-5.0442522265663143E-3</v>
      </c>
    </row>
    <row r="321" spans="2:2" x14ac:dyDescent="0.2">
      <c r="B321">
        <v>1.9455527952793841E-2</v>
      </c>
    </row>
    <row r="322" spans="2:2" x14ac:dyDescent="0.2">
      <c r="B322">
        <v>1.7641646844276271E-2</v>
      </c>
    </row>
    <row r="323" spans="2:2" x14ac:dyDescent="0.2">
      <c r="B323">
        <v>1.2365661607962246E-3</v>
      </c>
    </row>
    <row r="324" spans="2:2" x14ac:dyDescent="0.2">
      <c r="B324">
        <v>1.5543429876180904E-3</v>
      </c>
    </row>
    <row r="325" spans="2:2" x14ac:dyDescent="0.2">
      <c r="B325">
        <v>9.9477294282364608E-3</v>
      </c>
    </row>
    <row r="326" spans="2:2" x14ac:dyDescent="0.2">
      <c r="B326">
        <v>6.7287722124462959E-3</v>
      </c>
    </row>
    <row r="327" spans="2:2" x14ac:dyDescent="0.2">
      <c r="B327">
        <v>-2.3077327192215997E-3</v>
      </c>
    </row>
    <row r="328" spans="2:2" x14ac:dyDescent="0.2">
      <c r="B328">
        <v>-5.7337409187166039E-3</v>
      </c>
    </row>
    <row r="329" spans="2:2" x14ac:dyDescent="0.2">
      <c r="B329">
        <v>1.2638315527146211E-2</v>
      </c>
    </row>
    <row r="330" spans="2:2" x14ac:dyDescent="0.2">
      <c r="B330">
        <v>-1.0176825160502445E-2</v>
      </c>
    </row>
    <row r="331" spans="2:2" x14ac:dyDescent="0.2">
      <c r="B331">
        <v>3.1858461643840025E-3</v>
      </c>
    </row>
    <row r="332" spans="2:2" x14ac:dyDescent="0.2">
      <c r="B332">
        <v>-2.2199787151834138E-2</v>
      </c>
    </row>
    <row r="333" spans="2:2" x14ac:dyDescent="0.2">
      <c r="B333">
        <v>-2.2121028951395214E-2</v>
      </c>
    </row>
    <row r="334" spans="2:2" x14ac:dyDescent="0.2">
      <c r="B334">
        <v>1.9292950274507493E-2</v>
      </c>
    </row>
    <row r="335" spans="2:2" x14ac:dyDescent="0.2">
      <c r="B335">
        <v>-1.3355671830878801E-2</v>
      </c>
    </row>
    <row r="336" spans="2:2" x14ac:dyDescent="0.2">
      <c r="B336">
        <v>1.9630103538996736E-2</v>
      </c>
    </row>
    <row r="337" spans="2:2" x14ac:dyDescent="0.2">
      <c r="B337">
        <v>-6.4624003566082716E-3</v>
      </c>
    </row>
    <row r="338" spans="2:2" x14ac:dyDescent="0.2">
      <c r="B338">
        <v>8.0977321900010807E-3</v>
      </c>
    </row>
    <row r="339" spans="2:2" x14ac:dyDescent="0.2">
      <c r="B339">
        <v>-4.4593767600571764E-4</v>
      </c>
    </row>
    <row r="340" spans="2:2" x14ac:dyDescent="0.2">
      <c r="B340">
        <v>9.4104445034498083E-3</v>
      </c>
    </row>
    <row r="341" spans="2:2" x14ac:dyDescent="0.2">
      <c r="B341">
        <v>2.170840037695107E-2</v>
      </c>
    </row>
    <row r="342" spans="2:2" x14ac:dyDescent="0.2">
      <c r="B342">
        <v>-3.69827420913303E-4</v>
      </c>
    </row>
    <row r="343" spans="2:2" x14ac:dyDescent="0.2">
      <c r="B343">
        <v>2.0665696192146584E-2</v>
      </c>
    </row>
    <row r="344" spans="2:2" x14ac:dyDescent="0.2">
      <c r="B344">
        <v>1.5375502596223357E-3</v>
      </c>
    </row>
    <row r="345" spans="2:2" x14ac:dyDescent="0.2">
      <c r="B345">
        <v>8.1757111410280994E-3</v>
      </c>
    </row>
    <row r="346" spans="2:2" x14ac:dyDescent="0.2">
      <c r="B346">
        <v>1.3204196340390313E-2</v>
      </c>
    </row>
    <row r="347" spans="2:2" x14ac:dyDescent="0.2">
      <c r="B347">
        <v>-9.7374540511279122E-3</v>
      </c>
    </row>
    <row r="348" spans="2:2" x14ac:dyDescent="0.2">
      <c r="B348">
        <v>7.4003264926740774E-3</v>
      </c>
    </row>
    <row r="349" spans="2:2" x14ac:dyDescent="0.2">
      <c r="B349">
        <v>-5.207467497817646E-3</v>
      </c>
    </row>
    <row r="350" spans="2:2" x14ac:dyDescent="0.2">
      <c r="B350">
        <v>-1.6215992140697261E-2</v>
      </c>
    </row>
    <row r="351" spans="2:2" x14ac:dyDescent="0.2">
      <c r="B351">
        <v>1.3298412999180383E-2</v>
      </c>
    </row>
    <row r="352" spans="2:2" x14ac:dyDescent="0.2">
      <c r="B352">
        <v>-4.0985989003458571E-3</v>
      </c>
    </row>
    <row r="353" spans="2:2" x14ac:dyDescent="0.2">
      <c r="B353">
        <v>6.3925236474410112E-3</v>
      </c>
    </row>
    <row r="354" spans="2:2" x14ac:dyDescent="0.2">
      <c r="B354">
        <v>3.2116266689526359E-3</v>
      </c>
    </row>
    <row r="355" spans="2:2" x14ac:dyDescent="0.2">
      <c r="B355">
        <v>-1.0866893036202717E-2</v>
      </c>
    </row>
    <row r="356" spans="2:2" x14ac:dyDescent="0.2">
      <c r="B356">
        <v>-7.9448662388651604E-3</v>
      </c>
    </row>
    <row r="357" spans="2:2" x14ac:dyDescent="0.2">
      <c r="B357">
        <v>1.4487598182221385E-2</v>
      </c>
    </row>
    <row r="358" spans="2:2" x14ac:dyDescent="0.2">
      <c r="B358">
        <v>-1.0196829390200279E-2</v>
      </c>
    </row>
    <row r="359" spans="2:2" x14ac:dyDescent="0.2">
      <c r="B359">
        <v>2.8652058243599432E-3</v>
      </c>
    </row>
    <row r="360" spans="2:2" x14ac:dyDescent="0.2">
      <c r="B360">
        <v>-4.5535873587374438E-3</v>
      </c>
    </row>
    <row r="361" spans="2:2" x14ac:dyDescent="0.2">
      <c r="B361">
        <v>5.5105998328111062E-3</v>
      </c>
    </row>
    <row r="362" spans="2:2" x14ac:dyDescent="0.2">
      <c r="B362">
        <v>-4.5229483035290601E-3</v>
      </c>
    </row>
    <row r="363" spans="2:2" x14ac:dyDescent="0.2">
      <c r="B363">
        <v>1.2807420161997186E-2</v>
      </c>
    </row>
    <row r="364" spans="2:2" x14ac:dyDescent="0.2">
      <c r="B364">
        <v>1.5697663787449601E-3</v>
      </c>
    </row>
    <row r="365" spans="2:2" x14ac:dyDescent="0.2">
      <c r="B365">
        <v>2.4301309046815905E-2</v>
      </c>
    </row>
    <row r="366" spans="2:2" x14ac:dyDescent="0.2">
      <c r="B366">
        <v>-5.1475855877426207E-3</v>
      </c>
    </row>
    <row r="367" spans="2:2" x14ac:dyDescent="0.2">
      <c r="B367">
        <v>-3.3060077984001651E-3</v>
      </c>
    </row>
    <row r="368" spans="2:2" x14ac:dyDescent="0.2">
      <c r="B368">
        <v>2.7895618365545525E-3</v>
      </c>
    </row>
    <row r="369" spans="2:2" x14ac:dyDescent="0.2">
      <c r="B369">
        <v>-2.2823573247787625E-3</v>
      </c>
    </row>
    <row r="370" spans="2:2" x14ac:dyDescent="0.2">
      <c r="B370">
        <v>5.9004282623561742E-3</v>
      </c>
    </row>
    <row r="371" spans="2:2" x14ac:dyDescent="0.2">
      <c r="B371">
        <v>-1.8458749968774731E-2</v>
      </c>
    </row>
    <row r="372" spans="2:2" x14ac:dyDescent="0.2">
      <c r="B372">
        <v>-9.1376802385315023E-3</v>
      </c>
    </row>
    <row r="373" spans="2:2" x14ac:dyDescent="0.2">
      <c r="B373">
        <v>-1.9770247127380798E-2</v>
      </c>
    </row>
    <row r="374" spans="2:2" x14ac:dyDescent="0.2">
      <c r="B374">
        <v>2.8135699604748047E-2</v>
      </c>
    </row>
    <row r="375" spans="2:2" x14ac:dyDescent="0.2">
      <c r="B375">
        <v>-1.0541581055414995E-3</v>
      </c>
    </row>
    <row r="376" spans="2:2" x14ac:dyDescent="0.2">
      <c r="B376">
        <v>-5.3996159051712921E-3</v>
      </c>
    </row>
    <row r="377" spans="2:2" x14ac:dyDescent="0.2">
      <c r="B377">
        <v>9.7841557299385897E-3</v>
      </c>
    </row>
    <row r="378" spans="2:2" x14ac:dyDescent="0.2">
      <c r="B378">
        <v>-5.3356445249943608E-4</v>
      </c>
    </row>
    <row r="379" spans="2:2" x14ac:dyDescent="0.2">
      <c r="B379">
        <v>-1.2485151183450886E-2</v>
      </c>
    </row>
    <row r="380" spans="2:2" x14ac:dyDescent="0.2">
      <c r="B380">
        <v>-4.9023713332887213E-3</v>
      </c>
    </row>
    <row r="381" spans="2:2" x14ac:dyDescent="0.2">
      <c r="B381">
        <v>4.762567711149324E-3</v>
      </c>
    </row>
    <row r="382" spans="2:2" x14ac:dyDescent="0.2">
      <c r="B382">
        <v>8.0781230941192397E-3</v>
      </c>
    </row>
    <row r="383" spans="2:2" x14ac:dyDescent="0.2">
      <c r="B383">
        <v>-2.8407870499378901E-2</v>
      </c>
    </row>
    <row r="384" spans="2:2" x14ac:dyDescent="0.2">
      <c r="B384">
        <v>-1.877600742973197E-2</v>
      </c>
    </row>
    <row r="385" spans="2:2" x14ac:dyDescent="0.2">
      <c r="B385">
        <v>1.0749572298462332E-2</v>
      </c>
    </row>
    <row r="386" spans="2:2" x14ac:dyDescent="0.2">
      <c r="B386">
        <v>-7.7823854938969339E-3</v>
      </c>
    </row>
    <row r="387" spans="2:2" x14ac:dyDescent="0.2">
      <c r="B387">
        <v>9.5443596952486352E-3</v>
      </c>
    </row>
    <row r="388" spans="2:2" x14ac:dyDescent="0.2">
      <c r="B388">
        <v>6.3769076320823181E-3</v>
      </c>
    </row>
    <row r="389" spans="2:2" x14ac:dyDescent="0.2">
      <c r="B389">
        <v>2.2711275647284646E-2</v>
      </c>
    </row>
    <row r="390" spans="2:2" x14ac:dyDescent="0.2">
      <c r="B390">
        <v>1.4544814616856082E-3</v>
      </c>
    </row>
    <row r="391" spans="2:2" x14ac:dyDescent="0.2">
      <c r="B391">
        <v>1.2480245116318366E-2</v>
      </c>
    </row>
    <row r="392" spans="2:2" x14ac:dyDescent="0.2">
      <c r="B392">
        <v>-6.2786985464509358E-3</v>
      </c>
    </row>
    <row r="393" spans="2:2" x14ac:dyDescent="0.2">
      <c r="B393">
        <v>4.1211419318593588E-4</v>
      </c>
    </row>
    <row r="394" spans="2:2" x14ac:dyDescent="0.2">
      <c r="B394">
        <v>2.2758354393727136E-2</v>
      </c>
    </row>
    <row r="395" spans="2:2" x14ac:dyDescent="0.2">
      <c r="B395">
        <v>-1.708682730254759E-2</v>
      </c>
    </row>
    <row r="396" spans="2:2" x14ac:dyDescent="0.2">
      <c r="B396">
        <v>4.0336350965712751E-3</v>
      </c>
    </row>
    <row r="397" spans="2:2" x14ac:dyDescent="0.2">
      <c r="B397">
        <v>-3.4850664139639163E-3</v>
      </c>
    </row>
    <row r="398" spans="2:2" x14ac:dyDescent="0.2">
      <c r="B398">
        <v>-5.4739860638607684E-3</v>
      </c>
    </row>
    <row r="399" spans="2:2" x14ac:dyDescent="0.2">
      <c r="B399">
        <v>-4.1628299741892864E-3</v>
      </c>
    </row>
    <row r="400" spans="2:2" x14ac:dyDescent="0.2">
      <c r="B400">
        <v>3.8386531505757351E-3</v>
      </c>
    </row>
    <row r="401" spans="2:2" x14ac:dyDescent="0.2">
      <c r="B401">
        <v>2.0618168337283201E-3</v>
      </c>
    </row>
    <row r="402" spans="2:2" x14ac:dyDescent="0.2">
      <c r="B402">
        <v>-2.3363449225231956E-2</v>
      </c>
    </row>
    <row r="403" spans="2:2" x14ac:dyDescent="0.2">
      <c r="B403">
        <v>2.6877782633620323E-4</v>
      </c>
    </row>
    <row r="404" spans="2:2" x14ac:dyDescent="0.2">
      <c r="B404">
        <v>2.9517539334613071E-3</v>
      </c>
    </row>
    <row r="405" spans="2:2" x14ac:dyDescent="0.2">
      <c r="B405">
        <v>1.4117524166832363E-2</v>
      </c>
    </row>
    <row r="406" spans="2:2" x14ac:dyDescent="0.2">
      <c r="B406">
        <v>-4.1343934591096757E-3</v>
      </c>
    </row>
    <row r="407" spans="2:2" x14ac:dyDescent="0.2">
      <c r="B407">
        <v>-6.5726246133520089E-3</v>
      </c>
    </row>
    <row r="408" spans="2:2" x14ac:dyDescent="0.2">
      <c r="B408">
        <v>-1.1606234074683863E-2</v>
      </c>
    </row>
    <row r="409" spans="2:2" x14ac:dyDescent="0.2">
      <c r="B409">
        <v>2.826101465424188E-3</v>
      </c>
    </row>
    <row r="410" spans="2:2" x14ac:dyDescent="0.2">
      <c r="B410">
        <v>2.0718332287601978E-3</v>
      </c>
    </row>
    <row r="411" spans="2:2" x14ac:dyDescent="0.2">
      <c r="B411">
        <v>-1.853441211215048E-4</v>
      </c>
    </row>
    <row r="412" spans="2:2" x14ac:dyDescent="0.2">
      <c r="B412">
        <v>-2.6754554385017032E-2</v>
      </c>
    </row>
    <row r="413" spans="2:2" x14ac:dyDescent="0.2">
      <c r="B413">
        <v>1.9917365806670053E-2</v>
      </c>
    </row>
    <row r="414" spans="2:2" x14ac:dyDescent="0.2">
      <c r="B414">
        <v>8.6095274375982984E-3</v>
      </c>
    </row>
    <row r="415" spans="2:2" x14ac:dyDescent="0.2">
      <c r="B415">
        <v>9.7206191756066193E-3</v>
      </c>
    </row>
    <row r="416" spans="2:2" x14ac:dyDescent="0.2">
      <c r="B416">
        <v>-7.6183140426167625E-2</v>
      </c>
    </row>
    <row r="417" spans="2:2" x14ac:dyDescent="0.2">
      <c r="B417">
        <v>8.6784146954143031E-3</v>
      </c>
    </row>
    <row r="418" spans="2:2" x14ac:dyDescent="0.2">
      <c r="B418">
        <v>1.224946476284571E-2</v>
      </c>
    </row>
    <row r="419" spans="2:2" x14ac:dyDescent="0.2">
      <c r="B419">
        <v>3.1181851830168255E-3</v>
      </c>
    </row>
    <row r="420" spans="2:2" x14ac:dyDescent="0.2">
      <c r="B420">
        <v>1.6775863738829492E-4</v>
      </c>
    </row>
    <row r="421" spans="2:2" x14ac:dyDescent="0.2">
      <c r="B421">
        <v>1.1490981618026207E-3</v>
      </c>
    </row>
    <row r="422" spans="2:2" x14ac:dyDescent="0.2">
      <c r="B422">
        <v>-2.2484004034577468E-2</v>
      </c>
    </row>
    <row r="423" spans="2:2" x14ac:dyDescent="0.2">
      <c r="B423">
        <v>-8.4864189284677583E-3</v>
      </c>
    </row>
    <row r="424" spans="2:2" x14ac:dyDescent="0.2">
      <c r="B424">
        <v>1.2975286325707377E-2</v>
      </c>
    </row>
    <row r="425" spans="2:2" x14ac:dyDescent="0.2">
      <c r="B425">
        <v>-2.1115326647336438E-2</v>
      </c>
    </row>
    <row r="426" spans="2:2" x14ac:dyDescent="0.2">
      <c r="B426">
        <v>-8.9361137979045019E-3</v>
      </c>
    </row>
    <row r="427" spans="2:2" x14ac:dyDescent="0.2">
      <c r="B427">
        <v>1.9236475800971684E-2</v>
      </c>
    </row>
    <row r="428" spans="2:2" x14ac:dyDescent="0.2">
      <c r="B428">
        <v>-7.0154252032399809E-3</v>
      </c>
    </row>
    <row r="429" spans="2:2" x14ac:dyDescent="0.2">
      <c r="B429">
        <v>4.8480800771412173E-3</v>
      </c>
    </row>
    <row r="430" spans="2:2" x14ac:dyDescent="0.2">
      <c r="B430">
        <v>-8.6118618128130898E-4</v>
      </c>
    </row>
    <row r="431" spans="2:2" x14ac:dyDescent="0.2">
      <c r="B431">
        <v>-1.0460297709924994E-3</v>
      </c>
    </row>
    <row r="432" spans="2:2" x14ac:dyDescent="0.2">
      <c r="B432">
        <v>2.8856425807509043E-4</v>
      </c>
    </row>
    <row r="433" spans="2:2" x14ac:dyDescent="0.2">
      <c r="B433">
        <v>7.8428775369384779E-3</v>
      </c>
    </row>
    <row r="434" spans="2:2" x14ac:dyDescent="0.2">
      <c r="B434">
        <v>4.895507054592207E-3</v>
      </c>
    </row>
    <row r="435" spans="2:2" x14ac:dyDescent="0.2">
      <c r="B435">
        <v>-5.3843688150115414E-3</v>
      </c>
    </row>
    <row r="436" spans="2:2" x14ac:dyDescent="0.2">
      <c r="B436">
        <v>-8.2440326879402587E-3</v>
      </c>
    </row>
    <row r="437" spans="2:2" x14ac:dyDescent="0.2">
      <c r="B437">
        <v>9.4782947237186093E-3</v>
      </c>
    </row>
    <row r="438" spans="2:2" x14ac:dyDescent="0.2">
      <c r="B438">
        <v>3.3012201642865901E-3</v>
      </c>
    </row>
    <row r="439" spans="2:2" x14ac:dyDescent="0.2">
      <c r="B439">
        <v>-3.6483789085347704E-2</v>
      </c>
    </row>
    <row r="440" spans="2:2" x14ac:dyDescent="0.2">
      <c r="B440">
        <v>-1.0381781232484479E-2</v>
      </c>
    </row>
    <row r="441" spans="2:2" x14ac:dyDescent="0.2">
      <c r="B441">
        <v>7.0760320353642978E-3</v>
      </c>
    </row>
    <row r="442" spans="2:2" x14ac:dyDescent="0.2">
      <c r="B442">
        <v>1.4305660094484141E-2</v>
      </c>
    </row>
    <row r="443" spans="2:2" x14ac:dyDescent="0.2">
      <c r="B443">
        <v>9.0924751849042855E-3</v>
      </c>
    </row>
    <row r="444" spans="2:2" x14ac:dyDescent="0.2">
      <c r="B444">
        <v>1.9468146187062243E-2</v>
      </c>
    </row>
    <row r="445" spans="2:2" x14ac:dyDescent="0.2">
      <c r="B445">
        <v>5.6553212303196276E-3</v>
      </c>
    </row>
    <row r="446" spans="2:2" x14ac:dyDescent="0.2">
      <c r="B446">
        <v>-7.7535622705704396E-3</v>
      </c>
    </row>
    <row r="447" spans="2:2" x14ac:dyDescent="0.2">
      <c r="B447">
        <v>1.0554803849677956E-2</v>
      </c>
    </row>
    <row r="448" spans="2:2" x14ac:dyDescent="0.2">
      <c r="B448">
        <v>5.8819177440975548E-3</v>
      </c>
    </row>
    <row r="449" spans="2:2" x14ac:dyDescent="0.2">
      <c r="B449">
        <v>-6.0050208785093475E-3</v>
      </c>
    </row>
    <row r="450" spans="2:2" x14ac:dyDescent="0.2">
      <c r="B450">
        <v>-1.5428641523705371E-2</v>
      </c>
    </row>
    <row r="451" spans="2:2" x14ac:dyDescent="0.2">
      <c r="B451">
        <v>-5.5070116209834374E-3</v>
      </c>
    </row>
    <row r="452" spans="2:2" x14ac:dyDescent="0.2">
      <c r="B452">
        <v>-2.4154196991097781E-3</v>
      </c>
    </row>
    <row r="453" spans="2:2" x14ac:dyDescent="0.2">
      <c r="B453">
        <v>-1.7191031517356348E-2</v>
      </c>
    </row>
    <row r="454" spans="2:2" x14ac:dyDescent="0.2">
      <c r="B454">
        <v>-8.6853709789389763E-3</v>
      </c>
    </row>
    <row r="455" spans="2:2" x14ac:dyDescent="0.2">
      <c r="B455">
        <v>6.6006940863373052E-3</v>
      </c>
    </row>
    <row r="456" spans="2:2" x14ac:dyDescent="0.2">
      <c r="B456">
        <v>1.0263720191027888E-2</v>
      </c>
    </row>
    <row r="457" spans="2:2" x14ac:dyDescent="0.2">
      <c r="B457">
        <v>1.0835364461079921E-2</v>
      </c>
    </row>
    <row r="458" spans="2:2" x14ac:dyDescent="0.2">
      <c r="B458">
        <v>1.5239060317273153E-2</v>
      </c>
    </row>
    <row r="459" spans="2:2" x14ac:dyDescent="0.2">
      <c r="B459">
        <v>9.5167999934069516E-3</v>
      </c>
    </row>
    <row r="460" spans="2:2" x14ac:dyDescent="0.2">
      <c r="B460">
        <v>2.6638516849639738E-2</v>
      </c>
    </row>
    <row r="461" spans="2:2" x14ac:dyDescent="0.2">
      <c r="B461">
        <v>1.1806375013236928E-2</v>
      </c>
    </row>
    <row r="462" spans="2:2" x14ac:dyDescent="0.2">
      <c r="B462">
        <v>9.4918673846710964E-3</v>
      </c>
    </row>
    <row r="463" spans="2:2" x14ac:dyDescent="0.2">
      <c r="B463">
        <v>-1.4930582804086455E-4</v>
      </c>
    </row>
    <row r="464" spans="2:2" x14ac:dyDescent="0.2">
      <c r="B464">
        <v>2.1275993742978115E-3</v>
      </c>
    </row>
    <row r="465" spans="2:2" x14ac:dyDescent="0.2">
      <c r="B465">
        <v>4.5387698144358241E-3</v>
      </c>
    </row>
    <row r="466" spans="2:2" x14ac:dyDescent="0.2">
      <c r="B466">
        <v>1.7759661757866498E-2</v>
      </c>
    </row>
    <row r="467" spans="2:2" x14ac:dyDescent="0.2">
      <c r="B467">
        <v>-2.4484936636301982E-2</v>
      </c>
    </row>
    <row r="468" spans="2:2" x14ac:dyDescent="0.2">
      <c r="B468">
        <v>7.6288340554406349E-3</v>
      </c>
    </row>
    <row r="469" spans="2:2" x14ac:dyDescent="0.2">
      <c r="B469">
        <v>5.9599575914358522E-4</v>
      </c>
    </row>
    <row r="470" spans="2:2" x14ac:dyDescent="0.2">
      <c r="B470">
        <v>1.3448085884135985E-2</v>
      </c>
    </row>
    <row r="471" spans="2:2" x14ac:dyDescent="0.2">
      <c r="B471">
        <v>-3.9003446811055826E-3</v>
      </c>
    </row>
    <row r="472" spans="2:2" x14ac:dyDescent="0.2">
      <c r="B472">
        <v>1.5505210455219239E-3</v>
      </c>
    </row>
    <row r="473" spans="2:2" x14ac:dyDescent="0.2">
      <c r="B473">
        <v>3.6971761428128533E-4</v>
      </c>
    </row>
    <row r="474" spans="2:2" x14ac:dyDescent="0.2">
      <c r="B474">
        <v>-3.9048778103339277E-3</v>
      </c>
    </row>
    <row r="475" spans="2:2" x14ac:dyDescent="0.2">
      <c r="B475">
        <v>4.7633785222767561E-3</v>
      </c>
    </row>
    <row r="476" spans="2:2" x14ac:dyDescent="0.2">
      <c r="B476">
        <v>1.54313201706602E-3</v>
      </c>
    </row>
    <row r="477" spans="2:2" x14ac:dyDescent="0.2">
      <c r="B477">
        <v>-1.5367578325448664E-2</v>
      </c>
    </row>
    <row r="478" spans="2:2" x14ac:dyDescent="0.2">
      <c r="B478">
        <v>7.7104574138567696E-3</v>
      </c>
    </row>
    <row r="479" spans="2:2" x14ac:dyDescent="0.2">
      <c r="B479">
        <v>1.7909403699268873E-3</v>
      </c>
    </row>
    <row r="480" spans="2:2" x14ac:dyDescent="0.2">
      <c r="B480">
        <v>-2.2586264190666332E-2</v>
      </c>
    </row>
    <row r="481" spans="2:2" x14ac:dyDescent="0.2">
      <c r="B481">
        <v>-2.1888430947783121E-3</v>
      </c>
    </row>
    <row r="482" spans="2:2" x14ac:dyDescent="0.2">
      <c r="B482">
        <v>-3.9436394641331239E-3</v>
      </c>
    </row>
    <row r="483" spans="2:2" x14ac:dyDescent="0.2">
      <c r="B483">
        <v>5.3032891985055767E-3</v>
      </c>
    </row>
    <row r="484" spans="2:2" x14ac:dyDescent="0.2">
      <c r="B484">
        <v>7.5264538036522322E-3</v>
      </c>
    </row>
    <row r="485" spans="2:2" x14ac:dyDescent="0.2">
      <c r="B485">
        <v>-6.6497761100356417E-3</v>
      </c>
    </row>
    <row r="486" spans="2:2" x14ac:dyDescent="0.2">
      <c r="B486">
        <v>-1.5913432650305123E-3</v>
      </c>
    </row>
    <row r="487" spans="2:2" x14ac:dyDescent="0.2">
      <c r="B487">
        <v>1.9507982594643349E-3</v>
      </c>
    </row>
    <row r="488" spans="2:2" x14ac:dyDescent="0.2">
      <c r="B488">
        <v>6.0908785276122873E-3</v>
      </c>
    </row>
    <row r="489" spans="2:2" x14ac:dyDescent="0.2">
      <c r="B489">
        <v>7.4844227352180454E-3</v>
      </c>
    </row>
    <row r="490" spans="2:2" x14ac:dyDescent="0.2">
      <c r="B490">
        <v>5.8486481588111211E-3</v>
      </c>
    </row>
    <row r="491" spans="2:2" x14ac:dyDescent="0.2">
      <c r="B491">
        <v>-2.203873000187645E-2</v>
      </c>
    </row>
    <row r="492" spans="2:2" x14ac:dyDescent="0.2">
      <c r="B492">
        <v>7.5183504282345861E-4</v>
      </c>
    </row>
    <row r="493" spans="2:2" x14ac:dyDescent="0.2">
      <c r="B493">
        <v>-8.5508787595941389E-3</v>
      </c>
    </row>
    <row r="494" spans="2:2" x14ac:dyDescent="0.2">
      <c r="B494">
        <v>-1.588122386309131E-2</v>
      </c>
    </row>
    <row r="495" spans="2:2" x14ac:dyDescent="0.2">
      <c r="B495">
        <v>-6.2005423102689866E-4</v>
      </c>
    </row>
    <row r="496" spans="2:2" x14ac:dyDescent="0.2">
      <c r="B496">
        <v>6.1800935080780755E-3</v>
      </c>
    </row>
    <row r="497" spans="2:2" x14ac:dyDescent="0.2">
      <c r="B497">
        <v>2.9598464297667781E-3</v>
      </c>
    </row>
    <row r="498" spans="2:2" x14ac:dyDescent="0.2">
      <c r="B498">
        <v>-2.3274127740769888E-4</v>
      </c>
    </row>
    <row r="499" spans="2:2" x14ac:dyDescent="0.2">
      <c r="B499">
        <v>-9.1274330870560229E-3</v>
      </c>
    </row>
    <row r="500" spans="2:2" x14ac:dyDescent="0.2">
      <c r="B500">
        <v>-1.0696629826507393E-2</v>
      </c>
    </row>
    <row r="501" spans="2:2" x14ac:dyDescent="0.2">
      <c r="B501">
        <v>1.9870487907990998E-2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AMXB</vt:lpstr>
      <vt:lpstr>CEMEX</vt:lpstr>
      <vt:lpstr>GAPB</vt:lpstr>
      <vt:lpstr>LACOMER</vt:lpstr>
      <vt:lpstr>PENOLES</vt:lpstr>
      <vt:lpstr>BANREGIO</vt:lpstr>
      <vt:lpstr>VOLARIS</vt:lpstr>
      <vt:lpstr>FIBRAPL</vt:lpstr>
      <vt:lpstr>NAFTRAC</vt:lpstr>
      <vt:lpstr>Instrucciones</vt:lpstr>
      <vt:lpstr>Procedimiento</vt:lpstr>
      <vt:lpstr>solucion</vt:lpstr>
      <vt:lpstr>solucion (2)</vt:lpstr>
      <vt:lpstr>Hoja3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OCEGUERA GOMEZ, ABRAHAM</cp:lastModifiedBy>
  <dcterms:created xsi:type="dcterms:W3CDTF">2026-01-26T20:19:49Z</dcterms:created>
  <dcterms:modified xsi:type="dcterms:W3CDTF">2026-01-29T01:50:00Z</dcterms:modified>
  <cp:category/>
</cp:coreProperties>
</file>