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Soluciones en Excel/"/>
    </mc:Choice>
  </mc:AlternateContent>
  <xr:revisionPtr revIDLastSave="5" documentId="13_ncr:1_{0CB18015-9E4C-43DC-9AA0-57ED39807C78}" xr6:coauthVersionLast="47" xr6:coauthVersionMax="47" xr10:uidLastSave="{BFD3DBA8-53FA-4006-BB7B-AD1801D105C3}"/>
  <bookViews>
    <workbookView xWindow="-23148" yWindow="-108" windowWidth="23256" windowHeight="12456" xr2:uid="{A56D5B87-D6BE-4DAC-8CE3-7DC73E4687D9}"/>
  </bookViews>
  <sheets>
    <sheet name="indicaciones" sheetId="1" r:id="rId1"/>
    <sheet name="historical yields nodos 2 y 10" sheetId="2" r:id="rId2"/>
    <sheet name="si todo en long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2" i="2"/>
  <c r="H8" i="1"/>
  <c r="D2" i="2"/>
  <c r="L3" i="2"/>
  <c r="L4" i="2"/>
  <c r="L5" i="2"/>
  <c r="L6" i="2"/>
  <c r="L7" i="2"/>
  <c r="L8" i="2"/>
  <c r="L9" i="2"/>
  <c r="M2" i="2" s="1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" i="2"/>
  <c r="G3" i="6"/>
  <c r="G10" i="6"/>
  <c r="G15" i="6"/>
  <c r="G19" i="6"/>
  <c r="G23" i="6"/>
  <c r="G26" i="6"/>
  <c r="G31" i="6"/>
  <c r="G35" i="6"/>
  <c r="G43" i="6"/>
  <c r="G45" i="6"/>
  <c r="G47" i="6"/>
  <c r="G50" i="6"/>
  <c r="G51" i="6"/>
  <c r="G55" i="6"/>
  <c r="G59" i="6"/>
  <c r="G61" i="6"/>
  <c r="G63" i="6"/>
  <c r="G66" i="6"/>
  <c r="G67" i="6"/>
  <c r="G71" i="6"/>
  <c r="G77" i="6"/>
  <c r="G79" i="6"/>
  <c r="G83" i="6"/>
  <c r="G87" i="6"/>
  <c r="G91" i="6"/>
  <c r="G93" i="6"/>
  <c r="G95" i="6"/>
  <c r="G99" i="6"/>
  <c r="G103" i="6"/>
  <c r="G106" i="6"/>
  <c r="G107" i="6"/>
  <c r="G111" i="6"/>
  <c r="G114" i="6"/>
  <c r="G115" i="6"/>
  <c r="G117" i="6"/>
  <c r="G119" i="6"/>
  <c r="G123" i="6"/>
  <c r="G125" i="6"/>
  <c r="G127" i="6"/>
  <c r="G130" i="6"/>
  <c r="G133" i="6"/>
  <c r="G135" i="6"/>
  <c r="G139" i="6"/>
  <c r="G143" i="6"/>
  <c r="G147" i="6"/>
  <c r="G149" i="6"/>
  <c r="G151" i="6"/>
  <c r="G155" i="6"/>
  <c r="G157" i="6"/>
  <c r="G162" i="6"/>
  <c r="G163" i="6"/>
  <c r="G165" i="6"/>
  <c r="G170" i="6"/>
  <c r="G171" i="6"/>
  <c r="G175" i="6"/>
  <c r="G179" i="6"/>
  <c r="G181" i="6"/>
  <c r="G183" i="6"/>
  <c r="G187" i="6"/>
  <c r="G189" i="6"/>
  <c r="G191" i="6"/>
  <c r="G194" i="6"/>
  <c r="G195" i="6"/>
  <c r="G197" i="6"/>
  <c r="G199" i="6"/>
  <c r="G203" i="6"/>
  <c r="G207" i="6"/>
  <c r="G211" i="6"/>
  <c r="G213" i="6"/>
  <c r="G215" i="6"/>
  <c r="G218" i="6"/>
  <c r="G219" i="6"/>
  <c r="G223" i="6"/>
  <c r="G226" i="6"/>
  <c r="G231" i="6"/>
  <c r="G234" i="6"/>
  <c r="G235" i="6"/>
  <c r="G237" i="6"/>
  <c r="G239" i="6"/>
  <c r="G242" i="6"/>
  <c r="G243" i="6"/>
  <c r="G247" i="6"/>
  <c r="G255" i="6"/>
  <c r="G258" i="6"/>
  <c r="G259" i="6"/>
  <c r="G261" i="6"/>
  <c r="G262" i="6"/>
  <c r="G2" i="6"/>
  <c r="F262" i="6"/>
  <c r="E261" i="6"/>
  <c r="D261" i="6"/>
  <c r="F261" i="6" s="1"/>
  <c r="E260" i="6"/>
  <c r="G260" i="6" s="1"/>
  <c r="D260" i="6"/>
  <c r="F260" i="6" s="1"/>
  <c r="E259" i="6"/>
  <c r="D259" i="6"/>
  <c r="F258" i="6"/>
  <c r="E258" i="6"/>
  <c r="D258" i="6"/>
  <c r="E257" i="6"/>
  <c r="G257" i="6" s="1"/>
  <c r="D257" i="6"/>
  <c r="F257" i="6" s="1"/>
  <c r="H257" i="6" s="1"/>
  <c r="E256" i="6"/>
  <c r="G256" i="6" s="1"/>
  <c r="D256" i="6"/>
  <c r="F256" i="6" s="1"/>
  <c r="E255" i="6"/>
  <c r="D255" i="6"/>
  <c r="E254" i="6"/>
  <c r="G254" i="6" s="1"/>
  <c r="D254" i="6"/>
  <c r="F254" i="6" s="1"/>
  <c r="E253" i="6"/>
  <c r="G253" i="6" s="1"/>
  <c r="D253" i="6"/>
  <c r="F253" i="6" s="1"/>
  <c r="E252" i="6"/>
  <c r="G252" i="6" s="1"/>
  <c r="D252" i="6"/>
  <c r="E251" i="6"/>
  <c r="G251" i="6" s="1"/>
  <c r="D251" i="6"/>
  <c r="E250" i="6"/>
  <c r="G250" i="6" s="1"/>
  <c r="D250" i="6"/>
  <c r="F250" i="6" s="1"/>
  <c r="E249" i="6"/>
  <c r="G249" i="6" s="1"/>
  <c r="D249" i="6"/>
  <c r="F249" i="6" s="1"/>
  <c r="E248" i="6"/>
  <c r="G248" i="6" s="1"/>
  <c r="D248" i="6"/>
  <c r="E247" i="6"/>
  <c r="D247" i="6"/>
  <c r="F246" i="6"/>
  <c r="E246" i="6"/>
  <c r="G246" i="6" s="1"/>
  <c r="D246" i="6"/>
  <c r="F245" i="6"/>
  <c r="E245" i="6"/>
  <c r="G245" i="6" s="1"/>
  <c r="D245" i="6"/>
  <c r="E244" i="6"/>
  <c r="G244" i="6" s="1"/>
  <c r="D244" i="6"/>
  <c r="E243" i="6"/>
  <c r="D243" i="6"/>
  <c r="E242" i="6"/>
  <c r="D242" i="6"/>
  <c r="F242" i="6" s="1"/>
  <c r="E241" i="6"/>
  <c r="G241" i="6" s="1"/>
  <c r="D241" i="6"/>
  <c r="E240" i="6"/>
  <c r="G240" i="6" s="1"/>
  <c r="D240" i="6"/>
  <c r="E239" i="6"/>
  <c r="D239" i="6"/>
  <c r="F238" i="6"/>
  <c r="E238" i="6"/>
  <c r="G238" i="6" s="1"/>
  <c r="D238" i="6"/>
  <c r="E237" i="6"/>
  <c r="D237" i="6"/>
  <c r="E236" i="6"/>
  <c r="G236" i="6" s="1"/>
  <c r="D236" i="6"/>
  <c r="F236" i="6" s="1"/>
  <c r="E235" i="6"/>
  <c r="D235" i="6"/>
  <c r="F235" i="6" s="1"/>
  <c r="E234" i="6"/>
  <c r="D234" i="6"/>
  <c r="F234" i="6" s="1"/>
  <c r="E233" i="6"/>
  <c r="G233" i="6" s="1"/>
  <c r="D233" i="6"/>
  <c r="E232" i="6"/>
  <c r="G232" i="6" s="1"/>
  <c r="D232" i="6"/>
  <c r="F232" i="6" s="1"/>
  <c r="F231" i="6"/>
  <c r="H231" i="6" s="1"/>
  <c r="E231" i="6"/>
  <c r="D231" i="6"/>
  <c r="F230" i="6"/>
  <c r="E230" i="6"/>
  <c r="G230" i="6" s="1"/>
  <c r="D230" i="6"/>
  <c r="E229" i="6"/>
  <c r="G229" i="6" s="1"/>
  <c r="D229" i="6"/>
  <c r="E228" i="6"/>
  <c r="G228" i="6" s="1"/>
  <c r="H228" i="6" s="1"/>
  <c r="D228" i="6"/>
  <c r="F228" i="6" s="1"/>
  <c r="F227" i="6"/>
  <c r="E227" i="6"/>
  <c r="G227" i="6" s="1"/>
  <c r="D227" i="6"/>
  <c r="E226" i="6"/>
  <c r="D226" i="6"/>
  <c r="F226" i="6" s="1"/>
  <c r="E225" i="6"/>
  <c r="G225" i="6" s="1"/>
  <c r="D225" i="6"/>
  <c r="F225" i="6" s="1"/>
  <c r="E224" i="6"/>
  <c r="G224" i="6" s="1"/>
  <c r="D224" i="6"/>
  <c r="F224" i="6" s="1"/>
  <c r="E223" i="6"/>
  <c r="D223" i="6"/>
  <c r="F223" i="6" s="1"/>
  <c r="F222" i="6"/>
  <c r="E222" i="6"/>
  <c r="G222" i="6" s="1"/>
  <c r="D222" i="6"/>
  <c r="E221" i="6"/>
  <c r="G221" i="6" s="1"/>
  <c r="D221" i="6"/>
  <c r="F221" i="6" s="1"/>
  <c r="H221" i="6" s="1"/>
  <c r="E220" i="6"/>
  <c r="G220" i="6" s="1"/>
  <c r="D220" i="6"/>
  <c r="E219" i="6"/>
  <c r="D219" i="6"/>
  <c r="E218" i="6"/>
  <c r="D218" i="6"/>
  <c r="F218" i="6" s="1"/>
  <c r="F217" i="6"/>
  <c r="E217" i="6"/>
  <c r="G217" i="6" s="1"/>
  <c r="D217" i="6"/>
  <c r="E216" i="6"/>
  <c r="G216" i="6" s="1"/>
  <c r="D216" i="6"/>
  <c r="E215" i="6"/>
  <c r="D215" i="6"/>
  <c r="F214" i="6"/>
  <c r="E214" i="6"/>
  <c r="G214" i="6" s="1"/>
  <c r="D214" i="6"/>
  <c r="E213" i="6"/>
  <c r="D213" i="6"/>
  <c r="F213" i="6" s="1"/>
  <c r="E212" i="6"/>
  <c r="G212" i="6" s="1"/>
  <c r="D212" i="6"/>
  <c r="E211" i="6"/>
  <c r="D211" i="6"/>
  <c r="E210" i="6"/>
  <c r="G210" i="6" s="1"/>
  <c r="D210" i="6"/>
  <c r="F210" i="6" s="1"/>
  <c r="F209" i="6"/>
  <c r="E209" i="6"/>
  <c r="G209" i="6" s="1"/>
  <c r="D209" i="6"/>
  <c r="E208" i="6"/>
  <c r="G208" i="6" s="1"/>
  <c r="D208" i="6"/>
  <c r="E207" i="6"/>
  <c r="D207" i="6"/>
  <c r="F206" i="6"/>
  <c r="E206" i="6"/>
  <c r="G206" i="6" s="1"/>
  <c r="D206" i="6"/>
  <c r="E205" i="6"/>
  <c r="G205" i="6" s="1"/>
  <c r="D205" i="6"/>
  <c r="F205" i="6" s="1"/>
  <c r="E204" i="6"/>
  <c r="G204" i="6" s="1"/>
  <c r="D204" i="6"/>
  <c r="F204" i="6" s="1"/>
  <c r="F203" i="6"/>
  <c r="E203" i="6"/>
  <c r="D203" i="6"/>
  <c r="F202" i="6"/>
  <c r="E202" i="6"/>
  <c r="G202" i="6" s="1"/>
  <c r="D202" i="6"/>
  <c r="E201" i="6"/>
  <c r="G201" i="6" s="1"/>
  <c r="D201" i="6"/>
  <c r="E200" i="6"/>
  <c r="G200" i="6" s="1"/>
  <c r="D200" i="6"/>
  <c r="F200" i="6" s="1"/>
  <c r="F199" i="6"/>
  <c r="E199" i="6"/>
  <c r="D199" i="6"/>
  <c r="E198" i="6"/>
  <c r="G198" i="6" s="1"/>
  <c r="D198" i="6"/>
  <c r="F198" i="6" s="1"/>
  <c r="E197" i="6"/>
  <c r="D197" i="6"/>
  <c r="E196" i="6"/>
  <c r="G196" i="6" s="1"/>
  <c r="H196" i="6" s="1"/>
  <c r="D196" i="6"/>
  <c r="F196" i="6" s="1"/>
  <c r="E195" i="6"/>
  <c r="D195" i="6"/>
  <c r="F194" i="6"/>
  <c r="E194" i="6"/>
  <c r="D194" i="6"/>
  <c r="E193" i="6"/>
  <c r="G193" i="6" s="1"/>
  <c r="D193" i="6"/>
  <c r="F193" i="6" s="1"/>
  <c r="E192" i="6"/>
  <c r="G192" i="6" s="1"/>
  <c r="H192" i="6" s="1"/>
  <c r="D192" i="6"/>
  <c r="F192" i="6" s="1"/>
  <c r="E191" i="6"/>
  <c r="D191" i="6"/>
  <c r="E190" i="6"/>
  <c r="G190" i="6" s="1"/>
  <c r="D190" i="6"/>
  <c r="F190" i="6" s="1"/>
  <c r="H189" i="6"/>
  <c r="E189" i="6"/>
  <c r="D189" i="6"/>
  <c r="F189" i="6" s="1"/>
  <c r="E188" i="6"/>
  <c r="G188" i="6" s="1"/>
  <c r="D188" i="6"/>
  <c r="E187" i="6"/>
  <c r="D187" i="6"/>
  <c r="F186" i="6"/>
  <c r="E186" i="6"/>
  <c r="G186" i="6" s="1"/>
  <c r="D186" i="6"/>
  <c r="E185" i="6"/>
  <c r="G185" i="6" s="1"/>
  <c r="D185" i="6"/>
  <c r="F185" i="6" s="1"/>
  <c r="H185" i="6" s="1"/>
  <c r="E184" i="6"/>
  <c r="G184" i="6" s="1"/>
  <c r="D184" i="6"/>
  <c r="E183" i="6"/>
  <c r="D183" i="6"/>
  <c r="E182" i="6"/>
  <c r="G182" i="6" s="1"/>
  <c r="D182" i="6"/>
  <c r="F182" i="6" s="1"/>
  <c r="F181" i="6"/>
  <c r="E181" i="6"/>
  <c r="D181" i="6"/>
  <c r="E180" i="6"/>
  <c r="G180" i="6" s="1"/>
  <c r="D180" i="6"/>
  <c r="E179" i="6"/>
  <c r="D179" i="6"/>
  <c r="F178" i="6"/>
  <c r="E178" i="6"/>
  <c r="G178" i="6" s="1"/>
  <c r="D178" i="6"/>
  <c r="E177" i="6"/>
  <c r="G177" i="6" s="1"/>
  <c r="D177" i="6"/>
  <c r="E176" i="6"/>
  <c r="G176" i="6" s="1"/>
  <c r="D176" i="6"/>
  <c r="E175" i="6"/>
  <c r="D175" i="6"/>
  <c r="F174" i="6"/>
  <c r="E174" i="6"/>
  <c r="G174" i="6" s="1"/>
  <c r="D174" i="6"/>
  <c r="F173" i="6"/>
  <c r="E173" i="6"/>
  <c r="G173" i="6" s="1"/>
  <c r="D173" i="6"/>
  <c r="E172" i="6"/>
  <c r="G172" i="6" s="1"/>
  <c r="D172" i="6"/>
  <c r="F172" i="6" s="1"/>
  <c r="E171" i="6"/>
  <c r="D171" i="6"/>
  <c r="F171" i="6" s="1"/>
  <c r="H171" i="6" s="1"/>
  <c r="F170" i="6"/>
  <c r="E170" i="6"/>
  <c r="D170" i="6"/>
  <c r="E169" i="6"/>
  <c r="G169" i="6" s="1"/>
  <c r="D169" i="6"/>
  <c r="E168" i="6"/>
  <c r="G168" i="6" s="1"/>
  <c r="D168" i="6"/>
  <c r="F168" i="6" s="1"/>
  <c r="F167" i="6"/>
  <c r="E167" i="6"/>
  <c r="G167" i="6" s="1"/>
  <c r="D167" i="6"/>
  <c r="E166" i="6"/>
  <c r="G166" i="6" s="1"/>
  <c r="D166" i="6"/>
  <c r="F166" i="6" s="1"/>
  <c r="E165" i="6"/>
  <c r="D165" i="6"/>
  <c r="E164" i="6"/>
  <c r="G164" i="6" s="1"/>
  <c r="H164" i="6" s="1"/>
  <c r="D164" i="6"/>
  <c r="F164" i="6" s="1"/>
  <c r="E163" i="6"/>
  <c r="D163" i="6"/>
  <c r="F163" i="6" s="1"/>
  <c r="E162" i="6"/>
  <c r="D162" i="6"/>
  <c r="F162" i="6" s="1"/>
  <c r="E161" i="6"/>
  <c r="G161" i="6" s="1"/>
  <c r="D161" i="6"/>
  <c r="F161" i="6" s="1"/>
  <c r="E160" i="6"/>
  <c r="G160" i="6" s="1"/>
  <c r="H160" i="6" s="1"/>
  <c r="D160" i="6"/>
  <c r="F160" i="6" s="1"/>
  <c r="E159" i="6"/>
  <c r="G159" i="6" s="1"/>
  <c r="D159" i="6"/>
  <c r="E158" i="6"/>
  <c r="G158" i="6" s="1"/>
  <c r="D158" i="6"/>
  <c r="F158" i="6" s="1"/>
  <c r="E157" i="6"/>
  <c r="D157" i="6"/>
  <c r="F157" i="6" s="1"/>
  <c r="E156" i="6"/>
  <c r="G156" i="6" s="1"/>
  <c r="D156" i="6"/>
  <c r="E155" i="6"/>
  <c r="D155" i="6"/>
  <c r="F154" i="6"/>
  <c r="E154" i="6"/>
  <c r="G154" i="6" s="1"/>
  <c r="D154" i="6"/>
  <c r="E153" i="6"/>
  <c r="G153" i="6" s="1"/>
  <c r="D153" i="6"/>
  <c r="F153" i="6" s="1"/>
  <c r="E152" i="6"/>
  <c r="G152" i="6" s="1"/>
  <c r="D152" i="6"/>
  <c r="E151" i="6"/>
  <c r="D151" i="6"/>
  <c r="E150" i="6"/>
  <c r="G150" i="6" s="1"/>
  <c r="D150" i="6"/>
  <c r="F150" i="6" s="1"/>
  <c r="F149" i="6"/>
  <c r="E149" i="6"/>
  <c r="D149" i="6"/>
  <c r="E148" i="6"/>
  <c r="G148" i="6" s="1"/>
  <c r="D148" i="6"/>
  <c r="E147" i="6"/>
  <c r="D147" i="6"/>
  <c r="F146" i="6"/>
  <c r="E146" i="6"/>
  <c r="G146" i="6" s="1"/>
  <c r="D146" i="6"/>
  <c r="E145" i="6"/>
  <c r="G145" i="6" s="1"/>
  <c r="D145" i="6"/>
  <c r="E144" i="6"/>
  <c r="G144" i="6" s="1"/>
  <c r="D144" i="6"/>
  <c r="E143" i="6"/>
  <c r="D143" i="6"/>
  <c r="F142" i="6"/>
  <c r="E142" i="6"/>
  <c r="G142" i="6" s="1"/>
  <c r="D142" i="6"/>
  <c r="E141" i="6"/>
  <c r="G141" i="6" s="1"/>
  <c r="D141" i="6"/>
  <c r="E140" i="6"/>
  <c r="G140" i="6" s="1"/>
  <c r="D140" i="6"/>
  <c r="F140" i="6" s="1"/>
  <c r="F139" i="6"/>
  <c r="E139" i="6"/>
  <c r="D139" i="6"/>
  <c r="E138" i="6"/>
  <c r="G138" i="6" s="1"/>
  <c r="D138" i="6"/>
  <c r="F138" i="6" s="1"/>
  <c r="E137" i="6"/>
  <c r="G137" i="6" s="1"/>
  <c r="D137" i="6"/>
  <c r="E136" i="6"/>
  <c r="G136" i="6" s="1"/>
  <c r="D136" i="6"/>
  <c r="F136" i="6" s="1"/>
  <c r="E135" i="6"/>
  <c r="D135" i="6"/>
  <c r="F135" i="6" s="1"/>
  <c r="F134" i="6"/>
  <c r="E134" i="6"/>
  <c r="G134" i="6" s="1"/>
  <c r="D134" i="6"/>
  <c r="E133" i="6"/>
  <c r="D133" i="6"/>
  <c r="E132" i="6"/>
  <c r="G132" i="6" s="1"/>
  <c r="D132" i="6"/>
  <c r="F132" i="6" s="1"/>
  <c r="H132" i="6" s="1"/>
  <c r="E131" i="6"/>
  <c r="G131" i="6" s="1"/>
  <c r="D131" i="6"/>
  <c r="E130" i="6"/>
  <c r="D130" i="6"/>
  <c r="F130" i="6" s="1"/>
  <c r="E129" i="6"/>
  <c r="G129" i="6" s="1"/>
  <c r="D129" i="6"/>
  <c r="F129" i="6" s="1"/>
  <c r="E128" i="6"/>
  <c r="G128" i="6" s="1"/>
  <c r="D128" i="6"/>
  <c r="F128" i="6" s="1"/>
  <c r="E127" i="6"/>
  <c r="D127" i="6"/>
  <c r="E126" i="6"/>
  <c r="G126" i="6" s="1"/>
  <c r="D126" i="6"/>
  <c r="F126" i="6" s="1"/>
  <c r="E125" i="6"/>
  <c r="D125" i="6"/>
  <c r="F125" i="6" s="1"/>
  <c r="H125" i="6" s="1"/>
  <c r="E124" i="6"/>
  <c r="G124" i="6" s="1"/>
  <c r="D124" i="6"/>
  <c r="F124" i="6" s="1"/>
  <c r="H124" i="6" s="1"/>
  <c r="F123" i="6"/>
  <c r="E123" i="6"/>
  <c r="D123" i="6"/>
  <c r="E122" i="6"/>
  <c r="G122" i="6" s="1"/>
  <c r="D122" i="6"/>
  <c r="E121" i="6"/>
  <c r="G121" i="6" s="1"/>
  <c r="D121" i="6"/>
  <c r="E120" i="6"/>
  <c r="G120" i="6" s="1"/>
  <c r="D120" i="6"/>
  <c r="E119" i="6"/>
  <c r="D119" i="6"/>
  <c r="F119" i="6" s="1"/>
  <c r="E118" i="6"/>
  <c r="G118" i="6" s="1"/>
  <c r="D118" i="6"/>
  <c r="F118" i="6" s="1"/>
  <c r="H118" i="6" s="1"/>
  <c r="E117" i="6"/>
  <c r="D117" i="6"/>
  <c r="F117" i="6" s="1"/>
  <c r="F116" i="6"/>
  <c r="E116" i="6"/>
  <c r="G116" i="6" s="1"/>
  <c r="D116" i="6"/>
  <c r="E115" i="6"/>
  <c r="D115" i="6"/>
  <c r="F115" i="6" s="1"/>
  <c r="E114" i="6"/>
  <c r="D114" i="6"/>
  <c r="F113" i="6"/>
  <c r="E113" i="6"/>
  <c r="G113" i="6" s="1"/>
  <c r="D113" i="6"/>
  <c r="E112" i="6"/>
  <c r="G112" i="6" s="1"/>
  <c r="D112" i="6"/>
  <c r="E111" i="6"/>
  <c r="D111" i="6"/>
  <c r="F111" i="6" s="1"/>
  <c r="E110" i="6"/>
  <c r="G110" i="6" s="1"/>
  <c r="D110" i="6"/>
  <c r="F110" i="6" s="1"/>
  <c r="E109" i="6"/>
  <c r="G109" i="6" s="1"/>
  <c r="D109" i="6"/>
  <c r="F109" i="6" s="1"/>
  <c r="F108" i="6"/>
  <c r="H108" i="6" s="1"/>
  <c r="E108" i="6"/>
  <c r="G108" i="6" s="1"/>
  <c r="D108" i="6"/>
  <c r="E107" i="6"/>
  <c r="D107" i="6"/>
  <c r="F107" i="6" s="1"/>
  <c r="E106" i="6"/>
  <c r="D106" i="6"/>
  <c r="F105" i="6"/>
  <c r="E105" i="6"/>
  <c r="G105" i="6" s="1"/>
  <c r="D105" i="6"/>
  <c r="E104" i="6"/>
  <c r="G104" i="6" s="1"/>
  <c r="D104" i="6"/>
  <c r="E103" i="6"/>
  <c r="D103" i="6"/>
  <c r="F103" i="6" s="1"/>
  <c r="E102" i="6"/>
  <c r="D102" i="6"/>
  <c r="F102" i="6" s="1"/>
  <c r="E101" i="6"/>
  <c r="G101" i="6" s="1"/>
  <c r="D101" i="6"/>
  <c r="F101" i="6" s="1"/>
  <c r="F100" i="6"/>
  <c r="E100" i="6"/>
  <c r="G100" i="6" s="1"/>
  <c r="H100" i="6" s="1"/>
  <c r="D100" i="6"/>
  <c r="E99" i="6"/>
  <c r="D99" i="6"/>
  <c r="F99" i="6" s="1"/>
  <c r="E98" i="6"/>
  <c r="G98" i="6" s="1"/>
  <c r="D98" i="6"/>
  <c r="F98" i="6" s="1"/>
  <c r="F97" i="6"/>
  <c r="E97" i="6"/>
  <c r="G97" i="6" s="1"/>
  <c r="D97" i="6"/>
  <c r="F96" i="6"/>
  <c r="E96" i="6"/>
  <c r="G96" i="6" s="1"/>
  <c r="D96" i="6"/>
  <c r="E95" i="6"/>
  <c r="D95" i="6"/>
  <c r="F95" i="6" s="1"/>
  <c r="E94" i="6"/>
  <c r="G94" i="6" s="1"/>
  <c r="D94" i="6"/>
  <c r="F94" i="6" s="1"/>
  <c r="E93" i="6"/>
  <c r="D93" i="6"/>
  <c r="F93" i="6" s="1"/>
  <c r="H93" i="6" s="1"/>
  <c r="E92" i="6"/>
  <c r="G92" i="6" s="1"/>
  <c r="D92" i="6"/>
  <c r="F92" i="6" s="1"/>
  <c r="H92" i="6" s="1"/>
  <c r="H91" i="6"/>
  <c r="E91" i="6"/>
  <c r="D91" i="6"/>
  <c r="F91" i="6" s="1"/>
  <c r="E90" i="6"/>
  <c r="G90" i="6" s="1"/>
  <c r="D90" i="6"/>
  <c r="E89" i="6"/>
  <c r="G89" i="6" s="1"/>
  <c r="D89" i="6"/>
  <c r="E88" i="6"/>
  <c r="G88" i="6" s="1"/>
  <c r="D88" i="6"/>
  <c r="E87" i="6"/>
  <c r="D87" i="6"/>
  <c r="F87" i="6" s="1"/>
  <c r="E86" i="6"/>
  <c r="D86" i="6"/>
  <c r="F86" i="6" s="1"/>
  <c r="E85" i="6"/>
  <c r="G85" i="6" s="1"/>
  <c r="D85" i="6"/>
  <c r="F85" i="6" s="1"/>
  <c r="F84" i="6"/>
  <c r="E84" i="6"/>
  <c r="G84" i="6" s="1"/>
  <c r="D84" i="6"/>
  <c r="F83" i="6"/>
  <c r="H83" i="6" s="1"/>
  <c r="E83" i="6"/>
  <c r="D83" i="6"/>
  <c r="F82" i="6"/>
  <c r="E82" i="6"/>
  <c r="G82" i="6" s="1"/>
  <c r="D82" i="6"/>
  <c r="E81" i="6"/>
  <c r="G81" i="6" s="1"/>
  <c r="D81" i="6"/>
  <c r="F80" i="6"/>
  <c r="E80" i="6"/>
  <c r="G80" i="6" s="1"/>
  <c r="D80" i="6"/>
  <c r="E79" i="6"/>
  <c r="D79" i="6"/>
  <c r="F79" i="6" s="1"/>
  <c r="H79" i="6" s="1"/>
  <c r="E78" i="6"/>
  <c r="G78" i="6" s="1"/>
  <c r="H78" i="6" s="1"/>
  <c r="D78" i="6"/>
  <c r="F78" i="6" s="1"/>
  <c r="F77" i="6"/>
  <c r="H77" i="6" s="1"/>
  <c r="E77" i="6"/>
  <c r="D77" i="6"/>
  <c r="F76" i="6"/>
  <c r="E76" i="6"/>
  <c r="G76" i="6" s="1"/>
  <c r="D76" i="6"/>
  <c r="F75" i="6"/>
  <c r="E75" i="6"/>
  <c r="G75" i="6" s="1"/>
  <c r="D75" i="6"/>
  <c r="E74" i="6"/>
  <c r="G74" i="6" s="1"/>
  <c r="D74" i="6"/>
  <c r="F73" i="6"/>
  <c r="E73" i="6"/>
  <c r="G73" i="6" s="1"/>
  <c r="D73" i="6"/>
  <c r="F72" i="6"/>
  <c r="E72" i="6"/>
  <c r="D72" i="6"/>
  <c r="E71" i="6"/>
  <c r="D71" i="6"/>
  <c r="F71" i="6" s="1"/>
  <c r="F70" i="6"/>
  <c r="E70" i="6"/>
  <c r="G70" i="6" s="1"/>
  <c r="D70" i="6"/>
  <c r="E69" i="6"/>
  <c r="G69" i="6" s="1"/>
  <c r="D69" i="6"/>
  <c r="E68" i="6"/>
  <c r="G68" i="6" s="1"/>
  <c r="D68" i="6"/>
  <c r="F68" i="6" s="1"/>
  <c r="E67" i="6"/>
  <c r="D67" i="6"/>
  <c r="F67" i="6" s="1"/>
  <c r="E66" i="6"/>
  <c r="D66" i="6"/>
  <c r="F66" i="6" s="1"/>
  <c r="F65" i="6"/>
  <c r="E65" i="6"/>
  <c r="G65" i="6" s="1"/>
  <c r="D65" i="6"/>
  <c r="F64" i="6"/>
  <c r="E64" i="6"/>
  <c r="D64" i="6"/>
  <c r="E63" i="6"/>
  <c r="D63" i="6"/>
  <c r="F62" i="6"/>
  <c r="E62" i="6"/>
  <c r="G62" i="6" s="1"/>
  <c r="D62" i="6"/>
  <c r="E61" i="6"/>
  <c r="D61" i="6"/>
  <c r="E60" i="6"/>
  <c r="G60" i="6" s="1"/>
  <c r="D60" i="6"/>
  <c r="F60" i="6" s="1"/>
  <c r="E59" i="6"/>
  <c r="D59" i="6"/>
  <c r="F59" i="6" s="1"/>
  <c r="H59" i="6" s="1"/>
  <c r="E58" i="6"/>
  <c r="G58" i="6" s="1"/>
  <c r="H58" i="6" s="1"/>
  <c r="D58" i="6"/>
  <c r="F58" i="6" s="1"/>
  <c r="F57" i="6"/>
  <c r="E57" i="6"/>
  <c r="G57" i="6" s="1"/>
  <c r="D57" i="6"/>
  <c r="F56" i="6"/>
  <c r="E56" i="6"/>
  <c r="D56" i="6"/>
  <c r="E55" i="6"/>
  <c r="D55" i="6"/>
  <c r="F54" i="6"/>
  <c r="E54" i="6"/>
  <c r="G54" i="6" s="1"/>
  <c r="D54" i="6"/>
  <c r="E53" i="6"/>
  <c r="G53" i="6" s="1"/>
  <c r="D53" i="6"/>
  <c r="E52" i="6"/>
  <c r="G52" i="6" s="1"/>
  <c r="D52" i="6"/>
  <c r="F52" i="6" s="1"/>
  <c r="E51" i="6"/>
  <c r="D51" i="6"/>
  <c r="F51" i="6" s="1"/>
  <c r="E50" i="6"/>
  <c r="D50" i="6"/>
  <c r="F50" i="6" s="1"/>
  <c r="E49" i="6"/>
  <c r="G49" i="6" s="1"/>
  <c r="D49" i="6"/>
  <c r="F49" i="6" s="1"/>
  <c r="H49" i="6" s="1"/>
  <c r="F48" i="6"/>
  <c r="E48" i="6"/>
  <c r="G48" i="6" s="1"/>
  <c r="D48" i="6"/>
  <c r="E47" i="6"/>
  <c r="D47" i="6"/>
  <c r="F47" i="6" s="1"/>
  <c r="E46" i="6"/>
  <c r="G46" i="6" s="1"/>
  <c r="D46" i="6"/>
  <c r="F46" i="6" s="1"/>
  <c r="E45" i="6"/>
  <c r="D45" i="6"/>
  <c r="E44" i="6"/>
  <c r="G44" i="6" s="1"/>
  <c r="D44" i="6"/>
  <c r="F44" i="6" s="1"/>
  <c r="E43" i="6"/>
  <c r="D43" i="6"/>
  <c r="F43" i="6" s="1"/>
  <c r="H43" i="6" s="1"/>
  <c r="E42" i="6"/>
  <c r="G42" i="6" s="1"/>
  <c r="D42" i="6"/>
  <c r="F42" i="6" s="1"/>
  <c r="F41" i="6"/>
  <c r="H41" i="6" s="1"/>
  <c r="E41" i="6"/>
  <c r="G41" i="6" s="1"/>
  <c r="D41" i="6"/>
  <c r="F40" i="6"/>
  <c r="E40" i="6"/>
  <c r="G40" i="6" s="1"/>
  <c r="D40" i="6"/>
  <c r="E39" i="6"/>
  <c r="G39" i="6" s="1"/>
  <c r="D39" i="6"/>
  <c r="F39" i="6" s="1"/>
  <c r="F38" i="6"/>
  <c r="E38" i="6"/>
  <c r="G38" i="6" s="1"/>
  <c r="D38" i="6"/>
  <c r="E37" i="6"/>
  <c r="G37" i="6" s="1"/>
  <c r="D37" i="6"/>
  <c r="E36" i="6"/>
  <c r="G36" i="6" s="1"/>
  <c r="D36" i="6"/>
  <c r="F36" i="6" s="1"/>
  <c r="E35" i="6"/>
  <c r="D35" i="6"/>
  <c r="F35" i="6" s="1"/>
  <c r="H35" i="6" s="1"/>
  <c r="E34" i="6"/>
  <c r="G34" i="6" s="1"/>
  <c r="D34" i="6"/>
  <c r="F34" i="6" s="1"/>
  <c r="H34" i="6" s="1"/>
  <c r="E33" i="6"/>
  <c r="G33" i="6" s="1"/>
  <c r="D33" i="6"/>
  <c r="F33" i="6" s="1"/>
  <c r="F32" i="6"/>
  <c r="E32" i="6"/>
  <c r="G32" i="6" s="1"/>
  <c r="D32" i="6"/>
  <c r="E31" i="6"/>
  <c r="D31" i="6"/>
  <c r="E30" i="6"/>
  <c r="G30" i="6" s="1"/>
  <c r="D30" i="6"/>
  <c r="F30" i="6" s="1"/>
  <c r="E29" i="6"/>
  <c r="G29" i="6" s="1"/>
  <c r="D29" i="6"/>
  <c r="E28" i="6"/>
  <c r="G28" i="6" s="1"/>
  <c r="D28" i="6"/>
  <c r="F28" i="6" s="1"/>
  <c r="E27" i="6"/>
  <c r="G27" i="6" s="1"/>
  <c r="D27" i="6"/>
  <c r="F27" i="6" s="1"/>
  <c r="E26" i="6"/>
  <c r="D26" i="6"/>
  <c r="F26" i="6" s="1"/>
  <c r="E25" i="6"/>
  <c r="G25" i="6" s="1"/>
  <c r="D25" i="6"/>
  <c r="F25" i="6" s="1"/>
  <c r="F24" i="6"/>
  <c r="E24" i="6"/>
  <c r="G24" i="6" s="1"/>
  <c r="D24" i="6"/>
  <c r="E23" i="6"/>
  <c r="D23" i="6"/>
  <c r="F23" i="6" s="1"/>
  <c r="E22" i="6"/>
  <c r="G22" i="6" s="1"/>
  <c r="D22" i="6"/>
  <c r="F22" i="6" s="1"/>
  <c r="E21" i="6"/>
  <c r="G21" i="6" s="1"/>
  <c r="D21" i="6"/>
  <c r="E20" i="6"/>
  <c r="G20" i="6" s="1"/>
  <c r="D20" i="6"/>
  <c r="F20" i="6" s="1"/>
  <c r="E19" i="6"/>
  <c r="D19" i="6"/>
  <c r="F19" i="6" s="1"/>
  <c r="E18" i="6"/>
  <c r="G18" i="6" s="1"/>
  <c r="D18" i="6"/>
  <c r="F18" i="6" s="1"/>
  <c r="E17" i="6"/>
  <c r="G17" i="6" s="1"/>
  <c r="D17" i="6"/>
  <c r="F17" i="6" s="1"/>
  <c r="F16" i="6"/>
  <c r="E16" i="6"/>
  <c r="G16" i="6" s="1"/>
  <c r="D16" i="6"/>
  <c r="E15" i="6"/>
  <c r="D15" i="6"/>
  <c r="F15" i="6" s="1"/>
  <c r="E14" i="6"/>
  <c r="G14" i="6" s="1"/>
  <c r="D14" i="6"/>
  <c r="F14" i="6" s="1"/>
  <c r="E13" i="6"/>
  <c r="G13" i="6" s="1"/>
  <c r="D13" i="6"/>
  <c r="E12" i="6"/>
  <c r="G12" i="6" s="1"/>
  <c r="D12" i="6"/>
  <c r="F12" i="6" s="1"/>
  <c r="E11" i="6"/>
  <c r="G11" i="6" s="1"/>
  <c r="D11" i="6"/>
  <c r="F11" i="6" s="1"/>
  <c r="E10" i="6"/>
  <c r="D10" i="6"/>
  <c r="F10" i="6" s="1"/>
  <c r="E9" i="6"/>
  <c r="G9" i="6" s="1"/>
  <c r="D9" i="6"/>
  <c r="F9" i="6" s="1"/>
  <c r="E8" i="6"/>
  <c r="G8" i="6" s="1"/>
  <c r="D8" i="6"/>
  <c r="F8" i="6" s="1"/>
  <c r="E7" i="6"/>
  <c r="G7" i="6" s="1"/>
  <c r="D7" i="6"/>
  <c r="F7" i="6" s="1"/>
  <c r="E6" i="6"/>
  <c r="G6" i="6" s="1"/>
  <c r="D6" i="6"/>
  <c r="F6" i="6" s="1"/>
  <c r="E5" i="6"/>
  <c r="G5" i="6" s="1"/>
  <c r="D5" i="6"/>
  <c r="E4" i="6"/>
  <c r="G4" i="6" s="1"/>
  <c r="D4" i="6"/>
  <c r="F4" i="6" s="1"/>
  <c r="E3" i="6"/>
  <c r="D3" i="6"/>
  <c r="F3" i="6" s="1"/>
  <c r="E2" i="6"/>
  <c r="D2" i="6"/>
  <c r="F2" i="6" s="1"/>
  <c r="H65" i="2"/>
  <c r="H81" i="2"/>
  <c r="H193" i="2"/>
  <c r="H209" i="2"/>
  <c r="H262" i="2"/>
  <c r="G19" i="2"/>
  <c r="G20" i="2"/>
  <c r="F25" i="2"/>
  <c r="H25" i="2" s="1"/>
  <c r="G25" i="2"/>
  <c r="G38" i="2"/>
  <c r="G39" i="2"/>
  <c r="G53" i="2"/>
  <c r="G67" i="2"/>
  <c r="G68" i="2"/>
  <c r="G74" i="2"/>
  <c r="G79" i="2"/>
  <c r="F83" i="2"/>
  <c r="H83" i="2" s="1"/>
  <c r="G83" i="2"/>
  <c r="G87" i="2"/>
  <c r="G93" i="2"/>
  <c r="G99" i="2"/>
  <c r="G101" i="2"/>
  <c r="G111" i="2"/>
  <c r="F112" i="2"/>
  <c r="G112" i="2"/>
  <c r="H112" i="2" s="1"/>
  <c r="G113" i="2"/>
  <c r="G118" i="2"/>
  <c r="G130" i="2"/>
  <c r="F131" i="2"/>
  <c r="H131" i="2" s="1"/>
  <c r="G131" i="2"/>
  <c r="G135" i="2"/>
  <c r="G143" i="2"/>
  <c r="F144" i="2"/>
  <c r="G147" i="2"/>
  <c r="G156" i="2"/>
  <c r="G159" i="2"/>
  <c r="G167" i="2"/>
  <c r="F168" i="2"/>
  <c r="F171" i="2"/>
  <c r="H171" i="2" s="1"/>
  <c r="G171" i="2"/>
  <c r="F172" i="2"/>
  <c r="G179" i="2"/>
  <c r="G183" i="2"/>
  <c r="F184" i="2"/>
  <c r="F188" i="2"/>
  <c r="H188" i="2" s="1"/>
  <c r="G188" i="2"/>
  <c r="G195" i="2"/>
  <c r="F200" i="2"/>
  <c r="F203" i="2"/>
  <c r="G203" i="2"/>
  <c r="F204" i="2"/>
  <c r="G204" i="2"/>
  <c r="G215" i="2"/>
  <c r="F216" i="2"/>
  <c r="F219" i="2"/>
  <c r="G219" i="2"/>
  <c r="G227" i="2"/>
  <c r="G231" i="2"/>
  <c r="G235" i="2"/>
  <c r="F236" i="2"/>
  <c r="G236" i="2"/>
  <c r="G243" i="2"/>
  <c r="G247" i="2"/>
  <c r="G251" i="2"/>
  <c r="G254" i="2"/>
  <c r="G259" i="2"/>
  <c r="F262" i="2"/>
  <c r="G262" i="2"/>
  <c r="D3" i="2"/>
  <c r="E3" i="2"/>
  <c r="D4" i="2"/>
  <c r="E4" i="2"/>
  <c r="D5" i="2"/>
  <c r="E5" i="2"/>
  <c r="D6" i="2"/>
  <c r="E6" i="2"/>
  <c r="D7" i="2"/>
  <c r="E7" i="2"/>
  <c r="D8" i="2"/>
  <c r="F8" i="2" s="1"/>
  <c r="E8" i="2"/>
  <c r="D9" i="2"/>
  <c r="F9" i="2" s="1"/>
  <c r="H9" i="2" s="1"/>
  <c r="E9" i="2"/>
  <c r="G9" i="2" s="1"/>
  <c r="D10" i="2"/>
  <c r="E10" i="2"/>
  <c r="D11" i="2"/>
  <c r="E11" i="2"/>
  <c r="D12" i="2"/>
  <c r="E12" i="2"/>
  <c r="D13" i="2"/>
  <c r="E13" i="2"/>
  <c r="D14" i="2"/>
  <c r="E14" i="2"/>
  <c r="G14" i="2" s="1"/>
  <c r="D15" i="2"/>
  <c r="F15" i="2" s="1"/>
  <c r="E15" i="2"/>
  <c r="D16" i="2"/>
  <c r="E16" i="2"/>
  <c r="D17" i="2"/>
  <c r="F17" i="2" s="1"/>
  <c r="E17" i="2"/>
  <c r="D18" i="2"/>
  <c r="E18" i="2"/>
  <c r="D19" i="2"/>
  <c r="E19" i="2"/>
  <c r="D20" i="2"/>
  <c r="E20" i="2"/>
  <c r="D21" i="2"/>
  <c r="E21" i="2"/>
  <c r="D22" i="2"/>
  <c r="F22" i="2" s="1"/>
  <c r="E22" i="2"/>
  <c r="G22" i="2" s="1"/>
  <c r="D23" i="2"/>
  <c r="E23" i="2"/>
  <c r="D24" i="2"/>
  <c r="F24" i="2" s="1"/>
  <c r="E24" i="2"/>
  <c r="D25" i="2"/>
  <c r="E25" i="2"/>
  <c r="D26" i="2"/>
  <c r="E26" i="2"/>
  <c r="D27" i="2"/>
  <c r="E27" i="2"/>
  <c r="D28" i="2"/>
  <c r="E28" i="2"/>
  <c r="D29" i="2"/>
  <c r="E29" i="2"/>
  <c r="G29" i="2" s="1"/>
  <c r="D30" i="2"/>
  <c r="F30" i="2" s="1"/>
  <c r="E30" i="2"/>
  <c r="D31" i="2"/>
  <c r="E31" i="2"/>
  <c r="D32" i="2"/>
  <c r="E32" i="2"/>
  <c r="D33" i="2"/>
  <c r="E33" i="2"/>
  <c r="D34" i="2"/>
  <c r="E34" i="2"/>
  <c r="D35" i="2"/>
  <c r="E35" i="2"/>
  <c r="D36" i="2"/>
  <c r="F36" i="2" s="1"/>
  <c r="E36" i="2"/>
  <c r="D37" i="2"/>
  <c r="F37" i="2" s="1"/>
  <c r="E37" i="2"/>
  <c r="D38" i="2"/>
  <c r="F38" i="2" s="1"/>
  <c r="E38" i="2"/>
  <c r="D39" i="2"/>
  <c r="E39" i="2"/>
  <c r="D40" i="2"/>
  <c r="E40" i="2"/>
  <c r="D41" i="2"/>
  <c r="E41" i="2"/>
  <c r="D42" i="2"/>
  <c r="E42" i="2"/>
  <c r="D43" i="2"/>
  <c r="F43" i="2" s="1"/>
  <c r="E43" i="2"/>
  <c r="D44" i="2"/>
  <c r="F44" i="2" s="1"/>
  <c r="E44" i="2"/>
  <c r="D45" i="2"/>
  <c r="E45" i="2"/>
  <c r="G45" i="2" s="1"/>
  <c r="D46" i="2"/>
  <c r="E46" i="2"/>
  <c r="D47" i="2"/>
  <c r="E47" i="2"/>
  <c r="D48" i="2"/>
  <c r="E48" i="2"/>
  <c r="D49" i="2"/>
  <c r="E49" i="2"/>
  <c r="D50" i="2"/>
  <c r="E50" i="2"/>
  <c r="G50" i="2" s="1"/>
  <c r="D51" i="2"/>
  <c r="F51" i="2" s="1"/>
  <c r="E51" i="2"/>
  <c r="D52" i="2"/>
  <c r="F52" i="2" s="1"/>
  <c r="E52" i="2"/>
  <c r="D53" i="2"/>
  <c r="E53" i="2"/>
  <c r="D54" i="2"/>
  <c r="E54" i="2"/>
  <c r="D55" i="2"/>
  <c r="E55" i="2"/>
  <c r="D56" i="2"/>
  <c r="E56" i="2"/>
  <c r="D57" i="2"/>
  <c r="E57" i="2"/>
  <c r="G57" i="2" s="1"/>
  <c r="D58" i="2"/>
  <c r="F58" i="2" s="1"/>
  <c r="E58" i="2"/>
  <c r="D59" i="2"/>
  <c r="F59" i="2" s="1"/>
  <c r="E59" i="2"/>
  <c r="D60" i="2"/>
  <c r="F60" i="2" s="1"/>
  <c r="E60" i="2"/>
  <c r="D61" i="2"/>
  <c r="E61" i="2"/>
  <c r="D62" i="2"/>
  <c r="E62" i="2"/>
  <c r="D63" i="2"/>
  <c r="E63" i="2"/>
  <c r="D64" i="2"/>
  <c r="E64" i="2"/>
  <c r="D65" i="2"/>
  <c r="F65" i="2" s="1"/>
  <c r="E65" i="2"/>
  <c r="G65" i="2" s="1"/>
  <c r="D66" i="2"/>
  <c r="E66" i="2"/>
  <c r="G66" i="2" s="1"/>
  <c r="D67" i="2"/>
  <c r="F67" i="2" s="1"/>
  <c r="H67" i="2" s="1"/>
  <c r="E67" i="2"/>
  <c r="D68" i="2"/>
  <c r="E68" i="2"/>
  <c r="D69" i="2"/>
  <c r="E69" i="2"/>
  <c r="D70" i="2"/>
  <c r="E70" i="2"/>
  <c r="D71" i="2"/>
  <c r="E71" i="2"/>
  <c r="D72" i="2"/>
  <c r="F72" i="2" s="1"/>
  <c r="E72" i="2"/>
  <c r="D73" i="2"/>
  <c r="F73" i="2" s="1"/>
  <c r="E73" i="2"/>
  <c r="D74" i="2"/>
  <c r="F74" i="2" s="1"/>
  <c r="H74" i="2" s="1"/>
  <c r="E74" i="2"/>
  <c r="D75" i="2"/>
  <c r="E75" i="2"/>
  <c r="D76" i="2"/>
  <c r="E76" i="2"/>
  <c r="D77" i="2"/>
  <c r="E77" i="2"/>
  <c r="D78" i="2"/>
  <c r="E78" i="2"/>
  <c r="G78" i="2" s="1"/>
  <c r="D79" i="2"/>
  <c r="F79" i="2" s="1"/>
  <c r="H79" i="2" s="1"/>
  <c r="E79" i="2"/>
  <c r="D80" i="2"/>
  <c r="E80" i="2"/>
  <c r="D81" i="2"/>
  <c r="F81" i="2" s="1"/>
  <c r="E81" i="2"/>
  <c r="G81" i="2" s="1"/>
  <c r="D82" i="2"/>
  <c r="E82" i="2"/>
  <c r="D83" i="2"/>
  <c r="E83" i="2"/>
  <c r="D84" i="2"/>
  <c r="E84" i="2"/>
  <c r="D85" i="2"/>
  <c r="E85" i="2"/>
  <c r="D86" i="2"/>
  <c r="F86" i="2" s="1"/>
  <c r="E86" i="2"/>
  <c r="D87" i="2"/>
  <c r="E87" i="2"/>
  <c r="D88" i="2"/>
  <c r="F88" i="2" s="1"/>
  <c r="E88" i="2"/>
  <c r="D89" i="2"/>
  <c r="F89" i="2" s="1"/>
  <c r="E89" i="2"/>
  <c r="D90" i="2"/>
  <c r="E90" i="2"/>
  <c r="D91" i="2"/>
  <c r="E91" i="2"/>
  <c r="D92" i="2"/>
  <c r="E92" i="2"/>
  <c r="D93" i="2"/>
  <c r="E93" i="2"/>
  <c r="D94" i="2"/>
  <c r="F94" i="2" s="1"/>
  <c r="E94" i="2"/>
  <c r="G94" i="2" s="1"/>
  <c r="H94" i="2" s="1"/>
  <c r="D95" i="2"/>
  <c r="F95" i="2" s="1"/>
  <c r="E95" i="2"/>
  <c r="D96" i="2"/>
  <c r="E96" i="2"/>
  <c r="D97" i="2"/>
  <c r="E97" i="2"/>
  <c r="D98" i="2"/>
  <c r="E98" i="2"/>
  <c r="D99" i="2"/>
  <c r="E99" i="2"/>
  <c r="D100" i="2"/>
  <c r="F100" i="2" s="1"/>
  <c r="E100" i="2"/>
  <c r="D101" i="2"/>
  <c r="F101" i="2" s="1"/>
  <c r="E101" i="2"/>
  <c r="D102" i="2"/>
  <c r="F102" i="2" s="1"/>
  <c r="H102" i="2" s="1"/>
  <c r="E102" i="2"/>
  <c r="G102" i="2" s="1"/>
  <c r="D103" i="2"/>
  <c r="E103" i="2"/>
  <c r="D104" i="2"/>
  <c r="E104" i="2"/>
  <c r="D105" i="2"/>
  <c r="E105" i="2"/>
  <c r="D106" i="2"/>
  <c r="E106" i="2"/>
  <c r="D107" i="2"/>
  <c r="F107" i="2" s="1"/>
  <c r="E107" i="2"/>
  <c r="D108" i="2"/>
  <c r="F108" i="2" s="1"/>
  <c r="E108" i="2"/>
  <c r="D109" i="2"/>
  <c r="E109" i="2"/>
  <c r="D110" i="2"/>
  <c r="F110" i="2" s="1"/>
  <c r="E110" i="2"/>
  <c r="D111" i="2"/>
  <c r="E111" i="2"/>
  <c r="D112" i="2"/>
  <c r="E112" i="2"/>
  <c r="D113" i="2"/>
  <c r="E113" i="2"/>
  <c r="D114" i="2"/>
  <c r="E114" i="2"/>
  <c r="D115" i="2"/>
  <c r="E115" i="2"/>
  <c r="D116" i="2"/>
  <c r="F116" i="2" s="1"/>
  <c r="E116" i="2"/>
  <c r="D117" i="2"/>
  <c r="F117" i="2" s="1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F124" i="2" s="1"/>
  <c r="E124" i="2"/>
  <c r="D125" i="2"/>
  <c r="E125" i="2"/>
  <c r="D126" i="2"/>
  <c r="E126" i="2"/>
  <c r="D127" i="2"/>
  <c r="E127" i="2"/>
  <c r="D128" i="2"/>
  <c r="E128" i="2"/>
  <c r="D129" i="2"/>
  <c r="F129" i="2" s="1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F137" i="2" s="1"/>
  <c r="H137" i="2" s="1"/>
  <c r="E137" i="2"/>
  <c r="G137" i="2" s="1"/>
  <c r="D138" i="2"/>
  <c r="F138" i="2" s="1"/>
  <c r="E138" i="2"/>
  <c r="D139" i="2"/>
  <c r="E139" i="2"/>
  <c r="D140" i="2"/>
  <c r="E140" i="2"/>
  <c r="D141" i="2"/>
  <c r="E141" i="2"/>
  <c r="D142" i="2"/>
  <c r="E142" i="2"/>
  <c r="G142" i="2" s="1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G150" i="2" s="1"/>
  <c r="D151" i="2"/>
  <c r="E151" i="2"/>
  <c r="D152" i="2"/>
  <c r="F152" i="2" s="1"/>
  <c r="E152" i="2"/>
  <c r="D153" i="2"/>
  <c r="F153" i="2" s="1"/>
  <c r="E153" i="2"/>
  <c r="D154" i="2"/>
  <c r="E154" i="2"/>
  <c r="D155" i="2"/>
  <c r="E155" i="2"/>
  <c r="D156" i="2"/>
  <c r="E156" i="2"/>
  <c r="D157" i="2"/>
  <c r="E157" i="2"/>
  <c r="G157" i="2" s="1"/>
  <c r="D158" i="2"/>
  <c r="F158" i="2" s="1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F165" i="2" s="1"/>
  <c r="E165" i="2"/>
  <c r="D166" i="2"/>
  <c r="F166" i="2" s="1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G173" i="2" s="1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F180" i="2" s="1"/>
  <c r="E180" i="2"/>
  <c r="D181" i="2"/>
  <c r="F181" i="2" s="1"/>
  <c r="E181" i="2"/>
  <c r="D182" i="2"/>
  <c r="E182" i="2"/>
  <c r="D183" i="2"/>
  <c r="E183" i="2"/>
  <c r="D184" i="2"/>
  <c r="E184" i="2"/>
  <c r="D185" i="2"/>
  <c r="E185" i="2"/>
  <c r="G185" i="2" s="1"/>
  <c r="D186" i="2"/>
  <c r="F186" i="2" s="1"/>
  <c r="E186" i="2"/>
  <c r="D187" i="2"/>
  <c r="F187" i="2" s="1"/>
  <c r="E187" i="2"/>
  <c r="D188" i="2"/>
  <c r="E188" i="2"/>
  <c r="D189" i="2"/>
  <c r="E189" i="2"/>
  <c r="D190" i="2"/>
  <c r="E190" i="2"/>
  <c r="D191" i="2"/>
  <c r="E191" i="2"/>
  <c r="D192" i="2"/>
  <c r="E192" i="2"/>
  <c r="D193" i="2"/>
  <c r="F193" i="2" s="1"/>
  <c r="E193" i="2"/>
  <c r="G193" i="2" s="1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F201" i="2" s="1"/>
  <c r="H201" i="2" s="1"/>
  <c r="E201" i="2"/>
  <c r="G201" i="2" s="1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F209" i="2" s="1"/>
  <c r="E209" i="2"/>
  <c r="G209" i="2" s="1"/>
  <c r="D210" i="2"/>
  <c r="E210" i="2"/>
  <c r="D211" i="2"/>
  <c r="E211" i="2"/>
  <c r="D212" i="2"/>
  <c r="E212" i="2"/>
  <c r="D213" i="2"/>
  <c r="E213" i="2"/>
  <c r="D214" i="2"/>
  <c r="F214" i="2" s="1"/>
  <c r="E214" i="2"/>
  <c r="D215" i="2"/>
  <c r="E215" i="2"/>
  <c r="D216" i="2"/>
  <c r="E216" i="2"/>
  <c r="D217" i="2"/>
  <c r="F217" i="2" s="1"/>
  <c r="E217" i="2"/>
  <c r="D218" i="2"/>
  <c r="E218" i="2"/>
  <c r="D219" i="2"/>
  <c r="E219" i="2"/>
  <c r="D220" i="2"/>
  <c r="E220" i="2"/>
  <c r="D221" i="2"/>
  <c r="E221" i="2"/>
  <c r="G221" i="2" s="1"/>
  <c r="D222" i="2"/>
  <c r="F222" i="2" s="1"/>
  <c r="E222" i="2"/>
  <c r="G222" i="2" s="1"/>
  <c r="H222" i="2" s="1"/>
  <c r="D223" i="2"/>
  <c r="F223" i="2" s="1"/>
  <c r="E223" i="2"/>
  <c r="D224" i="2"/>
  <c r="E224" i="2"/>
  <c r="D225" i="2"/>
  <c r="E225" i="2"/>
  <c r="D226" i="2"/>
  <c r="E226" i="2"/>
  <c r="D227" i="2"/>
  <c r="E227" i="2"/>
  <c r="D228" i="2"/>
  <c r="F228" i="2" s="1"/>
  <c r="E228" i="2"/>
  <c r="D229" i="2"/>
  <c r="F229" i="2" s="1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G237" i="2" s="1"/>
  <c r="D238" i="2"/>
  <c r="F238" i="2" s="1"/>
  <c r="E238" i="2"/>
  <c r="D239" i="2"/>
  <c r="E239" i="2"/>
  <c r="D240" i="2"/>
  <c r="E240" i="2"/>
  <c r="D241" i="2"/>
  <c r="E241" i="2"/>
  <c r="D242" i="2"/>
  <c r="E242" i="2"/>
  <c r="D243" i="2"/>
  <c r="E243" i="2"/>
  <c r="D244" i="2"/>
  <c r="F244" i="2" s="1"/>
  <c r="E244" i="2"/>
  <c r="D245" i="2"/>
  <c r="F245" i="2" s="1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F252" i="2" s="1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G258" i="2" s="1"/>
  <c r="D259" i="2"/>
  <c r="F259" i="2" s="1"/>
  <c r="H259" i="2" s="1"/>
  <c r="E259" i="2"/>
  <c r="D260" i="2"/>
  <c r="E260" i="2"/>
  <c r="D261" i="2"/>
  <c r="E261" i="2"/>
  <c r="E2" i="2"/>
  <c r="G9" i="1"/>
  <c r="H9" i="1" s="1"/>
  <c r="G8" i="1"/>
  <c r="G5" i="1"/>
  <c r="H5" i="1" s="1"/>
  <c r="H4" i="1"/>
  <c r="G72" i="6" l="1"/>
  <c r="H72" i="6" s="1"/>
  <c r="H42" i="6"/>
  <c r="G56" i="6"/>
  <c r="H56" i="6" s="1"/>
  <c r="H99" i="6"/>
  <c r="H199" i="6"/>
  <c r="H67" i="6"/>
  <c r="H23" i="6"/>
  <c r="G64" i="6"/>
  <c r="H64" i="6" s="1"/>
  <c r="H203" i="6"/>
  <c r="H249" i="6"/>
  <c r="H51" i="6"/>
  <c r="H115" i="6"/>
  <c r="H84" i="6"/>
  <c r="H18" i="6"/>
  <c r="H76" i="6"/>
  <c r="G86" i="6"/>
  <c r="H86" i="6" s="1"/>
  <c r="H235" i="6"/>
  <c r="H2" i="6"/>
  <c r="H47" i="6"/>
  <c r="H50" i="6"/>
  <c r="H60" i="6"/>
  <c r="H225" i="6"/>
  <c r="H28" i="6"/>
  <c r="H66" i="6"/>
  <c r="H26" i="6"/>
  <c r="H10" i="6"/>
  <c r="H3" i="6"/>
  <c r="H19" i="6"/>
  <c r="H109" i="6"/>
  <c r="H262" i="6"/>
  <c r="H20" i="6"/>
  <c r="H39" i="6"/>
  <c r="H85" i="6"/>
  <c r="H95" i="6"/>
  <c r="H116" i="6"/>
  <c r="H139" i="6"/>
  <c r="H172" i="6"/>
  <c r="H238" i="6"/>
  <c r="G102" i="6"/>
  <c r="H102" i="6" s="1"/>
  <c r="H52" i="6"/>
  <c r="H140" i="6"/>
  <c r="H204" i="6"/>
  <c r="H157" i="6"/>
  <c r="H117" i="6"/>
  <c r="H8" i="6"/>
  <c r="H11" i="6"/>
  <c r="H27" i="6"/>
  <c r="H236" i="6"/>
  <c r="H253" i="6"/>
  <c r="H33" i="6"/>
  <c r="H25" i="6"/>
  <c r="H48" i="6"/>
  <c r="H242" i="6"/>
  <c r="H15" i="6"/>
  <c r="H217" i="6"/>
  <c r="H223" i="6"/>
  <c r="H7" i="6"/>
  <c r="H9" i="6"/>
  <c r="H32" i="6"/>
  <c r="H71" i="6"/>
  <c r="H94" i="6"/>
  <c r="H119" i="6"/>
  <c r="H161" i="6"/>
  <c r="H210" i="6"/>
  <c r="H65" i="6"/>
  <c r="H105" i="6"/>
  <c r="H126" i="6"/>
  <c r="H129" i="6"/>
  <c r="H135" i="6"/>
  <c r="H167" i="6"/>
  <c r="H17" i="6"/>
  <c r="H87" i="6"/>
  <c r="H16" i="6"/>
  <c r="H57" i="6"/>
  <c r="H101" i="6"/>
  <c r="H110" i="6"/>
  <c r="H153" i="6"/>
  <c r="H193" i="6"/>
  <c r="H4" i="6"/>
  <c r="H36" i="6"/>
  <c r="H68" i="6"/>
  <c r="H6" i="6"/>
  <c r="H12" i="6"/>
  <c r="H44" i="6"/>
  <c r="H245" i="6"/>
  <c r="H181" i="6"/>
  <c r="H75" i="6"/>
  <c r="H54" i="6"/>
  <c r="H98" i="6"/>
  <c r="H24" i="6"/>
  <c r="F31" i="6"/>
  <c r="H31" i="6" s="1"/>
  <c r="H40" i="6"/>
  <c r="F55" i="6"/>
  <c r="H55" i="6" s="1"/>
  <c r="F63" i="6"/>
  <c r="H63" i="6" s="1"/>
  <c r="F90" i="6"/>
  <c r="H90" i="6" s="1"/>
  <c r="H113" i="6"/>
  <c r="F121" i="6"/>
  <c r="H121" i="6" s="1"/>
  <c r="F133" i="6"/>
  <c r="H133" i="6" s="1"/>
  <c r="F148" i="6"/>
  <c r="F248" i="6"/>
  <c r="F152" i="6"/>
  <c r="F208" i="6"/>
  <c r="F219" i="6"/>
  <c r="H219" i="6" s="1"/>
  <c r="F13" i="6"/>
  <c r="H13" i="6" s="1"/>
  <c r="F21" i="6"/>
  <c r="H21" i="6" s="1"/>
  <c r="H38" i="6"/>
  <c r="F45" i="6"/>
  <c r="H45" i="6" s="1"/>
  <c r="H62" i="6"/>
  <c r="F69" i="6"/>
  <c r="H69" i="6" s="1"/>
  <c r="H123" i="6"/>
  <c r="F197" i="6"/>
  <c r="H197" i="6" s="1"/>
  <c r="H206" i="6"/>
  <c r="F252" i="6"/>
  <c r="F255" i="6"/>
  <c r="H255" i="6" s="1"/>
  <c r="H261" i="6"/>
  <c r="F74" i="6"/>
  <c r="H74" i="6" s="1"/>
  <c r="F81" i="6"/>
  <c r="H81" i="6" s="1"/>
  <c r="F112" i="6"/>
  <c r="H112" i="6" s="1"/>
  <c r="F114" i="6"/>
  <c r="H128" i="6"/>
  <c r="H130" i="6"/>
  <c r="F145" i="6"/>
  <c r="H149" i="6"/>
  <c r="F156" i="6"/>
  <c r="H156" i="6" s="1"/>
  <c r="F159" i="6"/>
  <c r="H159" i="6" s="1"/>
  <c r="H170" i="6"/>
  <c r="F201" i="6"/>
  <c r="F216" i="6"/>
  <c r="H216" i="6" s="1"/>
  <c r="F237" i="6"/>
  <c r="H82" i="6"/>
  <c r="F127" i="6"/>
  <c r="H127" i="6" s="1"/>
  <c r="F131" i="6"/>
  <c r="H131" i="6" s="1"/>
  <c r="H162" i="6"/>
  <c r="F177" i="6"/>
  <c r="F188" i="6"/>
  <c r="H188" i="6" s="1"/>
  <c r="F191" i="6"/>
  <c r="H191" i="6" s="1"/>
  <c r="F233" i="6"/>
  <c r="F137" i="6"/>
  <c r="H137" i="6" s="1"/>
  <c r="H166" i="6"/>
  <c r="H173" i="6"/>
  <c r="H14" i="6"/>
  <c r="H22" i="6"/>
  <c r="H30" i="6"/>
  <c r="F37" i="6"/>
  <c r="H37" i="6" s="1"/>
  <c r="F53" i="6"/>
  <c r="H53" i="6" s="1"/>
  <c r="F61" i="6"/>
  <c r="H61" i="6" s="1"/>
  <c r="H70" i="6"/>
  <c r="F104" i="6"/>
  <c r="H104" i="6" s="1"/>
  <c r="F183" i="6"/>
  <c r="H183" i="6" s="1"/>
  <c r="F195" i="6"/>
  <c r="H195" i="6" s="1"/>
  <c r="F212" i="6"/>
  <c r="H224" i="6"/>
  <c r="F241" i="6"/>
  <c r="H241" i="6" s="1"/>
  <c r="F89" i="6"/>
  <c r="H89" i="6" s="1"/>
  <c r="H103" i="6"/>
  <c r="F120" i="6"/>
  <c r="H120" i="6" s="1"/>
  <c r="F122" i="6"/>
  <c r="H122" i="6" s="1"/>
  <c r="H134" i="6"/>
  <c r="F141" i="6"/>
  <c r="H174" i="6"/>
  <c r="F176" i="6"/>
  <c r="H176" i="6" s="1"/>
  <c r="H178" i="6"/>
  <c r="F187" i="6"/>
  <c r="H187" i="6" s="1"/>
  <c r="H209" i="6"/>
  <c r="H230" i="6"/>
  <c r="H234" i="6"/>
  <c r="F247" i="6"/>
  <c r="H247" i="6" s="1"/>
  <c r="F259" i="6"/>
  <c r="H259" i="6" s="1"/>
  <c r="F88" i="6"/>
  <c r="H88" i="6" s="1"/>
  <c r="H107" i="6"/>
  <c r="H96" i="6"/>
  <c r="F5" i="6"/>
  <c r="H5" i="6" s="1"/>
  <c r="F29" i="6"/>
  <c r="H29" i="6" s="1"/>
  <c r="H46" i="6"/>
  <c r="F106" i="6"/>
  <c r="H106" i="6" s="1"/>
  <c r="H73" i="6"/>
  <c r="H97" i="6"/>
  <c r="H111" i="6"/>
  <c r="H138" i="6"/>
  <c r="F151" i="6"/>
  <c r="H151" i="6" s="1"/>
  <c r="H163" i="6"/>
  <c r="F165" i="6"/>
  <c r="H165" i="6" s="1"/>
  <c r="F180" i="6"/>
  <c r="H205" i="6"/>
  <c r="H213" i="6"/>
  <c r="F220" i="6"/>
  <c r="F169" i="6"/>
  <c r="H169" i="6" s="1"/>
  <c r="F184" i="6"/>
  <c r="H184" i="6" s="1"/>
  <c r="F240" i="6"/>
  <c r="F251" i="6"/>
  <c r="H251" i="6" s="1"/>
  <c r="H80" i="6"/>
  <c r="H142" i="6"/>
  <c r="F144" i="6"/>
  <c r="H144" i="6" s="1"/>
  <c r="H146" i="6"/>
  <c r="F155" i="6"/>
  <c r="H155" i="6" s="1"/>
  <c r="H198" i="6"/>
  <c r="H202" i="6"/>
  <c r="F215" i="6"/>
  <c r="H215" i="6" s="1"/>
  <c r="H227" i="6"/>
  <c r="F229" i="6"/>
  <c r="H229" i="6" s="1"/>
  <c r="F244" i="6"/>
  <c r="H244" i="6" s="1"/>
  <c r="H256" i="6"/>
  <c r="H194" i="6"/>
  <c r="H226" i="6"/>
  <c r="H258" i="6"/>
  <c r="H158" i="6"/>
  <c r="H190" i="6"/>
  <c r="H222" i="6"/>
  <c r="H254" i="6"/>
  <c r="F147" i="6"/>
  <c r="H147" i="6" s="1"/>
  <c r="H154" i="6"/>
  <c r="F179" i="6"/>
  <c r="H179" i="6" s="1"/>
  <c r="H186" i="6"/>
  <c r="F211" i="6"/>
  <c r="H211" i="6" s="1"/>
  <c r="H218" i="6"/>
  <c r="F243" i="6"/>
  <c r="H243" i="6" s="1"/>
  <c r="H250" i="6"/>
  <c r="H136" i="6"/>
  <c r="F143" i="6"/>
  <c r="H143" i="6" s="1"/>
  <c r="H150" i="6"/>
  <c r="H168" i="6"/>
  <c r="F175" i="6"/>
  <c r="H175" i="6" s="1"/>
  <c r="H182" i="6"/>
  <c r="H200" i="6"/>
  <c r="F207" i="6"/>
  <c r="H207" i="6" s="1"/>
  <c r="H214" i="6"/>
  <c r="H232" i="6"/>
  <c r="F239" i="6"/>
  <c r="H239" i="6" s="1"/>
  <c r="H246" i="6"/>
  <c r="H260" i="6"/>
  <c r="H73" i="2"/>
  <c r="H223" i="2"/>
  <c r="G166" i="2"/>
  <c r="H166" i="2" s="1"/>
  <c r="G158" i="2"/>
  <c r="H158" i="2" s="1"/>
  <c r="G154" i="2"/>
  <c r="G138" i="2"/>
  <c r="H138" i="2" s="1"/>
  <c r="G114" i="2"/>
  <c r="G86" i="2"/>
  <c r="G30" i="2"/>
  <c r="H30" i="2" s="1"/>
  <c r="G10" i="2"/>
  <c r="G250" i="2"/>
  <c r="G198" i="2"/>
  <c r="F183" i="2"/>
  <c r="H183" i="2" s="1"/>
  <c r="G162" i="2"/>
  <c r="F143" i="2"/>
  <c r="H143" i="2" s="1"/>
  <c r="H86" i="2"/>
  <c r="F231" i="2"/>
  <c r="H231" i="2" s="1"/>
  <c r="G182" i="2"/>
  <c r="F139" i="2"/>
  <c r="F91" i="2"/>
  <c r="H91" i="2" s="1"/>
  <c r="G145" i="2"/>
  <c r="G17" i="2"/>
  <c r="H17" i="2" s="1"/>
  <c r="G230" i="2"/>
  <c r="G210" i="2"/>
  <c r="F195" i="2"/>
  <c r="H195" i="2" s="1"/>
  <c r="F159" i="2"/>
  <c r="H159" i="2" s="1"/>
  <c r="G62" i="2"/>
  <c r="H244" i="2"/>
  <c r="H228" i="2"/>
  <c r="H180" i="2"/>
  <c r="H44" i="2"/>
  <c r="H36" i="2"/>
  <c r="H236" i="2"/>
  <c r="H219" i="2"/>
  <c r="H203" i="2"/>
  <c r="F247" i="2"/>
  <c r="H247" i="2" s="1"/>
  <c r="F235" i="2"/>
  <c r="H235" i="2" s="1"/>
  <c r="F211" i="2"/>
  <c r="F199" i="2"/>
  <c r="H199" i="2" s="1"/>
  <c r="H187" i="2"/>
  <c r="F179" i="2"/>
  <c r="H179" i="2" s="1"/>
  <c r="F167" i="2"/>
  <c r="H167" i="2" s="1"/>
  <c r="F163" i="2"/>
  <c r="F123" i="2"/>
  <c r="F115" i="2"/>
  <c r="F111" i="2"/>
  <c r="H111" i="2" s="1"/>
  <c r="H107" i="2"/>
  <c r="H43" i="2"/>
  <c r="F31" i="2"/>
  <c r="F251" i="2"/>
  <c r="H251" i="2" s="1"/>
  <c r="F99" i="2"/>
  <c r="H99" i="2" s="1"/>
  <c r="G246" i="2"/>
  <c r="G226" i="2"/>
  <c r="G214" i="2"/>
  <c r="H214" i="2" s="1"/>
  <c r="G178" i="2"/>
  <c r="H38" i="2"/>
  <c r="H22" i="2"/>
  <c r="F215" i="2"/>
  <c r="H215" i="2" s="1"/>
  <c r="H229" i="2"/>
  <c r="H181" i="2"/>
  <c r="H165" i="2"/>
  <c r="F145" i="2"/>
  <c r="H145" i="2" s="1"/>
  <c r="H101" i="2"/>
  <c r="F77" i="2"/>
  <c r="H77" i="2" s="1"/>
  <c r="F53" i="2"/>
  <c r="H53" i="2" s="1"/>
  <c r="H37" i="2"/>
  <c r="F243" i="2"/>
  <c r="H243" i="2" s="1"/>
  <c r="G194" i="2"/>
  <c r="F135" i="2"/>
  <c r="H135" i="2" s="1"/>
  <c r="F87" i="2"/>
  <c r="H87" i="2" s="1"/>
  <c r="F255" i="2"/>
  <c r="H255" i="2" s="1"/>
  <c r="G242" i="2"/>
  <c r="F227" i="2"/>
  <c r="H227" i="2" s="1"/>
  <c r="H204" i="2"/>
  <c r="F155" i="2"/>
  <c r="G106" i="2"/>
  <c r="G220" i="2"/>
  <c r="G211" i="2"/>
  <c r="G199" i="2"/>
  <c r="G187" i="2"/>
  <c r="G148" i="2"/>
  <c r="G136" i="2"/>
  <c r="G107" i="2"/>
  <c r="F92" i="2"/>
  <c r="H92" i="2" s="1"/>
  <c r="G48" i="2"/>
  <c r="G124" i="2"/>
  <c r="H124" i="2" s="1"/>
  <c r="G92" i="2"/>
  <c r="G255" i="2"/>
  <c r="F232" i="2"/>
  <c r="F220" i="2"/>
  <c r="G172" i="2"/>
  <c r="H172" i="2" s="1"/>
  <c r="F148" i="2"/>
  <c r="H148" i="2" s="1"/>
  <c r="F136" i="2"/>
  <c r="H136" i="2" s="1"/>
  <c r="F120" i="2"/>
  <c r="H120" i="2" s="1"/>
  <c r="G91" i="2"/>
  <c r="G76" i="2"/>
  <c r="G47" i="2"/>
  <c r="F70" i="2"/>
  <c r="F14" i="2"/>
  <c r="H14" i="2" s="1"/>
  <c r="F6" i="2"/>
  <c r="F126" i="2"/>
  <c r="H126" i="2" s="1"/>
  <c r="G225" i="2"/>
  <c r="G213" i="2"/>
  <c r="G77" i="2"/>
  <c r="G21" i="2"/>
  <c r="G13" i="2"/>
  <c r="G2" i="2"/>
  <c r="H2" i="2" s="1"/>
  <c r="I2" i="2" s="1"/>
  <c r="F162" i="2"/>
  <c r="H162" i="2" s="1"/>
  <c r="F10" i="2"/>
  <c r="F241" i="2"/>
  <c r="H241" i="2" s="1"/>
  <c r="F205" i="2"/>
  <c r="H205" i="2" s="1"/>
  <c r="F185" i="2"/>
  <c r="H185" i="2" s="1"/>
  <c r="F177" i="2"/>
  <c r="F157" i="2"/>
  <c r="H157" i="2" s="1"/>
  <c r="F149" i="2"/>
  <c r="H149" i="2" s="1"/>
  <c r="F141" i="2"/>
  <c r="F121" i="2"/>
  <c r="F109" i="2"/>
  <c r="F49" i="2"/>
  <c r="H49" i="2" s="1"/>
  <c r="F29" i="2"/>
  <c r="H29" i="2" s="1"/>
  <c r="F21" i="2"/>
  <c r="H21" i="2" s="1"/>
  <c r="G85" i="2"/>
  <c r="G5" i="2"/>
  <c r="G128" i="2"/>
  <c r="G100" i="2"/>
  <c r="H100" i="2" s="1"/>
  <c r="G84" i="2"/>
  <c r="G56" i="2"/>
  <c r="G44" i="2"/>
  <c r="G24" i="2"/>
  <c r="H24" i="2" s="1"/>
  <c r="G16" i="2"/>
  <c r="G8" i="2"/>
  <c r="H8" i="2" s="1"/>
  <c r="F258" i="2"/>
  <c r="H258" i="2" s="1"/>
  <c r="F246" i="2"/>
  <c r="H246" i="2" s="1"/>
  <c r="G192" i="2"/>
  <c r="G176" i="2"/>
  <c r="F62" i="2"/>
  <c r="H62" i="2" s="1"/>
  <c r="G33" i="2"/>
  <c r="F5" i="2"/>
  <c r="H5" i="2" s="1"/>
  <c r="F156" i="2"/>
  <c r="H156" i="2" s="1"/>
  <c r="F128" i="2"/>
  <c r="H128" i="2" s="1"/>
  <c r="F80" i="2"/>
  <c r="F76" i="2"/>
  <c r="H76" i="2" s="1"/>
  <c r="F64" i="2"/>
  <c r="H64" i="2" s="1"/>
  <c r="F40" i="2"/>
  <c r="F16" i="2"/>
  <c r="F12" i="2"/>
  <c r="H12" i="2" s="1"/>
  <c r="F4" i="2"/>
  <c r="H4" i="2" s="1"/>
  <c r="G257" i="2"/>
  <c r="G249" i="2"/>
  <c r="F240" i="2"/>
  <c r="F230" i="2"/>
  <c r="F192" i="2"/>
  <c r="H192" i="2" s="1"/>
  <c r="F182" i="2"/>
  <c r="G122" i="2"/>
  <c r="G97" i="2"/>
  <c r="F61" i="2"/>
  <c r="G32" i="2"/>
  <c r="F18" i="2"/>
  <c r="G4" i="2"/>
  <c r="G155" i="2"/>
  <c r="G151" i="2"/>
  <c r="G123" i="2"/>
  <c r="G95" i="2"/>
  <c r="H95" i="2" s="1"/>
  <c r="G75" i="2"/>
  <c r="G71" i="2"/>
  <c r="G63" i="2"/>
  <c r="G59" i="2"/>
  <c r="H59" i="2" s="1"/>
  <c r="G51" i="2"/>
  <c r="H51" i="2" s="1"/>
  <c r="G43" i="2"/>
  <c r="G35" i="2"/>
  <c r="G27" i="2"/>
  <c r="G23" i="2"/>
  <c r="G15" i="2"/>
  <c r="H15" i="2" s="1"/>
  <c r="G11" i="2"/>
  <c r="G7" i="2"/>
  <c r="F261" i="2"/>
  <c r="H261" i="2" s="1"/>
  <c r="F257" i="2"/>
  <c r="H257" i="2" s="1"/>
  <c r="F253" i="2"/>
  <c r="H253" i="2" s="1"/>
  <c r="F249" i="2"/>
  <c r="G244" i="2"/>
  <c r="G239" i="2"/>
  <c r="G234" i="2"/>
  <c r="G228" i="2"/>
  <c r="G223" i="2"/>
  <c r="G218" i="2"/>
  <c r="G212" i="2"/>
  <c r="G207" i="2"/>
  <c r="G202" i="2"/>
  <c r="G196" i="2"/>
  <c r="G191" i="2"/>
  <c r="G186" i="2"/>
  <c r="H186" i="2" s="1"/>
  <c r="G180" i="2"/>
  <c r="G175" i="2"/>
  <c r="G170" i="2"/>
  <c r="F164" i="2"/>
  <c r="G152" i="2"/>
  <c r="H152" i="2" s="1"/>
  <c r="F146" i="2"/>
  <c r="F140" i="2"/>
  <c r="G134" i="2"/>
  <c r="G127" i="2"/>
  <c r="F122" i="2"/>
  <c r="H122" i="2" s="1"/>
  <c r="G109" i="2"/>
  <c r="G103" i="2"/>
  <c r="G96" i="2"/>
  <c r="G88" i="2"/>
  <c r="H88" i="2" s="1"/>
  <c r="F82" i="2"/>
  <c r="G73" i="2"/>
  <c r="G60" i="2"/>
  <c r="H60" i="2" s="1"/>
  <c r="F46" i="2"/>
  <c r="G31" i="2"/>
  <c r="G3" i="2"/>
  <c r="F106" i="2"/>
  <c r="H106" i="2" s="1"/>
  <c r="F90" i="2"/>
  <c r="H90" i="2" s="1"/>
  <c r="F78" i="2"/>
  <c r="H78" i="2" s="1"/>
  <c r="F66" i="2"/>
  <c r="H66" i="2" s="1"/>
  <c r="F54" i="2"/>
  <c r="H54" i="2" s="1"/>
  <c r="F42" i="2"/>
  <c r="F206" i="2"/>
  <c r="H206" i="2" s="1"/>
  <c r="F190" i="2"/>
  <c r="H190" i="2" s="1"/>
  <c r="F174" i="2"/>
  <c r="H174" i="2" s="1"/>
  <c r="G245" i="2"/>
  <c r="H245" i="2" s="1"/>
  <c r="G233" i="2"/>
  <c r="G197" i="2"/>
  <c r="G189" i="2"/>
  <c r="G177" i="2"/>
  <c r="G165" i="2"/>
  <c r="G133" i="2"/>
  <c r="G89" i="2"/>
  <c r="H89" i="2" s="1"/>
  <c r="F237" i="2"/>
  <c r="H237" i="2" s="1"/>
  <c r="F225" i="2"/>
  <c r="F197" i="2"/>
  <c r="H197" i="2" s="1"/>
  <c r="F169" i="2"/>
  <c r="H169" i="2" s="1"/>
  <c r="F125" i="2"/>
  <c r="H125" i="2" s="1"/>
  <c r="F113" i="2"/>
  <c r="H113" i="2" s="1"/>
  <c r="F97" i="2"/>
  <c r="F85" i="2"/>
  <c r="H85" i="2" s="1"/>
  <c r="G161" i="2"/>
  <c r="F34" i="2"/>
  <c r="H34" i="2" s="1"/>
  <c r="G164" i="2"/>
  <c r="G132" i="2"/>
  <c r="G36" i="2"/>
  <c r="G28" i="2"/>
  <c r="F250" i="2"/>
  <c r="G224" i="2"/>
  <c r="F154" i="2"/>
  <c r="H154" i="2" s="1"/>
  <c r="G141" i="2"/>
  <c r="F130" i="2"/>
  <c r="H130" i="2" s="1"/>
  <c r="G117" i="2"/>
  <c r="H117" i="2" s="1"/>
  <c r="G104" i="2"/>
  <c r="F98" i="2"/>
  <c r="H98" i="2" s="1"/>
  <c r="F160" i="2"/>
  <c r="H160" i="2" s="1"/>
  <c r="F84" i="2"/>
  <c r="H84" i="2" s="1"/>
  <c r="F68" i="2"/>
  <c r="H68" i="2" s="1"/>
  <c r="F56" i="2"/>
  <c r="F48" i="2"/>
  <c r="F32" i="2"/>
  <c r="H32" i="2" s="1"/>
  <c r="F28" i="2"/>
  <c r="F20" i="2"/>
  <c r="H20" i="2" s="1"/>
  <c r="G261" i="2"/>
  <c r="G253" i="2"/>
  <c r="F224" i="2"/>
  <c r="H224" i="2" s="1"/>
  <c r="F208" i="2"/>
  <c r="H208" i="2" s="1"/>
  <c r="F198" i="2"/>
  <c r="H198" i="2" s="1"/>
  <c r="F176" i="2"/>
  <c r="H176" i="2" s="1"/>
  <c r="G153" i="2"/>
  <c r="H153" i="2" s="1"/>
  <c r="G140" i="2"/>
  <c r="G129" i="2"/>
  <c r="H129" i="2" s="1"/>
  <c r="G116" i="2"/>
  <c r="H116" i="2" s="1"/>
  <c r="F104" i="2"/>
  <c r="H104" i="2" s="1"/>
  <c r="G46" i="2"/>
  <c r="G119" i="2"/>
  <c r="F151" i="2"/>
  <c r="H151" i="2" s="1"/>
  <c r="F147" i="2"/>
  <c r="H147" i="2" s="1"/>
  <c r="F119" i="2"/>
  <c r="H119" i="2" s="1"/>
  <c r="F75" i="2"/>
  <c r="F71" i="2"/>
  <c r="H71" i="2" s="1"/>
  <c r="F63" i="2"/>
  <c r="H63" i="2" s="1"/>
  <c r="F55" i="2"/>
  <c r="H55" i="2" s="1"/>
  <c r="F47" i="2"/>
  <c r="F39" i="2"/>
  <c r="H39" i="2" s="1"/>
  <c r="F35" i="2"/>
  <c r="H35" i="2" s="1"/>
  <c r="F27" i="2"/>
  <c r="H27" i="2" s="1"/>
  <c r="F23" i="2"/>
  <c r="F19" i="2"/>
  <c r="H19" i="2" s="1"/>
  <c r="F11" i="2"/>
  <c r="H11" i="2" s="1"/>
  <c r="F7" i="2"/>
  <c r="H7" i="2" s="1"/>
  <c r="F3" i="2"/>
  <c r="H3" i="2" s="1"/>
  <c r="G260" i="2"/>
  <c r="G256" i="2"/>
  <c r="G252" i="2"/>
  <c r="H252" i="2" s="1"/>
  <c r="G248" i="2"/>
  <c r="F239" i="2"/>
  <c r="H239" i="2" s="1"/>
  <c r="F234" i="2"/>
  <c r="H234" i="2" s="1"/>
  <c r="F218" i="2"/>
  <c r="F212" i="2"/>
  <c r="F207" i="2"/>
  <c r="H207" i="2" s="1"/>
  <c r="F202" i="2"/>
  <c r="H202" i="2" s="1"/>
  <c r="F196" i="2"/>
  <c r="H196" i="2" s="1"/>
  <c r="F191" i="2"/>
  <c r="H191" i="2" s="1"/>
  <c r="F175" i="2"/>
  <c r="H175" i="2" s="1"/>
  <c r="F170" i="2"/>
  <c r="H170" i="2" s="1"/>
  <c r="G163" i="2"/>
  <c r="G139" i="2"/>
  <c r="F134" i="2"/>
  <c r="F127" i="2"/>
  <c r="G121" i="2"/>
  <c r="G115" i="2"/>
  <c r="G108" i="2"/>
  <c r="H108" i="2" s="1"/>
  <c r="F103" i="2"/>
  <c r="H103" i="2" s="1"/>
  <c r="F96" i="2"/>
  <c r="G69" i="2"/>
  <c r="G55" i="2"/>
  <c r="G41" i="2"/>
  <c r="G26" i="2"/>
  <c r="F13" i="2"/>
  <c r="H13" i="2" s="1"/>
  <c r="F142" i="2"/>
  <c r="H142" i="2" s="1"/>
  <c r="F50" i="2"/>
  <c r="H50" i="2" s="1"/>
  <c r="F150" i="2"/>
  <c r="H150" i="2" s="1"/>
  <c r="G241" i="2"/>
  <c r="G229" i="2"/>
  <c r="G217" i="2"/>
  <c r="H217" i="2" s="1"/>
  <c r="G205" i="2"/>
  <c r="G181" i="2"/>
  <c r="G169" i="2"/>
  <c r="G105" i="2"/>
  <c r="G61" i="2"/>
  <c r="G49" i="2"/>
  <c r="G37" i="2"/>
  <c r="G149" i="2"/>
  <c r="G125" i="2"/>
  <c r="F233" i="2"/>
  <c r="H233" i="2" s="1"/>
  <c r="F221" i="2"/>
  <c r="H221" i="2" s="1"/>
  <c r="F213" i="2"/>
  <c r="F189" i="2"/>
  <c r="H189" i="2" s="1"/>
  <c r="F173" i="2"/>
  <c r="H173" i="2" s="1"/>
  <c r="F161" i="2"/>
  <c r="F133" i="2"/>
  <c r="H133" i="2" s="1"/>
  <c r="F105" i="2"/>
  <c r="H105" i="2" s="1"/>
  <c r="F93" i="2"/>
  <c r="H93" i="2" s="1"/>
  <c r="F57" i="2"/>
  <c r="H57" i="2" s="1"/>
  <c r="F45" i="2"/>
  <c r="H45" i="2" s="1"/>
  <c r="F33" i="2"/>
  <c r="H33" i="2" s="1"/>
  <c r="F242" i="2"/>
  <c r="H242" i="2" s="1"/>
  <c r="F226" i="2"/>
  <c r="H226" i="2" s="1"/>
  <c r="F210" i="2"/>
  <c r="H210" i="2" s="1"/>
  <c r="F194" i="2"/>
  <c r="H194" i="2" s="1"/>
  <c r="F178" i="2"/>
  <c r="F118" i="2"/>
  <c r="H118" i="2" s="1"/>
  <c r="G160" i="2"/>
  <c r="G72" i="2"/>
  <c r="H72" i="2" s="1"/>
  <c r="G64" i="2"/>
  <c r="G52" i="2"/>
  <c r="H52" i="2" s="1"/>
  <c r="G40" i="2"/>
  <c r="F254" i="2"/>
  <c r="H254" i="2" s="1"/>
  <c r="G240" i="2"/>
  <c r="G208" i="2"/>
  <c r="G146" i="2"/>
  <c r="G110" i="2"/>
  <c r="H110" i="2" s="1"/>
  <c r="G98" i="2"/>
  <c r="G90" i="2"/>
  <c r="G82" i="2"/>
  <c r="G70" i="2"/>
  <c r="G58" i="2"/>
  <c r="H58" i="2" s="1"/>
  <c r="G42" i="2"/>
  <c r="G34" i="2"/>
  <c r="G18" i="2"/>
  <c r="G6" i="2"/>
  <c r="F260" i="2"/>
  <c r="H260" i="2" s="1"/>
  <c r="F256" i="2"/>
  <c r="H256" i="2" s="1"/>
  <c r="F248" i="2"/>
  <c r="G238" i="2"/>
  <c r="H238" i="2" s="1"/>
  <c r="G232" i="2"/>
  <c r="G216" i="2"/>
  <c r="H216" i="2" s="1"/>
  <c r="G206" i="2"/>
  <c r="G200" i="2"/>
  <c r="H200" i="2" s="1"/>
  <c r="G190" i="2"/>
  <c r="G184" i="2"/>
  <c r="H184" i="2" s="1"/>
  <c r="G174" i="2"/>
  <c r="G168" i="2"/>
  <c r="H168" i="2" s="1"/>
  <c r="G144" i="2"/>
  <c r="H144" i="2" s="1"/>
  <c r="F132" i="2"/>
  <c r="H132" i="2" s="1"/>
  <c r="G126" i="2"/>
  <c r="G120" i="2"/>
  <c r="F114" i="2"/>
  <c r="G80" i="2"/>
  <c r="F69" i="2"/>
  <c r="H69" i="2" s="1"/>
  <c r="G54" i="2"/>
  <c r="F41" i="2"/>
  <c r="H41" i="2" s="1"/>
  <c r="F26" i="2"/>
  <c r="H26" i="2" s="1"/>
  <c r="G12" i="2"/>
  <c r="H141" i="6" l="1"/>
  <c r="H212" i="6"/>
  <c r="H114" i="6"/>
  <c r="H252" i="6"/>
  <c r="H208" i="6"/>
  <c r="H248" i="6"/>
  <c r="H177" i="6"/>
  <c r="H201" i="6"/>
  <c r="H148" i="6"/>
  <c r="H220" i="6"/>
  <c r="H180" i="6"/>
  <c r="H237" i="6"/>
  <c r="H145" i="6"/>
  <c r="H240" i="6"/>
  <c r="H233" i="6"/>
  <c r="H152" i="6"/>
  <c r="H46" i="2"/>
  <c r="H109" i="2"/>
  <c r="H70" i="2"/>
  <c r="H178" i="2"/>
  <c r="H213" i="2"/>
  <c r="H127" i="2"/>
  <c r="H82" i="2"/>
  <c r="H140" i="2"/>
  <c r="H230" i="2"/>
  <c r="H220" i="2"/>
  <c r="H31" i="2"/>
  <c r="H115" i="2"/>
  <c r="H182" i="2"/>
  <c r="H97" i="2"/>
  <c r="H18" i="2"/>
  <c r="H240" i="2"/>
  <c r="H16" i="2"/>
  <c r="H80" i="2"/>
  <c r="H121" i="2"/>
  <c r="H177" i="2"/>
  <c r="H232" i="2"/>
  <c r="H123" i="2"/>
  <c r="H248" i="2"/>
  <c r="H161" i="2"/>
  <c r="H155" i="2"/>
  <c r="H211" i="2"/>
  <c r="H48" i="2"/>
  <c r="H250" i="2"/>
  <c r="H114" i="2"/>
  <c r="H134" i="2"/>
  <c r="H56" i="2"/>
  <c r="H146" i="2"/>
  <c r="H212" i="2"/>
  <c r="H225" i="2"/>
  <c r="H42" i="2"/>
  <c r="H96" i="2"/>
  <c r="H218" i="2"/>
  <c r="H23" i="2"/>
  <c r="H47" i="2"/>
  <c r="H75" i="2"/>
  <c r="H28" i="2"/>
  <c r="H164" i="2"/>
  <c r="H249" i="2"/>
  <c r="H61" i="2"/>
  <c r="H40" i="2"/>
  <c r="H141" i="2"/>
  <c r="H10" i="2"/>
  <c r="H6" i="2"/>
  <c r="H163" i="2"/>
  <c r="H139" i="2"/>
  <c r="I2" i="6" l="1"/>
</calcChain>
</file>

<file path=xl/sharedStrings.xml><?xml version="1.0" encoding="utf-8"?>
<sst xmlns="http://schemas.openxmlformats.org/spreadsheetml/2006/main" count="42" uniqueCount="32">
  <si>
    <t>fecha</t>
  </si>
  <si>
    <t>2Y</t>
  </si>
  <si>
    <t>Mbono que vencen en:</t>
  </si>
  <si>
    <t>Cantidad de títulos</t>
  </si>
  <si>
    <t>Posición</t>
  </si>
  <si>
    <t>Long</t>
  </si>
  <si>
    <t>Short</t>
  </si>
  <si>
    <t>10Y</t>
  </si>
  <si>
    <t>https://www.banxico.org.mx/valores/PresentaDetallePosicionGub.faces?BMXC_instrumento=2&amp;BMXC_lang=es_MX</t>
  </si>
  <si>
    <t>Calcular el VaR para t+1 nivel de confianza 95% para el portafolio cuya estrategia es un steepener</t>
  </si>
  <si>
    <t>¿qué tanto se modificaría el VaR si ambas posiciones estuvieran en long?</t>
  </si>
  <si>
    <t>2 años</t>
  </si>
  <si>
    <t>10 años</t>
  </si>
  <si>
    <t>maturity</t>
  </si>
  <si>
    <t>NO es dinero</t>
  </si>
  <si>
    <t>Precio</t>
  </si>
  <si>
    <t>Valor posicion</t>
  </si>
  <si>
    <t>Ponderaciones</t>
  </si>
  <si>
    <t>Precio si 1 pb change</t>
  </si>
  <si>
    <t>PV01 por bono</t>
  </si>
  <si>
    <t>PV01 por posición</t>
  </si>
  <si>
    <t>Utilizando el "atajo" es primero calculo los PV01 ya sea del bono individual o de cada posición, luego calculos los P&amp;L's dado los</t>
  </si>
  <si>
    <t>cambios en las yields, y finalmente extraigo el percentil de acuerdo a mi nivel de confianza</t>
  </si>
  <si>
    <t>cambio en pb en el nodo 2Y</t>
  </si>
  <si>
    <t>cambio en pb en el nodo de 10Y</t>
  </si>
  <si>
    <t>P&amp;L M2028 (a)</t>
  </si>
  <si>
    <t>P&amp;L M2028 (b)</t>
  </si>
  <si>
    <t>P&amp;L M2036 (a)</t>
  </si>
  <si>
    <t>P&amp;L M2036 (b)</t>
  </si>
  <si>
    <t>P&amp;L del portafolio</t>
  </si>
  <si>
    <t>VaR del port</t>
  </si>
  <si>
    <t>aumenta de 538 mil a 935 mil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</si>
</sst>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00"/>
    <numFmt numFmtId="165" formatCode="_-&quot;$&quot;* #,##0_-;\-&quot;$&quot;* #,##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2" fillId="0" borderId="0" xfId="2"/>
    <xf numFmtId="0" fontId="5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4" fontId="0" fillId="0" borderId="0" xfId="3" applyFont="1"/>
    <xf numFmtId="164" fontId="0" fillId="0" borderId="0" xfId="0" applyNumberFormat="1"/>
    <xf numFmtId="0" fontId="6" fillId="0" borderId="0" xfId="0" applyFont="1"/>
    <xf numFmtId="44" fontId="4" fillId="0" borderId="0" xfId="3" applyFont="1"/>
    <xf numFmtId="0" fontId="4" fillId="0" borderId="0" xfId="0" applyFont="1" applyAlignment="1">
      <alignment horizontal="center"/>
    </xf>
    <xf numFmtId="44" fontId="0" fillId="0" borderId="0" xfId="0" applyNumberFormat="1"/>
    <xf numFmtId="0" fontId="5" fillId="0" borderId="0" xfId="0" applyFont="1"/>
    <xf numFmtId="165" fontId="5" fillId="0" borderId="0" xfId="3" applyNumberFormat="1" applyFont="1"/>
  </cellXfs>
  <cellStyles count="4">
    <cellStyle name="Hipervínculo" xfId="2" builtinId="8"/>
    <cellStyle name="Moneda" xfId="3" builtinId="4"/>
    <cellStyle name="Normal" xfId="0" builtinId="0"/>
    <cellStyle name="Normal 2" xfId="1" xr:uid="{E0378DE2-3651-4E37-9E35-CA5C87046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xico.org.mx/valores/PresentaDetallePosicionGub.faces?BMXC_instrumento=2&amp;BMXC_lang=es_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68F3-85FC-41B5-BC57-4FF5CE7AC89F}">
  <dimension ref="B1:H17"/>
  <sheetViews>
    <sheetView tabSelected="1" zoomScale="120" zoomScaleNormal="120" workbookViewId="0">
      <selection activeCell="H9" sqref="H9"/>
    </sheetView>
  </sheetViews>
  <sheetFormatPr baseColWidth="10" defaultRowHeight="15" x14ac:dyDescent="0.25"/>
  <cols>
    <col min="3" max="3" width="18.85546875" bestFit="1" customWidth="1"/>
    <col min="4" max="4" width="16.140625" bestFit="1" customWidth="1"/>
    <col min="6" max="6" width="17.85546875" bestFit="1" customWidth="1"/>
    <col min="7" max="7" width="16.42578125" bestFit="1" customWidth="1"/>
    <col min="8" max="8" width="15.140625" bestFit="1" customWidth="1"/>
  </cols>
  <sheetData>
    <row r="1" spans="2:8" x14ac:dyDescent="0.25">
      <c r="C1" s="6" t="s">
        <v>8</v>
      </c>
    </row>
    <row r="3" spans="2:8" x14ac:dyDescent="0.25">
      <c r="B3" t="s">
        <v>13</v>
      </c>
      <c r="C3" s="7" t="s">
        <v>2</v>
      </c>
      <c r="D3" s="8" t="s">
        <v>3</v>
      </c>
      <c r="E3" s="1" t="s">
        <v>4</v>
      </c>
      <c r="F3" s="1" t="s">
        <v>15</v>
      </c>
      <c r="G3" t="s">
        <v>16</v>
      </c>
      <c r="H3" t="s">
        <v>17</v>
      </c>
    </row>
    <row r="4" spans="2:8" x14ac:dyDescent="0.25">
      <c r="B4" t="s">
        <v>11</v>
      </c>
      <c r="C4" s="2">
        <v>46814</v>
      </c>
      <c r="D4" s="5">
        <v>3279512</v>
      </c>
      <c r="E4" s="1" t="s">
        <v>5</v>
      </c>
      <c r="F4" s="1">
        <v>102.1857</v>
      </c>
      <c r="G4" s="9">
        <f>F4*D4</f>
        <v>335119229.37839997</v>
      </c>
      <c r="H4" s="10">
        <f>G4/(G4+G5)</f>
        <v>0.76946593784069606</v>
      </c>
    </row>
    <row r="5" spans="2:8" x14ac:dyDescent="0.25">
      <c r="B5" t="s">
        <v>12</v>
      </c>
      <c r="C5" s="2">
        <v>49726</v>
      </c>
      <c r="D5" s="5">
        <v>1054357</v>
      </c>
      <c r="E5" s="1" t="s">
        <v>6</v>
      </c>
      <c r="F5" s="1">
        <v>95.226399999999998</v>
      </c>
      <c r="G5" s="9">
        <f>F5*D5</f>
        <v>100402621.42479999</v>
      </c>
      <c r="H5" s="10">
        <f>-G5/(G4+G5)</f>
        <v>-0.23053406215930394</v>
      </c>
    </row>
    <row r="6" spans="2:8" x14ac:dyDescent="0.25">
      <c r="D6" t="s">
        <v>14</v>
      </c>
    </row>
    <row r="7" spans="2:8" x14ac:dyDescent="0.25">
      <c r="F7" t="s">
        <v>18</v>
      </c>
      <c r="G7" s="15" t="s">
        <v>19</v>
      </c>
      <c r="H7" s="15" t="s">
        <v>20</v>
      </c>
    </row>
    <row r="8" spans="2:8" x14ac:dyDescent="0.25">
      <c r="E8" s="2">
        <v>46814</v>
      </c>
      <c r="F8">
        <v>102.20480000000001</v>
      </c>
      <c r="G8" s="15">
        <f>F8-F4</f>
        <v>1.9100000000008777E-2</v>
      </c>
      <c r="H8" s="16">
        <f>G8*D4</f>
        <v>62638.679200028782</v>
      </c>
    </row>
    <row r="9" spans="2:8" x14ac:dyDescent="0.25">
      <c r="E9" s="2">
        <v>49726</v>
      </c>
      <c r="F9">
        <v>95.290300000000002</v>
      </c>
      <c r="G9" s="15">
        <f>F9-F5</f>
        <v>6.3900000000003843E-2</v>
      </c>
      <c r="H9" s="16">
        <f>G9*D5</f>
        <v>67373.412300004056</v>
      </c>
    </row>
    <row r="11" spans="2:8" x14ac:dyDescent="0.25">
      <c r="C11" t="s">
        <v>9</v>
      </c>
    </row>
    <row r="12" spans="2:8" x14ac:dyDescent="0.25">
      <c r="C12" s="11" t="s">
        <v>21</v>
      </c>
    </row>
    <row r="13" spans="2:8" x14ac:dyDescent="0.25">
      <c r="C13" s="11" t="s">
        <v>22</v>
      </c>
    </row>
    <row r="16" spans="2:8" x14ac:dyDescent="0.25">
      <c r="C16" t="s">
        <v>10</v>
      </c>
    </row>
    <row r="17" spans="3:3" x14ac:dyDescent="0.25">
      <c r="C17" s="11" t="s">
        <v>31</v>
      </c>
    </row>
  </sheetData>
  <hyperlinks>
    <hyperlink ref="C1" r:id="rId1" xr:uid="{32CBA5F3-126E-453F-93FE-42FA502DB7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484E-7399-4093-8F70-0C9AAFC747D0}">
  <dimension ref="A1:M262"/>
  <sheetViews>
    <sheetView zoomScale="130" zoomScaleNormal="130" workbookViewId="0">
      <selection activeCell="H4" sqref="H4"/>
    </sheetView>
  </sheetViews>
  <sheetFormatPr baseColWidth="10" defaultRowHeight="15" x14ac:dyDescent="0.25"/>
  <cols>
    <col min="4" max="4" width="22.7109375" bestFit="1" customWidth="1"/>
    <col min="5" max="5" width="26.140625" bestFit="1" customWidth="1"/>
    <col min="6" max="7" width="12.42578125" bestFit="1" customWidth="1"/>
    <col min="8" max="8" width="14.85546875" bestFit="1" customWidth="1"/>
    <col min="9" max="9" width="14.85546875" customWidth="1"/>
    <col min="10" max="10" width="14.140625" bestFit="1" customWidth="1"/>
    <col min="11" max="11" width="12.42578125" bestFit="1" customWidth="1"/>
    <col min="12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7</v>
      </c>
      <c r="D1" s="1" t="s">
        <v>23</v>
      </c>
      <c r="E1" s="1" t="s">
        <v>24</v>
      </c>
      <c r="F1" s="1" t="s">
        <v>25</v>
      </c>
      <c r="G1" s="1" t="s">
        <v>27</v>
      </c>
      <c r="H1" s="1" t="s">
        <v>29</v>
      </c>
      <c r="I1" s="13" t="s">
        <v>30</v>
      </c>
      <c r="J1" s="1" t="s">
        <v>26</v>
      </c>
      <c r="K1" s="1" t="s">
        <v>28</v>
      </c>
      <c r="L1" s="1" t="s">
        <v>29</v>
      </c>
    </row>
    <row r="2" spans="1:13" x14ac:dyDescent="0.25">
      <c r="A2" s="3">
        <v>46063</v>
      </c>
      <c r="B2" s="4">
        <v>7.32</v>
      </c>
      <c r="C2" s="4">
        <v>8.7100000000000009</v>
      </c>
      <c r="D2" s="1">
        <f>(B2-B3)*100</f>
        <v>-5.9999999999999609</v>
      </c>
      <c r="E2" s="1">
        <f>(C2-C3)*100</f>
        <v>-7.9999999999998295</v>
      </c>
      <c r="F2" s="9">
        <f>-D2*indicaciones!$G$8*indicaciones!$D$4</f>
        <v>375832.07520017022</v>
      </c>
      <c r="G2" s="9">
        <f>-E2*indicaciones!$G$9*-indicaciones!$D$5</f>
        <v>-538987.29840002093</v>
      </c>
      <c r="H2" s="9">
        <f>F2+G2</f>
        <v>-163155.2231998507</v>
      </c>
      <c r="I2" s="12">
        <f>PERCENTILE(H2:H261,0.05)</f>
        <v>-538987.29840003292</v>
      </c>
      <c r="J2" s="9">
        <f>-D2*indicaciones!$H$8</f>
        <v>375832.07520017022</v>
      </c>
      <c r="K2" s="9">
        <f>-E2*-indicaciones!$H$9</f>
        <v>-538987.29840002093</v>
      </c>
      <c r="L2" s="14">
        <f>SUM(J2:K2)</f>
        <v>-163155.2231998507</v>
      </c>
      <c r="M2" s="12">
        <f>PERCENTILE(L2:L261,0.05)</f>
        <v>-538987.29840003292</v>
      </c>
    </row>
    <row r="3" spans="1:13" x14ac:dyDescent="0.25">
      <c r="A3" s="3">
        <v>46062</v>
      </c>
      <c r="B3" s="4">
        <v>7.38</v>
      </c>
      <c r="C3" s="4">
        <v>8.7899999999999991</v>
      </c>
      <c r="D3" s="1">
        <f t="shared" ref="D3:D66" si="0">(B3-B4)*100</f>
        <v>1.9999999999999574</v>
      </c>
      <c r="E3" s="1">
        <f t="shared" ref="E3:E66" si="1">(C3-C4)*100</f>
        <v>0.99999999999997868</v>
      </c>
      <c r="F3" s="9">
        <f>-D3*indicaciones!$G$8*indicaciones!$D$4</f>
        <v>-125277.3584000549</v>
      </c>
      <c r="G3" s="9">
        <f>-E3*indicaciones!$G$9*-indicaciones!$D$5</f>
        <v>67373.412300002616</v>
      </c>
      <c r="H3" s="9">
        <f t="shared" ref="H3:H66" si="2">F3+G3</f>
        <v>-57903.946100052286</v>
      </c>
      <c r="I3" s="9"/>
      <c r="J3" s="9">
        <f>-D3*indicaciones!$H$8</f>
        <v>-125277.35840005489</v>
      </c>
      <c r="K3" s="9">
        <f>-E3*-indicaciones!$H$9</f>
        <v>67373.412300002616</v>
      </c>
      <c r="L3" s="14">
        <f t="shared" ref="L3:L66" si="3">SUM(J3:K3)</f>
        <v>-57903.946100052272</v>
      </c>
    </row>
    <row r="4" spans="1:13" x14ac:dyDescent="0.25">
      <c r="A4" s="3">
        <v>46059</v>
      </c>
      <c r="B4" s="4">
        <v>7.36</v>
      </c>
      <c r="C4" s="4">
        <v>8.7799999999999994</v>
      </c>
      <c r="D4" s="1">
        <f t="shared" si="0"/>
        <v>-9.9999999999999645</v>
      </c>
      <c r="E4" s="1">
        <f t="shared" si="1"/>
        <v>-4.0000000000000924</v>
      </c>
      <c r="F4" s="9">
        <f>-D4*indicaciones!$G$8*indicaciones!$D$4</f>
        <v>626386.7920002857</v>
      </c>
      <c r="G4" s="9">
        <f>-E4*indicaciones!$G$9*-indicaciones!$D$5</f>
        <v>-269493.6492000224</v>
      </c>
      <c r="H4" s="9">
        <f t="shared" si="2"/>
        <v>356893.1428002633</v>
      </c>
      <c r="I4" s="9"/>
      <c r="J4" s="9">
        <f>-D4*indicaciones!$H$8</f>
        <v>626386.79200028558</v>
      </c>
      <c r="K4" s="9">
        <f>-E4*-indicaciones!$H$9</f>
        <v>-269493.64920002245</v>
      </c>
      <c r="L4" s="14">
        <f t="shared" si="3"/>
        <v>356893.14280026313</v>
      </c>
    </row>
    <row r="5" spans="1:13" x14ac:dyDescent="0.25">
      <c r="A5" s="3">
        <v>46058</v>
      </c>
      <c r="B5" s="4">
        <v>7.46</v>
      </c>
      <c r="C5" s="4">
        <v>8.82</v>
      </c>
      <c r="D5" s="1">
        <f t="shared" si="0"/>
        <v>-4.9999999999999822</v>
      </c>
      <c r="E5" s="1">
        <f t="shared" si="1"/>
        <v>-8.9999999999999858</v>
      </c>
      <c r="F5" s="9">
        <f>-D5*indicaciones!$G$8*indicaciones!$D$4</f>
        <v>313193.39600014285</v>
      </c>
      <c r="G5" s="9">
        <f>-E5*indicaciones!$G$9*-indicaciones!$D$5</f>
        <v>-606360.71070003556</v>
      </c>
      <c r="H5" s="9">
        <f t="shared" si="2"/>
        <v>-293167.31469989271</v>
      </c>
      <c r="I5" s="9"/>
      <c r="J5" s="9">
        <f>-D5*indicaciones!$H$8</f>
        <v>313193.39600014279</v>
      </c>
      <c r="K5" s="9">
        <f>-E5*-indicaciones!$H$9</f>
        <v>-606360.71070003556</v>
      </c>
      <c r="L5" s="14">
        <f t="shared" si="3"/>
        <v>-293167.31469989277</v>
      </c>
    </row>
    <row r="6" spans="1:13" x14ac:dyDescent="0.25">
      <c r="A6" s="3">
        <v>46057</v>
      </c>
      <c r="B6" s="4">
        <v>7.51</v>
      </c>
      <c r="C6" s="4">
        <v>8.91</v>
      </c>
      <c r="D6" s="1">
        <f t="shared" si="0"/>
        <v>-2.0000000000000462</v>
      </c>
      <c r="E6" s="1">
        <f t="shared" si="1"/>
        <v>4.0000000000000924</v>
      </c>
      <c r="F6" s="9">
        <f>-D6*indicaciones!$G$8*indicaciones!$D$4</f>
        <v>125277.35840006046</v>
      </c>
      <c r="G6" s="9">
        <f>-E6*indicaciones!$G$9*-indicaciones!$D$5</f>
        <v>269493.6492000224</v>
      </c>
      <c r="H6" s="9">
        <f t="shared" si="2"/>
        <v>394771.00760008284</v>
      </c>
      <c r="I6" s="9"/>
      <c r="J6" s="9">
        <f>-D6*indicaciones!$H$8</f>
        <v>125277.35840006046</v>
      </c>
      <c r="K6" s="9">
        <f>-E6*-indicaciones!$H$9</f>
        <v>269493.64920002245</v>
      </c>
      <c r="L6" s="14">
        <f t="shared" si="3"/>
        <v>394771.0076000829</v>
      </c>
    </row>
    <row r="7" spans="1:13" x14ac:dyDescent="0.25">
      <c r="A7" s="3">
        <v>46056</v>
      </c>
      <c r="B7" s="4">
        <v>7.53</v>
      </c>
      <c r="C7" s="4">
        <v>8.8699999999999992</v>
      </c>
      <c r="D7" s="1">
        <f t="shared" si="0"/>
        <v>1.0000000000000675</v>
      </c>
      <c r="E7" s="1">
        <f t="shared" si="1"/>
        <v>0.99999999999997868</v>
      </c>
      <c r="F7" s="9">
        <f>-D7*indicaciones!$G$8*indicaciones!$D$4</f>
        <v>-62638.679200033017</v>
      </c>
      <c r="G7" s="9">
        <f>-E7*indicaciones!$G$9*-indicaciones!$D$5</f>
        <v>67373.412300002616</v>
      </c>
      <c r="H7" s="9">
        <f t="shared" si="2"/>
        <v>4734.7330999695987</v>
      </c>
      <c r="I7" s="9"/>
      <c r="J7" s="9">
        <f>-D7*indicaciones!$H$8</f>
        <v>-62638.67920003301</v>
      </c>
      <c r="K7" s="9">
        <f>-E7*-indicaciones!$H$9</f>
        <v>67373.412300002616</v>
      </c>
      <c r="L7" s="14">
        <f t="shared" si="3"/>
        <v>4734.733099969606</v>
      </c>
    </row>
    <row r="8" spans="1:13" x14ac:dyDescent="0.25">
      <c r="A8" s="3">
        <v>46055</v>
      </c>
      <c r="B8" s="4">
        <v>7.52</v>
      </c>
      <c r="C8" s="4">
        <v>8.86</v>
      </c>
      <c r="D8" s="1">
        <f t="shared" si="0"/>
        <v>0</v>
      </c>
      <c r="E8" s="1">
        <f t="shared" si="1"/>
        <v>0</v>
      </c>
      <c r="F8" s="9">
        <f>-D8*indicaciones!$G$8*indicaciones!$D$4</f>
        <v>0</v>
      </c>
      <c r="G8" s="9">
        <f>-E8*indicaciones!$G$9*-indicaciones!$D$5</f>
        <v>0</v>
      </c>
      <c r="H8" s="9">
        <f t="shared" si="2"/>
        <v>0</v>
      </c>
      <c r="I8" s="9"/>
      <c r="J8" s="9">
        <f>-D8*indicaciones!$H$8</f>
        <v>0</v>
      </c>
      <c r="K8" s="9">
        <f>-E8*-indicaciones!$H$9</f>
        <v>0</v>
      </c>
      <c r="L8" s="14">
        <f t="shared" si="3"/>
        <v>0</v>
      </c>
    </row>
    <row r="9" spans="1:13" x14ac:dyDescent="0.25">
      <c r="A9" s="3">
        <v>46052</v>
      </c>
      <c r="B9" s="4">
        <v>7.52</v>
      </c>
      <c r="C9" s="4">
        <v>8.86</v>
      </c>
      <c r="D9" s="1">
        <f t="shared" si="0"/>
        <v>-1.0000000000000675</v>
      </c>
      <c r="E9" s="1">
        <f t="shared" si="1"/>
        <v>3.9999999999999147</v>
      </c>
      <c r="F9" s="9">
        <f>-D9*indicaciones!$G$8*indicaciones!$D$4</f>
        <v>62638.679200033017</v>
      </c>
      <c r="G9" s="9">
        <f>-E9*indicaciones!$G$9*-indicaciones!$D$5</f>
        <v>269493.64920001046</v>
      </c>
      <c r="H9" s="9">
        <f t="shared" si="2"/>
        <v>332132.32840004348</v>
      </c>
      <c r="I9" s="9"/>
      <c r="J9" s="9">
        <f>-D9*indicaciones!$H$8</f>
        <v>62638.67920003301</v>
      </c>
      <c r="K9" s="9">
        <f>-E9*-indicaciones!$H$9</f>
        <v>269493.64920001046</v>
      </c>
      <c r="L9" s="14">
        <f t="shared" si="3"/>
        <v>332132.32840004348</v>
      </c>
    </row>
    <row r="10" spans="1:13" x14ac:dyDescent="0.25">
      <c r="A10" s="3">
        <v>46051</v>
      </c>
      <c r="B10" s="4">
        <v>7.53</v>
      </c>
      <c r="C10" s="4">
        <v>8.82</v>
      </c>
      <c r="D10" s="1">
        <f t="shared" si="0"/>
        <v>0</v>
      </c>
      <c r="E10" s="1">
        <f t="shared" si="1"/>
        <v>-8.0000000000000071</v>
      </c>
      <c r="F10" s="9">
        <f>-D10*indicaciones!$G$8*indicaciones!$D$4</f>
        <v>0</v>
      </c>
      <c r="G10" s="9">
        <f>-E10*indicaciones!$G$9*-indicaciones!$D$5</f>
        <v>-538987.29840003292</v>
      </c>
      <c r="H10" s="9">
        <f t="shared" si="2"/>
        <v>-538987.29840003292</v>
      </c>
      <c r="I10" s="9"/>
      <c r="J10" s="9">
        <f>-D10*indicaciones!$H$8</f>
        <v>0</v>
      </c>
      <c r="K10" s="9">
        <f>-E10*-indicaciones!$H$9</f>
        <v>-538987.29840003292</v>
      </c>
      <c r="L10" s="14">
        <f t="shared" si="3"/>
        <v>-538987.29840003292</v>
      </c>
    </row>
    <row r="11" spans="1:13" x14ac:dyDescent="0.25">
      <c r="A11" s="3">
        <v>46050</v>
      </c>
      <c r="B11" s="4">
        <v>7.53</v>
      </c>
      <c r="C11" s="4">
        <v>8.9</v>
      </c>
      <c r="D11" s="1">
        <f t="shared" si="0"/>
        <v>-4.9999999999999822</v>
      </c>
      <c r="E11" s="1">
        <f t="shared" si="1"/>
        <v>-1.9999999999999574</v>
      </c>
      <c r="F11" s="9">
        <f>-D11*indicaciones!$G$8*indicaciones!$D$4</f>
        <v>313193.39600014285</v>
      </c>
      <c r="G11" s="9">
        <f>-E11*indicaciones!$G$9*-indicaciones!$D$5</f>
        <v>-134746.82460000523</v>
      </c>
      <c r="H11" s="9">
        <f t="shared" si="2"/>
        <v>178446.57140013762</v>
      </c>
      <c r="I11" s="9"/>
      <c r="J11" s="9">
        <f>-D11*indicaciones!$H$8</f>
        <v>313193.39600014279</v>
      </c>
      <c r="K11" s="9">
        <f>-E11*-indicaciones!$H$9</f>
        <v>-134746.82460000523</v>
      </c>
      <c r="L11" s="14">
        <f t="shared" si="3"/>
        <v>178446.57140013756</v>
      </c>
    </row>
    <row r="12" spans="1:13" x14ac:dyDescent="0.25">
      <c r="A12" s="3">
        <v>46049</v>
      </c>
      <c r="B12" s="4">
        <v>7.58</v>
      </c>
      <c r="C12" s="4">
        <v>8.92</v>
      </c>
      <c r="D12" s="1">
        <f t="shared" si="0"/>
        <v>-4.9999999999999822</v>
      </c>
      <c r="E12" s="1">
        <f t="shared" si="1"/>
        <v>-5.0000000000000711</v>
      </c>
      <c r="F12" s="9">
        <f>-D12*indicaciones!$G$8*indicaciones!$D$4</f>
        <v>313193.39600014285</v>
      </c>
      <c r="G12" s="9">
        <f>-E12*indicaciones!$G$9*-indicaciones!$D$5</f>
        <v>-336867.06150002504</v>
      </c>
      <c r="H12" s="9">
        <f t="shared" si="2"/>
        <v>-23673.66549988219</v>
      </c>
      <c r="I12" s="9"/>
      <c r="J12" s="9">
        <f>-D12*indicaciones!$H$8</f>
        <v>313193.39600014279</v>
      </c>
      <c r="K12" s="9">
        <f>-E12*-indicaciones!$H$9</f>
        <v>-336867.06150002504</v>
      </c>
      <c r="L12" s="14">
        <f t="shared" si="3"/>
        <v>-23673.665499882249</v>
      </c>
    </row>
    <row r="13" spans="1:13" x14ac:dyDescent="0.25">
      <c r="A13" s="3">
        <v>46048</v>
      </c>
      <c r="B13" s="4">
        <v>7.63</v>
      </c>
      <c r="C13" s="4">
        <v>8.9700000000000006</v>
      </c>
      <c r="D13" s="1">
        <f t="shared" si="0"/>
        <v>0.99999999999997868</v>
      </c>
      <c r="E13" s="1">
        <f t="shared" si="1"/>
        <v>3.0000000000001137</v>
      </c>
      <c r="F13" s="9">
        <f>-D13*indicaciones!$G$8*indicaciones!$D$4</f>
        <v>-62638.679200027451</v>
      </c>
      <c r="G13" s="9">
        <f>-E13*indicaciones!$G$9*-indicaciones!$D$5</f>
        <v>202120.23690001981</v>
      </c>
      <c r="H13" s="9">
        <f t="shared" si="2"/>
        <v>139481.55769999235</v>
      </c>
      <c r="I13" s="9"/>
      <c r="J13" s="9">
        <f>-D13*indicaciones!$H$8</f>
        <v>-62638.679200027444</v>
      </c>
      <c r="K13" s="9">
        <f>-E13*-indicaciones!$H$9</f>
        <v>202120.23690001984</v>
      </c>
      <c r="L13" s="14">
        <f t="shared" si="3"/>
        <v>139481.55769999238</v>
      </c>
    </row>
    <row r="14" spans="1:13" x14ac:dyDescent="0.25">
      <c r="A14" s="3">
        <v>46045</v>
      </c>
      <c r="B14" s="4">
        <v>7.62</v>
      </c>
      <c r="C14" s="4">
        <v>8.94</v>
      </c>
      <c r="D14" s="1">
        <f t="shared" si="0"/>
        <v>-5.9999999999999609</v>
      </c>
      <c r="E14" s="1">
        <f t="shared" si="1"/>
        <v>-3.0000000000001137</v>
      </c>
      <c r="F14" s="9">
        <f>-D14*indicaciones!$G$8*indicaciones!$D$4</f>
        <v>375832.07520017022</v>
      </c>
      <c r="G14" s="9">
        <f>-E14*indicaciones!$G$9*-indicaciones!$D$5</f>
        <v>-202120.23690001981</v>
      </c>
      <c r="H14" s="9">
        <f t="shared" si="2"/>
        <v>173711.83830015041</v>
      </c>
      <c r="I14" s="9"/>
      <c r="J14" s="9">
        <f>-D14*indicaciones!$H$8</f>
        <v>375832.07520017022</v>
      </c>
      <c r="K14" s="9">
        <f>-E14*-indicaciones!$H$9</f>
        <v>-202120.23690001984</v>
      </c>
      <c r="L14" s="14">
        <f t="shared" si="3"/>
        <v>173711.83830015038</v>
      </c>
    </row>
    <row r="15" spans="1:13" x14ac:dyDescent="0.25">
      <c r="A15" s="3">
        <v>46044</v>
      </c>
      <c r="B15" s="4">
        <v>7.68</v>
      </c>
      <c r="C15" s="4">
        <v>8.9700000000000006</v>
      </c>
      <c r="D15" s="1">
        <f t="shared" si="0"/>
        <v>-7.0000000000000284</v>
      </c>
      <c r="E15" s="1">
        <f t="shared" si="1"/>
        <v>-10.999999999999943</v>
      </c>
      <c r="F15" s="9">
        <f>-D15*indicaciones!$G$8*indicaciones!$D$4</f>
        <v>438470.7544002033</v>
      </c>
      <c r="G15" s="9">
        <f>-E15*indicaciones!$G$9*-indicaciones!$D$5</f>
        <v>-741107.53530004073</v>
      </c>
      <c r="H15" s="9">
        <f t="shared" si="2"/>
        <v>-302636.78089983744</v>
      </c>
      <c r="I15" s="9"/>
      <c r="J15" s="9">
        <f>-D15*indicaciones!$H$8</f>
        <v>438470.75440020324</v>
      </c>
      <c r="K15" s="9">
        <f>-E15*-indicaciones!$H$9</f>
        <v>-741107.53530004073</v>
      </c>
      <c r="L15" s="14">
        <f t="shared" si="3"/>
        <v>-302636.7808998375</v>
      </c>
    </row>
    <row r="16" spans="1:13" x14ac:dyDescent="0.25">
      <c r="A16" s="3">
        <v>46043</v>
      </c>
      <c r="B16" s="4">
        <v>7.75</v>
      </c>
      <c r="C16" s="4">
        <v>9.08</v>
      </c>
      <c r="D16" s="1">
        <f t="shared" si="0"/>
        <v>-8.0000000000000071</v>
      </c>
      <c r="E16" s="1">
        <f t="shared" si="1"/>
        <v>-13.000000000000078</v>
      </c>
      <c r="F16" s="9">
        <f>-D16*indicaciones!$G$8*indicaciones!$D$4</f>
        <v>501109.43360023072</v>
      </c>
      <c r="G16" s="9">
        <f>-E16*indicaciones!$G$9*-indicaciones!$D$5</f>
        <v>-875854.3599000579</v>
      </c>
      <c r="H16" s="9">
        <f t="shared" si="2"/>
        <v>-374744.92629982717</v>
      </c>
      <c r="I16" s="9"/>
      <c r="J16" s="9">
        <f>-D16*indicaciones!$H$8</f>
        <v>501109.43360023072</v>
      </c>
      <c r="K16" s="9">
        <f>-E16*-indicaciones!$H$9</f>
        <v>-875854.35990005801</v>
      </c>
      <c r="L16" s="14">
        <f t="shared" si="3"/>
        <v>-374744.92629982729</v>
      </c>
    </row>
    <row r="17" spans="1:12" x14ac:dyDescent="0.25">
      <c r="A17" s="3">
        <v>46042</v>
      </c>
      <c r="B17" s="4">
        <v>7.83</v>
      </c>
      <c r="C17" s="4">
        <v>9.2100000000000009</v>
      </c>
      <c r="D17" s="1">
        <f t="shared" si="0"/>
        <v>8.0000000000000071</v>
      </c>
      <c r="E17" s="1">
        <f t="shared" si="1"/>
        <v>12.000000000000099</v>
      </c>
      <c r="F17" s="9">
        <f>-D17*indicaciones!$G$8*indicaciones!$D$4</f>
        <v>-501109.43360023072</v>
      </c>
      <c r="G17" s="9">
        <f>-E17*indicaciones!$G$9*-indicaciones!$D$5</f>
        <v>808480.94760005525</v>
      </c>
      <c r="H17" s="9">
        <f t="shared" si="2"/>
        <v>307371.51399982453</v>
      </c>
      <c r="I17" s="9"/>
      <c r="J17" s="9">
        <f>-D17*indicaciones!$H$8</f>
        <v>-501109.43360023072</v>
      </c>
      <c r="K17" s="9">
        <f>-E17*-indicaciones!$H$9</f>
        <v>808480.94760005537</v>
      </c>
      <c r="L17" s="14">
        <f t="shared" si="3"/>
        <v>307371.51399982464</v>
      </c>
    </row>
    <row r="18" spans="1:12" x14ac:dyDescent="0.25">
      <c r="A18" s="3">
        <v>46041</v>
      </c>
      <c r="B18" s="4">
        <v>7.75</v>
      </c>
      <c r="C18" s="4">
        <v>9.09</v>
      </c>
      <c r="D18" s="1">
        <f t="shared" si="0"/>
        <v>0</v>
      </c>
      <c r="E18" s="1">
        <f t="shared" si="1"/>
        <v>-0.99999999999997868</v>
      </c>
      <c r="F18" s="9">
        <f>-D18*indicaciones!$G$8*indicaciones!$D$4</f>
        <v>0</v>
      </c>
      <c r="G18" s="9">
        <f>-E18*indicaciones!$G$9*-indicaciones!$D$5</f>
        <v>-67373.412300002616</v>
      </c>
      <c r="H18" s="9">
        <f t="shared" si="2"/>
        <v>-67373.412300002616</v>
      </c>
      <c r="I18" s="9"/>
      <c r="J18" s="9">
        <f>-D18*indicaciones!$H$8</f>
        <v>0</v>
      </c>
      <c r="K18" s="9">
        <f>-E18*-indicaciones!$H$9</f>
        <v>-67373.412300002616</v>
      </c>
      <c r="L18" s="14">
        <f t="shared" si="3"/>
        <v>-67373.412300002616</v>
      </c>
    </row>
    <row r="19" spans="1:12" x14ac:dyDescent="0.25">
      <c r="A19" s="3">
        <v>46038</v>
      </c>
      <c r="B19" s="4">
        <v>7.75</v>
      </c>
      <c r="C19" s="4">
        <v>9.1</v>
      </c>
      <c r="D19" s="1">
        <f t="shared" si="0"/>
        <v>8.0000000000000071</v>
      </c>
      <c r="E19" s="1">
        <f t="shared" si="1"/>
        <v>8.9999999999999858</v>
      </c>
      <c r="F19" s="9">
        <f>-D19*indicaciones!$G$8*indicaciones!$D$4</f>
        <v>-501109.43360023072</v>
      </c>
      <c r="G19" s="9">
        <f>-E19*indicaciones!$G$9*-indicaciones!$D$5</f>
        <v>606360.71070003556</v>
      </c>
      <c r="H19" s="9">
        <f t="shared" si="2"/>
        <v>105251.27709980484</v>
      </c>
      <c r="I19" s="9"/>
      <c r="J19" s="9">
        <f>-D19*indicaciones!$H$8</f>
        <v>-501109.43360023072</v>
      </c>
      <c r="K19" s="9">
        <f>-E19*-indicaciones!$H$9</f>
        <v>606360.71070003556</v>
      </c>
      <c r="L19" s="14">
        <f t="shared" si="3"/>
        <v>105251.27709980484</v>
      </c>
    </row>
    <row r="20" spans="1:12" x14ac:dyDescent="0.25">
      <c r="A20" s="3">
        <v>46037</v>
      </c>
      <c r="B20" s="4">
        <v>7.67</v>
      </c>
      <c r="C20" s="4">
        <v>9.01</v>
      </c>
      <c r="D20" s="1">
        <f t="shared" si="0"/>
        <v>0.99999999999997868</v>
      </c>
      <c r="E20" s="1">
        <f t="shared" si="1"/>
        <v>3.9999999999999147</v>
      </c>
      <c r="F20" s="9">
        <f>-D20*indicaciones!$G$8*indicaciones!$D$4</f>
        <v>-62638.679200027451</v>
      </c>
      <c r="G20" s="9">
        <f>-E20*indicaciones!$G$9*-indicaciones!$D$5</f>
        <v>269493.64920001046</v>
      </c>
      <c r="H20" s="9">
        <f t="shared" si="2"/>
        <v>206854.969999983</v>
      </c>
      <c r="I20" s="9"/>
      <c r="J20" s="9">
        <f>-D20*indicaciones!$H$8</f>
        <v>-62638.679200027444</v>
      </c>
      <c r="K20" s="9">
        <f>-E20*-indicaciones!$H$9</f>
        <v>269493.64920001046</v>
      </c>
      <c r="L20" s="14">
        <f t="shared" si="3"/>
        <v>206854.96999998303</v>
      </c>
    </row>
    <row r="21" spans="1:12" x14ac:dyDescent="0.25">
      <c r="A21" s="3">
        <v>46036</v>
      </c>
      <c r="B21" s="4">
        <v>7.66</v>
      </c>
      <c r="C21" s="4">
        <v>8.9700000000000006</v>
      </c>
      <c r="D21" s="1">
        <f t="shared" si="0"/>
        <v>-3.0000000000000249</v>
      </c>
      <c r="E21" s="1">
        <f t="shared" si="1"/>
        <v>-0.99999999999997868</v>
      </c>
      <c r="F21" s="9">
        <f>-D21*indicaciones!$G$8*indicaciones!$D$4</f>
        <v>187916.0376000879</v>
      </c>
      <c r="G21" s="9">
        <f>-E21*indicaciones!$G$9*-indicaciones!$D$5</f>
        <v>-67373.412300002616</v>
      </c>
      <c r="H21" s="9">
        <f t="shared" si="2"/>
        <v>120542.62530008529</v>
      </c>
      <c r="I21" s="9"/>
      <c r="J21" s="9">
        <f>-D21*indicaciones!$H$8</f>
        <v>187916.0376000879</v>
      </c>
      <c r="K21" s="9">
        <f>-E21*-indicaciones!$H$9</f>
        <v>-67373.412300002616</v>
      </c>
      <c r="L21" s="14">
        <f t="shared" si="3"/>
        <v>120542.62530008529</v>
      </c>
    </row>
    <row r="22" spans="1:12" x14ac:dyDescent="0.25">
      <c r="A22" s="3">
        <v>46035</v>
      </c>
      <c r="B22" s="4">
        <v>7.69</v>
      </c>
      <c r="C22" s="4">
        <v>8.98</v>
      </c>
      <c r="D22" s="1">
        <f t="shared" si="0"/>
        <v>-1.9999999999999574</v>
      </c>
      <c r="E22" s="1">
        <f t="shared" si="1"/>
        <v>0.99999999999997868</v>
      </c>
      <c r="F22" s="9">
        <f>-D22*indicaciones!$G$8*indicaciones!$D$4</f>
        <v>125277.3584000549</v>
      </c>
      <c r="G22" s="9">
        <f>-E22*indicaciones!$G$9*-indicaciones!$D$5</f>
        <v>67373.412300002616</v>
      </c>
      <c r="H22" s="9">
        <f t="shared" si="2"/>
        <v>192650.7707000575</v>
      </c>
      <c r="I22" s="9"/>
      <c r="J22" s="9">
        <f>-D22*indicaciones!$H$8</f>
        <v>125277.35840005489</v>
      </c>
      <c r="K22" s="9">
        <f>-E22*-indicaciones!$H$9</f>
        <v>67373.412300002616</v>
      </c>
      <c r="L22" s="14">
        <f t="shared" si="3"/>
        <v>192650.7707000575</v>
      </c>
    </row>
    <row r="23" spans="1:12" x14ac:dyDescent="0.25">
      <c r="A23" s="3">
        <v>46034</v>
      </c>
      <c r="B23" s="4">
        <v>7.71</v>
      </c>
      <c r="C23" s="4">
        <v>8.9700000000000006</v>
      </c>
      <c r="D23" s="1">
        <f t="shared" si="0"/>
        <v>-2.0000000000000462</v>
      </c>
      <c r="E23" s="1">
        <f t="shared" si="1"/>
        <v>0</v>
      </c>
      <c r="F23" s="9">
        <f>-D23*indicaciones!$G$8*indicaciones!$D$4</f>
        <v>125277.35840006046</v>
      </c>
      <c r="G23" s="9">
        <f>-E23*indicaciones!$G$9*-indicaciones!$D$5</f>
        <v>0</v>
      </c>
      <c r="H23" s="9">
        <f t="shared" si="2"/>
        <v>125277.35840006046</v>
      </c>
      <c r="I23" s="9"/>
      <c r="J23" s="9">
        <f>-D23*indicaciones!$H$8</f>
        <v>125277.35840006046</v>
      </c>
      <c r="K23" s="9">
        <f>-E23*-indicaciones!$H$9</f>
        <v>0</v>
      </c>
      <c r="L23" s="14">
        <f t="shared" si="3"/>
        <v>125277.35840006046</v>
      </c>
    </row>
    <row r="24" spans="1:12" x14ac:dyDescent="0.25">
      <c r="A24" s="3">
        <v>46031</v>
      </c>
      <c r="B24" s="4">
        <v>7.73</v>
      </c>
      <c r="C24" s="4">
        <v>8.9700000000000006</v>
      </c>
      <c r="D24" s="1">
        <f t="shared" si="0"/>
        <v>0</v>
      </c>
      <c r="E24" s="1">
        <f t="shared" si="1"/>
        <v>6.0000000000000497</v>
      </c>
      <c r="F24" s="9">
        <f>-D24*indicaciones!$G$8*indicaciones!$D$4</f>
        <v>0</v>
      </c>
      <c r="G24" s="9">
        <f>-E24*indicaciones!$G$9*-indicaciones!$D$5</f>
        <v>404240.47380002763</v>
      </c>
      <c r="H24" s="9">
        <f t="shared" si="2"/>
        <v>404240.47380002763</v>
      </c>
      <c r="I24" s="9"/>
      <c r="J24" s="9">
        <f>-D24*indicaciones!$H$8</f>
        <v>0</v>
      </c>
      <c r="K24" s="9">
        <f>-E24*-indicaciones!$H$9</f>
        <v>404240.47380002768</v>
      </c>
      <c r="L24" s="14">
        <f t="shared" si="3"/>
        <v>404240.47380002768</v>
      </c>
    </row>
    <row r="25" spans="1:12" x14ac:dyDescent="0.25">
      <c r="A25" s="3">
        <v>46030</v>
      </c>
      <c r="B25" s="4">
        <v>7.73</v>
      </c>
      <c r="C25" s="4">
        <v>8.91</v>
      </c>
      <c r="D25" s="1">
        <f t="shared" si="0"/>
        <v>3.0000000000000249</v>
      </c>
      <c r="E25" s="1">
        <f t="shared" si="1"/>
        <v>4.0000000000000924</v>
      </c>
      <c r="F25" s="9">
        <f>-D25*indicaciones!$G$8*indicaciones!$D$4</f>
        <v>-187916.0376000879</v>
      </c>
      <c r="G25" s="9">
        <f>-E25*indicaciones!$G$9*-indicaciones!$D$5</f>
        <v>269493.6492000224</v>
      </c>
      <c r="H25" s="9">
        <f t="shared" si="2"/>
        <v>81577.611599934491</v>
      </c>
      <c r="I25" s="9"/>
      <c r="J25" s="9">
        <f>-D25*indicaciones!$H$8</f>
        <v>-187916.0376000879</v>
      </c>
      <c r="K25" s="9">
        <f>-E25*-indicaciones!$H$9</f>
        <v>269493.64920002245</v>
      </c>
      <c r="L25" s="14">
        <f t="shared" si="3"/>
        <v>81577.611599934549</v>
      </c>
    </row>
    <row r="26" spans="1:12" x14ac:dyDescent="0.25">
      <c r="A26" s="3">
        <v>46029</v>
      </c>
      <c r="B26" s="4">
        <v>7.7</v>
      </c>
      <c r="C26" s="4">
        <v>8.8699999999999992</v>
      </c>
      <c r="D26" s="1">
        <f t="shared" si="0"/>
        <v>2.0000000000000462</v>
      </c>
      <c r="E26" s="1">
        <f t="shared" si="1"/>
        <v>-5.0000000000000711</v>
      </c>
      <c r="F26" s="9">
        <f>-D26*indicaciones!$G$8*indicaciones!$D$4</f>
        <v>-125277.35840006046</v>
      </c>
      <c r="G26" s="9">
        <f>-E26*indicaciones!$G$9*-indicaciones!$D$5</f>
        <v>-336867.06150002504</v>
      </c>
      <c r="H26" s="9">
        <f t="shared" si="2"/>
        <v>-462144.41990008549</v>
      </c>
      <c r="I26" s="9"/>
      <c r="J26" s="9">
        <f>-D26*indicaciones!$H$8</f>
        <v>-125277.35840006046</v>
      </c>
      <c r="K26" s="9">
        <f>-E26*-indicaciones!$H$9</f>
        <v>-336867.06150002504</v>
      </c>
      <c r="L26" s="14">
        <f t="shared" si="3"/>
        <v>-462144.41990008549</v>
      </c>
    </row>
    <row r="27" spans="1:12" x14ac:dyDescent="0.25">
      <c r="A27" s="3">
        <v>46028</v>
      </c>
      <c r="B27" s="4">
        <v>7.68</v>
      </c>
      <c r="C27" s="4">
        <v>8.92</v>
      </c>
      <c r="D27" s="1">
        <f t="shared" si="0"/>
        <v>-8.0000000000000071</v>
      </c>
      <c r="E27" s="1">
        <f t="shared" si="1"/>
        <v>-8.0000000000000071</v>
      </c>
      <c r="F27" s="9">
        <f>-D27*indicaciones!$G$8*indicaciones!$D$4</f>
        <v>501109.43360023072</v>
      </c>
      <c r="G27" s="9">
        <f>-E27*indicaciones!$G$9*-indicaciones!$D$5</f>
        <v>-538987.29840003292</v>
      </c>
      <c r="H27" s="9">
        <f t="shared" si="2"/>
        <v>-37877.864799802192</v>
      </c>
      <c r="I27" s="9"/>
      <c r="J27" s="9">
        <f>-D27*indicaciones!$H$8</f>
        <v>501109.43360023072</v>
      </c>
      <c r="K27" s="9">
        <f>-E27*-indicaciones!$H$9</f>
        <v>-538987.29840003292</v>
      </c>
      <c r="L27" s="14">
        <f t="shared" si="3"/>
        <v>-37877.864799802192</v>
      </c>
    </row>
    <row r="28" spans="1:12" x14ac:dyDescent="0.25">
      <c r="A28" s="3">
        <v>46027</v>
      </c>
      <c r="B28" s="4">
        <v>7.76</v>
      </c>
      <c r="C28" s="4">
        <v>9</v>
      </c>
      <c r="D28" s="1">
        <f t="shared" si="0"/>
        <v>-7.0000000000000284</v>
      </c>
      <c r="E28" s="1">
        <f t="shared" si="1"/>
        <v>-7.0000000000000284</v>
      </c>
      <c r="F28" s="9">
        <f>-D28*indicaciones!$G$8*indicaciones!$D$4</f>
        <v>438470.7544002033</v>
      </c>
      <c r="G28" s="9">
        <f>-E28*indicaciones!$G$9*-indicaciones!$D$5</f>
        <v>-471613.88610003027</v>
      </c>
      <c r="H28" s="9">
        <f t="shared" si="2"/>
        <v>-33143.131699826976</v>
      </c>
      <c r="I28" s="9"/>
      <c r="J28" s="9">
        <f>-D28*indicaciones!$H$8</f>
        <v>438470.75440020324</v>
      </c>
      <c r="K28" s="9">
        <f>-E28*-indicaciones!$H$9</f>
        <v>-471613.88610003033</v>
      </c>
      <c r="L28" s="14">
        <f t="shared" si="3"/>
        <v>-33143.131699827092</v>
      </c>
    </row>
    <row r="29" spans="1:12" x14ac:dyDescent="0.25">
      <c r="A29" s="3">
        <v>46024</v>
      </c>
      <c r="B29" s="4">
        <v>7.83</v>
      </c>
      <c r="C29" s="4">
        <v>9.07</v>
      </c>
      <c r="D29" s="1">
        <f t="shared" si="0"/>
        <v>-4.0000000000000036</v>
      </c>
      <c r="E29" s="1">
        <f t="shared" si="1"/>
        <v>-1.9999999999999574</v>
      </c>
      <c r="F29" s="9">
        <f>-D29*indicaciones!$G$8*indicaciones!$D$4</f>
        <v>250554.71680011536</v>
      </c>
      <c r="G29" s="9">
        <f>-E29*indicaciones!$G$9*-indicaciones!$D$5</f>
        <v>-134746.82460000523</v>
      </c>
      <c r="H29" s="9">
        <f t="shared" si="2"/>
        <v>115807.89220011013</v>
      </c>
      <c r="I29" s="9"/>
      <c r="J29" s="9">
        <f>-D29*indicaciones!$H$8</f>
        <v>250554.71680011536</v>
      </c>
      <c r="K29" s="9">
        <f>-E29*-indicaciones!$H$9</f>
        <v>-134746.82460000523</v>
      </c>
      <c r="L29" s="14">
        <f t="shared" si="3"/>
        <v>115807.89220011013</v>
      </c>
    </row>
    <row r="30" spans="1:12" x14ac:dyDescent="0.25">
      <c r="A30" s="3">
        <v>46023</v>
      </c>
      <c r="B30" s="4">
        <v>7.87</v>
      </c>
      <c r="C30" s="4">
        <v>9.09</v>
      </c>
      <c r="D30" s="1">
        <f t="shared" si="0"/>
        <v>-1.9999999999999574</v>
      </c>
      <c r="E30" s="1">
        <f t="shared" si="1"/>
        <v>-6.0000000000000497</v>
      </c>
      <c r="F30" s="9">
        <f>-D30*indicaciones!$G$8*indicaciones!$D$4</f>
        <v>125277.3584000549</v>
      </c>
      <c r="G30" s="9">
        <f>-E30*indicaciones!$G$9*-indicaciones!$D$5</f>
        <v>-404240.47380002763</v>
      </c>
      <c r="H30" s="9">
        <f t="shared" si="2"/>
        <v>-278963.11539997271</v>
      </c>
      <c r="I30" s="9"/>
      <c r="J30" s="9">
        <f>-D30*indicaciones!$H$8</f>
        <v>125277.35840005489</v>
      </c>
      <c r="K30" s="9">
        <f>-E30*-indicaciones!$H$9</f>
        <v>-404240.47380002768</v>
      </c>
      <c r="L30" s="14">
        <f t="shared" si="3"/>
        <v>-278963.11539997277</v>
      </c>
    </row>
    <row r="31" spans="1:12" x14ac:dyDescent="0.25">
      <c r="A31" s="3">
        <v>46022</v>
      </c>
      <c r="B31" s="4">
        <v>7.89</v>
      </c>
      <c r="C31" s="4">
        <v>9.15</v>
      </c>
      <c r="D31" s="1">
        <f t="shared" si="0"/>
        <v>0</v>
      </c>
      <c r="E31" s="1">
        <f t="shared" si="1"/>
        <v>0</v>
      </c>
      <c r="F31" s="9">
        <f>-D31*indicaciones!$G$8*indicaciones!$D$4</f>
        <v>0</v>
      </c>
      <c r="G31" s="9">
        <f>-E31*indicaciones!$G$9*-indicaciones!$D$5</f>
        <v>0</v>
      </c>
      <c r="H31" s="9">
        <f t="shared" si="2"/>
        <v>0</v>
      </c>
      <c r="I31" s="9"/>
      <c r="J31" s="9">
        <f>-D31*indicaciones!$H$8</f>
        <v>0</v>
      </c>
      <c r="K31" s="9">
        <f>-E31*-indicaciones!$H$9</f>
        <v>0</v>
      </c>
      <c r="L31" s="14">
        <f t="shared" si="3"/>
        <v>0</v>
      </c>
    </row>
    <row r="32" spans="1:12" x14ac:dyDescent="0.25">
      <c r="A32" s="3">
        <v>46021</v>
      </c>
      <c r="B32" s="4">
        <v>7.89</v>
      </c>
      <c r="C32" s="4">
        <v>9.15</v>
      </c>
      <c r="D32" s="1">
        <f t="shared" si="0"/>
        <v>-2.0000000000000462</v>
      </c>
      <c r="E32" s="1">
        <f t="shared" si="1"/>
        <v>-3.9999999999999147</v>
      </c>
      <c r="F32" s="9">
        <f>-D32*indicaciones!$G$8*indicaciones!$D$4</f>
        <v>125277.35840006046</v>
      </c>
      <c r="G32" s="9">
        <f>-E32*indicaciones!$G$9*-indicaciones!$D$5</f>
        <v>-269493.64920001046</v>
      </c>
      <c r="H32" s="9">
        <f t="shared" si="2"/>
        <v>-144216.29079995002</v>
      </c>
      <c r="I32" s="9"/>
      <c r="J32" s="9">
        <f>-D32*indicaciones!$H$8</f>
        <v>125277.35840006046</v>
      </c>
      <c r="K32" s="9">
        <f>-E32*-indicaciones!$H$9</f>
        <v>-269493.64920001046</v>
      </c>
      <c r="L32" s="14">
        <f t="shared" si="3"/>
        <v>-144216.29079995002</v>
      </c>
    </row>
    <row r="33" spans="1:12" x14ac:dyDescent="0.25">
      <c r="A33" s="3">
        <v>46020</v>
      </c>
      <c r="B33" s="4">
        <v>7.91</v>
      </c>
      <c r="C33" s="4">
        <v>9.19</v>
      </c>
      <c r="D33" s="1">
        <f t="shared" si="0"/>
        <v>-0.99999999999997868</v>
      </c>
      <c r="E33" s="1">
        <f t="shared" si="1"/>
        <v>0</v>
      </c>
      <c r="F33" s="9">
        <f>-D33*indicaciones!$G$8*indicaciones!$D$4</f>
        <v>62638.679200027451</v>
      </c>
      <c r="G33" s="9">
        <f>-E33*indicaciones!$G$9*-indicaciones!$D$5</f>
        <v>0</v>
      </c>
      <c r="H33" s="9">
        <f t="shared" si="2"/>
        <v>62638.679200027451</v>
      </c>
      <c r="I33" s="9"/>
      <c r="J33" s="9">
        <f>-D33*indicaciones!$H$8</f>
        <v>62638.679200027444</v>
      </c>
      <c r="K33" s="9">
        <f>-E33*-indicaciones!$H$9</f>
        <v>0</v>
      </c>
      <c r="L33" s="14">
        <f t="shared" si="3"/>
        <v>62638.679200027444</v>
      </c>
    </row>
    <row r="34" spans="1:12" x14ac:dyDescent="0.25">
      <c r="A34" s="3">
        <v>46017</v>
      </c>
      <c r="B34" s="4">
        <v>7.92</v>
      </c>
      <c r="C34" s="4">
        <v>9.19</v>
      </c>
      <c r="D34" s="1">
        <f t="shared" si="0"/>
        <v>0.99999999999997868</v>
      </c>
      <c r="E34" s="1">
        <f t="shared" si="1"/>
        <v>2.9999999999999361</v>
      </c>
      <c r="F34" s="9">
        <f>-D34*indicaciones!$G$8*indicaciones!$D$4</f>
        <v>-62638.679200027451</v>
      </c>
      <c r="G34" s="9">
        <f>-E34*indicaciones!$G$9*-indicaciones!$D$5</f>
        <v>202120.23690000785</v>
      </c>
      <c r="H34" s="9">
        <f t="shared" si="2"/>
        <v>139481.55769998039</v>
      </c>
      <c r="I34" s="9"/>
      <c r="J34" s="9">
        <f>-D34*indicaciones!$H$8</f>
        <v>-62638.679200027444</v>
      </c>
      <c r="K34" s="9">
        <f>-E34*-indicaciones!$H$9</f>
        <v>202120.23690000785</v>
      </c>
      <c r="L34" s="14">
        <f t="shared" si="3"/>
        <v>139481.55769998039</v>
      </c>
    </row>
    <row r="35" spans="1:12" x14ac:dyDescent="0.25">
      <c r="A35" s="3">
        <v>46016</v>
      </c>
      <c r="B35" s="4">
        <v>7.91</v>
      </c>
      <c r="C35" s="4">
        <v>9.16</v>
      </c>
      <c r="D35" s="1">
        <f t="shared" si="0"/>
        <v>0</v>
      </c>
      <c r="E35" s="1">
        <f t="shared" si="1"/>
        <v>0</v>
      </c>
      <c r="F35" s="9">
        <f>-D35*indicaciones!$G$8*indicaciones!$D$4</f>
        <v>0</v>
      </c>
      <c r="G35" s="9">
        <f>-E35*indicaciones!$G$9*-indicaciones!$D$5</f>
        <v>0</v>
      </c>
      <c r="H35" s="9">
        <f t="shared" si="2"/>
        <v>0</v>
      </c>
      <c r="I35" s="9"/>
      <c r="J35" s="9">
        <f>-D35*indicaciones!$H$8</f>
        <v>0</v>
      </c>
      <c r="K35" s="9">
        <f>-E35*-indicaciones!$H$9</f>
        <v>0</v>
      </c>
      <c r="L35" s="14">
        <f t="shared" si="3"/>
        <v>0</v>
      </c>
    </row>
    <row r="36" spans="1:12" x14ac:dyDescent="0.25">
      <c r="A36" s="3">
        <v>46015</v>
      </c>
      <c r="B36" s="4">
        <v>7.91</v>
      </c>
      <c r="C36" s="4">
        <v>9.16</v>
      </c>
      <c r="D36" s="1">
        <f t="shared" si="0"/>
        <v>4.9999999999999822</v>
      </c>
      <c r="E36" s="1">
        <f t="shared" si="1"/>
        <v>1.9999999999999574</v>
      </c>
      <c r="F36" s="9">
        <f>-D36*indicaciones!$G$8*indicaciones!$D$4</f>
        <v>-313193.39600014285</v>
      </c>
      <c r="G36" s="9">
        <f>-E36*indicaciones!$G$9*-indicaciones!$D$5</f>
        <v>134746.82460000523</v>
      </c>
      <c r="H36" s="9">
        <f t="shared" si="2"/>
        <v>-178446.57140013762</v>
      </c>
      <c r="I36" s="9"/>
      <c r="J36" s="9">
        <f>-D36*indicaciones!$H$8</f>
        <v>-313193.39600014279</v>
      </c>
      <c r="K36" s="9">
        <f>-E36*-indicaciones!$H$9</f>
        <v>134746.82460000523</v>
      </c>
      <c r="L36" s="14">
        <f t="shared" si="3"/>
        <v>-178446.57140013756</v>
      </c>
    </row>
    <row r="37" spans="1:12" x14ac:dyDescent="0.25">
      <c r="A37" s="3">
        <v>46014</v>
      </c>
      <c r="B37" s="4">
        <v>7.86</v>
      </c>
      <c r="C37" s="4">
        <v>9.14</v>
      </c>
      <c r="D37" s="1">
        <f t="shared" si="0"/>
        <v>1.0000000000000675</v>
      </c>
      <c r="E37" s="1">
        <f t="shared" si="1"/>
        <v>-2.9999999999999361</v>
      </c>
      <c r="F37" s="9">
        <f>-D37*indicaciones!$G$8*indicaciones!$D$4</f>
        <v>-62638.679200033017</v>
      </c>
      <c r="G37" s="9">
        <f>-E37*indicaciones!$G$9*-indicaciones!$D$5</f>
        <v>-202120.23690000785</v>
      </c>
      <c r="H37" s="9">
        <f t="shared" si="2"/>
        <v>-264758.91610004089</v>
      </c>
      <c r="I37" s="9"/>
      <c r="J37" s="9">
        <f>-D37*indicaciones!$H$8</f>
        <v>-62638.67920003301</v>
      </c>
      <c r="K37" s="9">
        <f>-E37*-indicaciones!$H$9</f>
        <v>-202120.23690000785</v>
      </c>
      <c r="L37" s="14">
        <f t="shared" si="3"/>
        <v>-264758.91610004083</v>
      </c>
    </row>
    <row r="38" spans="1:12" x14ac:dyDescent="0.25">
      <c r="A38" s="3">
        <v>46013</v>
      </c>
      <c r="B38" s="4">
        <v>7.85</v>
      </c>
      <c r="C38" s="4">
        <v>9.17</v>
      </c>
      <c r="D38" s="1">
        <f t="shared" si="0"/>
        <v>4.9999999999999822</v>
      </c>
      <c r="E38" s="1">
        <f t="shared" si="1"/>
        <v>10.999999999999943</v>
      </c>
      <c r="F38" s="9">
        <f>-D38*indicaciones!$G$8*indicaciones!$D$4</f>
        <v>-313193.39600014285</v>
      </c>
      <c r="G38" s="9">
        <f>-E38*indicaciones!$G$9*-indicaciones!$D$5</f>
        <v>741107.53530004073</v>
      </c>
      <c r="H38" s="9">
        <f t="shared" si="2"/>
        <v>427914.13929989788</v>
      </c>
      <c r="I38" s="9"/>
      <c r="J38" s="9">
        <f>-D38*indicaciones!$H$8</f>
        <v>-313193.39600014279</v>
      </c>
      <c r="K38" s="9">
        <f>-E38*-indicaciones!$H$9</f>
        <v>741107.53530004073</v>
      </c>
      <c r="L38" s="14">
        <f t="shared" si="3"/>
        <v>427914.13929989794</v>
      </c>
    </row>
    <row r="39" spans="1:12" x14ac:dyDescent="0.25">
      <c r="A39" s="3">
        <v>46010</v>
      </c>
      <c r="B39" s="4">
        <v>7.8</v>
      </c>
      <c r="C39" s="4">
        <v>9.06</v>
      </c>
      <c r="D39" s="1">
        <f t="shared" si="0"/>
        <v>0</v>
      </c>
      <c r="E39" s="1">
        <f t="shared" si="1"/>
        <v>0</v>
      </c>
      <c r="F39" s="9">
        <f>-D39*indicaciones!$G$8*indicaciones!$D$4</f>
        <v>0</v>
      </c>
      <c r="G39" s="9">
        <f>-E39*indicaciones!$G$9*-indicaciones!$D$5</f>
        <v>0</v>
      </c>
      <c r="H39" s="9">
        <f t="shared" si="2"/>
        <v>0</v>
      </c>
      <c r="I39" s="9"/>
      <c r="J39" s="9">
        <f>-D39*indicaciones!$H$8</f>
        <v>0</v>
      </c>
      <c r="K39" s="9">
        <f>-E39*-indicaciones!$H$9</f>
        <v>0</v>
      </c>
      <c r="L39" s="14">
        <f t="shared" si="3"/>
        <v>0</v>
      </c>
    </row>
    <row r="40" spans="1:12" x14ac:dyDescent="0.25">
      <c r="A40" s="3">
        <v>46009</v>
      </c>
      <c r="B40" s="4">
        <v>7.8</v>
      </c>
      <c r="C40" s="4">
        <v>9.06</v>
      </c>
      <c r="D40" s="1">
        <f t="shared" si="0"/>
        <v>-4.9999999999999822</v>
      </c>
      <c r="E40" s="1">
        <f t="shared" si="1"/>
        <v>-1.9999999999999574</v>
      </c>
      <c r="F40" s="9">
        <f>-D40*indicaciones!$G$8*indicaciones!$D$4</f>
        <v>313193.39600014285</v>
      </c>
      <c r="G40" s="9">
        <f>-E40*indicaciones!$G$9*-indicaciones!$D$5</f>
        <v>-134746.82460000523</v>
      </c>
      <c r="H40" s="9">
        <f t="shared" si="2"/>
        <v>178446.57140013762</v>
      </c>
      <c r="I40" s="9"/>
      <c r="J40" s="9">
        <f>-D40*indicaciones!$H$8</f>
        <v>313193.39600014279</v>
      </c>
      <c r="K40" s="9">
        <f>-E40*-indicaciones!$H$9</f>
        <v>-134746.82460000523</v>
      </c>
      <c r="L40" s="14">
        <f t="shared" si="3"/>
        <v>178446.57140013756</v>
      </c>
    </row>
    <row r="41" spans="1:12" x14ac:dyDescent="0.25">
      <c r="A41" s="3">
        <v>46008</v>
      </c>
      <c r="B41" s="4">
        <v>7.85</v>
      </c>
      <c r="C41" s="4">
        <v>9.08</v>
      </c>
      <c r="D41" s="1">
        <f t="shared" si="0"/>
        <v>-8.0000000000000071</v>
      </c>
      <c r="E41" s="1">
        <f t="shared" si="1"/>
        <v>-3.9999999999999147</v>
      </c>
      <c r="F41" s="9">
        <f>-D41*indicaciones!$G$8*indicaciones!$D$4</f>
        <v>501109.43360023072</v>
      </c>
      <c r="G41" s="9">
        <f>-E41*indicaciones!$G$9*-indicaciones!$D$5</f>
        <v>-269493.64920001046</v>
      </c>
      <c r="H41" s="9">
        <f t="shared" si="2"/>
        <v>231615.78440022026</v>
      </c>
      <c r="I41" s="9"/>
      <c r="J41" s="9">
        <f>-D41*indicaciones!$H$8</f>
        <v>501109.43360023072</v>
      </c>
      <c r="K41" s="9">
        <f>-E41*-indicaciones!$H$9</f>
        <v>-269493.64920001046</v>
      </c>
      <c r="L41" s="14">
        <f t="shared" si="3"/>
        <v>231615.78440022026</v>
      </c>
    </row>
    <row r="42" spans="1:12" x14ac:dyDescent="0.25">
      <c r="A42" s="3">
        <v>46007</v>
      </c>
      <c r="B42" s="4">
        <v>7.93</v>
      </c>
      <c r="C42" s="4">
        <v>9.1199999999999992</v>
      </c>
      <c r="D42" s="1">
        <f t="shared" si="0"/>
        <v>-8.9999999999999858</v>
      </c>
      <c r="E42" s="1">
        <f t="shared" si="1"/>
        <v>-3.0000000000001137</v>
      </c>
      <c r="F42" s="9">
        <f>-D42*indicaciones!$G$8*indicaciones!$D$4</f>
        <v>563748.1128002581</v>
      </c>
      <c r="G42" s="9">
        <f>-E42*indicaciones!$G$9*-indicaciones!$D$5</f>
        <v>-202120.23690001981</v>
      </c>
      <c r="H42" s="9">
        <f t="shared" si="2"/>
        <v>361627.87590023829</v>
      </c>
      <c r="I42" s="9"/>
      <c r="J42" s="9">
        <f>-D42*indicaciones!$H$8</f>
        <v>563748.1128002581</v>
      </c>
      <c r="K42" s="9">
        <f>-E42*-indicaciones!$H$9</f>
        <v>-202120.23690001984</v>
      </c>
      <c r="L42" s="14">
        <f t="shared" si="3"/>
        <v>361627.87590023829</v>
      </c>
    </row>
    <row r="43" spans="1:12" x14ac:dyDescent="0.25">
      <c r="A43" s="3">
        <v>46006</v>
      </c>
      <c r="B43" s="4">
        <v>8.02</v>
      </c>
      <c r="C43" s="4">
        <v>9.15</v>
      </c>
      <c r="D43" s="1">
        <f t="shared" si="0"/>
        <v>0</v>
      </c>
      <c r="E43" s="1">
        <f t="shared" si="1"/>
        <v>5.0000000000000711</v>
      </c>
      <c r="F43" s="9">
        <f>-D43*indicaciones!$G$8*indicaciones!$D$4</f>
        <v>0</v>
      </c>
      <c r="G43" s="9">
        <f>-E43*indicaciones!$G$9*-indicaciones!$D$5</f>
        <v>336867.06150002504</v>
      </c>
      <c r="H43" s="9">
        <f t="shared" si="2"/>
        <v>336867.06150002504</v>
      </c>
      <c r="I43" s="9"/>
      <c r="J43" s="9">
        <f>-D43*indicaciones!$H$8</f>
        <v>0</v>
      </c>
      <c r="K43" s="9">
        <f>-E43*-indicaciones!$H$9</f>
        <v>336867.06150002504</v>
      </c>
      <c r="L43" s="14">
        <f t="shared" si="3"/>
        <v>336867.06150002504</v>
      </c>
    </row>
    <row r="44" spans="1:12" x14ac:dyDescent="0.25">
      <c r="A44" s="3">
        <v>46003</v>
      </c>
      <c r="B44" s="4">
        <v>8.02</v>
      </c>
      <c r="C44" s="4">
        <v>9.1</v>
      </c>
      <c r="D44" s="1">
        <f t="shared" si="0"/>
        <v>0</v>
      </c>
      <c r="E44" s="1">
        <f t="shared" si="1"/>
        <v>0</v>
      </c>
      <c r="F44" s="9">
        <f>-D44*indicaciones!$G$8*indicaciones!$D$4</f>
        <v>0</v>
      </c>
      <c r="G44" s="9">
        <f>-E44*indicaciones!$G$9*-indicaciones!$D$5</f>
        <v>0</v>
      </c>
      <c r="H44" s="9">
        <f t="shared" si="2"/>
        <v>0</v>
      </c>
      <c r="I44" s="9"/>
      <c r="J44" s="9">
        <f>-D44*indicaciones!$H$8</f>
        <v>0</v>
      </c>
      <c r="K44" s="9">
        <f>-E44*-indicaciones!$H$9</f>
        <v>0</v>
      </c>
      <c r="L44" s="14">
        <f t="shared" si="3"/>
        <v>0</v>
      </c>
    </row>
    <row r="45" spans="1:12" x14ac:dyDescent="0.25">
      <c r="A45" s="3">
        <v>46002</v>
      </c>
      <c r="B45" s="4">
        <v>8.02</v>
      </c>
      <c r="C45" s="4">
        <v>9.1</v>
      </c>
      <c r="D45" s="1">
        <f t="shared" si="0"/>
        <v>2.9999999999999361</v>
      </c>
      <c r="E45" s="1">
        <f t="shared" si="1"/>
        <v>-0.99999999999997868</v>
      </c>
      <c r="F45" s="9">
        <f>-D45*indicaciones!$G$8*indicaciones!$D$4</f>
        <v>-187916.03760008235</v>
      </c>
      <c r="G45" s="9">
        <f>-E45*indicaciones!$G$9*-indicaciones!$D$5</f>
        <v>-67373.412300002616</v>
      </c>
      <c r="H45" s="9">
        <f t="shared" si="2"/>
        <v>-255289.44990008496</v>
      </c>
      <c r="I45" s="9"/>
      <c r="J45" s="9">
        <f>-D45*indicaciones!$H$8</f>
        <v>-187916.03760008235</v>
      </c>
      <c r="K45" s="9">
        <f>-E45*-indicaciones!$H$9</f>
        <v>-67373.412300002616</v>
      </c>
      <c r="L45" s="14">
        <f t="shared" si="3"/>
        <v>-255289.44990008496</v>
      </c>
    </row>
    <row r="46" spans="1:12" x14ac:dyDescent="0.25">
      <c r="A46" s="3">
        <v>46001</v>
      </c>
      <c r="B46" s="4">
        <v>7.99</v>
      </c>
      <c r="C46" s="4">
        <v>9.11</v>
      </c>
      <c r="D46" s="1">
        <f t="shared" si="0"/>
        <v>2.0000000000000462</v>
      </c>
      <c r="E46" s="1">
        <f t="shared" si="1"/>
        <v>-0.99999999999997868</v>
      </c>
      <c r="F46" s="9">
        <f>-D46*indicaciones!$G$8*indicaciones!$D$4</f>
        <v>-125277.35840006046</v>
      </c>
      <c r="G46" s="9">
        <f>-E46*indicaciones!$G$9*-indicaciones!$D$5</f>
        <v>-67373.412300002616</v>
      </c>
      <c r="H46" s="9">
        <f t="shared" si="2"/>
        <v>-192650.77070006309</v>
      </c>
      <c r="I46" s="9"/>
      <c r="J46" s="9">
        <f>-D46*indicaciones!$H$8</f>
        <v>-125277.35840006046</v>
      </c>
      <c r="K46" s="9">
        <f>-E46*-indicaciones!$H$9</f>
        <v>-67373.412300002616</v>
      </c>
      <c r="L46" s="14">
        <f t="shared" si="3"/>
        <v>-192650.77070006309</v>
      </c>
    </row>
    <row r="47" spans="1:12" x14ac:dyDescent="0.25">
      <c r="A47" s="3">
        <v>46000</v>
      </c>
      <c r="B47" s="4">
        <v>7.97</v>
      </c>
      <c r="C47" s="4">
        <v>9.1199999999999992</v>
      </c>
      <c r="D47" s="1">
        <f t="shared" si="0"/>
        <v>16.999999999999993</v>
      </c>
      <c r="E47" s="1">
        <f t="shared" si="1"/>
        <v>15.999999999999837</v>
      </c>
      <c r="F47" s="9">
        <f>-D47*indicaciones!$G$8*indicaciones!$D$4</f>
        <v>-1064857.5464004891</v>
      </c>
      <c r="G47" s="9">
        <f>-E47*indicaciones!$G$9*-indicaciones!$D$5</f>
        <v>1077974.5968000537</v>
      </c>
      <c r="H47" s="9">
        <f t="shared" si="2"/>
        <v>13117.050399564672</v>
      </c>
      <c r="I47" s="9"/>
      <c r="J47" s="9">
        <f>-D47*indicaciones!$H$8</f>
        <v>-1064857.5464004888</v>
      </c>
      <c r="K47" s="9">
        <f>-E47*-indicaciones!$H$9</f>
        <v>1077974.596800054</v>
      </c>
      <c r="L47" s="14">
        <f t="shared" si="3"/>
        <v>13117.050399565138</v>
      </c>
    </row>
    <row r="48" spans="1:12" x14ac:dyDescent="0.25">
      <c r="A48" s="3">
        <v>45999</v>
      </c>
      <c r="B48" s="4">
        <v>7.8</v>
      </c>
      <c r="C48" s="4">
        <v>8.9600000000000009</v>
      </c>
      <c r="D48" s="1">
        <f t="shared" si="0"/>
        <v>8.0000000000000071</v>
      </c>
      <c r="E48" s="1">
        <f t="shared" si="1"/>
        <v>7.0000000000000284</v>
      </c>
      <c r="F48" s="9">
        <f>-D48*indicaciones!$G$8*indicaciones!$D$4</f>
        <v>-501109.43360023072</v>
      </c>
      <c r="G48" s="9">
        <f>-E48*indicaciones!$G$9*-indicaciones!$D$5</f>
        <v>471613.88610003027</v>
      </c>
      <c r="H48" s="9">
        <f t="shared" si="2"/>
        <v>-29495.547500200453</v>
      </c>
      <c r="I48" s="9"/>
      <c r="J48" s="9">
        <f>-D48*indicaciones!$H$8</f>
        <v>-501109.43360023072</v>
      </c>
      <c r="K48" s="9">
        <f>-E48*-indicaciones!$H$9</f>
        <v>471613.88610003033</v>
      </c>
      <c r="L48" s="14">
        <f t="shared" si="3"/>
        <v>-29495.547500200395</v>
      </c>
    </row>
    <row r="49" spans="1:12" x14ac:dyDescent="0.25">
      <c r="A49" s="3">
        <v>45996</v>
      </c>
      <c r="B49" s="4">
        <v>7.72</v>
      </c>
      <c r="C49" s="4">
        <v>8.89</v>
      </c>
      <c r="D49" s="1">
        <f t="shared" si="0"/>
        <v>2.9999999999999361</v>
      </c>
      <c r="E49" s="1">
        <f t="shared" si="1"/>
        <v>3.0000000000001137</v>
      </c>
      <c r="F49" s="9">
        <f>-D49*indicaciones!$G$8*indicaciones!$D$4</f>
        <v>-187916.03760008235</v>
      </c>
      <c r="G49" s="9">
        <f>-E49*indicaciones!$G$9*-indicaciones!$D$5</f>
        <v>202120.23690001981</v>
      </c>
      <c r="H49" s="9">
        <f t="shared" si="2"/>
        <v>14204.199299937463</v>
      </c>
      <c r="I49" s="9"/>
      <c r="J49" s="9">
        <f>-D49*indicaciones!$H$8</f>
        <v>-187916.03760008235</v>
      </c>
      <c r="K49" s="9">
        <f>-E49*-indicaciones!$H$9</f>
        <v>202120.23690001984</v>
      </c>
      <c r="L49" s="14">
        <f t="shared" si="3"/>
        <v>14204.199299937492</v>
      </c>
    </row>
    <row r="50" spans="1:12" x14ac:dyDescent="0.25">
      <c r="A50" s="3">
        <v>45995</v>
      </c>
      <c r="B50" s="4">
        <v>7.69</v>
      </c>
      <c r="C50" s="4">
        <v>8.86</v>
      </c>
      <c r="D50" s="1">
        <f t="shared" si="0"/>
        <v>2.0000000000000462</v>
      </c>
      <c r="E50" s="1">
        <f t="shared" si="1"/>
        <v>0.99999999999997868</v>
      </c>
      <c r="F50" s="9">
        <f>-D50*indicaciones!$G$8*indicaciones!$D$4</f>
        <v>-125277.35840006046</v>
      </c>
      <c r="G50" s="9">
        <f>-E50*indicaciones!$G$9*-indicaciones!$D$5</f>
        <v>67373.412300002616</v>
      </c>
      <c r="H50" s="9">
        <f t="shared" si="2"/>
        <v>-57903.946100057845</v>
      </c>
      <c r="I50" s="9"/>
      <c r="J50" s="9">
        <f>-D50*indicaciones!$H$8</f>
        <v>-125277.35840006046</v>
      </c>
      <c r="K50" s="9">
        <f>-E50*-indicaciones!$H$9</f>
        <v>67373.412300002616</v>
      </c>
      <c r="L50" s="14">
        <f t="shared" si="3"/>
        <v>-57903.946100057845</v>
      </c>
    </row>
    <row r="51" spans="1:12" x14ac:dyDescent="0.25">
      <c r="A51" s="3">
        <v>45994</v>
      </c>
      <c r="B51" s="4">
        <v>7.67</v>
      </c>
      <c r="C51" s="4">
        <v>8.85</v>
      </c>
      <c r="D51" s="1">
        <f t="shared" si="0"/>
        <v>29.999999999999982</v>
      </c>
      <c r="E51" s="1">
        <f t="shared" si="1"/>
        <v>-4.0000000000000924</v>
      </c>
      <c r="F51" s="9">
        <f>-D51*indicaciones!$G$8*indicaciones!$D$4</f>
        <v>-1879160.3760008623</v>
      </c>
      <c r="G51" s="9">
        <f>-E51*indicaciones!$G$9*-indicaciones!$D$5</f>
        <v>-269493.6492000224</v>
      </c>
      <c r="H51" s="9">
        <f t="shared" si="2"/>
        <v>-2148654.0252008848</v>
      </c>
      <c r="I51" s="9"/>
      <c r="J51" s="9">
        <f>-D51*indicaciones!$H$8</f>
        <v>-1879160.3760008623</v>
      </c>
      <c r="K51" s="9">
        <f>-E51*-indicaciones!$H$9</f>
        <v>-269493.64920002245</v>
      </c>
      <c r="L51" s="14">
        <f t="shared" si="3"/>
        <v>-2148654.0252008848</v>
      </c>
    </row>
    <row r="52" spans="1:12" x14ac:dyDescent="0.25">
      <c r="A52" s="3">
        <v>45993</v>
      </c>
      <c r="B52" s="4">
        <v>7.37</v>
      </c>
      <c r="C52" s="4">
        <v>8.89</v>
      </c>
      <c r="D52" s="1">
        <f t="shared" si="0"/>
        <v>-4.0000000000000036</v>
      </c>
      <c r="E52" s="1">
        <f t="shared" si="1"/>
        <v>-4.9999999999998934</v>
      </c>
      <c r="F52" s="9">
        <f>-D52*indicaciones!$G$8*indicaciones!$D$4</f>
        <v>250554.71680011536</v>
      </c>
      <c r="G52" s="9">
        <f>-E52*indicaciones!$G$9*-indicaciones!$D$5</f>
        <v>-336867.06150001305</v>
      </c>
      <c r="H52" s="9">
        <f t="shared" si="2"/>
        <v>-86312.344699897687</v>
      </c>
      <c r="I52" s="9"/>
      <c r="J52" s="9">
        <f>-D52*indicaciones!$H$8</f>
        <v>250554.71680011536</v>
      </c>
      <c r="K52" s="9">
        <f>-E52*-indicaciones!$H$9</f>
        <v>-336867.06150001311</v>
      </c>
      <c r="L52" s="14">
        <f t="shared" si="3"/>
        <v>-86312.344699897745</v>
      </c>
    </row>
    <row r="53" spans="1:12" x14ac:dyDescent="0.25">
      <c r="A53" s="3">
        <v>45992</v>
      </c>
      <c r="B53" s="4">
        <v>7.41</v>
      </c>
      <c r="C53" s="4">
        <v>8.94</v>
      </c>
      <c r="D53" s="1">
        <f t="shared" si="0"/>
        <v>2.0000000000000462</v>
      </c>
      <c r="E53" s="1">
        <f t="shared" si="1"/>
        <v>3.9999999999999147</v>
      </c>
      <c r="F53" s="9">
        <f>-D53*indicaciones!$G$8*indicaciones!$D$4</f>
        <v>-125277.35840006046</v>
      </c>
      <c r="G53" s="9">
        <f>-E53*indicaciones!$G$9*-indicaciones!$D$5</f>
        <v>269493.64920001046</v>
      </c>
      <c r="H53" s="9">
        <f t="shared" si="2"/>
        <v>144216.29079995002</v>
      </c>
      <c r="I53" s="9"/>
      <c r="J53" s="9">
        <f>-D53*indicaciones!$H$8</f>
        <v>-125277.35840006046</v>
      </c>
      <c r="K53" s="9">
        <f>-E53*-indicaciones!$H$9</f>
        <v>269493.64920001046</v>
      </c>
      <c r="L53" s="14">
        <f t="shared" si="3"/>
        <v>144216.29079995002</v>
      </c>
    </row>
    <row r="54" spans="1:12" x14ac:dyDescent="0.25">
      <c r="A54" s="3">
        <v>45989</v>
      </c>
      <c r="B54" s="4">
        <v>7.39</v>
      </c>
      <c r="C54" s="4">
        <v>8.9</v>
      </c>
      <c r="D54" s="1">
        <f t="shared" si="0"/>
        <v>0</v>
      </c>
      <c r="E54" s="1">
        <f t="shared" si="1"/>
        <v>3.0000000000001137</v>
      </c>
      <c r="F54" s="9">
        <f>-D54*indicaciones!$G$8*indicaciones!$D$4</f>
        <v>0</v>
      </c>
      <c r="G54" s="9">
        <f>-E54*indicaciones!$G$9*-indicaciones!$D$5</f>
        <v>202120.23690001981</v>
      </c>
      <c r="H54" s="9">
        <f t="shared" si="2"/>
        <v>202120.23690001981</v>
      </c>
      <c r="I54" s="9"/>
      <c r="J54" s="9">
        <f>-D54*indicaciones!$H$8</f>
        <v>0</v>
      </c>
      <c r="K54" s="9">
        <f>-E54*-indicaciones!$H$9</f>
        <v>202120.23690001984</v>
      </c>
      <c r="L54" s="14">
        <f t="shared" si="3"/>
        <v>202120.23690001984</v>
      </c>
    </row>
    <row r="55" spans="1:12" x14ac:dyDescent="0.25">
      <c r="A55" s="3">
        <v>45988</v>
      </c>
      <c r="B55" s="4">
        <v>7.39</v>
      </c>
      <c r="C55" s="4">
        <v>8.8699999999999992</v>
      </c>
      <c r="D55" s="1">
        <f t="shared" si="0"/>
        <v>-2.0000000000000462</v>
      </c>
      <c r="E55" s="1">
        <f t="shared" si="1"/>
        <v>-3.0000000000001137</v>
      </c>
      <c r="F55" s="9">
        <f>-D55*indicaciones!$G$8*indicaciones!$D$4</f>
        <v>125277.35840006046</v>
      </c>
      <c r="G55" s="9">
        <f>-E55*indicaciones!$G$9*-indicaciones!$D$5</f>
        <v>-202120.23690001981</v>
      </c>
      <c r="H55" s="9">
        <f t="shared" si="2"/>
        <v>-76842.878499959348</v>
      </c>
      <c r="I55" s="9"/>
      <c r="J55" s="9">
        <f>-D55*indicaciones!$H$8</f>
        <v>125277.35840006046</v>
      </c>
      <c r="K55" s="9">
        <f>-E55*-indicaciones!$H$9</f>
        <v>-202120.23690001984</v>
      </c>
      <c r="L55" s="14">
        <f t="shared" si="3"/>
        <v>-76842.878499959377</v>
      </c>
    </row>
    <row r="56" spans="1:12" x14ac:dyDescent="0.25">
      <c r="A56" s="3">
        <v>45987</v>
      </c>
      <c r="B56" s="4">
        <v>7.41</v>
      </c>
      <c r="C56" s="4">
        <v>8.9</v>
      </c>
      <c r="D56" s="1">
        <f t="shared" si="0"/>
        <v>-7.0000000000000284</v>
      </c>
      <c r="E56" s="1">
        <f t="shared" si="1"/>
        <v>-8.0000000000000071</v>
      </c>
      <c r="F56" s="9">
        <f>-D56*indicaciones!$G$8*indicaciones!$D$4</f>
        <v>438470.7544002033</v>
      </c>
      <c r="G56" s="9">
        <f>-E56*indicaciones!$G$9*-indicaciones!$D$5</f>
        <v>-538987.29840003292</v>
      </c>
      <c r="H56" s="9">
        <f t="shared" si="2"/>
        <v>-100516.54399982962</v>
      </c>
      <c r="I56" s="9"/>
      <c r="J56" s="9">
        <f>-D56*indicaciones!$H$8</f>
        <v>438470.75440020324</v>
      </c>
      <c r="K56" s="9">
        <f>-E56*-indicaciones!$H$9</f>
        <v>-538987.29840003292</v>
      </c>
      <c r="L56" s="14">
        <f t="shared" si="3"/>
        <v>-100516.54399982968</v>
      </c>
    </row>
    <row r="57" spans="1:12" x14ac:dyDescent="0.25">
      <c r="A57" s="3">
        <v>45986</v>
      </c>
      <c r="B57" s="4">
        <v>7.48</v>
      </c>
      <c r="C57" s="4">
        <v>8.98</v>
      </c>
      <c r="D57" s="1">
        <f t="shared" si="0"/>
        <v>-1.9999999999999574</v>
      </c>
      <c r="E57" s="1">
        <f t="shared" si="1"/>
        <v>-0.99999999999997868</v>
      </c>
      <c r="F57" s="9">
        <f>-D57*indicaciones!$G$8*indicaciones!$D$4</f>
        <v>125277.3584000549</v>
      </c>
      <c r="G57" s="9">
        <f>-E57*indicaciones!$G$9*-indicaciones!$D$5</f>
        <v>-67373.412300002616</v>
      </c>
      <c r="H57" s="9">
        <f t="shared" si="2"/>
        <v>57903.946100052286</v>
      </c>
      <c r="I57" s="9"/>
      <c r="J57" s="9">
        <f>-D57*indicaciones!$H$8</f>
        <v>125277.35840005489</v>
      </c>
      <c r="K57" s="9">
        <f>-E57*-indicaciones!$H$9</f>
        <v>-67373.412300002616</v>
      </c>
      <c r="L57" s="14">
        <f t="shared" si="3"/>
        <v>57903.946100052272</v>
      </c>
    </row>
    <row r="58" spans="1:12" x14ac:dyDescent="0.25">
      <c r="A58" s="3">
        <v>45985</v>
      </c>
      <c r="B58" s="4">
        <v>7.5</v>
      </c>
      <c r="C58" s="4">
        <v>8.99</v>
      </c>
      <c r="D58" s="1">
        <f t="shared" si="0"/>
        <v>0</v>
      </c>
      <c r="E58" s="1">
        <f t="shared" si="1"/>
        <v>0</v>
      </c>
      <c r="F58" s="9">
        <f>-D58*indicaciones!$G$8*indicaciones!$D$4</f>
        <v>0</v>
      </c>
      <c r="G58" s="9">
        <f>-E58*indicaciones!$G$9*-indicaciones!$D$5</f>
        <v>0</v>
      </c>
      <c r="H58" s="9">
        <f t="shared" si="2"/>
        <v>0</v>
      </c>
      <c r="I58" s="9"/>
      <c r="J58" s="9">
        <f>-D58*indicaciones!$H$8</f>
        <v>0</v>
      </c>
      <c r="K58" s="9">
        <f>-E58*-indicaciones!$H$9</f>
        <v>0</v>
      </c>
      <c r="L58" s="14">
        <f t="shared" si="3"/>
        <v>0</v>
      </c>
    </row>
    <row r="59" spans="1:12" x14ac:dyDescent="0.25">
      <c r="A59" s="3">
        <v>45982</v>
      </c>
      <c r="B59" s="4">
        <v>7.5</v>
      </c>
      <c r="C59" s="4">
        <v>8.99</v>
      </c>
      <c r="D59" s="1">
        <f t="shared" si="0"/>
        <v>3.0000000000000249</v>
      </c>
      <c r="E59" s="1">
        <f t="shared" si="1"/>
        <v>5.0000000000000711</v>
      </c>
      <c r="F59" s="9">
        <f>-D59*indicaciones!$G$8*indicaciones!$D$4</f>
        <v>-187916.0376000879</v>
      </c>
      <c r="G59" s="9">
        <f>-E59*indicaciones!$G$9*-indicaciones!$D$5</f>
        <v>336867.06150002504</v>
      </c>
      <c r="H59" s="9">
        <f t="shared" si="2"/>
        <v>148951.02389993714</v>
      </c>
      <c r="I59" s="9"/>
      <c r="J59" s="9">
        <f>-D59*indicaciones!$H$8</f>
        <v>-187916.0376000879</v>
      </c>
      <c r="K59" s="9">
        <f>-E59*-indicaciones!$H$9</f>
        <v>336867.06150002504</v>
      </c>
      <c r="L59" s="14">
        <f t="shared" si="3"/>
        <v>148951.02389993714</v>
      </c>
    </row>
    <row r="60" spans="1:12" x14ac:dyDescent="0.25">
      <c r="A60" s="3">
        <v>45981</v>
      </c>
      <c r="B60" s="4">
        <v>7.47</v>
      </c>
      <c r="C60" s="4">
        <v>8.94</v>
      </c>
      <c r="D60" s="1">
        <f t="shared" si="0"/>
        <v>0</v>
      </c>
      <c r="E60" s="1">
        <f t="shared" si="1"/>
        <v>1.9999999999999574</v>
      </c>
      <c r="F60" s="9">
        <f>-D60*indicaciones!$G$8*indicaciones!$D$4</f>
        <v>0</v>
      </c>
      <c r="G60" s="9">
        <f>-E60*indicaciones!$G$9*-indicaciones!$D$5</f>
        <v>134746.82460000523</v>
      </c>
      <c r="H60" s="9">
        <f t="shared" si="2"/>
        <v>134746.82460000523</v>
      </c>
      <c r="I60" s="9"/>
      <c r="J60" s="9">
        <f>-D60*indicaciones!$H$8</f>
        <v>0</v>
      </c>
      <c r="K60" s="9">
        <f>-E60*-indicaciones!$H$9</f>
        <v>134746.82460000523</v>
      </c>
      <c r="L60" s="14">
        <f t="shared" si="3"/>
        <v>134746.82460000523</v>
      </c>
    </row>
    <row r="61" spans="1:12" x14ac:dyDescent="0.25">
      <c r="A61" s="3">
        <v>45980</v>
      </c>
      <c r="B61" s="4">
        <v>7.47</v>
      </c>
      <c r="C61" s="4">
        <v>8.92</v>
      </c>
      <c r="D61" s="1">
        <f t="shared" si="0"/>
        <v>0</v>
      </c>
      <c r="E61" s="1">
        <f t="shared" si="1"/>
        <v>1.9999999999999574</v>
      </c>
      <c r="F61" s="9">
        <f>-D61*indicaciones!$G$8*indicaciones!$D$4</f>
        <v>0</v>
      </c>
      <c r="G61" s="9">
        <f>-E61*indicaciones!$G$9*-indicaciones!$D$5</f>
        <v>134746.82460000523</v>
      </c>
      <c r="H61" s="9">
        <f t="shared" si="2"/>
        <v>134746.82460000523</v>
      </c>
      <c r="I61" s="9"/>
      <c r="J61" s="9">
        <f>-D61*indicaciones!$H$8</f>
        <v>0</v>
      </c>
      <c r="K61" s="9">
        <f>-E61*-indicaciones!$H$9</f>
        <v>134746.82460000523</v>
      </c>
      <c r="L61" s="14">
        <f t="shared" si="3"/>
        <v>134746.82460000523</v>
      </c>
    </row>
    <row r="62" spans="1:12" x14ac:dyDescent="0.25">
      <c r="A62" s="3">
        <v>45979</v>
      </c>
      <c r="B62" s="4">
        <v>7.47</v>
      </c>
      <c r="C62" s="4">
        <v>8.9</v>
      </c>
      <c r="D62" s="1">
        <f t="shared" si="0"/>
        <v>0</v>
      </c>
      <c r="E62" s="1">
        <f t="shared" si="1"/>
        <v>-1.9999999999999574</v>
      </c>
      <c r="F62" s="9">
        <f>-D62*indicaciones!$G$8*indicaciones!$D$4</f>
        <v>0</v>
      </c>
      <c r="G62" s="9">
        <f>-E62*indicaciones!$G$9*-indicaciones!$D$5</f>
        <v>-134746.82460000523</v>
      </c>
      <c r="H62" s="9">
        <f t="shared" si="2"/>
        <v>-134746.82460000523</v>
      </c>
      <c r="I62" s="9"/>
      <c r="J62" s="9">
        <f>-D62*indicaciones!$H$8</f>
        <v>0</v>
      </c>
      <c r="K62" s="9">
        <f>-E62*-indicaciones!$H$9</f>
        <v>-134746.82460000523</v>
      </c>
      <c r="L62" s="14">
        <f t="shared" si="3"/>
        <v>-134746.82460000523</v>
      </c>
    </row>
    <row r="63" spans="1:12" x14ac:dyDescent="0.25">
      <c r="A63" s="3">
        <v>45978</v>
      </c>
      <c r="B63" s="4">
        <v>7.47</v>
      </c>
      <c r="C63" s="4">
        <v>8.92</v>
      </c>
      <c r="D63" s="1">
        <f t="shared" si="0"/>
        <v>0</v>
      </c>
      <c r="E63" s="1">
        <f t="shared" si="1"/>
        <v>0</v>
      </c>
      <c r="F63" s="9">
        <f>-D63*indicaciones!$G$8*indicaciones!$D$4</f>
        <v>0</v>
      </c>
      <c r="G63" s="9">
        <f>-E63*indicaciones!$G$9*-indicaciones!$D$5</f>
        <v>0</v>
      </c>
      <c r="H63" s="9">
        <f t="shared" si="2"/>
        <v>0</v>
      </c>
      <c r="I63" s="9"/>
      <c r="J63" s="9">
        <f>-D63*indicaciones!$H$8</f>
        <v>0</v>
      </c>
      <c r="K63" s="9">
        <f>-E63*-indicaciones!$H$9</f>
        <v>0</v>
      </c>
      <c r="L63" s="14">
        <f t="shared" si="3"/>
        <v>0</v>
      </c>
    </row>
    <row r="64" spans="1:12" x14ac:dyDescent="0.25">
      <c r="A64" s="3">
        <v>45975</v>
      </c>
      <c r="B64" s="4">
        <v>7.47</v>
      </c>
      <c r="C64" s="4">
        <v>8.92</v>
      </c>
      <c r="D64" s="1">
        <f t="shared" si="0"/>
        <v>0</v>
      </c>
      <c r="E64" s="1">
        <f t="shared" si="1"/>
        <v>0.99999999999997868</v>
      </c>
      <c r="F64" s="9">
        <f>-D64*indicaciones!$G$8*indicaciones!$D$4</f>
        <v>0</v>
      </c>
      <c r="G64" s="9">
        <f>-E64*indicaciones!$G$9*-indicaciones!$D$5</f>
        <v>67373.412300002616</v>
      </c>
      <c r="H64" s="9">
        <f t="shared" si="2"/>
        <v>67373.412300002616</v>
      </c>
      <c r="I64" s="9"/>
      <c r="J64" s="9">
        <f>-D64*indicaciones!$H$8</f>
        <v>0</v>
      </c>
      <c r="K64" s="9">
        <f>-E64*-indicaciones!$H$9</f>
        <v>67373.412300002616</v>
      </c>
      <c r="L64" s="14">
        <f t="shared" si="3"/>
        <v>67373.412300002616</v>
      </c>
    </row>
    <row r="65" spans="1:12" x14ac:dyDescent="0.25">
      <c r="A65" s="3">
        <v>45974</v>
      </c>
      <c r="B65" s="4">
        <v>7.47</v>
      </c>
      <c r="C65" s="4">
        <v>8.91</v>
      </c>
      <c r="D65" s="1">
        <f t="shared" si="0"/>
        <v>0</v>
      </c>
      <c r="E65" s="1">
        <f t="shared" si="1"/>
        <v>-0.99999999999997868</v>
      </c>
      <c r="F65" s="9">
        <f>-D65*indicaciones!$G$8*indicaciones!$D$4</f>
        <v>0</v>
      </c>
      <c r="G65" s="9">
        <f>-E65*indicaciones!$G$9*-indicaciones!$D$5</f>
        <v>-67373.412300002616</v>
      </c>
      <c r="H65" s="9">
        <f t="shared" si="2"/>
        <v>-67373.412300002616</v>
      </c>
      <c r="I65" s="9"/>
      <c r="J65" s="9">
        <f>-D65*indicaciones!$H$8</f>
        <v>0</v>
      </c>
      <c r="K65" s="9">
        <f>-E65*-indicaciones!$H$9</f>
        <v>-67373.412300002616</v>
      </c>
      <c r="L65" s="14">
        <f t="shared" si="3"/>
        <v>-67373.412300002616</v>
      </c>
    </row>
    <row r="66" spans="1:12" x14ac:dyDescent="0.25">
      <c r="A66" s="3">
        <v>45973</v>
      </c>
      <c r="B66" s="4">
        <v>7.47</v>
      </c>
      <c r="C66" s="4">
        <v>8.92</v>
      </c>
      <c r="D66" s="1">
        <f t="shared" si="0"/>
        <v>-2.0000000000000462</v>
      </c>
      <c r="E66" s="1">
        <f t="shared" si="1"/>
        <v>-5.0000000000000711</v>
      </c>
      <c r="F66" s="9">
        <f>-D66*indicaciones!$G$8*indicaciones!$D$4</f>
        <v>125277.35840006046</v>
      </c>
      <c r="G66" s="9">
        <f>-E66*indicaciones!$G$9*-indicaciones!$D$5</f>
        <v>-336867.06150002504</v>
      </c>
      <c r="H66" s="9">
        <f t="shared" si="2"/>
        <v>-211589.70309996459</v>
      </c>
      <c r="I66" s="9"/>
      <c r="J66" s="9">
        <f>-D66*indicaciones!$H$8</f>
        <v>125277.35840006046</v>
      </c>
      <c r="K66" s="9">
        <f>-E66*-indicaciones!$H$9</f>
        <v>-336867.06150002504</v>
      </c>
      <c r="L66" s="14">
        <f t="shared" si="3"/>
        <v>-211589.70309996459</v>
      </c>
    </row>
    <row r="67" spans="1:12" x14ac:dyDescent="0.25">
      <c r="A67" s="3">
        <v>45972</v>
      </c>
      <c r="B67" s="4">
        <v>7.49</v>
      </c>
      <c r="C67" s="4">
        <v>8.9700000000000006</v>
      </c>
      <c r="D67" s="1">
        <f t="shared" ref="D67:D130" si="4">(B67-B68)*100</f>
        <v>2.0000000000000462</v>
      </c>
      <c r="E67" s="1">
        <f t="shared" ref="E67:E130" si="5">(C67-C68)*100</f>
        <v>2.000000000000135</v>
      </c>
      <c r="F67" s="9">
        <f>-D67*indicaciones!$G$8*indicaciones!$D$4</f>
        <v>-125277.35840006046</v>
      </c>
      <c r="G67" s="9">
        <f>-E67*indicaciones!$G$9*-indicaciones!$D$5</f>
        <v>134746.82460001719</v>
      </c>
      <c r="H67" s="9">
        <f t="shared" ref="H67:H130" si="6">F67+G67</f>
        <v>9469.4661999567325</v>
      </c>
      <c r="I67" s="9"/>
      <c r="J67" s="9">
        <f>-D67*indicaciones!$H$8</f>
        <v>-125277.35840006046</v>
      </c>
      <c r="K67" s="9">
        <f>-E67*-indicaciones!$H$9</f>
        <v>134746.82460001722</v>
      </c>
      <c r="L67" s="14">
        <f t="shared" ref="L67:L130" si="7">SUM(J67:K67)</f>
        <v>9469.4661999567616</v>
      </c>
    </row>
    <row r="68" spans="1:12" x14ac:dyDescent="0.25">
      <c r="A68" s="3">
        <v>45971</v>
      </c>
      <c r="B68" s="4">
        <v>7.47</v>
      </c>
      <c r="C68" s="4">
        <v>8.9499999999999993</v>
      </c>
      <c r="D68" s="1">
        <f t="shared" si="4"/>
        <v>1.9999999999999574</v>
      </c>
      <c r="E68" s="1">
        <f t="shared" si="5"/>
        <v>1.9999999999999574</v>
      </c>
      <c r="F68" s="9">
        <f>-D68*indicaciones!$G$8*indicaciones!$D$4</f>
        <v>-125277.3584000549</v>
      </c>
      <c r="G68" s="9">
        <f>-E68*indicaciones!$G$9*-indicaciones!$D$5</f>
        <v>134746.82460000523</v>
      </c>
      <c r="H68" s="9">
        <f t="shared" si="6"/>
        <v>9469.4661999503296</v>
      </c>
      <c r="I68" s="9"/>
      <c r="J68" s="9">
        <f>-D68*indicaciones!$H$8</f>
        <v>-125277.35840005489</v>
      </c>
      <c r="K68" s="9">
        <f>-E68*-indicaciones!$H$9</f>
        <v>134746.82460000523</v>
      </c>
      <c r="L68" s="14">
        <f t="shared" si="7"/>
        <v>9469.4661999503442</v>
      </c>
    </row>
    <row r="69" spans="1:12" x14ac:dyDescent="0.25">
      <c r="A69" s="3">
        <v>45968</v>
      </c>
      <c r="B69" s="4">
        <v>7.45</v>
      </c>
      <c r="C69" s="4">
        <v>8.93</v>
      </c>
      <c r="D69" s="1">
        <f t="shared" si="4"/>
        <v>6.0000000000000497</v>
      </c>
      <c r="E69" s="1">
        <f t="shared" si="5"/>
        <v>4.9999999999998934</v>
      </c>
      <c r="F69" s="9">
        <f>-D69*indicaciones!$G$8*indicaciones!$D$4</f>
        <v>-375832.07520017581</v>
      </c>
      <c r="G69" s="9">
        <f>-E69*indicaciones!$G$9*-indicaciones!$D$5</f>
        <v>336867.06150001305</v>
      </c>
      <c r="H69" s="9">
        <f t="shared" si="6"/>
        <v>-38965.013700162759</v>
      </c>
      <c r="I69" s="9"/>
      <c r="J69" s="9">
        <f>-D69*indicaciones!$H$8</f>
        <v>-375832.07520017581</v>
      </c>
      <c r="K69" s="9">
        <f>-E69*-indicaciones!$H$9</f>
        <v>336867.06150001311</v>
      </c>
      <c r="L69" s="14">
        <f t="shared" si="7"/>
        <v>-38965.013700162701</v>
      </c>
    </row>
    <row r="70" spans="1:12" x14ac:dyDescent="0.25">
      <c r="A70" s="3">
        <v>45967</v>
      </c>
      <c r="B70" s="4">
        <v>7.39</v>
      </c>
      <c r="C70" s="4">
        <v>8.8800000000000008</v>
      </c>
      <c r="D70" s="1">
        <f t="shared" si="4"/>
        <v>4.0000000000000036</v>
      </c>
      <c r="E70" s="1">
        <f t="shared" si="5"/>
        <v>0</v>
      </c>
      <c r="F70" s="9">
        <f>-D70*indicaciones!$G$8*indicaciones!$D$4</f>
        <v>-250554.71680011536</v>
      </c>
      <c r="G70" s="9">
        <f>-E70*indicaciones!$G$9*-indicaciones!$D$5</f>
        <v>0</v>
      </c>
      <c r="H70" s="9">
        <f t="shared" si="6"/>
        <v>-250554.71680011536</v>
      </c>
      <c r="I70" s="9"/>
      <c r="J70" s="9">
        <f>-D70*indicaciones!$H$8</f>
        <v>-250554.71680011536</v>
      </c>
      <c r="K70" s="9">
        <f>-E70*-indicaciones!$H$9</f>
        <v>0</v>
      </c>
      <c r="L70" s="14">
        <f t="shared" si="7"/>
        <v>-250554.71680011536</v>
      </c>
    </row>
    <row r="71" spans="1:12" x14ac:dyDescent="0.25">
      <c r="A71" s="3">
        <v>45966</v>
      </c>
      <c r="B71" s="4">
        <v>7.35</v>
      </c>
      <c r="C71" s="4">
        <v>8.8800000000000008</v>
      </c>
      <c r="D71" s="1">
        <f t="shared" si="4"/>
        <v>1.9999999999999574</v>
      </c>
      <c r="E71" s="1">
        <f t="shared" si="5"/>
        <v>2.000000000000135</v>
      </c>
      <c r="F71" s="9">
        <f>-D71*indicaciones!$G$8*indicaciones!$D$4</f>
        <v>-125277.3584000549</v>
      </c>
      <c r="G71" s="9">
        <f>-E71*indicaciones!$G$9*-indicaciones!$D$5</f>
        <v>134746.82460001719</v>
      </c>
      <c r="H71" s="9">
        <f t="shared" si="6"/>
        <v>9469.4661999622913</v>
      </c>
      <c r="I71" s="9"/>
      <c r="J71" s="9">
        <f>-D71*indicaciones!$H$8</f>
        <v>-125277.35840005489</v>
      </c>
      <c r="K71" s="9">
        <f>-E71*-indicaciones!$H$9</f>
        <v>134746.82460001722</v>
      </c>
      <c r="L71" s="14">
        <f t="shared" si="7"/>
        <v>9469.4661999623349</v>
      </c>
    </row>
    <row r="72" spans="1:12" x14ac:dyDescent="0.25">
      <c r="A72" s="3">
        <v>45965</v>
      </c>
      <c r="B72" s="4">
        <v>7.33</v>
      </c>
      <c r="C72" s="4">
        <v>8.86</v>
      </c>
      <c r="D72" s="1">
        <f t="shared" si="4"/>
        <v>3.0000000000000249</v>
      </c>
      <c r="E72" s="1">
        <f t="shared" si="5"/>
        <v>0.99999999999997868</v>
      </c>
      <c r="F72" s="9">
        <f>-D72*indicaciones!$G$8*indicaciones!$D$4</f>
        <v>-187916.0376000879</v>
      </c>
      <c r="G72" s="9">
        <f>-E72*indicaciones!$G$9*-indicaciones!$D$5</f>
        <v>67373.412300002616</v>
      </c>
      <c r="H72" s="9">
        <f t="shared" si="6"/>
        <v>-120542.62530008529</v>
      </c>
      <c r="I72" s="9"/>
      <c r="J72" s="9">
        <f>-D72*indicaciones!$H$8</f>
        <v>-187916.0376000879</v>
      </c>
      <c r="K72" s="9">
        <f>-E72*-indicaciones!$H$9</f>
        <v>67373.412300002616</v>
      </c>
      <c r="L72" s="14">
        <f t="shared" si="7"/>
        <v>-120542.62530008529</v>
      </c>
    </row>
    <row r="73" spans="1:12" x14ac:dyDescent="0.25">
      <c r="A73" s="3">
        <v>45964</v>
      </c>
      <c r="B73" s="4">
        <v>7.3</v>
      </c>
      <c r="C73" s="4">
        <v>8.85</v>
      </c>
      <c r="D73" s="1">
        <f t="shared" si="4"/>
        <v>1.9999999999999574</v>
      </c>
      <c r="E73" s="1">
        <f t="shared" si="5"/>
        <v>0.99999999999997868</v>
      </c>
      <c r="F73" s="9">
        <f>-D73*indicaciones!$G$8*indicaciones!$D$4</f>
        <v>-125277.3584000549</v>
      </c>
      <c r="G73" s="9">
        <f>-E73*indicaciones!$G$9*-indicaciones!$D$5</f>
        <v>67373.412300002616</v>
      </c>
      <c r="H73" s="9">
        <f t="shared" si="6"/>
        <v>-57903.946100052286</v>
      </c>
      <c r="I73" s="9"/>
      <c r="J73" s="9">
        <f>-D73*indicaciones!$H$8</f>
        <v>-125277.35840005489</v>
      </c>
      <c r="K73" s="9">
        <f>-E73*-indicaciones!$H$9</f>
        <v>67373.412300002616</v>
      </c>
      <c r="L73" s="14">
        <f t="shared" si="7"/>
        <v>-57903.946100052272</v>
      </c>
    </row>
    <row r="74" spans="1:12" x14ac:dyDescent="0.25">
      <c r="A74" s="3">
        <v>45961</v>
      </c>
      <c r="B74" s="4">
        <v>7.28</v>
      </c>
      <c r="C74" s="4">
        <v>8.84</v>
      </c>
      <c r="D74" s="1">
        <f t="shared" si="4"/>
        <v>0</v>
      </c>
      <c r="E74" s="1">
        <f t="shared" si="5"/>
        <v>-1.9999999999999574</v>
      </c>
      <c r="F74" s="9">
        <f>-D74*indicaciones!$G$8*indicaciones!$D$4</f>
        <v>0</v>
      </c>
      <c r="G74" s="9">
        <f>-E74*indicaciones!$G$9*-indicaciones!$D$5</f>
        <v>-134746.82460000523</v>
      </c>
      <c r="H74" s="9">
        <f t="shared" si="6"/>
        <v>-134746.82460000523</v>
      </c>
      <c r="I74" s="9"/>
      <c r="J74" s="9">
        <f>-D74*indicaciones!$H$8</f>
        <v>0</v>
      </c>
      <c r="K74" s="9">
        <f>-E74*-indicaciones!$H$9</f>
        <v>-134746.82460000523</v>
      </c>
      <c r="L74" s="14">
        <f t="shared" si="7"/>
        <v>-134746.82460000523</v>
      </c>
    </row>
    <row r="75" spans="1:12" x14ac:dyDescent="0.25">
      <c r="A75" s="3">
        <v>45960</v>
      </c>
      <c r="B75" s="4">
        <v>7.28</v>
      </c>
      <c r="C75" s="4">
        <v>8.86</v>
      </c>
      <c r="D75" s="1">
        <f t="shared" si="4"/>
        <v>-4.9999999999999822</v>
      </c>
      <c r="E75" s="1">
        <f t="shared" si="5"/>
        <v>2.9999999999999361</v>
      </c>
      <c r="F75" s="9">
        <f>-D75*indicaciones!$G$8*indicaciones!$D$4</f>
        <v>313193.39600014285</v>
      </c>
      <c r="G75" s="9">
        <f>-E75*indicaciones!$G$9*-indicaciones!$D$5</f>
        <v>202120.23690000785</v>
      </c>
      <c r="H75" s="9">
        <f t="shared" si="6"/>
        <v>515313.63290015073</v>
      </c>
      <c r="I75" s="9"/>
      <c r="J75" s="9">
        <f>-D75*indicaciones!$H$8</f>
        <v>313193.39600014279</v>
      </c>
      <c r="K75" s="9">
        <f>-E75*-indicaciones!$H$9</f>
        <v>202120.23690000785</v>
      </c>
      <c r="L75" s="14">
        <f t="shared" si="7"/>
        <v>515313.63290015061</v>
      </c>
    </row>
    <row r="76" spans="1:12" x14ac:dyDescent="0.25">
      <c r="A76" s="3">
        <v>45959</v>
      </c>
      <c r="B76" s="4">
        <v>7.33</v>
      </c>
      <c r="C76" s="4">
        <v>8.83</v>
      </c>
      <c r="D76" s="1">
        <f t="shared" si="4"/>
        <v>7.0000000000000284</v>
      </c>
      <c r="E76" s="1">
        <f t="shared" si="5"/>
        <v>9.9999999999999645</v>
      </c>
      <c r="F76" s="9">
        <f>-D76*indicaciones!$G$8*indicaciones!$D$4</f>
        <v>-438470.7544002033</v>
      </c>
      <c r="G76" s="9">
        <f>-E76*indicaciones!$G$9*-indicaciones!$D$5</f>
        <v>673734.12300003821</v>
      </c>
      <c r="H76" s="9">
        <f t="shared" si="6"/>
        <v>235263.36859983491</v>
      </c>
      <c r="I76" s="9"/>
      <c r="J76" s="9">
        <f>-D76*indicaciones!$H$8</f>
        <v>-438470.75440020324</v>
      </c>
      <c r="K76" s="9">
        <f>-E76*-indicaciones!$H$9</f>
        <v>673734.12300003821</v>
      </c>
      <c r="L76" s="14">
        <f t="shared" si="7"/>
        <v>235263.36859983497</v>
      </c>
    </row>
    <row r="77" spans="1:12" x14ac:dyDescent="0.25">
      <c r="A77" s="3">
        <v>45958</v>
      </c>
      <c r="B77" s="4">
        <v>7.26</v>
      </c>
      <c r="C77" s="4">
        <v>8.73</v>
      </c>
      <c r="D77" s="1">
        <f t="shared" si="4"/>
        <v>1.9999999999999574</v>
      </c>
      <c r="E77" s="1">
        <f t="shared" si="5"/>
        <v>-5.9999999999998721</v>
      </c>
      <c r="F77" s="9">
        <f>-D77*indicaciones!$G$8*indicaciones!$D$4</f>
        <v>-125277.3584000549</v>
      </c>
      <c r="G77" s="9">
        <f>-E77*indicaciones!$G$9*-indicaciones!$D$5</f>
        <v>-404240.47380001569</v>
      </c>
      <c r="H77" s="9">
        <f t="shared" si="6"/>
        <v>-529517.83220007061</v>
      </c>
      <c r="I77" s="9"/>
      <c r="J77" s="9">
        <f>-D77*indicaciones!$H$8</f>
        <v>-125277.35840005489</v>
      </c>
      <c r="K77" s="9">
        <f>-E77*-indicaciones!$H$9</f>
        <v>-404240.47380001569</v>
      </c>
      <c r="L77" s="14">
        <f t="shared" si="7"/>
        <v>-529517.83220007061</v>
      </c>
    </row>
    <row r="78" spans="1:12" x14ac:dyDescent="0.25">
      <c r="A78" s="3">
        <v>45957</v>
      </c>
      <c r="B78" s="4">
        <v>7.24</v>
      </c>
      <c r="C78" s="4">
        <v>8.7899999999999991</v>
      </c>
      <c r="D78" s="1">
        <f t="shared" si="4"/>
        <v>-1.9999999999999574</v>
      </c>
      <c r="E78" s="1">
        <f t="shared" si="5"/>
        <v>0</v>
      </c>
      <c r="F78" s="9">
        <f>-D78*indicaciones!$G$8*indicaciones!$D$4</f>
        <v>125277.3584000549</v>
      </c>
      <c r="G78" s="9">
        <f>-E78*indicaciones!$G$9*-indicaciones!$D$5</f>
        <v>0</v>
      </c>
      <c r="H78" s="9">
        <f t="shared" si="6"/>
        <v>125277.3584000549</v>
      </c>
      <c r="I78" s="9"/>
      <c r="J78" s="9">
        <f>-D78*indicaciones!$H$8</f>
        <v>125277.35840005489</v>
      </c>
      <c r="K78" s="9">
        <f>-E78*-indicaciones!$H$9</f>
        <v>0</v>
      </c>
      <c r="L78" s="14">
        <f t="shared" si="7"/>
        <v>125277.35840005489</v>
      </c>
    </row>
    <row r="79" spans="1:12" x14ac:dyDescent="0.25">
      <c r="A79" s="3">
        <v>45954</v>
      </c>
      <c r="B79" s="4">
        <v>7.26</v>
      </c>
      <c r="C79" s="4">
        <v>8.7899999999999991</v>
      </c>
      <c r="D79" s="1">
        <f t="shared" si="4"/>
        <v>0.99999999999997868</v>
      </c>
      <c r="E79" s="1">
        <f t="shared" si="5"/>
        <v>3.9999999999999147</v>
      </c>
      <c r="F79" s="9">
        <f>-D79*indicaciones!$G$8*indicaciones!$D$4</f>
        <v>-62638.679200027451</v>
      </c>
      <c r="G79" s="9">
        <f>-E79*indicaciones!$G$9*-indicaciones!$D$5</f>
        <v>269493.64920001046</v>
      </c>
      <c r="H79" s="9">
        <f t="shared" si="6"/>
        <v>206854.969999983</v>
      </c>
      <c r="I79" s="9"/>
      <c r="J79" s="9">
        <f>-D79*indicaciones!$H$8</f>
        <v>-62638.679200027444</v>
      </c>
      <c r="K79" s="9">
        <f>-E79*-indicaciones!$H$9</f>
        <v>269493.64920001046</v>
      </c>
      <c r="L79" s="14">
        <f t="shared" si="7"/>
        <v>206854.96999998303</v>
      </c>
    </row>
    <row r="80" spans="1:12" x14ac:dyDescent="0.25">
      <c r="A80" s="3">
        <v>45953</v>
      </c>
      <c r="B80" s="4">
        <v>7.25</v>
      </c>
      <c r="C80" s="4">
        <v>8.75</v>
      </c>
      <c r="D80" s="1">
        <f t="shared" si="4"/>
        <v>0.99999999999997868</v>
      </c>
      <c r="E80" s="1">
        <f t="shared" si="5"/>
        <v>5.0000000000000711</v>
      </c>
      <c r="F80" s="9">
        <f>-D80*indicaciones!$G$8*indicaciones!$D$4</f>
        <v>-62638.679200027451</v>
      </c>
      <c r="G80" s="9">
        <f>-E80*indicaciones!$G$9*-indicaciones!$D$5</f>
        <v>336867.06150002504</v>
      </c>
      <c r="H80" s="9">
        <f t="shared" si="6"/>
        <v>274228.38229999761</v>
      </c>
      <c r="I80" s="9"/>
      <c r="J80" s="9">
        <f>-D80*indicaciones!$H$8</f>
        <v>-62638.679200027444</v>
      </c>
      <c r="K80" s="9">
        <f>-E80*-indicaciones!$H$9</f>
        <v>336867.06150002504</v>
      </c>
      <c r="L80" s="14">
        <f t="shared" si="7"/>
        <v>274228.38229999761</v>
      </c>
    </row>
    <row r="81" spans="1:12" x14ac:dyDescent="0.25">
      <c r="A81" s="3">
        <v>45952</v>
      </c>
      <c r="B81" s="4">
        <v>7.24</v>
      </c>
      <c r="C81" s="4">
        <v>8.6999999999999993</v>
      </c>
      <c r="D81" s="1">
        <f t="shared" si="4"/>
        <v>-4.9999999999999822</v>
      </c>
      <c r="E81" s="1">
        <f t="shared" si="5"/>
        <v>-1.0000000000001563</v>
      </c>
      <c r="F81" s="9">
        <f>-D81*indicaciones!$G$8*indicaciones!$D$4</f>
        <v>313193.39600014285</v>
      </c>
      <c r="G81" s="9">
        <f>-E81*indicaciones!$G$9*-indicaciones!$D$5</f>
        <v>-67373.412300014592</v>
      </c>
      <c r="H81" s="9">
        <f t="shared" si="6"/>
        <v>245819.98370012827</v>
      </c>
      <c r="I81" s="9"/>
      <c r="J81" s="9">
        <f>-D81*indicaciones!$H$8</f>
        <v>313193.39600014279</v>
      </c>
      <c r="K81" s="9">
        <f>-E81*-indicaciones!$H$9</f>
        <v>-67373.412300014592</v>
      </c>
      <c r="L81" s="14">
        <f t="shared" si="7"/>
        <v>245819.98370012821</v>
      </c>
    </row>
    <row r="82" spans="1:12" x14ac:dyDescent="0.25">
      <c r="A82" s="3">
        <v>45951</v>
      </c>
      <c r="B82" s="4">
        <v>7.29</v>
      </c>
      <c r="C82" s="4">
        <v>8.7100000000000009</v>
      </c>
      <c r="D82" s="1">
        <f t="shared" si="4"/>
        <v>4.9999999999999822</v>
      </c>
      <c r="E82" s="1">
        <f t="shared" si="5"/>
        <v>-5.9999999999998721</v>
      </c>
      <c r="F82" s="9">
        <f>-D82*indicaciones!$G$8*indicaciones!$D$4</f>
        <v>-313193.39600014285</v>
      </c>
      <c r="G82" s="9">
        <f>-E82*indicaciones!$G$9*-indicaciones!$D$5</f>
        <v>-404240.47380001569</v>
      </c>
      <c r="H82" s="9">
        <f t="shared" si="6"/>
        <v>-717433.86980015854</v>
      </c>
      <c r="I82" s="9"/>
      <c r="J82" s="9">
        <f>-D82*indicaciones!$H$8</f>
        <v>-313193.39600014279</v>
      </c>
      <c r="K82" s="9">
        <f>-E82*-indicaciones!$H$9</f>
        <v>-404240.47380001569</v>
      </c>
      <c r="L82" s="14">
        <f t="shared" si="7"/>
        <v>-717433.86980015854</v>
      </c>
    </row>
    <row r="83" spans="1:12" x14ac:dyDescent="0.25">
      <c r="A83" s="3">
        <v>45950</v>
      </c>
      <c r="B83" s="4">
        <v>7.24</v>
      </c>
      <c r="C83" s="4">
        <v>8.77</v>
      </c>
      <c r="D83" s="1">
        <f t="shared" si="4"/>
        <v>-4.9999999999999822</v>
      </c>
      <c r="E83" s="1">
        <f t="shared" si="5"/>
        <v>2.9999999999999361</v>
      </c>
      <c r="F83" s="9">
        <f>-D83*indicaciones!$G$8*indicaciones!$D$4</f>
        <v>313193.39600014285</v>
      </c>
      <c r="G83" s="9">
        <f>-E83*indicaciones!$G$9*-indicaciones!$D$5</f>
        <v>202120.23690000785</v>
      </c>
      <c r="H83" s="9">
        <f t="shared" si="6"/>
        <v>515313.63290015073</v>
      </c>
      <c r="I83" s="9"/>
      <c r="J83" s="9">
        <f>-D83*indicaciones!$H$8</f>
        <v>313193.39600014279</v>
      </c>
      <c r="K83" s="9">
        <f>-E83*-indicaciones!$H$9</f>
        <v>202120.23690000785</v>
      </c>
      <c r="L83" s="14">
        <f t="shared" si="7"/>
        <v>515313.63290015061</v>
      </c>
    </row>
    <row r="84" spans="1:12" x14ac:dyDescent="0.25">
      <c r="A84" s="3">
        <v>45947</v>
      </c>
      <c r="B84" s="4">
        <v>7.29</v>
      </c>
      <c r="C84" s="4">
        <v>8.74</v>
      </c>
      <c r="D84" s="1">
        <f t="shared" si="4"/>
        <v>0</v>
      </c>
      <c r="E84" s="1">
        <f t="shared" si="5"/>
        <v>6.0000000000000497</v>
      </c>
      <c r="F84" s="9">
        <f>-D84*indicaciones!$G$8*indicaciones!$D$4</f>
        <v>0</v>
      </c>
      <c r="G84" s="9">
        <f>-E84*indicaciones!$G$9*-indicaciones!$D$5</f>
        <v>404240.47380002763</v>
      </c>
      <c r="H84" s="9">
        <f t="shared" si="6"/>
        <v>404240.47380002763</v>
      </c>
      <c r="I84" s="9"/>
      <c r="J84" s="9">
        <f>-D84*indicaciones!$H$8</f>
        <v>0</v>
      </c>
      <c r="K84" s="9">
        <f>-E84*-indicaciones!$H$9</f>
        <v>404240.47380002768</v>
      </c>
      <c r="L84" s="14">
        <f t="shared" si="7"/>
        <v>404240.47380002768</v>
      </c>
    </row>
    <row r="85" spans="1:12" x14ac:dyDescent="0.25">
      <c r="A85" s="3">
        <v>45946</v>
      </c>
      <c r="B85" s="4">
        <v>7.29</v>
      </c>
      <c r="C85" s="4">
        <v>8.68</v>
      </c>
      <c r="D85" s="1">
        <f t="shared" si="4"/>
        <v>-4.0000000000000036</v>
      </c>
      <c r="E85" s="1">
        <f t="shared" si="5"/>
        <v>-1.9999999999999574</v>
      </c>
      <c r="F85" s="9">
        <f>-D85*indicaciones!$G$8*indicaciones!$D$4</f>
        <v>250554.71680011536</v>
      </c>
      <c r="G85" s="9">
        <f>-E85*indicaciones!$G$9*-indicaciones!$D$5</f>
        <v>-134746.82460000523</v>
      </c>
      <c r="H85" s="9">
        <f t="shared" si="6"/>
        <v>115807.89220011013</v>
      </c>
      <c r="I85" s="9"/>
      <c r="J85" s="9">
        <f>-D85*indicaciones!$H$8</f>
        <v>250554.71680011536</v>
      </c>
      <c r="K85" s="9">
        <f>-E85*-indicaciones!$H$9</f>
        <v>-134746.82460000523</v>
      </c>
      <c r="L85" s="14">
        <f t="shared" si="7"/>
        <v>115807.89220011013</v>
      </c>
    </row>
    <row r="86" spans="1:12" x14ac:dyDescent="0.25">
      <c r="A86" s="3">
        <v>45945</v>
      </c>
      <c r="B86" s="4">
        <v>7.33</v>
      </c>
      <c r="C86" s="4">
        <v>8.6999999999999993</v>
      </c>
      <c r="D86" s="1">
        <f t="shared" si="4"/>
        <v>-1.9999999999999574</v>
      </c>
      <c r="E86" s="1">
        <f t="shared" si="5"/>
        <v>-5.0000000000000711</v>
      </c>
      <c r="F86" s="9">
        <f>-D86*indicaciones!$G$8*indicaciones!$D$4</f>
        <v>125277.3584000549</v>
      </c>
      <c r="G86" s="9">
        <f>-E86*indicaciones!$G$9*-indicaciones!$D$5</f>
        <v>-336867.06150002504</v>
      </c>
      <c r="H86" s="9">
        <f t="shared" si="6"/>
        <v>-211589.70309997012</v>
      </c>
      <c r="I86" s="9"/>
      <c r="J86" s="9">
        <f>-D86*indicaciones!$H$8</f>
        <v>125277.35840005489</v>
      </c>
      <c r="K86" s="9">
        <f>-E86*-indicaciones!$H$9</f>
        <v>-336867.06150002504</v>
      </c>
      <c r="L86" s="14">
        <f t="shared" si="7"/>
        <v>-211589.70309997015</v>
      </c>
    </row>
    <row r="87" spans="1:12" x14ac:dyDescent="0.25">
      <c r="A87" s="3">
        <v>45944</v>
      </c>
      <c r="B87" s="4">
        <v>7.35</v>
      </c>
      <c r="C87" s="4">
        <v>8.75</v>
      </c>
      <c r="D87" s="1">
        <f t="shared" si="4"/>
        <v>4.0000000000000036</v>
      </c>
      <c r="E87" s="1">
        <f t="shared" si="5"/>
        <v>0</v>
      </c>
      <c r="F87" s="9">
        <f>-D87*indicaciones!$G$8*indicaciones!$D$4</f>
        <v>-250554.71680011536</v>
      </c>
      <c r="G87" s="9">
        <f>-E87*indicaciones!$G$9*-indicaciones!$D$5</f>
        <v>0</v>
      </c>
      <c r="H87" s="9">
        <f t="shared" si="6"/>
        <v>-250554.71680011536</v>
      </c>
      <c r="I87" s="9"/>
      <c r="J87" s="9">
        <f>-D87*indicaciones!$H$8</f>
        <v>-250554.71680011536</v>
      </c>
      <c r="K87" s="9">
        <f>-E87*-indicaciones!$H$9</f>
        <v>0</v>
      </c>
      <c r="L87" s="14">
        <f t="shared" si="7"/>
        <v>-250554.71680011536</v>
      </c>
    </row>
    <row r="88" spans="1:12" x14ac:dyDescent="0.25">
      <c r="A88" s="3">
        <v>45943</v>
      </c>
      <c r="B88" s="4">
        <v>7.31</v>
      </c>
      <c r="C88" s="4">
        <v>8.75</v>
      </c>
      <c r="D88" s="1">
        <f t="shared" si="4"/>
        <v>-2.0000000000000462</v>
      </c>
      <c r="E88" s="1">
        <f t="shared" si="5"/>
        <v>0</v>
      </c>
      <c r="F88" s="9">
        <f>-D88*indicaciones!$G$8*indicaciones!$D$4</f>
        <v>125277.35840006046</v>
      </c>
      <c r="G88" s="9">
        <f>-E88*indicaciones!$G$9*-indicaciones!$D$5</f>
        <v>0</v>
      </c>
      <c r="H88" s="9">
        <f t="shared" si="6"/>
        <v>125277.35840006046</v>
      </c>
      <c r="I88" s="9"/>
      <c r="J88" s="9">
        <f>-D88*indicaciones!$H$8</f>
        <v>125277.35840006046</v>
      </c>
      <c r="K88" s="9">
        <f>-E88*-indicaciones!$H$9</f>
        <v>0</v>
      </c>
      <c r="L88" s="14">
        <f t="shared" si="7"/>
        <v>125277.35840006046</v>
      </c>
    </row>
    <row r="89" spans="1:12" x14ac:dyDescent="0.25">
      <c r="A89" s="3">
        <v>45940</v>
      </c>
      <c r="B89" s="4">
        <v>7.33</v>
      </c>
      <c r="C89" s="4">
        <v>8.75</v>
      </c>
      <c r="D89" s="1">
        <f t="shared" si="4"/>
        <v>-8.0000000000000071</v>
      </c>
      <c r="E89" s="1">
        <f t="shared" si="5"/>
        <v>-1.9999999999999574</v>
      </c>
      <c r="F89" s="9">
        <f>-D89*indicaciones!$G$8*indicaciones!$D$4</f>
        <v>501109.43360023072</v>
      </c>
      <c r="G89" s="9">
        <f>-E89*indicaciones!$G$9*-indicaciones!$D$5</f>
        <v>-134746.82460000523</v>
      </c>
      <c r="H89" s="9">
        <f t="shared" si="6"/>
        <v>366362.60900022549</v>
      </c>
      <c r="I89" s="9"/>
      <c r="J89" s="9">
        <f>-D89*indicaciones!$H$8</f>
        <v>501109.43360023072</v>
      </c>
      <c r="K89" s="9">
        <f>-E89*-indicaciones!$H$9</f>
        <v>-134746.82460000523</v>
      </c>
      <c r="L89" s="14">
        <f t="shared" si="7"/>
        <v>366362.60900022549</v>
      </c>
    </row>
    <row r="90" spans="1:12" x14ac:dyDescent="0.25">
      <c r="A90" s="3">
        <v>45939</v>
      </c>
      <c r="B90" s="4">
        <v>7.41</v>
      </c>
      <c r="C90" s="4">
        <v>8.77</v>
      </c>
      <c r="D90" s="1">
        <f t="shared" si="4"/>
        <v>0</v>
      </c>
      <c r="E90" s="1">
        <f t="shared" si="5"/>
        <v>-8.0000000000000071</v>
      </c>
      <c r="F90" s="9">
        <f>-D90*indicaciones!$G$8*indicaciones!$D$4</f>
        <v>0</v>
      </c>
      <c r="G90" s="9">
        <f>-E90*indicaciones!$G$9*-indicaciones!$D$5</f>
        <v>-538987.29840003292</v>
      </c>
      <c r="H90" s="9">
        <f t="shared" si="6"/>
        <v>-538987.29840003292</v>
      </c>
      <c r="I90" s="9"/>
      <c r="J90" s="9">
        <f>-D90*indicaciones!$H$8</f>
        <v>0</v>
      </c>
      <c r="K90" s="9">
        <f>-E90*-indicaciones!$H$9</f>
        <v>-538987.29840003292</v>
      </c>
      <c r="L90" s="14">
        <f t="shared" si="7"/>
        <v>-538987.29840003292</v>
      </c>
    </row>
    <row r="91" spans="1:12" x14ac:dyDescent="0.25">
      <c r="A91" s="3">
        <v>45938</v>
      </c>
      <c r="B91" s="4">
        <v>7.41</v>
      </c>
      <c r="C91" s="4">
        <v>8.85</v>
      </c>
      <c r="D91" s="1">
        <f t="shared" si="4"/>
        <v>-4.0000000000000036</v>
      </c>
      <c r="E91" s="1">
        <f t="shared" si="5"/>
        <v>6.0000000000000497</v>
      </c>
      <c r="F91" s="9">
        <f>-D91*indicaciones!$G$8*indicaciones!$D$4</f>
        <v>250554.71680011536</v>
      </c>
      <c r="G91" s="9">
        <f>-E91*indicaciones!$G$9*-indicaciones!$D$5</f>
        <v>404240.47380002763</v>
      </c>
      <c r="H91" s="9">
        <f t="shared" si="6"/>
        <v>654795.19060014305</v>
      </c>
      <c r="I91" s="9"/>
      <c r="J91" s="9">
        <f>-D91*indicaciones!$H$8</f>
        <v>250554.71680011536</v>
      </c>
      <c r="K91" s="9">
        <f>-E91*-indicaciones!$H$9</f>
        <v>404240.47380002768</v>
      </c>
      <c r="L91" s="14">
        <f t="shared" si="7"/>
        <v>654795.19060014305</v>
      </c>
    </row>
    <row r="92" spans="1:12" x14ac:dyDescent="0.25">
      <c r="A92" s="3">
        <v>45937</v>
      </c>
      <c r="B92" s="4">
        <v>7.45</v>
      </c>
      <c r="C92" s="4">
        <v>8.7899999999999991</v>
      </c>
      <c r="D92" s="1">
        <f t="shared" si="4"/>
        <v>0</v>
      </c>
      <c r="E92" s="1">
        <f t="shared" si="5"/>
        <v>2.9999999999999361</v>
      </c>
      <c r="F92" s="9">
        <f>-D92*indicaciones!$G$8*indicaciones!$D$4</f>
        <v>0</v>
      </c>
      <c r="G92" s="9">
        <f>-E92*indicaciones!$G$9*-indicaciones!$D$5</f>
        <v>202120.23690000785</v>
      </c>
      <c r="H92" s="9">
        <f t="shared" si="6"/>
        <v>202120.23690000785</v>
      </c>
      <c r="I92" s="9"/>
      <c r="J92" s="9">
        <f>-D92*indicaciones!$H$8</f>
        <v>0</v>
      </c>
      <c r="K92" s="9">
        <f>-E92*-indicaciones!$H$9</f>
        <v>202120.23690000785</v>
      </c>
      <c r="L92" s="14">
        <f t="shared" si="7"/>
        <v>202120.23690000785</v>
      </c>
    </row>
    <row r="93" spans="1:12" x14ac:dyDescent="0.25">
      <c r="A93" s="3">
        <v>45936</v>
      </c>
      <c r="B93" s="4">
        <v>7.45</v>
      </c>
      <c r="C93" s="4">
        <v>8.76</v>
      </c>
      <c r="D93" s="1">
        <f t="shared" si="4"/>
        <v>2.0000000000000462</v>
      </c>
      <c r="E93" s="1">
        <f t="shared" si="5"/>
        <v>-0.99999999999997868</v>
      </c>
      <c r="F93" s="9">
        <f>-D93*indicaciones!$G$8*indicaciones!$D$4</f>
        <v>-125277.35840006046</v>
      </c>
      <c r="G93" s="9">
        <f>-E93*indicaciones!$G$9*-indicaciones!$D$5</f>
        <v>-67373.412300002616</v>
      </c>
      <c r="H93" s="9">
        <f t="shared" si="6"/>
        <v>-192650.77070006309</v>
      </c>
      <c r="I93" s="9"/>
      <c r="J93" s="9">
        <f>-D93*indicaciones!$H$8</f>
        <v>-125277.35840006046</v>
      </c>
      <c r="K93" s="9">
        <f>-E93*-indicaciones!$H$9</f>
        <v>-67373.412300002616</v>
      </c>
      <c r="L93" s="14">
        <f t="shared" si="7"/>
        <v>-192650.77070006309</v>
      </c>
    </row>
    <row r="94" spans="1:12" x14ac:dyDescent="0.25">
      <c r="A94" s="3">
        <v>45933</v>
      </c>
      <c r="B94" s="4">
        <v>7.43</v>
      </c>
      <c r="C94" s="4">
        <v>8.77</v>
      </c>
      <c r="D94" s="1">
        <f t="shared" si="4"/>
        <v>0</v>
      </c>
      <c r="E94" s="1">
        <f t="shared" si="5"/>
        <v>2.9999999999999361</v>
      </c>
      <c r="F94" s="9">
        <f>-D94*indicaciones!$G$8*indicaciones!$D$4</f>
        <v>0</v>
      </c>
      <c r="G94" s="9">
        <f>-E94*indicaciones!$G$9*-indicaciones!$D$5</f>
        <v>202120.23690000785</v>
      </c>
      <c r="H94" s="9">
        <f t="shared" si="6"/>
        <v>202120.23690000785</v>
      </c>
      <c r="I94" s="9"/>
      <c r="J94" s="9">
        <f>-D94*indicaciones!$H$8</f>
        <v>0</v>
      </c>
      <c r="K94" s="9">
        <f>-E94*-indicaciones!$H$9</f>
        <v>202120.23690000785</v>
      </c>
      <c r="L94" s="14">
        <f t="shared" si="7"/>
        <v>202120.23690000785</v>
      </c>
    </row>
    <row r="95" spans="1:12" x14ac:dyDescent="0.25">
      <c r="A95" s="3">
        <v>45932</v>
      </c>
      <c r="B95" s="4">
        <v>7.43</v>
      </c>
      <c r="C95" s="4">
        <v>8.74</v>
      </c>
      <c r="D95" s="1">
        <f t="shared" si="4"/>
        <v>1.9999999999999574</v>
      </c>
      <c r="E95" s="1">
        <f t="shared" si="5"/>
        <v>0</v>
      </c>
      <c r="F95" s="9">
        <f>-D95*indicaciones!$G$8*indicaciones!$D$4</f>
        <v>-125277.3584000549</v>
      </c>
      <c r="G95" s="9">
        <f>-E95*indicaciones!$G$9*-indicaciones!$D$5</f>
        <v>0</v>
      </c>
      <c r="H95" s="9">
        <f t="shared" si="6"/>
        <v>-125277.3584000549</v>
      </c>
      <c r="I95" s="9"/>
      <c r="J95" s="9">
        <f>-D95*indicaciones!$H$8</f>
        <v>-125277.35840005489</v>
      </c>
      <c r="K95" s="9">
        <f>-E95*-indicaciones!$H$9</f>
        <v>0</v>
      </c>
      <c r="L95" s="14">
        <f t="shared" si="7"/>
        <v>-125277.35840005489</v>
      </c>
    </row>
    <row r="96" spans="1:12" x14ac:dyDescent="0.25">
      <c r="A96" s="3">
        <v>45931</v>
      </c>
      <c r="B96" s="4">
        <v>7.41</v>
      </c>
      <c r="C96" s="4">
        <v>8.74</v>
      </c>
      <c r="D96" s="1">
        <f t="shared" si="4"/>
        <v>-8.0000000000000071</v>
      </c>
      <c r="E96" s="1">
        <f t="shared" si="5"/>
        <v>1.9999999999999574</v>
      </c>
      <c r="F96" s="9">
        <f>-D96*indicaciones!$G$8*indicaciones!$D$4</f>
        <v>501109.43360023072</v>
      </c>
      <c r="G96" s="9">
        <f>-E96*indicaciones!$G$9*-indicaciones!$D$5</f>
        <v>134746.82460000523</v>
      </c>
      <c r="H96" s="9">
        <f t="shared" si="6"/>
        <v>635856.2582002359</v>
      </c>
      <c r="I96" s="9"/>
      <c r="J96" s="9">
        <f>-D96*indicaciones!$H$8</f>
        <v>501109.43360023072</v>
      </c>
      <c r="K96" s="9">
        <f>-E96*-indicaciones!$H$9</f>
        <v>134746.82460000523</v>
      </c>
      <c r="L96" s="14">
        <f t="shared" si="7"/>
        <v>635856.2582002359</v>
      </c>
    </row>
    <row r="97" spans="1:12" x14ac:dyDescent="0.25">
      <c r="A97" s="3">
        <v>45930</v>
      </c>
      <c r="B97" s="4">
        <v>7.49</v>
      </c>
      <c r="C97" s="4">
        <v>8.7200000000000006</v>
      </c>
      <c r="D97" s="1">
        <f t="shared" si="4"/>
        <v>-1.9999999999999574</v>
      </c>
      <c r="E97" s="1">
        <f t="shared" si="5"/>
        <v>-3.9999999999999147</v>
      </c>
      <c r="F97" s="9">
        <f>-D97*indicaciones!$G$8*indicaciones!$D$4</f>
        <v>125277.3584000549</v>
      </c>
      <c r="G97" s="9">
        <f>-E97*indicaciones!$G$9*-indicaciones!$D$5</f>
        <v>-269493.64920001046</v>
      </c>
      <c r="H97" s="9">
        <f t="shared" si="6"/>
        <v>-144216.29079995555</v>
      </c>
      <c r="I97" s="9"/>
      <c r="J97" s="9">
        <f>-D97*indicaciones!$H$8</f>
        <v>125277.35840005489</v>
      </c>
      <c r="K97" s="9">
        <f>-E97*-indicaciones!$H$9</f>
        <v>-269493.64920001046</v>
      </c>
      <c r="L97" s="14">
        <f t="shared" si="7"/>
        <v>-144216.29079995558</v>
      </c>
    </row>
    <row r="98" spans="1:12" x14ac:dyDescent="0.25">
      <c r="A98" s="3">
        <v>45929</v>
      </c>
      <c r="B98" s="4">
        <v>7.51</v>
      </c>
      <c r="C98" s="4">
        <v>8.76</v>
      </c>
      <c r="D98" s="1">
        <f t="shared" si="4"/>
        <v>1.9999999999999574</v>
      </c>
      <c r="E98" s="1">
        <f t="shared" si="5"/>
        <v>1.9999999999999574</v>
      </c>
      <c r="F98" s="9">
        <f>-D98*indicaciones!$G$8*indicaciones!$D$4</f>
        <v>-125277.3584000549</v>
      </c>
      <c r="G98" s="9">
        <f>-E98*indicaciones!$G$9*-indicaciones!$D$5</f>
        <v>134746.82460000523</v>
      </c>
      <c r="H98" s="9">
        <f t="shared" si="6"/>
        <v>9469.4661999503296</v>
      </c>
      <c r="I98" s="9"/>
      <c r="J98" s="9">
        <f>-D98*indicaciones!$H$8</f>
        <v>-125277.35840005489</v>
      </c>
      <c r="K98" s="9">
        <f>-E98*-indicaciones!$H$9</f>
        <v>134746.82460000523</v>
      </c>
      <c r="L98" s="14">
        <f t="shared" si="7"/>
        <v>9469.4661999503442</v>
      </c>
    </row>
    <row r="99" spans="1:12" x14ac:dyDescent="0.25">
      <c r="A99" s="3">
        <v>45926</v>
      </c>
      <c r="B99" s="4">
        <v>7.49</v>
      </c>
      <c r="C99" s="4">
        <v>8.74</v>
      </c>
      <c r="D99" s="1">
        <f t="shared" si="4"/>
        <v>3.0000000000000249</v>
      </c>
      <c r="E99" s="1">
        <f t="shared" si="5"/>
        <v>1.9999999999999574</v>
      </c>
      <c r="F99" s="9">
        <f>-D99*indicaciones!$G$8*indicaciones!$D$4</f>
        <v>-187916.0376000879</v>
      </c>
      <c r="G99" s="9">
        <f>-E99*indicaciones!$G$9*-indicaciones!$D$5</f>
        <v>134746.82460000523</v>
      </c>
      <c r="H99" s="9">
        <f t="shared" si="6"/>
        <v>-53169.213000082673</v>
      </c>
      <c r="I99" s="9"/>
      <c r="J99" s="9">
        <f>-D99*indicaciones!$H$8</f>
        <v>-187916.0376000879</v>
      </c>
      <c r="K99" s="9">
        <f>-E99*-indicaciones!$H$9</f>
        <v>134746.82460000523</v>
      </c>
      <c r="L99" s="14">
        <f t="shared" si="7"/>
        <v>-53169.213000082673</v>
      </c>
    </row>
    <row r="100" spans="1:12" x14ac:dyDescent="0.25">
      <c r="A100" s="3">
        <v>45925</v>
      </c>
      <c r="B100" s="4">
        <v>7.46</v>
      </c>
      <c r="C100" s="4">
        <v>8.7200000000000006</v>
      </c>
      <c r="D100" s="1">
        <f t="shared" si="4"/>
        <v>0.99999999999997868</v>
      </c>
      <c r="E100" s="1">
        <f t="shared" si="5"/>
        <v>2.000000000000135</v>
      </c>
      <c r="F100" s="9">
        <f>-D100*indicaciones!$G$8*indicaciones!$D$4</f>
        <v>-62638.679200027451</v>
      </c>
      <c r="G100" s="9">
        <f>-E100*indicaciones!$G$9*-indicaciones!$D$5</f>
        <v>134746.82460001719</v>
      </c>
      <c r="H100" s="9">
        <f t="shared" si="6"/>
        <v>72108.145399989735</v>
      </c>
      <c r="I100" s="9"/>
      <c r="J100" s="9">
        <f>-D100*indicaciones!$H$8</f>
        <v>-62638.679200027444</v>
      </c>
      <c r="K100" s="9">
        <f>-E100*-indicaciones!$H$9</f>
        <v>134746.82460001722</v>
      </c>
      <c r="L100" s="14">
        <f t="shared" si="7"/>
        <v>72108.145399989779</v>
      </c>
    </row>
    <row r="101" spans="1:12" x14ac:dyDescent="0.25">
      <c r="A101" s="3">
        <v>45924</v>
      </c>
      <c r="B101" s="4">
        <v>7.45</v>
      </c>
      <c r="C101" s="4">
        <v>8.6999999999999993</v>
      </c>
      <c r="D101" s="1">
        <f t="shared" si="4"/>
        <v>-0.99999999999997868</v>
      </c>
      <c r="E101" s="1">
        <f t="shared" si="5"/>
        <v>2.9999999999999361</v>
      </c>
      <c r="F101" s="9">
        <f>-D101*indicaciones!$G$8*indicaciones!$D$4</f>
        <v>62638.679200027451</v>
      </c>
      <c r="G101" s="9">
        <f>-E101*indicaciones!$G$9*-indicaciones!$D$5</f>
        <v>202120.23690000785</v>
      </c>
      <c r="H101" s="9">
        <f t="shared" si="6"/>
        <v>264758.91610003531</v>
      </c>
      <c r="I101" s="9"/>
      <c r="J101" s="9">
        <f>-D101*indicaciones!$H$8</f>
        <v>62638.679200027444</v>
      </c>
      <c r="K101" s="9">
        <f>-E101*-indicaciones!$H$9</f>
        <v>202120.23690000785</v>
      </c>
      <c r="L101" s="14">
        <f t="shared" si="7"/>
        <v>264758.91610003531</v>
      </c>
    </row>
    <row r="102" spans="1:12" x14ac:dyDescent="0.25">
      <c r="A102" s="3">
        <v>45923</v>
      </c>
      <c r="B102" s="4">
        <v>7.46</v>
      </c>
      <c r="C102" s="4">
        <v>8.67</v>
      </c>
      <c r="D102" s="1">
        <f t="shared" si="4"/>
        <v>0.99999999999997868</v>
      </c>
      <c r="E102" s="1">
        <f t="shared" si="5"/>
        <v>-2.9999999999999361</v>
      </c>
      <c r="F102" s="9">
        <f>-D102*indicaciones!$G$8*indicaciones!$D$4</f>
        <v>-62638.679200027451</v>
      </c>
      <c r="G102" s="9">
        <f>-E102*indicaciones!$G$9*-indicaciones!$D$5</f>
        <v>-202120.23690000785</v>
      </c>
      <c r="H102" s="9">
        <f t="shared" si="6"/>
        <v>-264758.91610003531</v>
      </c>
      <c r="I102" s="9"/>
      <c r="J102" s="9">
        <f>-D102*indicaciones!$H$8</f>
        <v>-62638.679200027444</v>
      </c>
      <c r="K102" s="9">
        <f>-E102*-indicaciones!$H$9</f>
        <v>-202120.23690000785</v>
      </c>
      <c r="L102" s="14">
        <f t="shared" si="7"/>
        <v>-264758.91610003531</v>
      </c>
    </row>
    <row r="103" spans="1:12" x14ac:dyDescent="0.25">
      <c r="A103" s="3">
        <v>45922</v>
      </c>
      <c r="B103" s="4">
        <v>7.45</v>
      </c>
      <c r="C103" s="4">
        <v>8.6999999999999993</v>
      </c>
      <c r="D103" s="1">
        <f t="shared" si="4"/>
        <v>-1.9999999999999574</v>
      </c>
      <c r="E103" s="1">
        <f t="shared" si="5"/>
        <v>0.99999999999997868</v>
      </c>
      <c r="F103" s="9">
        <f>-D103*indicaciones!$G$8*indicaciones!$D$4</f>
        <v>125277.3584000549</v>
      </c>
      <c r="G103" s="9">
        <f>-E103*indicaciones!$G$9*-indicaciones!$D$5</f>
        <v>67373.412300002616</v>
      </c>
      <c r="H103" s="9">
        <f t="shared" si="6"/>
        <v>192650.7707000575</v>
      </c>
      <c r="I103" s="9"/>
      <c r="J103" s="9">
        <f>-D103*indicaciones!$H$8</f>
        <v>125277.35840005489</v>
      </c>
      <c r="K103" s="9">
        <f>-E103*-indicaciones!$H$9</f>
        <v>67373.412300002616</v>
      </c>
      <c r="L103" s="14">
        <f t="shared" si="7"/>
        <v>192650.7707000575</v>
      </c>
    </row>
    <row r="104" spans="1:12" x14ac:dyDescent="0.25">
      <c r="A104" s="3">
        <v>45919</v>
      </c>
      <c r="B104" s="4">
        <v>7.47</v>
      </c>
      <c r="C104" s="4">
        <v>8.69</v>
      </c>
      <c r="D104" s="1">
        <f t="shared" si="4"/>
        <v>0.99999999999997868</v>
      </c>
      <c r="E104" s="1">
        <f t="shared" si="5"/>
        <v>4.9999999999998934</v>
      </c>
      <c r="F104" s="9">
        <f>-D104*indicaciones!$G$8*indicaciones!$D$4</f>
        <v>-62638.679200027451</v>
      </c>
      <c r="G104" s="9">
        <f>-E104*indicaciones!$G$9*-indicaciones!$D$5</f>
        <v>336867.06150001305</v>
      </c>
      <c r="H104" s="9">
        <f t="shared" si="6"/>
        <v>274228.38229998562</v>
      </c>
      <c r="I104" s="9"/>
      <c r="J104" s="9">
        <f>-D104*indicaciones!$H$8</f>
        <v>-62638.679200027444</v>
      </c>
      <c r="K104" s="9">
        <f>-E104*-indicaciones!$H$9</f>
        <v>336867.06150001311</v>
      </c>
      <c r="L104" s="14">
        <f t="shared" si="7"/>
        <v>274228.38229998568</v>
      </c>
    </row>
    <row r="105" spans="1:12" x14ac:dyDescent="0.25">
      <c r="A105" s="3">
        <v>45918</v>
      </c>
      <c r="B105" s="4">
        <v>7.46</v>
      </c>
      <c r="C105" s="4">
        <v>8.64</v>
      </c>
      <c r="D105" s="1">
        <f t="shared" si="4"/>
        <v>-5.9999999999999609</v>
      </c>
      <c r="E105" s="1">
        <f t="shared" si="5"/>
        <v>-5.9999999999998721</v>
      </c>
      <c r="F105" s="9">
        <f>-D105*indicaciones!$G$8*indicaciones!$D$4</f>
        <v>375832.07520017022</v>
      </c>
      <c r="G105" s="9">
        <f>-E105*indicaciones!$G$9*-indicaciones!$D$5</f>
        <v>-404240.47380001569</v>
      </c>
      <c r="H105" s="9">
        <f t="shared" si="6"/>
        <v>-28408.398599845474</v>
      </c>
      <c r="I105" s="9"/>
      <c r="J105" s="9">
        <f>-D105*indicaciones!$H$8</f>
        <v>375832.07520017022</v>
      </c>
      <c r="K105" s="9">
        <f>-E105*-indicaciones!$H$9</f>
        <v>-404240.47380001569</v>
      </c>
      <c r="L105" s="14">
        <f t="shared" si="7"/>
        <v>-28408.398599845474</v>
      </c>
    </row>
    <row r="106" spans="1:12" x14ac:dyDescent="0.25">
      <c r="A106" s="3">
        <v>45917</v>
      </c>
      <c r="B106" s="4">
        <v>7.52</v>
      </c>
      <c r="C106" s="4">
        <v>8.6999999999999993</v>
      </c>
      <c r="D106" s="1">
        <f t="shared" si="4"/>
        <v>0.99999999999997868</v>
      </c>
      <c r="E106" s="1">
        <f t="shared" si="5"/>
        <v>-3.0000000000001137</v>
      </c>
      <c r="F106" s="9">
        <f>-D106*indicaciones!$G$8*indicaciones!$D$4</f>
        <v>-62638.679200027451</v>
      </c>
      <c r="G106" s="9">
        <f>-E106*indicaciones!$G$9*-indicaciones!$D$5</f>
        <v>-202120.23690001981</v>
      </c>
      <c r="H106" s="9">
        <f t="shared" si="6"/>
        <v>-264758.91610004724</v>
      </c>
      <c r="I106" s="9"/>
      <c r="J106" s="9">
        <f>-D106*indicaciones!$H$8</f>
        <v>-62638.679200027444</v>
      </c>
      <c r="K106" s="9">
        <f>-E106*-indicaciones!$H$9</f>
        <v>-202120.23690001984</v>
      </c>
      <c r="L106" s="14">
        <f t="shared" si="7"/>
        <v>-264758.9161000473</v>
      </c>
    </row>
    <row r="107" spans="1:12" x14ac:dyDescent="0.25">
      <c r="A107" s="3">
        <v>45916</v>
      </c>
      <c r="B107" s="4">
        <v>7.51</v>
      </c>
      <c r="C107" s="4">
        <v>8.73</v>
      </c>
      <c r="D107" s="1">
        <f t="shared" si="4"/>
        <v>0</v>
      </c>
      <c r="E107" s="1">
        <f t="shared" si="5"/>
        <v>0</v>
      </c>
      <c r="F107" s="9">
        <f>-D107*indicaciones!$G$8*indicaciones!$D$4</f>
        <v>0</v>
      </c>
      <c r="G107" s="9">
        <f>-E107*indicaciones!$G$9*-indicaciones!$D$5</f>
        <v>0</v>
      </c>
      <c r="H107" s="9">
        <f t="shared" si="6"/>
        <v>0</v>
      </c>
      <c r="I107" s="9"/>
      <c r="J107" s="9">
        <f>-D107*indicaciones!$H$8</f>
        <v>0</v>
      </c>
      <c r="K107" s="9">
        <f>-E107*-indicaciones!$H$9</f>
        <v>0</v>
      </c>
      <c r="L107" s="14">
        <f t="shared" si="7"/>
        <v>0</v>
      </c>
    </row>
    <row r="108" spans="1:12" x14ac:dyDescent="0.25">
      <c r="A108" s="3">
        <v>45915</v>
      </c>
      <c r="B108" s="4">
        <v>7.51</v>
      </c>
      <c r="C108" s="4">
        <v>8.73</v>
      </c>
      <c r="D108" s="1">
        <f t="shared" si="4"/>
        <v>-4.0000000000000036</v>
      </c>
      <c r="E108" s="1">
        <f t="shared" si="5"/>
        <v>4.0000000000000924</v>
      </c>
      <c r="F108" s="9">
        <f>-D108*indicaciones!$G$8*indicaciones!$D$4</f>
        <v>250554.71680011536</v>
      </c>
      <c r="G108" s="9">
        <f>-E108*indicaciones!$G$9*-indicaciones!$D$5</f>
        <v>269493.6492000224</v>
      </c>
      <c r="H108" s="9">
        <f t="shared" si="6"/>
        <v>520048.36600013776</v>
      </c>
      <c r="I108" s="9"/>
      <c r="J108" s="9">
        <f>-D108*indicaciones!$H$8</f>
        <v>250554.71680011536</v>
      </c>
      <c r="K108" s="9">
        <f>-E108*-indicaciones!$H$9</f>
        <v>269493.64920002245</v>
      </c>
      <c r="L108" s="14">
        <f t="shared" si="7"/>
        <v>520048.36600013782</v>
      </c>
    </row>
    <row r="109" spans="1:12" x14ac:dyDescent="0.25">
      <c r="A109" s="3">
        <v>45912</v>
      </c>
      <c r="B109" s="4">
        <v>7.55</v>
      </c>
      <c r="C109" s="4">
        <v>8.69</v>
      </c>
      <c r="D109" s="1">
        <f t="shared" si="4"/>
        <v>-0.99999999999997868</v>
      </c>
      <c r="E109" s="1">
        <f t="shared" si="5"/>
        <v>3.9999999999999147</v>
      </c>
      <c r="F109" s="9">
        <f>-D109*indicaciones!$G$8*indicaciones!$D$4</f>
        <v>62638.679200027451</v>
      </c>
      <c r="G109" s="9">
        <f>-E109*indicaciones!$G$9*-indicaciones!$D$5</f>
        <v>269493.64920001046</v>
      </c>
      <c r="H109" s="9">
        <f t="shared" si="6"/>
        <v>332132.32840003789</v>
      </c>
      <c r="I109" s="9"/>
      <c r="J109" s="9">
        <f>-D109*indicaciones!$H$8</f>
        <v>62638.679200027444</v>
      </c>
      <c r="K109" s="9">
        <f>-E109*-indicaciones!$H$9</f>
        <v>269493.64920001046</v>
      </c>
      <c r="L109" s="14">
        <f t="shared" si="7"/>
        <v>332132.32840003789</v>
      </c>
    </row>
    <row r="110" spans="1:12" x14ac:dyDescent="0.25">
      <c r="A110" s="3">
        <v>45911</v>
      </c>
      <c r="B110" s="4">
        <v>7.56</v>
      </c>
      <c r="C110" s="4">
        <v>8.65</v>
      </c>
      <c r="D110" s="1">
        <f t="shared" si="4"/>
        <v>-3.0000000000000249</v>
      </c>
      <c r="E110" s="1">
        <f t="shared" si="5"/>
        <v>-8.9999999999999858</v>
      </c>
      <c r="F110" s="9">
        <f>-D110*indicaciones!$G$8*indicaciones!$D$4</f>
        <v>187916.0376000879</v>
      </c>
      <c r="G110" s="9">
        <f>-E110*indicaciones!$G$9*-indicaciones!$D$5</f>
        <v>-606360.71070003556</v>
      </c>
      <c r="H110" s="9">
        <f t="shared" si="6"/>
        <v>-418444.67309994763</v>
      </c>
      <c r="I110" s="9"/>
      <c r="J110" s="9">
        <f>-D110*indicaciones!$H$8</f>
        <v>187916.0376000879</v>
      </c>
      <c r="K110" s="9">
        <f>-E110*-indicaciones!$H$9</f>
        <v>-606360.71070003556</v>
      </c>
      <c r="L110" s="14">
        <f t="shared" si="7"/>
        <v>-418444.67309994763</v>
      </c>
    </row>
    <row r="111" spans="1:12" x14ac:dyDescent="0.25">
      <c r="A111" s="3">
        <v>45910</v>
      </c>
      <c r="B111" s="4">
        <v>7.59</v>
      </c>
      <c r="C111" s="4">
        <v>8.74</v>
      </c>
      <c r="D111" s="1">
        <f t="shared" si="4"/>
        <v>-3.0000000000000249</v>
      </c>
      <c r="E111" s="1">
        <f t="shared" si="5"/>
        <v>-6.0000000000000497</v>
      </c>
      <c r="F111" s="9">
        <f>-D111*indicaciones!$G$8*indicaciones!$D$4</f>
        <v>187916.0376000879</v>
      </c>
      <c r="G111" s="9">
        <f>-E111*indicaciones!$G$9*-indicaciones!$D$5</f>
        <v>-404240.47380002763</v>
      </c>
      <c r="H111" s="9">
        <f t="shared" si="6"/>
        <v>-216324.43619993972</v>
      </c>
      <c r="I111" s="9"/>
      <c r="J111" s="9">
        <f>-D111*indicaciones!$H$8</f>
        <v>187916.0376000879</v>
      </c>
      <c r="K111" s="9">
        <f>-E111*-indicaciones!$H$9</f>
        <v>-404240.47380002768</v>
      </c>
      <c r="L111" s="14">
        <f t="shared" si="7"/>
        <v>-216324.43619993978</v>
      </c>
    </row>
    <row r="112" spans="1:12" x14ac:dyDescent="0.25">
      <c r="A112" s="3">
        <v>45909</v>
      </c>
      <c r="B112" s="4">
        <v>7.62</v>
      </c>
      <c r="C112" s="4">
        <v>8.8000000000000007</v>
      </c>
      <c r="D112" s="1">
        <f t="shared" si="4"/>
        <v>0</v>
      </c>
      <c r="E112" s="1">
        <f t="shared" si="5"/>
        <v>2.000000000000135</v>
      </c>
      <c r="F112" s="9">
        <f>-D112*indicaciones!$G$8*indicaciones!$D$4</f>
        <v>0</v>
      </c>
      <c r="G112" s="9">
        <f>-E112*indicaciones!$G$9*-indicaciones!$D$5</f>
        <v>134746.82460001719</v>
      </c>
      <c r="H112" s="9">
        <f t="shared" si="6"/>
        <v>134746.82460001719</v>
      </c>
      <c r="I112" s="9"/>
      <c r="J112" s="9">
        <f>-D112*indicaciones!$H$8</f>
        <v>0</v>
      </c>
      <c r="K112" s="9">
        <f>-E112*-indicaciones!$H$9</f>
        <v>134746.82460001722</v>
      </c>
      <c r="L112" s="14">
        <f t="shared" si="7"/>
        <v>134746.82460001722</v>
      </c>
    </row>
    <row r="113" spans="1:12" x14ac:dyDescent="0.25">
      <c r="A113" s="3">
        <v>45908</v>
      </c>
      <c r="B113" s="4">
        <v>7.62</v>
      </c>
      <c r="C113" s="4">
        <v>8.7799999999999994</v>
      </c>
      <c r="D113" s="1">
        <f t="shared" si="4"/>
        <v>-4.0000000000000036</v>
      </c>
      <c r="E113" s="1">
        <f t="shared" si="5"/>
        <v>-4.0000000000000924</v>
      </c>
      <c r="F113" s="9">
        <f>-D113*indicaciones!$G$8*indicaciones!$D$4</f>
        <v>250554.71680011536</v>
      </c>
      <c r="G113" s="9">
        <f>-E113*indicaciones!$G$9*-indicaciones!$D$5</f>
        <v>-269493.6492000224</v>
      </c>
      <c r="H113" s="9">
        <f t="shared" si="6"/>
        <v>-18938.932399907033</v>
      </c>
      <c r="I113" s="9"/>
      <c r="J113" s="9">
        <f>-D113*indicaciones!$H$8</f>
        <v>250554.71680011536</v>
      </c>
      <c r="K113" s="9">
        <f>-E113*-indicaciones!$H$9</f>
        <v>-269493.64920002245</v>
      </c>
      <c r="L113" s="14">
        <f t="shared" si="7"/>
        <v>-18938.932399907091</v>
      </c>
    </row>
    <row r="114" spans="1:12" x14ac:dyDescent="0.25">
      <c r="A114" s="3">
        <v>45905</v>
      </c>
      <c r="B114" s="4">
        <v>7.66</v>
      </c>
      <c r="C114" s="4">
        <v>8.82</v>
      </c>
      <c r="D114" s="1">
        <f t="shared" si="4"/>
        <v>-8.0000000000000071</v>
      </c>
      <c r="E114" s="1">
        <f t="shared" si="5"/>
        <v>-6.0000000000000497</v>
      </c>
      <c r="F114" s="9">
        <f>-D114*indicaciones!$G$8*indicaciones!$D$4</f>
        <v>501109.43360023072</v>
      </c>
      <c r="G114" s="9">
        <f>-E114*indicaciones!$G$9*-indicaciones!$D$5</f>
        <v>-404240.47380002763</v>
      </c>
      <c r="H114" s="9">
        <f t="shared" si="6"/>
        <v>96868.959800203098</v>
      </c>
      <c r="I114" s="9"/>
      <c r="J114" s="9">
        <f>-D114*indicaciones!$H$8</f>
        <v>501109.43360023072</v>
      </c>
      <c r="K114" s="9">
        <f>-E114*-indicaciones!$H$9</f>
        <v>-404240.47380002768</v>
      </c>
      <c r="L114" s="14">
        <f t="shared" si="7"/>
        <v>96868.95980020304</v>
      </c>
    </row>
    <row r="115" spans="1:12" x14ac:dyDescent="0.25">
      <c r="A115" s="3">
        <v>45904</v>
      </c>
      <c r="B115" s="4">
        <v>7.74</v>
      </c>
      <c r="C115" s="4">
        <v>8.8800000000000008</v>
      </c>
      <c r="D115" s="1">
        <f t="shared" si="4"/>
        <v>-2.9999999999999361</v>
      </c>
      <c r="E115" s="1">
        <f t="shared" si="5"/>
        <v>-4.9999999999998934</v>
      </c>
      <c r="F115" s="9">
        <f>-D115*indicaciones!$G$8*indicaciones!$D$4</f>
        <v>187916.03760008235</v>
      </c>
      <c r="G115" s="9">
        <f>-E115*indicaciones!$G$9*-indicaciones!$D$5</f>
        <v>-336867.06150001305</v>
      </c>
      <c r="H115" s="9">
        <f t="shared" si="6"/>
        <v>-148951.0238999307</v>
      </c>
      <c r="I115" s="9"/>
      <c r="J115" s="9">
        <f>-D115*indicaciones!$H$8</f>
        <v>187916.03760008235</v>
      </c>
      <c r="K115" s="9">
        <f>-E115*-indicaciones!$H$9</f>
        <v>-336867.06150001311</v>
      </c>
      <c r="L115" s="14">
        <f t="shared" si="7"/>
        <v>-148951.02389993076</v>
      </c>
    </row>
    <row r="116" spans="1:12" x14ac:dyDescent="0.25">
      <c r="A116" s="3">
        <v>45903</v>
      </c>
      <c r="B116" s="4">
        <v>7.77</v>
      </c>
      <c r="C116" s="4">
        <v>8.93</v>
      </c>
      <c r="D116" s="1">
        <f t="shared" si="4"/>
        <v>4.9999999999999822</v>
      </c>
      <c r="E116" s="1">
        <f t="shared" si="5"/>
        <v>0.99999999999997868</v>
      </c>
      <c r="F116" s="9">
        <f>-D116*indicaciones!$G$8*indicaciones!$D$4</f>
        <v>-313193.39600014285</v>
      </c>
      <c r="G116" s="9">
        <f>-E116*indicaciones!$G$9*-indicaciones!$D$5</f>
        <v>67373.412300002616</v>
      </c>
      <c r="H116" s="9">
        <f t="shared" si="6"/>
        <v>-245819.98370014023</v>
      </c>
      <c r="I116" s="9"/>
      <c r="J116" s="9">
        <f>-D116*indicaciones!$H$8</f>
        <v>-313193.39600014279</v>
      </c>
      <c r="K116" s="9">
        <f>-E116*-indicaciones!$H$9</f>
        <v>67373.412300002616</v>
      </c>
      <c r="L116" s="14">
        <f t="shared" si="7"/>
        <v>-245819.98370014018</v>
      </c>
    </row>
    <row r="117" spans="1:12" x14ac:dyDescent="0.25">
      <c r="A117" s="3">
        <v>45902</v>
      </c>
      <c r="B117" s="4">
        <v>7.72</v>
      </c>
      <c r="C117" s="4">
        <v>8.92</v>
      </c>
      <c r="D117" s="1">
        <f t="shared" si="4"/>
        <v>-4.9999999999999822</v>
      </c>
      <c r="E117" s="1">
        <f t="shared" si="5"/>
        <v>0</v>
      </c>
      <c r="F117" s="9">
        <f>-D117*indicaciones!$G$8*indicaciones!$D$4</f>
        <v>313193.39600014285</v>
      </c>
      <c r="G117" s="9">
        <f>-E117*indicaciones!$G$9*-indicaciones!$D$5</f>
        <v>0</v>
      </c>
      <c r="H117" s="9">
        <f t="shared" si="6"/>
        <v>313193.39600014285</v>
      </c>
      <c r="I117" s="9"/>
      <c r="J117" s="9">
        <f>-D117*indicaciones!$H$8</f>
        <v>313193.39600014279</v>
      </c>
      <c r="K117" s="9">
        <f>-E117*-indicaciones!$H$9</f>
        <v>0</v>
      </c>
      <c r="L117" s="14">
        <f t="shared" si="7"/>
        <v>313193.39600014279</v>
      </c>
    </row>
    <row r="118" spans="1:12" x14ac:dyDescent="0.25">
      <c r="A118" s="3">
        <v>45901</v>
      </c>
      <c r="B118" s="4">
        <v>7.77</v>
      </c>
      <c r="C118" s="4">
        <v>8.92</v>
      </c>
      <c r="D118" s="1">
        <f t="shared" si="4"/>
        <v>0</v>
      </c>
      <c r="E118" s="1">
        <f t="shared" si="5"/>
        <v>0</v>
      </c>
      <c r="F118" s="9">
        <f>-D118*indicaciones!$G$8*indicaciones!$D$4</f>
        <v>0</v>
      </c>
      <c r="G118" s="9">
        <f>-E118*indicaciones!$G$9*-indicaciones!$D$5</f>
        <v>0</v>
      </c>
      <c r="H118" s="9">
        <f t="shared" si="6"/>
        <v>0</v>
      </c>
      <c r="I118" s="9"/>
      <c r="J118" s="9">
        <f>-D118*indicaciones!$H$8</f>
        <v>0</v>
      </c>
      <c r="K118" s="9">
        <f>-E118*-indicaciones!$H$9</f>
        <v>0</v>
      </c>
      <c r="L118" s="14">
        <f t="shared" si="7"/>
        <v>0</v>
      </c>
    </row>
    <row r="119" spans="1:12" x14ac:dyDescent="0.25">
      <c r="A119" s="3">
        <v>45898</v>
      </c>
      <c r="B119" s="4">
        <v>7.77</v>
      </c>
      <c r="C119" s="4">
        <v>8.92</v>
      </c>
      <c r="D119" s="1">
        <f t="shared" si="4"/>
        <v>0</v>
      </c>
      <c r="E119" s="1">
        <f t="shared" si="5"/>
        <v>1.9999999999999574</v>
      </c>
      <c r="F119" s="9">
        <f>-D119*indicaciones!$G$8*indicaciones!$D$4</f>
        <v>0</v>
      </c>
      <c r="G119" s="9">
        <f>-E119*indicaciones!$G$9*-indicaciones!$D$5</f>
        <v>134746.82460000523</v>
      </c>
      <c r="H119" s="9">
        <f t="shared" si="6"/>
        <v>134746.82460000523</v>
      </c>
      <c r="I119" s="9"/>
      <c r="J119" s="9">
        <f>-D119*indicaciones!$H$8</f>
        <v>0</v>
      </c>
      <c r="K119" s="9">
        <f>-E119*-indicaciones!$H$9</f>
        <v>134746.82460000523</v>
      </c>
      <c r="L119" s="14">
        <f t="shared" si="7"/>
        <v>134746.82460000523</v>
      </c>
    </row>
    <row r="120" spans="1:12" x14ac:dyDescent="0.25">
      <c r="A120" s="3">
        <v>45897</v>
      </c>
      <c r="B120" s="4">
        <v>7.77</v>
      </c>
      <c r="C120" s="4">
        <v>8.9</v>
      </c>
      <c r="D120" s="1">
        <f t="shared" si="4"/>
        <v>-2.0000000000000462</v>
      </c>
      <c r="E120" s="1">
        <f t="shared" si="5"/>
        <v>-1.9999999999999574</v>
      </c>
      <c r="F120" s="9">
        <f>-D120*indicaciones!$G$8*indicaciones!$D$4</f>
        <v>125277.35840006046</v>
      </c>
      <c r="G120" s="9">
        <f>-E120*indicaciones!$G$9*-indicaciones!$D$5</f>
        <v>-134746.82460000523</v>
      </c>
      <c r="H120" s="9">
        <f t="shared" si="6"/>
        <v>-9469.4661999447708</v>
      </c>
      <c r="I120" s="9"/>
      <c r="J120" s="9">
        <f>-D120*indicaciones!$H$8</f>
        <v>125277.35840006046</v>
      </c>
      <c r="K120" s="9">
        <f>-E120*-indicaciones!$H$9</f>
        <v>-134746.82460000523</v>
      </c>
      <c r="L120" s="14">
        <f t="shared" si="7"/>
        <v>-9469.4661999447708</v>
      </c>
    </row>
    <row r="121" spans="1:12" x14ac:dyDescent="0.25">
      <c r="A121" s="3">
        <v>45896</v>
      </c>
      <c r="B121" s="4">
        <v>7.79</v>
      </c>
      <c r="C121" s="4">
        <v>8.92</v>
      </c>
      <c r="D121" s="1">
        <f t="shared" si="4"/>
        <v>2.0000000000000462</v>
      </c>
      <c r="E121" s="1">
        <f t="shared" si="5"/>
        <v>-1.9999999999999574</v>
      </c>
      <c r="F121" s="9">
        <f>-D121*indicaciones!$G$8*indicaciones!$D$4</f>
        <v>-125277.35840006046</v>
      </c>
      <c r="G121" s="9">
        <f>-E121*indicaciones!$G$9*-indicaciones!$D$5</f>
        <v>-134746.82460000523</v>
      </c>
      <c r="H121" s="9">
        <f t="shared" si="6"/>
        <v>-260024.18300006568</v>
      </c>
      <c r="I121" s="9"/>
      <c r="J121" s="9">
        <f>-D121*indicaciones!$H$8</f>
        <v>-125277.35840006046</v>
      </c>
      <c r="K121" s="9">
        <f>-E121*-indicaciones!$H$9</f>
        <v>-134746.82460000523</v>
      </c>
      <c r="L121" s="14">
        <f t="shared" si="7"/>
        <v>-260024.18300006568</v>
      </c>
    </row>
    <row r="122" spans="1:12" x14ac:dyDescent="0.25">
      <c r="A122" s="3">
        <v>45895</v>
      </c>
      <c r="B122" s="4">
        <v>7.77</v>
      </c>
      <c r="C122" s="4">
        <v>8.94</v>
      </c>
      <c r="D122" s="1">
        <f t="shared" si="4"/>
        <v>0</v>
      </c>
      <c r="E122" s="1">
        <f t="shared" si="5"/>
        <v>-0.99999999999997868</v>
      </c>
      <c r="F122" s="9">
        <f>-D122*indicaciones!$G$8*indicaciones!$D$4</f>
        <v>0</v>
      </c>
      <c r="G122" s="9">
        <f>-E122*indicaciones!$G$9*-indicaciones!$D$5</f>
        <v>-67373.412300002616</v>
      </c>
      <c r="H122" s="9">
        <f t="shared" si="6"/>
        <v>-67373.412300002616</v>
      </c>
      <c r="I122" s="9"/>
      <c r="J122" s="9">
        <f>-D122*indicaciones!$H$8</f>
        <v>0</v>
      </c>
      <c r="K122" s="9">
        <f>-E122*-indicaciones!$H$9</f>
        <v>-67373.412300002616</v>
      </c>
      <c r="L122" s="14">
        <f t="shared" si="7"/>
        <v>-67373.412300002616</v>
      </c>
    </row>
    <row r="123" spans="1:12" x14ac:dyDescent="0.25">
      <c r="A123" s="3">
        <v>45894</v>
      </c>
      <c r="B123" s="4">
        <v>7.77</v>
      </c>
      <c r="C123" s="4">
        <v>8.9499999999999993</v>
      </c>
      <c r="D123" s="1">
        <f t="shared" si="4"/>
        <v>-2.0000000000000462</v>
      </c>
      <c r="E123" s="1">
        <f t="shared" si="5"/>
        <v>1.9999999999999574</v>
      </c>
      <c r="F123" s="9">
        <f>-D123*indicaciones!$G$8*indicaciones!$D$4</f>
        <v>125277.35840006046</v>
      </c>
      <c r="G123" s="9">
        <f>-E123*indicaciones!$G$9*-indicaciones!$D$5</f>
        <v>134746.82460000523</v>
      </c>
      <c r="H123" s="9">
        <f t="shared" si="6"/>
        <v>260024.18300006568</v>
      </c>
      <c r="I123" s="9"/>
      <c r="J123" s="9">
        <f>-D123*indicaciones!$H$8</f>
        <v>125277.35840006046</v>
      </c>
      <c r="K123" s="9">
        <f>-E123*-indicaciones!$H$9</f>
        <v>134746.82460000523</v>
      </c>
      <c r="L123" s="14">
        <f t="shared" si="7"/>
        <v>260024.18300006568</v>
      </c>
    </row>
    <row r="124" spans="1:12" x14ac:dyDescent="0.25">
      <c r="A124" s="3">
        <v>45891</v>
      </c>
      <c r="B124" s="4">
        <v>7.79</v>
      </c>
      <c r="C124" s="4">
        <v>8.93</v>
      </c>
      <c r="D124" s="1">
        <f t="shared" si="4"/>
        <v>-9.9999999999999645</v>
      </c>
      <c r="E124" s="1">
        <f t="shared" si="5"/>
        <v>-16.000000000000014</v>
      </c>
      <c r="F124" s="9">
        <f>-D124*indicaciones!$G$8*indicaciones!$D$4</f>
        <v>626386.7920002857</v>
      </c>
      <c r="G124" s="9">
        <f>-E124*indicaciones!$G$9*-indicaciones!$D$5</f>
        <v>-1077974.5968000658</v>
      </c>
      <c r="H124" s="9">
        <f t="shared" si="6"/>
        <v>-451587.80479978013</v>
      </c>
      <c r="I124" s="9"/>
      <c r="J124" s="9">
        <f>-D124*indicaciones!$H$8</f>
        <v>626386.79200028558</v>
      </c>
      <c r="K124" s="9">
        <f>-E124*-indicaciones!$H$9</f>
        <v>-1077974.5968000658</v>
      </c>
      <c r="L124" s="14">
        <f t="shared" si="7"/>
        <v>-451587.80479978025</v>
      </c>
    </row>
    <row r="125" spans="1:12" x14ac:dyDescent="0.25">
      <c r="A125" s="3">
        <v>45890</v>
      </c>
      <c r="B125" s="4">
        <v>7.89</v>
      </c>
      <c r="C125" s="4">
        <v>9.09</v>
      </c>
      <c r="D125" s="1">
        <f t="shared" si="4"/>
        <v>6.9999999999999396</v>
      </c>
      <c r="E125" s="1">
        <f t="shared" si="5"/>
        <v>2.9999999999999361</v>
      </c>
      <c r="F125" s="9">
        <f>-D125*indicaciones!$G$8*indicaciones!$D$4</f>
        <v>-438470.75440019765</v>
      </c>
      <c r="G125" s="9">
        <f>-E125*indicaciones!$G$9*-indicaciones!$D$5</f>
        <v>202120.23690000785</v>
      </c>
      <c r="H125" s="9">
        <f t="shared" si="6"/>
        <v>-236350.5175001898</v>
      </c>
      <c r="I125" s="9"/>
      <c r="J125" s="9">
        <f>-D125*indicaciones!$H$8</f>
        <v>-438470.75440019771</v>
      </c>
      <c r="K125" s="9">
        <f>-E125*-indicaciones!$H$9</f>
        <v>202120.23690000785</v>
      </c>
      <c r="L125" s="14">
        <f t="shared" si="7"/>
        <v>-236350.51750018986</v>
      </c>
    </row>
    <row r="126" spans="1:12" x14ac:dyDescent="0.25">
      <c r="A126" s="3">
        <v>45889</v>
      </c>
      <c r="B126" s="4">
        <v>7.82</v>
      </c>
      <c r="C126" s="4">
        <v>9.06</v>
      </c>
      <c r="D126" s="1">
        <f t="shared" si="4"/>
        <v>-4.0000000000000036</v>
      </c>
      <c r="E126" s="1">
        <f t="shared" si="5"/>
        <v>0.99999999999997868</v>
      </c>
      <c r="F126" s="9">
        <f>-D126*indicaciones!$G$8*indicaciones!$D$4</f>
        <v>250554.71680011536</v>
      </c>
      <c r="G126" s="9">
        <f>-E126*indicaciones!$G$9*-indicaciones!$D$5</f>
        <v>67373.412300002616</v>
      </c>
      <c r="H126" s="9">
        <f t="shared" si="6"/>
        <v>317928.12910011795</v>
      </c>
      <c r="I126" s="9"/>
      <c r="J126" s="9">
        <f>-D126*indicaciones!$H$8</f>
        <v>250554.71680011536</v>
      </c>
      <c r="K126" s="9">
        <f>-E126*-indicaciones!$H$9</f>
        <v>67373.412300002616</v>
      </c>
      <c r="L126" s="14">
        <f t="shared" si="7"/>
        <v>317928.12910011795</v>
      </c>
    </row>
    <row r="127" spans="1:12" x14ac:dyDescent="0.25">
      <c r="A127" s="3">
        <v>45888</v>
      </c>
      <c r="B127" s="4">
        <v>7.86</v>
      </c>
      <c r="C127" s="4">
        <v>9.0500000000000007</v>
      </c>
      <c r="D127" s="1">
        <f t="shared" si="4"/>
        <v>-0.99999999999997868</v>
      </c>
      <c r="E127" s="1">
        <f t="shared" si="5"/>
        <v>-3.9999999999999147</v>
      </c>
      <c r="F127" s="9">
        <f>-D127*indicaciones!$G$8*indicaciones!$D$4</f>
        <v>62638.679200027451</v>
      </c>
      <c r="G127" s="9">
        <f>-E127*indicaciones!$G$9*-indicaciones!$D$5</f>
        <v>-269493.64920001046</v>
      </c>
      <c r="H127" s="9">
        <f t="shared" si="6"/>
        <v>-206854.969999983</v>
      </c>
      <c r="I127" s="9"/>
      <c r="J127" s="9">
        <f>-D127*indicaciones!$H$8</f>
        <v>62638.679200027444</v>
      </c>
      <c r="K127" s="9">
        <f>-E127*-indicaciones!$H$9</f>
        <v>-269493.64920001046</v>
      </c>
      <c r="L127" s="14">
        <f t="shared" si="7"/>
        <v>-206854.96999998303</v>
      </c>
    </row>
    <row r="128" spans="1:12" x14ac:dyDescent="0.25">
      <c r="A128" s="3">
        <v>45887</v>
      </c>
      <c r="B128" s="4">
        <v>7.87</v>
      </c>
      <c r="C128" s="4">
        <v>9.09</v>
      </c>
      <c r="D128" s="1">
        <f t="shared" si="4"/>
        <v>0</v>
      </c>
      <c r="E128" s="1">
        <f t="shared" si="5"/>
        <v>2.9999999999999361</v>
      </c>
      <c r="F128" s="9">
        <f>-D128*indicaciones!$G$8*indicaciones!$D$4</f>
        <v>0</v>
      </c>
      <c r="G128" s="9">
        <f>-E128*indicaciones!$G$9*-indicaciones!$D$5</f>
        <v>202120.23690000785</v>
      </c>
      <c r="H128" s="9">
        <f t="shared" si="6"/>
        <v>202120.23690000785</v>
      </c>
      <c r="I128" s="9"/>
      <c r="J128" s="9">
        <f>-D128*indicaciones!$H$8</f>
        <v>0</v>
      </c>
      <c r="K128" s="9">
        <f>-E128*-indicaciones!$H$9</f>
        <v>202120.23690000785</v>
      </c>
      <c r="L128" s="14">
        <f t="shared" si="7"/>
        <v>202120.23690000785</v>
      </c>
    </row>
    <row r="129" spans="1:12" x14ac:dyDescent="0.25">
      <c r="A129" s="3">
        <v>45884</v>
      </c>
      <c r="B129" s="4">
        <v>7.87</v>
      </c>
      <c r="C129" s="4">
        <v>9.06</v>
      </c>
      <c r="D129" s="1">
        <f t="shared" si="4"/>
        <v>3.0000000000000249</v>
      </c>
      <c r="E129" s="1">
        <f t="shared" si="5"/>
        <v>3.0000000000001137</v>
      </c>
      <c r="F129" s="9">
        <f>-D129*indicaciones!$G$8*indicaciones!$D$4</f>
        <v>-187916.0376000879</v>
      </c>
      <c r="G129" s="9">
        <f>-E129*indicaciones!$G$9*-indicaciones!$D$5</f>
        <v>202120.23690001981</v>
      </c>
      <c r="H129" s="9">
        <f t="shared" si="6"/>
        <v>14204.199299931905</v>
      </c>
      <c r="I129" s="9"/>
      <c r="J129" s="9">
        <f>-D129*indicaciones!$H$8</f>
        <v>-187916.0376000879</v>
      </c>
      <c r="K129" s="9">
        <f>-E129*-indicaciones!$H$9</f>
        <v>202120.23690001984</v>
      </c>
      <c r="L129" s="14">
        <f t="shared" si="7"/>
        <v>14204.199299931934</v>
      </c>
    </row>
    <row r="130" spans="1:12" x14ac:dyDescent="0.25">
      <c r="A130" s="3">
        <v>45883</v>
      </c>
      <c r="B130" s="4">
        <v>7.84</v>
      </c>
      <c r="C130" s="4">
        <v>9.0299999999999994</v>
      </c>
      <c r="D130" s="1">
        <f t="shared" si="4"/>
        <v>0.99999999999997868</v>
      </c>
      <c r="E130" s="1">
        <f t="shared" si="5"/>
        <v>3.9999999999999147</v>
      </c>
      <c r="F130" s="9">
        <f>-D130*indicaciones!$G$8*indicaciones!$D$4</f>
        <v>-62638.679200027451</v>
      </c>
      <c r="G130" s="9">
        <f>-E130*indicaciones!$G$9*-indicaciones!$D$5</f>
        <v>269493.64920001046</v>
      </c>
      <c r="H130" s="9">
        <f t="shared" si="6"/>
        <v>206854.969999983</v>
      </c>
      <c r="I130" s="9"/>
      <c r="J130" s="9">
        <f>-D130*indicaciones!$H$8</f>
        <v>-62638.679200027444</v>
      </c>
      <c r="K130" s="9">
        <f>-E130*-indicaciones!$H$9</f>
        <v>269493.64920001046</v>
      </c>
      <c r="L130" s="14">
        <f t="shared" si="7"/>
        <v>206854.96999998303</v>
      </c>
    </row>
    <row r="131" spans="1:12" x14ac:dyDescent="0.25">
      <c r="A131" s="3">
        <v>45882</v>
      </c>
      <c r="B131" s="4">
        <v>7.83</v>
      </c>
      <c r="C131" s="4">
        <v>8.99</v>
      </c>
      <c r="D131" s="1">
        <f t="shared" ref="D131:D194" si="8">(B131-B132)*100</f>
        <v>0</v>
      </c>
      <c r="E131" s="1">
        <f t="shared" ref="E131:E194" si="9">(C131-C132)*100</f>
        <v>-6.0000000000000497</v>
      </c>
      <c r="F131" s="9">
        <f>-D131*indicaciones!$G$8*indicaciones!$D$4</f>
        <v>0</v>
      </c>
      <c r="G131" s="9">
        <f>-E131*indicaciones!$G$9*-indicaciones!$D$5</f>
        <v>-404240.47380002763</v>
      </c>
      <c r="H131" s="9">
        <f t="shared" ref="H131:H194" si="10">F131+G131</f>
        <v>-404240.47380002763</v>
      </c>
      <c r="I131" s="9"/>
      <c r="J131" s="9">
        <f>-D131*indicaciones!$H$8</f>
        <v>0</v>
      </c>
      <c r="K131" s="9">
        <f>-E131*-indicaciones!$H$9</f>
        <v>-404240.47380002768</v>
      </c>
      <c r="L131" s="14">
        <f t="shared" ref="L131:L194" si="11">SUM(J131:K131)</f>
        <v>-404240.47380002768</v>
      </c>
    </row>
    <row r="132" spans="1:12" x14ac:dyDescent="0.25">
      <c r="A132" s="3">
        <v>45881</v>
      </c>
      <c r="B132" s="4">
        <v>7.83</v>
      </c>
      <c r="C132" s="4">
        <v>9.0500000000000007</v>
      </c>
      <c r="D132" s="1">
        <f t="shared" si="8"/>
        <v>-3.0000000000000249</v>
      </c>
      <c r="E132" s="1">
        <f t="shared" si="9"/>
        <v>-2.9999999999999361</v>
      </c>
      <c r="F132" s="9">
        <f>-D132*indicaciones!$G$8*indicaciones!$D$4</f>
        <v>187916.0376000879</v>
      </c>
      <c r="G132" s="9">
        <f>-E132*indicaciones!$G$9*-indicaciones!$D$5</f>
        <v>-202120.23690000785</v>
      </c>
      <c r="H132" s="9">
        <f t="shared" si="10"/>
        <v>-14204.199299919943</v>
      </c>
      <c r="I132" s="9"/>
      <c r="J132" s="9">
        <f>-D132*indicaciones!$H$8</f>
        <v>187916.0376000879</v>
      </c>
      <c r="K132" s="9">
        <f>-E132*-indicaciones!$H$9</f>
        <v>-202120.23690000785</v>
      </c>
      <c r="L132" s="14">
        <f t="shared" si="11"/>
        <v>-14204.199299919943</v>
      </c>
    </row>
    <row r="133" spans="1:12" x14ac:dyDescent="0.25">
      <c r="A133" s="3">
        <v>45880</v>
      </c>
      <c r="B133" s="4">
        <v>7.86</v>
      </c>
      <c r="C133" s="4">
        <v>9.08</v>
      </c>
      <c r="D133" s="1">
        <f t="shared" si="8"/>
        <v>-4.0000000000000036</v>
      </c>
      <c r="E133" s="1">
        <f t="shared" si="9"/>
        <v>-1.9999999999999574</v>
      </c>
      <c r="F133" s="9">
        <f>-D133*indicaciones!$G$8*indicaciones!$D$4</f>
        <v>250554.71680011536</v>
      </c>
      <c r="G133" s="9">
        <f>-E133*indicaciones!$G$9*-indicaciones!$D$5</f>
        <v>-134746.82460000523</v>
      </c>
      <c r="H133" s="9">
        <f t="shared" si="10"/>
        <v>115807.89220011013</v>
      </c>
      <c r="I133" s="9"/>
      <c r="J133" s="9">
        <f>-D133*indicaciones!$H$8</f>
        <v>250554.71680011536</v>
      </c>
      <c r="K133" s="9">
        <f>-E133*-indicaciones!$H$9</f>
        <v>-134746.82460000523</v>
      </c>
      <c r="L133" s="14">
        <f t="shared" si="11"/>
        <v>115807.89220011013</v>
      </c>
    </row>
    <row r="134" spans="1:12" x14ac:dyDescent="0.25">
      <c r="A134" s="3">
        <v>45877</v>
      </c>
      <c r="B134" s="4">
        <v>7.9</v>
      </c>
      <c r="C134" s="4">
        <v>9.1</v>
      </c>
      <c r="D134" s="1">
        <f t="shared" si="8"/>
        <v>4.0000000000000036</v>
      </c>
      <c r="E134" s="1">
        <f t="shared" si="9"/>
        <v>4.9999999999998934</v>
      </c>
      <c r="F134" s="9">
        <f>-D134*indicaciones!$G$8*indicaciones!$D$4</f>
        <v>-250554.71680011536</v>
      </c>
      <c r="G134" s="9">
        <f>-E134*indicaciones!$G$9*-indicaciones!$D$5</f>
        <v>336867.06150001305</v>
      </c>
      <c r="H134" s="9">
        <f t="shared" si="10"/>
        <v>86312.344699897687</v>
      </c>
      <c r="I134" s="9"/>
      <c r="J134" s="9">
        <f>-D134*indicaciones!$H$8</f>
        <v>-250554.71680011536</v>
      </c>
      <c r="K134" s="9">
        <f>-E134*-indicaciones!$H$9</f>
        <v>336867.06150001311</v>
      </c>
      <c r="L134" s="14">
        <f t="shared" si="11"/>
        <v>86312.344699897745</v>
      </c>
    </row>
    <row r="135" spans="1:12" x14ac:dyDescent="0.25">
      <c r="A135" s="3">
        <v>45876</v>
      </c>
      <c r="B135" s="4">
        <v>7.86</v>
      </c>
      <c r="C135" s="4">
        <v>9.0500000000000007</v>
      </c>
      <c r="D135" s="1">
        <f t="shared" si="8"/>
        <v>-6.9999999999999396</v>
      </c>
      <c r="E135" s="1">
        <f t="shared" si="9"/>
        <v>-4.9999999999998934</v>
      </c>
      <c r="F135" s="9">
        <f>-D135*indicaciones!$G$8*indicaciones!$D$4</f>
        <v>438470.75440019765</v>
      </c>
      <c r="G135" s="9">
        <f>-E135*indicaciones!$G$9*-indicaciones!$D$5</f>
        <v>-336867.06150001305</v>
      </c>
      <c r="H135" s="9">
        <f t="shared" si="10"/>
        <v>101603.6929001846</v>
      </c>
      <c r="I135" s="9"/>
      <c r="J135" s="9">
        <f>-D135*indicaciones!$H$8</f>
        <v>438470.75440019771</v>
      </c>
      <c r="K135" s="9">
        <f>-E135*-indicaciones!$H$9</f>
        <v>-336867.06150001311</v>
      </c>
      <c r="L135" s="14">
        <f t="shared" si="11"/>
        <v>101603.6929001846</v>
      </c>
    </row>
    <row r="136" spans="1:12" x14ac:dyDescent="0.25">
      <c r="A136" s="3">
        <v>45875</v>
      </c>
      <c r="B136" s="4">
        <v>7.93</v>
      </c>
      <c r="C136" s="4">
        <v>9.1</v>
      </c>
      <c r="D136" s="1">
        <f t="shared" si="8"/>
        <v>-6.0000000000000497</v>
      </c>
      <c r="E136" s="1">
        <f t="shared" si="9"/>
        <v>-5.0000000000000711</v>
      </c>
      <c r="F136" s="9">
        <f>-D136*indicaciones!$G$8*indicaciones!$D$4</f>
        <v>375832.07520017581</v>
      </c>
      <c r="G136" s="9">
        <f>-E136*indicaciones!$G$9*-indicaciones!$D$5</f>
        <v>-336867.06150002504</v>
      </c>
      <c r="H136" s="9">
        <f t="shared" si="10"/>
        <v>38965.013700150768</v>
      </c>
      <c r="I136" s="9"/>
      <c r="J136" s="9">
        <f>-D136*indicaciones!$H$8</f>
        <v>375832.07520017581</v>
      </c>
      <c r="K136" s="9">
        <f>-E136*-indicaciones!$H$9</f>
        <v>-336867.06150002504</v>
      </c>
      <c r="L136" s="14">
        <f t="shared" si="11"/>
        <v>38965.013700150768</v>
      </c>
    </row>
    <row r="137" spans="1:12" x14ac:dyDescent="0.25">
      <c r="A137" s="3">
        <v>45874</v>
      </c>
      <c r="B137" s="4">
        <v>7.99</v>
      </c>
      <c r="C137" s="4">
        <v>9.15</v>
      </c>
      <c r="D137" s="1">
        <f t="shared" si="8"/>
        <v>-2.9999999999999361</v>
      </c>
      <c r="E137" s="1">
        <f t="shared" si="9"/>
        <v>5.0000000000000711</v>
      </c>
      <c r="F137" s="9">
        <f>-D137*indicaciones!$G$8*indicaciones!$D$4</f>
        <v>187916.03760008235</v>
      </c>
      <c r="G137" s="9">
        <f>-E137*indicaciones!$G$9*-indicaciones!$D$5</f>
        <v>336867.06150002504</v>
      </c>
      <c r="H137" s="9">
        <f t="shared" si="10"/>
        <v>524783.09910010733</v>
      </c>
      <c r="I137" s="9"/>
      <c r="J137" s="9">
        <f>-D137*indicaciones!$H$8</f>
        <v>187916.03760008235</v>
      </c>
      <c r="K137" s="9">
        <f>-E137*-indicaciones!$H$9</f>
        <v>336867.06150002504</v>
      </c>
      <c r="L137" s="14">
        <f t="shared" si="11"/>
        <v>524783.09910010733</v>
      </c>
    </row>
    <row r="138" spans="1:12" x14ac:dyDescent="0.25">
      <c r="A138" s="3">
        <v>45873</v>
      </c>
      <c r="B138" s="4">
        <v>8.02</v>
      </c>
      <c r="C138" s="4">
        <v>9.1</v>
      </c>
      <c r="D138" s="1">
        <f t="shared" si="8"/>
        <v>0.99999999999997868</v>
      </c>
      <c r="E138" s="1">
        <f t="shared" si="9"/>
        <v>-3.0000000000001137</v>
      </c>
      <c r="F138" s="9">
        <f>-D138*indicaciones!$G$8*indicaciones!$D$4</f>
        <v>-62638.679200027451</v>
      </c>
      <c r="G138" s="9">
        <f>-E138*indicaciones!$G$9*-indicaciones!$D$5</f>
        <v>-202120.23690001981</v>
      </c>
      <c r="H138" s="9">
        <f t="shared" si="10"/>
        <v>-264758.91610004724</v>
      </c>
      <c r="I138" s="9"/>
      <c r="J138" s="9">
        <f>-D138*indicaciones!$H$8</f>
        <v>-62638.679200027444</v>
      </c>
      <c r="K138" s="9">
        <f>-E138*-indicaciones!$H$9</f>
        <v>-202120.23690001984</v>
      </c>
      <c r="L138" s="14">
        <f t="shared" si="11"/>
        <v>-264758.9161000473</v>
      </c>
    </row>
    <row r="139" spans="1:12" x14ac:dyDescent="0.25">
      <c r="A139" s="3">
        <v>45870</v>
      </c>
      <c r="B139" s="4">
        <v>8.01</v>
      </c>
      <c r="C139" s="4">
        <v>9.1300000000000008</v>
      </c>
      <c r="D139" s="1">
        <f t="shared" si="8"/>
        <v>-7.0000000000000284</v>
      </c>
      <c r="E139" s="1">
        <f t="shared" si="9"/>
        <v>-16.999999999999993</v>
      </c>
      <c r="F139" s="9">
        <f>-D139*indicaciones!$G$8*indicaciones!$D$4</f>
        <v>438470.7544002033</v>
      </c>
      <c r="G139" s="9">
        <f>-E139*indicaciones!$G$9*-indicaciones!$D$5</f>
        <v>-1145348.0091000684</v>
      </c>
      <c r="H139" s="9">
        <f t="shared" si="10"/>
        <v>-706877.25469986512</v>
      </c>
      <c r="I139" s="9"/>
      <c r="J139" s="9">
        <f>-D139*indicaciones!$H$8</f>
        <v>438470.75440020324</v>
      </c>
      <c r="K139" s="9">
        <f>-E139*-indicaciones!$H$9</f>
        <v>-1145348.0091000686</v>
      </c>
      <c r="L139" s="14">
        <f t="shared" si="11"/>
        <v>-706877.25469986536</v>
      </c>
    </row>
    <row r="140" spans="1:12" x14ac:dyDescent="0.25">
      <c r="A140" s="3">
        <v>45869</v>
      </c>
      <c r="B140" s="4">
        <v>8.08</v>
      </c>
      <c r="C140" s="4">
        <v>9.3000000000000007</v>
      </c>
      <c r="D140" s="1">
        <f t="shared" si="8"/>
        <v>-0.99999999999997868</v>
      </c>
      <c r="E140" s="1">
        <f t="shared" si="9"/>
        <v>-0.99999999999997868</v>
      </c>
      <c r="F140" s="9">
        <f>-D140*indicaciones!$G$8*indicaciones!$D$4</f>
        <v>62638.679200027451</v>
      </c>
      <c r="G140" s="9">
        <f>-E140*indicaciones!$G$9*-indicaciones!$D$5</f>
        <v>-67373.412300002616</v>
      </c>
      <c r="H140" s="9">
        <f t="shared" si="10"/>
        <v>-4734.7330999751648</v>
      </c>
      <c r="I140" s="9"/>
      <c r="J140" s="9">
        <f>-D140*indicaciones!$H$8</f>
        <v>62638.679200027444</v>
      </c>
      <c r="K140" s="9">
        <f>-E140*-indicaciones!$H$9</f>
        <v>-67373.412300002616</v>
      </c>
      <c r="L140" s="14">
        <f t="shared" si="11"/>
        <v>-4734.7330999751721</v>
      </c>
    </row>
    <row r="141" spans="1:12" x14ac:dyDescent="0.25">
      <c r="A141" s="3">
        <v>45868</v>
      </c>
      <c r="B141" s="4">
        <v>8.09</v>
      </c>
      <c r="C141" s="4">
        <v>9.31</v>
      </c>
      <c r="D141" s="1">
        <f t="shared" si="8"/>
        <v>-0.99999999999997868</v>
      </c>
      <c r="E141" s="1">
        <f t="shared" si="9"/>
        <v>-0.99999999999997868</v>
      </c>
      <c r="F141" s="9">
        <f>-D141*indicaciones!$G$8*indicaciones!$D$4</f>
        <v>62638.679200027451</v>
      </c>
      <c r="G141" s="9">
        <f>-E141*indicaciones!$G$9*-indicaciones!$D$5</f>
        <v>-67373.412300002616</v>
      </c>
      <c r="H141" s="9">
        <f t="shared" si="10"/>
        <v>-4734.7330999751648</v>
      </c>
      <c r="I141" s="9"/>
      <c r="J141" s="9">
        <f>-D141*indicaciones!$H$8</f>
        <v>62638.679200027444</v>
      </c>
      <c r="K141" s="9">
        <f>-E141*-indicaciones!$H$9</f>
        <v>-67373.412300002616</v>
      </c>
      <c r="L141" s="14">
        <f t="shared" si="11"/>
        <v>-4734.7330999751721</v>
      </c>
    </row>
    <row r="142" spans="1:12" x14ac:dyDescent="0.25">
      <c r="A142" s="3">
        <v>45867</v>
      </c>
      <c r="B142" s="4">
        <v>8.1</v>
      </c>
      <c r="C142" s="4">
        <v>9.32</v>
      </c>
      <c r="D142" s="1">
        <f t="shared" si="8"/>
        <v>-3.0000000000001137</v>
      </c>
      <c r="E142" s="1">
        <f t="shared" si="9"/>
        <v>-8.0000000000000071</v>
      </c>
      <c r="F142" s="9">
        <f>-D142*indicaciones!$G$8*indicaciones!$D$4</f>
        <v>187916.03760009346</v>
      </c>
      <c r="G142" s="9">
        <f>-E142*indicaciones!$G$9*-indicaciones!$D$5</f>
        <v>-538987.29840003292</v>
      </c>
      <c r="H142" s="9">
        <f t="shared" si="10"/>
        <v>-351071.26079993945</v>
      </c>
      <c r="I142" s="9"/>
      <c r="J142" s="9">
        <f>-D142*indicaciones!$H$8</f>
        <v>187916.03760009346</v>
      </c>
      <c r="K142" s="9">
        <f>-E142*-indicaciones!$H$9</f>
        <v>-538987.29840003292</v>
      </c>
      <c r="L142" s="14">
        <f t="shared" si="11"/>
        <v>-351071.26079993945</v>
      </c>
    </row>
    <row r="143" spans="1:12" x14ac:dyDescent="0.25">
      <c r="A143" s="3">
        <v>45866</v>
      </c>
      <c r="B143" s="4">
        <v>8.1300000000000008</v>
      </c>
      <c r="C143" s="4">
        <v>9.4</v>
      </c>
      <c r="D143" s="1">
        <f t="shared" si="8"/>
        <v>7.0000000000000284</v>
      </c>
      <c r="E143" s="1">
        <f t="shared" si="9"/>
        <v>9.9999999999999645</v>
      </c>
      <c r="F143" s="9">
        <f>-D143*indicaciones!$G$8*indicaciones!$D$4</f>
        <v>-438470.7544002033</v>
      </c>
      <c r="G143" s="9">
        <f>-E143*indicaciones!$G$9*-indicaciones!$D$5</f>
        <v>673734.12300003821</v>
      </c>
      <c r="H143" s="9">
        <f t="shared" si="10"/>
        <v>235263.36859983491</v>
      </c>
      <c r="I143" s="9"/>
      <c r="J143" s="9">
        <f>-D143*indicaciones!$H$8</f>
        <v>-438470.75440020324</v>
      </c>
      <c r="K143" s="9">
        <f>-E143*-indicaciones!$H$9</f>
        <v>673734.12300003821</v>
      </c>
      <c r="L143" s="14">
        <f t="shared" si="11"/>
        <v>235263.36859983497</v>
      </c>
    </row>
    <row r="144" spans="1:12" x14ac:dyDescent="0.25">
      <c r="A144" s="3">
        <v>45863</v>
      </c>
      <c r="B144" s="4">
        <v>8.06</v>
      </c>
      <c r="C144" s="4">
        <v>9.3000000000000007</v>
      </c>
      <c r="D144" s="1">
        <f t="shared" si="8"/>
        <v>-2.9999999999999361</v>
      </c>
      <c r="E144" s="1">
        <f t="shared" si="9"/>
        <v>1.0000000000001563</v>
      </c>
      <c r="F144" s="9">
        <f>-D144*indicaciones!$G$8*indicaciones!$D$4</f>
        <v>187916.03760008235</v>
      </c>
      <c r="G144" s="9">
        <f>-E144*indicaciones!$G$9*-indicaciones!$D$5</f>
        <v>67373.412300014592</v>
      </c>
      <c r="H144" s="9">
        <f t="shared" si="10"/>
        <v>255289.44990009692</v>
      </c>
      <c r="I144" s="9"/>
      <c r="J144" s="9">
        <f>-D144*indicaciones!$H$8</f>
        <v>187916.03760008235</v>
      </c>
      <c r="K144" s="9">
        <f>-E144*-indicaciones!$H$9</f>
        <v>67373.412300014592</v>
      </c>
      <c r="L144" s="14">
        <f t="shared" si="11"/>
        <v>255289.44990009692</v>
      </c>
    </row>
    <row r="145" spans="1:12" x14ac:dyDescent="0.25">
      <c r="A145" s="3">
        <v>45862</v>
      </c>
      <c r="B145" s="4">
        <v>8.09</v>
      </c>
      <c r="C145" s="4">
        <v>9.2899999999999991</v>
      </c>
      <c r="D145" s="1">
        <f t="shared" si="8"/>
        <v>-4.0000000000000924</v>
      </c>
      <c r="E145" s="1">
        <f t="shared" si="9"/>
        <v>2.9999999999999361</v>
      </c>
      <c r="F145" s="9">
        <f>-D145*indicaciones!$G$8*indicaciones!$D$4</f>
        <v>250554.71680012092</v>
      </c>
      <c r="G145" s="9">
        <f>-E145*indicaciones!$G$9*-indicaciones!$D$5</f>
        <v>202120.23690000785</v>
      </c>
      <c r="H145" s="9">
        <f t="shared" si="10"/>
        <v>452674.95370012877</v>
      </c>
      <c r="I145" s="9"/>
      <c r="J145" s="9">
        <f>-D145*indicaciones!$H$8</f>
        <v>250554.71680012092</v>
      </c>
      <c r="K145" s="9">
        <f>-E145*-indicaciones!$H$9</f>
        <v>202120.23690000785</v>
      </c>
      <c r="L145" s="14">
        <f t="shared" si="11"/>
        <v>452674.95370012877</v>
      </c>
    </row>
    <row r="146" spans="1:12" x14ac:dyDescent="0.25">
      <c r="A146" s="3">
        <v>45861</v>
      </c>
      <c r="B146" s="4">
        <v>8.1300000000000008</v>
      </c>
      <c r="C146" s="4">
        <v>9.26</v>
      </c>
      <c r="D146" s="1">
        <f t="shared" si="8"/>
        <v>-1.9999999999999574</v>
      </c>
      <c r="E146" s="1">
        <f t="shared" si="9"/>
        <v>-1.9999999999999574</v>
      </c>
      <c r="F146" s="9">
        <f>-D146*indicaciones!$G$8*indicaciones!$D$4</f>
        <v>125277.3584000549</v>
      </c>
      <c r="G146" s="9">
        <f>-E146*indicaciones!$G$9*-indicaciones!$D$5</f>
        <v>-134746.82460000523</v>
      </c>
      <c r="H146" s="9">
        <f t="shared" si="10"/>
        <v>-9469.4661999503296</v>
      </c>
      <c r="I146" s="9"/>
      <c r="J146" s="9">
        <f>-D146*indicaciones!$H$8</f>
        <v>125277.35840005489</v>
      </c>
      <c r="K146" s="9">
        <f>-E146*-indicaciones!$H$9</f>
        <v>-134746.82460000523</v>
      </c>
      <c r="L146" s="14">
        <f t="shared" si="11"/>
        <v>-9469.4661999503442</v>
      </c>
    </row>
    <row r="147" spans="1:12" x14ac:dyDescent="0.25">
      <c r="A147" s="3">
        <v>45860</v>
      </c>
      <c r="B147" s="4">
        <v>8.15</v>
      </c>
      <c r="C147" s="4">
        <v>9.2799999999999994</v>
      </c>
      <c r="D147" s="1">
        <f t="shared" si="8"/>
        <v>-0.99999999999997868</v>
      </c>
      <c r="E147" s="1">
        <f t="shared" si="9"/>
        <v>20.999999999999908</v>
      </c>
      <c r="F147" s="9">
        <f>-D147*indicaciones!$G$8*indicaciones!$D$4</f>
        <v>62638.679200027451</v>
      </c>
      <c r="G147" s="9">
        <f>-E147*indicaciones!$G$9*-indicaciones!$D$5</f>
        <v>1414841.6583000787</v>
      </c>
      <c r="H147" s="9">
        <f t="shared" si="10"/>
        <v>1477480.3375001061</v>
      </c>
      <c r="I147" s="9"/>
      <c r="J147" s="9">
        <f>-D147*indicaciones!$H$8</f>
        <v>62638.679200027444</v>
      </c>
      <c r="K147" s="9">
        <f>-E147*-indicaciones!$H$9</f>
        <v>1414841.6583000789</v>
      </c>
      <c r="L147" s="14">
        <f t="shared" si="11"/>
        <v>1477480.3375001063</v>
      </c>
    </row>
    <row r="148" spans="1:12" x14ac:dyDescent="0.25">
      <c r="A148" s="3">
        <v>45859</v>
      </c>
      <c r="B148" s="4">
        <v>8.16</v>
      </c>
      <c r="C148" s="4">
        <v>9.07</v>
      </c>
      <c r="D148" s="1">
        <f t="shared" si="8"/>
        <v>1.9999999999999574</v>
      </c>
      <c r="E148" s="1">
        <f t="shared" si="9"/>
        <v>-1.9999999999999574</v>
      </c>
      <c r="F148" s="9">
        <f>-D148*indicaciones!$G$8*indicaciones!$D$4</f>
        <v>-125277.3584000549</v>
      </c>
      <c r="G148" s="9">
        <f>-E148*indicaciones!$G$9*-indicaciones!$D$5</f>
        <v>-134746.82460000523</v>
      </c>
      <c r="H148" s="9">
        <f t="shared" si="10"/>
        <v>-260024.18300006015</v>
      </c>
      <c r="I148" s="9"/>
      <c r="J148" s="9">
        <f>-D148*indicaciones!$H$8</f>
        <v>-125277.35840005489</v>
      </c>
      <c r="K148" s="9">
        <f>-E148*-indicaciones!$H$9</f>
        <v>-134746.82460000523</v>
      </c>
      <c r="L148" s="14">
        <f t="shared" si="11"/>
        <v>-260024.18300006012</v>
      </c>
    </row>
    <row r="149" spans="1:12" x14ac:dyDescent="0.25">
      <c r="A149" s="3">
        <v>45856</v>
      </c>
      <c r="B149" s="4">
        <v>8.14</v>
      </c>
      <c r="C149" s="4">
        <v>9.09</v>
      </c>
      <c r="D149" s="1">
        <f t="shared" si="8"/>
        <v>2.000000000000135</v>
      </c>
      <c r="E149" s="1">
        <f t="shared" si="9"/>
        <v>8.0000000000000071</v>
      </c>
      <c r="F149" s="9">
        <f>-D149*indicaciones!$G$8*indicaciones!$D$4</f>
        <v>-125277.35840006603</v>
      </c>
      <c r="G149" s="9">
        <f>-E149*indicaciones!$G$9*-indicaciones!$D$5</f>
        <v>538987.29840003292</v>
      </c>
      <c r="H149" s="9">
        <f t="shared" si="10"/>
        <v>413709.93999996688</v>
      </c>
      <c r="I149" s="9"/>
      <c r="J149" s="9">
        <f>-D149*indicaciones!$H$8</f>
        <v>-125277.35840006602</v>
      </c>
      <c r="K149" s="9">
        <f>-E149*-indicaciones!$H$9</f>
        <v>538987.29840003292</v>
      </c>
      <c r="L149" s="14">
        <f t="shared" si="11"/>
        <v>413709.93999996688</v>
      </c>
    </row>
    <row r="150" spans="1:12" x14ac:dyDescent="0.25">
      <c r="A150" s="3">
        <v>45855</v>
      </c>
      <c r="B150" s="4">
        <v>8.1199999999999992</v>
      </c>
      <c r="C150" s="4">
        <v>9.01</v>
      </c>
      <c r="D150" s="1">
        <f t="shared" si="8"/>
        <v>-1.0000000000001563</v>
      </c>
      <c r="E150" s="1">
        <f t="shared" si="9"/>
        <v>2.9999999999999361</v>
      </c>
      <c r="F150" s="9">
        <f>-D150*indicaciones!$G$8*indicaciones!$D$4</f>
        <v>62638.679200038583</v>
      </c>
      <c r="G150" s="9">
        <f>-E150*indicaciones!$G$9*-indicaciones!$D$5</f>
        <v>202120.23690000785</v>
      </c>
      <c r="H150" s="9">
        <f t="shared" si="10"/>
        <v>264758.91610004642</v>
      </c>
      <c r="I150" s="9"/>
      <c r="J150" s="9">
        <f>-D150*indicaciones!$H$8</f>
        <v>62638.679200038576</v>
      </c>
      <c r="K150" s="9">
        <f>-E150*-indicaciones!$H$9</f>
        <v>202120.23690000785</v>
      </c>
      <c r="L150" s="14">
        <f t="shared" si="11"/>
        <v>264758.91610004642</v>
      </c>
    </row>
    <row r="151" spans="1:12" x14ac:dyDescent="0.25">
      <c r="A151" s="3">
        <v>45854</v>
      </c>
      <c r="B151" s="4">
        <v>8.1300000000000008</v>
      </c>
      <c r="C151" s="4">
        <v>8.98</v>
      </c>
      <c r="D151" s="1">
        <f t="shared" si="8"/>
        <v>-0.99999999999997868</v>
      </c>
      <c r="E151" s="1">
        <f t="shared" si="9"/>
        <v>-0.99999999999997868</v>
      </c>
      <c r="F151" s="9">
        <f>-D151*indicaciones!$G$8*indicaciones!$D$4</f>
        <v>62638.679200027451</v>
      </c>
      <c r="G151" s="9">
        <f>-E151*indicaciones!$G$9*-indicaciones!$D$5</f>
        <v>-67373.412300002616</v>
      </c>
      <c r="H151" s="9">
        <f t="shared" si="10"/>
        <v>-4734.7330999751648</v>
      </c>
      <c r="I151" s="9"/>
      <c r="J151" s="9">
        <f>-D151*indicaciones!$H$8</f>
        <v>62638.679200027444</v>
      </c>
      <c r="K151" s="9">
        <f>-E151*-indicaciones!$H$9</f>
        <v>-67373.412300002616</v>
      </c>
      <c r="L151" s="14">
        <f t="shared" si="11"/>
        <v>-4734.7330999751721</v>
      </c>
    </row>
    <row r="152" spans="1:12" x14ac:dyDescent="0.25">
      <c r="A152" s="3">
        <v>45853</v>
      </c>
      <c r="B152" s="4">
        <v>8.14</v>
      </c>
      <c r="C152" s="4">
        <v>8.99</v>
      </c>
      <c r="D152" s="1">
        <f t="shared" si="8"/>
        <v>0</v>
      </c>
      <c r="E152" s="1">
        <f t="shared" si="9"/>
        <v>2.9999999999999361</v>
      </c>
      <c r="F152" s="9">
        <f>-D152*indicaciones!$G$8*indicaciones!$D$4</f>
        <v>0</v>
      </c>
      <c r="G152" s="9">
        <f>-E152*indicaciones!$G$9*-indicaciones!$D$5</f>
        <v>202120.23690000785</v>
      </c>
      <c r="H152" s="9">
        <f t="shared" si="10"/>
        <v>202120.23690000785</v>
      </c>
      <c r="I152" s="9"/>
      <c r="J152" s="9">
        <f>-D152*indicaciones!$H$8</f>
        <v>0</v>
      </c>
      <c r="K152" s="9">
        <f>-E152*-indicaciones!$H$9</f>
        <v>202120.23690000785</v>
      </c>
      <c r="L152" s="14">
        <f t="shared" si="11"/>
        <v>202120.23690000785</v>
      </c>
    </row>
    <row r="153" spans="1:12" x14ac:dyDescent="0.25">
      <c r="A153" s="3">
        <v>45852</v>
      </c>
      <c r="B153" s="4">
        <v>8.14</v>
      </c>
      <c r="C153" s="4">
        <v>8.9600000000000009</v>
      </c>
      <c r="D153" s="1">
        <f t="shared" si="8"/>
        <v>4.0000000000000924</v>
      </c>
      <c r="E153" s="1">
        <f t="shared" si="9"/>
        <v>-0.99999999999997868</v>
      </c>
      <c r="F153" s="9">
        <f>-D153*indicaciones!$G$8*indicaciones!$D$4</f>
        <v>-250554.71680012092</v>
      </c>
      <c r="G153" s="9">
        <f>-E153*indicaciones!$G$9*-indicaciones!$D$5</f>
        <v>-67373.412300002616</v>
      </c>
      <c r="H153" s="9">
        <f t="shared" si="10"/>
        <v>-317928.12910012354</v>
      </c>
      <c r="I153" s="9"/>
      <c r="J153" s="9">
        <f>-D153*indicaciones!$H$8</f>
        <v>-250554.71680012092</v>
      </c>
      <c r="K153" s="9">
        <f>-E153*-indicaciones!$H$9</f>
        <v>-67373.412300002616</v>
      </c>
      <c r="L153" s="14">
        <f t="shared" si="11"/>
        <v>-317928.12910012354</v>
      </c>
    </row>
    <row r="154" spans="1:12" x14ac:dyDescent="0.25">
      <c r="A154" s="3">
        <v>45849</v>
      </c>
      <c r="B154" s="4">
        <v>8.1</v>
      </c>
      <c r="C154" s="4">
        <v>8.9700000000000006</v>
      </c>
      <c r="D154" s="1">
        <f t="shared" si="8"/>
        <v>1.9999999999999574</v>
      </c>
      <c r="E154" s="1">
        <f t="shared" si="9"/>
        <v>4.0000000000000924</v>
      </c>
      <c r="F154" s="9">
        <f>-D154*indicaciones!$G$8*indicaciones!$D$4</f>
        <v>-125277.3584000549</v>
      </c>
      <c r="G154" s="9">
        <f>-E154*indicaciones!$G$9*-indicaciones!$D$5</f>
        <v>269493.6492000224</v>
      </c>
      <c r="H154" s="9">
        <f t="shared" si="10"/>
        <v>144216.29079996748</v>
      </c>
      <c r="I154" s="9"/>
      <c r="J154" s="9">
        <f>-D154*indicaciones!$H$8</f>
        <v>-125277.35840005489</v>
      </c>
      <c r="K154" s="9">
        <f>-E154*-indicaciones!$H$9</f>
        <v>269493.64920002245</v>
      </c>
      <c r="L154" s="14">
        <f t="shared" si="11"/>
        <v>144216.29079996757</v>
      </c>
    </row>
    <row r="155" spans="1:12" x14ac:dyDescent="0.25">
      <c r="A155" s="3">
        <v>45848</v>
      </c>
      <c r="B155" s="4">
        <v>8.08</v>
      </c>
      <c r="C155" s="4">
        <v>8.93</v>
      </c>
      <c r="D155" s="1">
        <f t="shared" si="8"/>
        <v>-6.0000000000000497</v>
      </c>
      <c r="E155" s="1">
        <f t="shared" si="9"/>
        <v>2.9999999999999361</v>
      </c>
      <c r="F155" s="9">
        <f>-D155*indicaciones!$G$8*indicaciones!$D$4</f>
        <v>375832.07520017581</v>
      </c>
      <c r="G155" s="9">
        <f>-E155*indicaciones!$G$9*-indicaciones!$D$5</f>
        <v>202120.23690000785</v>
      </c>
      <c r="H155" s="9">
        <f t="shared" si="10"/>
        <v>577952.31210018368</v>
      </c>
      <c r="I155" s="9"/>
      <c r="J155" s="9">
        <f>-D155*indicaciones!$H$8</f>
        <v>375832.07520017581</v>
      </c>
      <c r="K155" s="9">
        <f>-E155*-indicaciones!$H$9</f>
        <v>202120.23690000785</v>
      </c>
      <c r="L155" s="14">
        <f t="shared" si="11"/>
        <v>577952.31210018368</v>
      </c>
    </row>
    <row r="156" spans="1:12" x14ac:dyDescent="0.25">
      <c r="A156" s="3">
        <v>45847</v>
      </c>
      <c r="B156" s="4">
        <v>8.14</v>
      </c>
      <c r="C156" s="4">
        <v>8.9</v>
      </c>
      <c r="D156" s="1">
        <f t="shared" si="8"/>
        <v>0</v>
      </c>
      <c r="E156" s="1">
        <f t="shared" si="9"/>
        <v>-4.9999999999998934</v>
      </c>
      <c r="F156" s="9">
        <f>-D156*indicaciones!$G$8*indicaciones!$D$4</f>
        <v>0</v>
      </c>
      <c r="G156" s="9">
        <f>-E156*indicaciones!$G$9*-indicaciones!$D$5</f>
        <v>-336867.06150001305</v>
      </c>
      <c r="H156" s="9">
        <f t="shared" si="10"/>
        <v>-336867.06150001305</v>
      </c>
      <c r="I156" s="9"/>
      <c r="J156" s="9">
        <f>-D156*indicaciones!$H$8</f>
        <v>0</v>
      </c>
      <c r="K156" s="9">
        <f>-E156*-indicaciones!$H$9</f>
        <v>-336867.06150001311</v>
      </c>
      <c r="L156" s="14">
        <f t="shared" si="11"/>
        <v>-336867.06150001311</v>
      </c>
    </row>
    <row r="157" spans="1:12" x14ac:dyDescent="0.25">
      <c r="A157" s="3">
        <v>45846</v>
      </c>
      <c r="B157" s="4">
        <v>8.14</v>
      </c>
      <c r="C157" s="4">
        <v>8.9499999999999993</v>
      </c>
      <c r="D157" s="1">
        <f t="shared" si="8"/>
        <v>-0.99999999999997868</v>
      </c>
      <c r="E157" s="1">
        <f t="shared" si="9"/>
        <v>3.9999999999999147</v>
      </c>
      <c r="F157" s="9">
        <f>-D157*indicaciones!$G$8*indicaciones!$D$4</f>
        <v>62638.679200027451</v>
      </c>
      <c r="G157" s="9">
        <f>-E157*indicaciones!$G$9*-indicaciones!$D$5</f>
        <v>269493.64920001046</v>
      </c>
      <c r="H157" s="9">
        <f t="shared" si="10"/>
        <v>332132.32840003789</v>
      </c>
      <c r="I157" s="9"/>
      <c r="J157" s="9">
        <f>-D157*indicaciones!$H$8</f>
        <v>62638.679200027444</v>
      </c>
      <c r="K157" s="9">
        <f>-E157*-indicaciones!$H$9</f>
        <v>269493.64920001046</v>
      </c>
      <c r="L157" s="14">
        <f t="shared" si="11"/>
        <v>332132.32840003789</v>
      </c>
    </row>
    <row r="158" spans="1:12" x14ac:dyDescent="0.25">
      <c r="A158" s="3">
        <v>45845</v>
      </c>
      <c r="B158" s="4">
        <v>8.15</v>
      </c>
      <c r="C158" s="4">
        <v>8.91</v>
      </c>
      <c r="D158" s="1">
        <f t="shared" si="8"/>
        <v>-1.9999999999999574</v>
      </c>
      <c r="E158" s="1">
        <f t="shared" si="9"/>
        <v>4.0000000000000924</v>
      </c>
      <c r="F158" s="9">
        <f>-D158*indicaciones!$G$8*indicaciones!$D$4</f>
        <v>125277.3584000549</v>
      </c>
      <c r="G158" s="9">
        <f>-E158*indicaciones!$G$9*-indicaciones!$D$5</f>
        <v>269493.6492000224</v>
      </c>
      <c r="H158" s="9">
        <f t="shared" si="10"/>
        <v>394771.00760007731</v>
      </c>
      <c r="I158" s="9"/>
      <c r="J158" s="9">
        <f>-D158*indicaciones!$H$8</f>
        <v>125277.35840005489</v>
      </c>
      <c r="K158" s="9">
        <f>-E158*-indicaciones!$H$9</f>
        <v>269493.64920002245</v>
      </c>
      <c r="L158" s="14">
        <f t="shared" si="11"/>
        <v>394771.00760007731</v>
      </c>
    </row>
    <row r="159" spans="1:12" x14ac:dyDescent="0.25">
      <c r="A159" s="3">
        <v>45842</v>
      </c>
      <c r="B159" s="4">
        <v>8.17</v>
      </c>
      <c r="C159" s="4">
        <v>8.8699999999999992</v>
      </c>
      <c r="D159" s="1">
        <f t="shared" si="8"/>
        <v>3.9999999999999147</v>
      </c>
      <c r="E159" s="1">
        <f t="shared" si="9"/>
        <v>5.9999999999998721</v>
      </c>
      <c r="F159" s="9">
        <f>-D159*indicaciones!$G$8*indicaciones!$D$4</f>
        <v>-250554.7168001098</v>
      </c>
      <c r="G159" s="9">
        <f>-E159*indicaciones!$G$9*-indicaciones!$D$5</f>
        <v>404240.47380001569</v>
      </c>
      <c r="H159" s="9">
        <f t="shared" si="10"/>
        <v>153685.75699990589</v>
      </c>
      <c r="I159" s="9"/>
      <c r="J159" s="9">
        <f>-D159*indicaciones!$H$8</f>
        <v>-250554.71680010977</v>
      </c>
      <c r="K159" s="9">
        <f>-E159*-indicaciones!$H$9</f>
        <v>404240.47380001569</v>
      </c>
      <c r="L159" s="14">
        <f t="shared" si="11"/>
        <v>153685.75699990592</v>
      </c>
    </row>
    <row r="160" spans="1:12" x14ac:dyDescent="0.25">
      <c r="A160" s="3">
        <v>45841</v>
      </c>
      <c r="B160" s="4">
        <v>8.1300000000000008</v>
      </c>
      <c r="C160" s="4">
        <v>8.81</v>
      </c>
      <c r="D160" s="1">
        <f t="shared" si="8"/>
        <v>2.000000000000135</v>
      </c>
      <c r="E160" s="1">
        <f t="shared" si="9"/>
        <v>6.0000000000000497</v>
      </c>
      <c r="F160" s="9">
        <f>-D160*indicaciones!$G$8*indicaciones!$D$4</f>
        <v>-125277.35840006603</v>
      </c>
      <c r="G160" s="9">
        <f>-E160*indicaciones!$G$9*-indicaciones!$D$5</f>
        <v>404240.47380002763</v>
      </c>
      <c r="H160" s="9">
        <f t="shared" si="10"/>
        <v>278963.11539996159</v>
      </c>
      <c r="I160" s="9"/>
      <c r="J160" s="9">
        <f>-D160*indicaciones!$H$8</f>
        <v>-125277.35840006602</v>
      </c>
      <c r="K160" s="9">
        <f>-E160*-indicaciones!$H$9</f>
        <v>404240.47380002768</v>
      </c>
      <c r="L160" s="14">
        <f t="shared" si="11"/>
        <v>278963.11539996165</v>
      </c>
    </row>
    <row r="161" spans="1:12" x14ac:dyDescent="0.25">
      <c r="A161" s="3">
        <v>45840</v>
      </c>
      <c r="B161" s="4">
        <v>8.11</v>
      </c>
      <c r="C161" s="4">
        <v>8.75</v>
      </c>
      <c r="D161" s="1">
        <f t="shared" si="8"/>
        <v>-4.0000000000000924</v>
      </c>
      <c r="E161" s="1">
        <f t="shared" si="9"/>
        <v>-2.9999999999999361</v>
      </c>
      <c r="F161" s="9">
        <f>-D161*indicaciones!$G$8*indicaciones!$D$4</f>
        <v>250554.71680012092</v>
      </c>
      <c r="G161" s="9">
        <f>-E161*indicaciones!$G$9*-indicaciones!$D$5</f>
        <v>-202120.23690000785</v>
      </c>
      <c r="H161" s="9">
        <f t="shared" si="10"/>
        <v>48434.479900113074</v>
      </c>
      <c r="I161" s="9"/>
      <c r="J161" s="9">
        <f>-D161*indicaciones!$H$8</f>
        <v>250554.71680012092</v>
      </c>
      <c r="K161" s="9">
        <f>-E161*-indicaciones!$H$9</f>
        <v>-202120.23690000785</v>
      </c>
      <c r="L161" s="14">
        <f t="shared" si="11"/>
        <v>48434.479900113074</v>
      </c>
    </row>
    <row r="162" spans="1:12" x14ac:dyDescent="0.25">
      <c r="A162" s="3">
        <v>45839</v>
      </c>
      <c r="B162" s="4">
        <v>8.15</v>
      </c>
      <c r="C162" s="4">
        <v>8.7799999999999994</v>
      </c>
      <c r="D162" s="1">
        <f t="shared" si="8"/>
        <v>1.9999999999999574</v>
      </c>
      <c r="E162" s="1">
        <f t="shared" si="9"/>
        <v>0</v>
      </c>
      <c r="F162" s="9">
        <f>-D162*indicaciones!$G$8*indicaciones!$D$4</f>
        <v>-125277.3584000549</v>
      </c>
      <c r="G162" s="9">
        <f>-E162*indicaciones!$G$9*-indicaciones!$D$5</f>
        <v>0</v>
      </c>
      <c r="H162" s="9">
        <f t="shared" si="10"/>
        <v>-125277.3584000549</v>
      </c>
      <c r="I162" s="9"/>
      <c r="J162" s="9">
        <f>-D162*indicaciones!$H$8</f>
        <v>-125277.35840005489</v>
      </c>
      <c r="K162" s="9">
        <f>-E162*-indicaciones!$H$9</f>
        <v>0</v>
      </c>
      <c r="L162" s="14">
        <f t="shared" si="11"/>
        <v>-125277.35840005489</v>
      </c>
    </row>
    <row r="163" spans="1:12" x14ac:dyDescent="0.25">
      <c r="A163" s="3">
        <v>45838</v>
      </c>
      <c r="B163" s="4">
        <v>8.1300000000000008</v>
      </c>
      <c r="C163" s="4">
        <v>8.7799999999999994</v>
      </c>
      <c r="D163" s="1">
        <f t="shared" si="8"/>
        <v>-1.9999999999999574</v>
      </c>
      <c r="E163" s="1">
        <f t="shared" si="9"/>
        <v>-10.000000000000142</v>
      </c>
      <c r="F163" s="9">
        <f>-D163*indicaciones!$G$8*indicaciones!$D$4</f>
        <v>125277.3584000549</v>
      </c>
      <c r="G163" s="9">
        <f>-E163*indicaciones!$G$9*-indicaciones!$D$5</f>
        <v>-673734.12300005008</v>
      </c>
      <c r="H163" s="9">
        <f t="shared" si="10"/>
        <v>-548456.76459999522</v>
      </c>
      <c r="I163" s="9"/>
      <c r="J163" s="9">
        <f>-D163*indicaciones!$H$8</f>
        <v>125277.35840005489</v>
      </c>
      <c r="K163" s="9">
        <f>-E163*-indicaciones!$H$9</f>
        <v>-673734.12300005008</v>
      </c>
      <c r="L163" s="14">
        <f t="shared" si="11"/>
        <v>-548456.76459999522</v>
      </c>
    </row>
    <row r="164" spans="1:12" x14ac:dyDescent="0.25">
      <c r="A164" s="3">
        <v>45835</v>
      </c>
      <c r="B164" s="4">
        <v>8.15</v>
      </c>
      <c r="C164" s="4">
        <v>8.8800000000000008</v>
      </c>
      <c r="D164" s="1">
        <f t="shared" si="8"/>
        <v>6.0000000000000497</v>
      </c>
      <c r="E164" s="1">
        <f t="shared" si="9"/>
        <v>6.0000000000000497</v>
      </c>
      <c r="F164" s="9">
        <f>-D164*indicaciones!$G$8*indicaciones!$D$4</f>
        <v>-375832.07520017581</v>
      </c>
      <c r="G164" s="9">
        <f>-E164*indicaciones!$G$9*-indicaciones!$D$5</f>
        <v>404240.47380002763</v>
      </c>
      <c r="H164" s="9">
        <f t="shared" si="10"/>
        <v>28408.398599851818</v>
      </c>
      <c r="I164" s="9"/>
      <c r="J164" s="9">
        <f>-D164*indicaciones!$H$8</f>
        <v>-375832.07520017581</v>
      </c>
      <c r="K164" s="9">
        <f>-E164*-indicaciones!$H$9</f>
        <v>404240.47380002768</v>
      </c>
      <c r="L164" s="14">
        <f t="shared" si="11"/>
        <v>28408.398599851876</v>
      </c>
    </row>
    <row r="165" spans="1:12" x14ac:dyDescent="0.25">
      <c r="A165" s="3">
        <v>45834</v>
      </c>
      <c r="B165" s="4">
        <v>8.09</v>
      </c>
      <c r="C165" s="4">
        <v>8.82</v>
      </c>
      <c r="D165" s="1">
        <f t="shared" si="8"/>
        <v>-1.9999999999999574</v>
      </c>
      <c r="E165" s="1">
        <f t="shared" si="9"/>
        <v>0</v>
      </c>
      <c r="F165" s="9">
        <f>-D165*indicaciones!$G$8*indicaciones!$D$4</f>
        <v>125277.3584000549</v>
      </c>
      <c r="G165" s="9">
        <f>-E165*indicaciones!$G$9*-indicaciones!$D$5</f>
        <v>0</v>
      </c>
      <c r="H165" s="9">
        <f t="shared" si="10"/>
        <v>125277.3584000549</v>
      </c>
      <c r="I165" s="9"/>
      <c r="J165" s="9">
        <f>-D165*indicaciones!$H$8</f>
        <v>125277.35840005489</v>
      </c>
      <c r="K165" s="9">
        <f>-E165*-indicaciones!$H$9</f>
        <v>0</v>
      </c>
      <c r="L165" s="14">
        <f t="shared" si="11"/>
        <v>125277.35840005489</v>
      </c>
    </row>
    <row r="166" spans="1:12" x14ac:dyDescent="0.25">
      <c r="A166" s="3">
        <v>45833</v>
      </c>
      <c r="B166" s="4">
        <v>8.11</v>
      </c>
      <c r="C166" s="4">
        <v>8.82</v>
      </c>
      <c r="D166" s="1">
        <f t="shared" si="8"/>
        <v>-3.0000000000001137</v>
      </c>
      <c r="E166" s="1">
        <f t="shared" si="9"/>
        <v>-2.9999999999999361</v>
      </c>
      <c r="F166" s="9">
        <f>-D166*indicaciones!$G$8*indicaciones!$D$4</f>
        <v>187916.03760009346</v>
      </c>
      <c r="G166" s="9">
        <f>-E166*indicaciones!$G$9*-indicaciones!$D$5</f>
        <v>-202120.23690000785</v>
      </c>
      <c r="H166" s="9">
        <f t="shared" si="10"/>
        <v>-14204.199299914384</v>
      </c>
      <c r="I166" s="9"/>
      <c r="J166" s="9">
        <f>-D166*indicaciones!$H$8</f>
        <v>187916.03760009346</v>
      </c>
      <c r="K166" s="9">
        <f>-E166*-indicaciones!$H$9</f>
        <v>-202120.23690000785</v>
      </c>
      <c r="L166" s="14">
        <f t="shared" si="11"/>
        <v>-14204.199299914384</v>
      </c>
    </row>
    <row r="167" spans="1:12" x14ac:dyDescent="0.25">
      <c r="A167" s="3">
        <v>45832</v>
      </c>
      <c r="B167" s="4">
        <v>8.14</v>
      </c>
      <c r="C167" s="4">
        <v>8.85</v>
      </c>
      <c r="D167" s="1">
        <f t="shared" si="8"/>
        <v>-3.9999999999999147</v>
      </c>
      <c r="E167" s="1">
        <f t="shared" si="9"/>
        <v>-15.000000000000036</v>
      </c>
      <c r="F167" s="9">
        <f>-D167*indicaciones!$G$8*indicaciones!$D$4</f>
        <v>250554.7168001098</v>
      </c>
      <c r="G167" s="9">
        <f>-E167*indicaciones!$G$9*-indicaciones!$D$5</f>
        <v>-1010601.1845000631</v>
      </c>
      <c r="H167" s="9">
        <f t="shared" si="10"/>
        <v>-760046.46769995324</v>
      </c>
      <c r="I167" s="9"/>
      <c r="J167" s="9">
        <f>-D167*indicaciones!$H$8</f>
        <v>250554.71680010977</v>
      </c>
      <c r="K167" s="9">
        <f>-E167*-indicaciones!$H$9</f>
        <v>-1010601.1845000632</v>
      </c>
      <c r="L167" s="14">
        <f t="shared" si="11"/>
        <v>-760046.46769995335</v>
      </c>
    </row>
    <row r="168" spans="1:12" x14ac:dyDescent="0.25">
      <c r="A168" s="3">
        <v>45831</v>
      </c>
      <c r="B168" s="4">
        <v>8.18</v>
      </c>
      <c r="C168" s="4">
        <v>9</v>
      </c>
      <c r="D168" s="1">
        <f t="shared" si="8"/>
        <v>-0.99999999999997868</v>
      </c>
      <c r="E168" s="1">
        <f t="shared" si="9"/>
        <v>-8.9999999999999858</v>
      </c>
      <c r="F168" s="9">
        <f>-D168*indicaciones!$G$8*indicaciones!$D$4</f>
        <v>62638.679200027451</v>
      </c>
      <c r="G168" s="9">
        <f>-E168*indicaciones!$G$9*-indicaciones!$D$5</f>
        <v>-606360.71070003556</v>
      </c>
      <c r="H168" s="9">
        <f t="shared" si="10"/>
        <v>-543722.03150000807</v>
      </c>
      <c r="I168" s="9"/>
      <c r="J168" s="9">
        <f>-D168*indicaciones!$H$8</f>
        <v>62638.679200027444</v>
      </c>
      <c r="K168" s="9">
        <f>-E168*-indicaciones!$H$9</f>
        <v>-606360.71070003556</v>
      </c>
      <c r="L168" s="14">
        <f t="shared" si="11"/>
        <v>-543722.03150000807</v>
      </c>
    </row>
    <row r="169" spans="1:12" x14ac:dyDescent="0.25">
      <c r="A169" s="3">
        <v>45828</v>
      </c>
      <c r="B169" s="4">
        <v>8.19</v>
      </c>
      <c r="C169" s="4">
        <v>9.09</v>
      </c>
      <c r="D169" s="1">
        <f t="shared" si="8"/>
        <v>5.9999999999998721</v>
      </c>
      <c r="E169" s="1">
        <f t="shared" si="9"/>
        <v>8.0000000000000071</v>
      </c>
      <c r="F169" s="9">
        <f>-D169*indicaciones!$G$8*indicaciones!$D$4</f>
        <v>-375832.07520016469</v>
      </c>
      <c r="G169" s="9">
        <f>-E169*indicaciones!$G$9*-indicaciones!$D$5</f>
        <v>538987.29840003292</v>
      </c>
      <c r="H169" s="9">
        <f t="shared" si="10"/>
        <v>163155.22319986823</v>
      </c>
      <c r="I169" s="9"/>
      <c r="J169" s="9">
        <f>-D169*indicaciones!$H$8</f>
        <v>-375832.07520016469</v>
      </c>
      <c r="K169" s="9">
        <f>-E169*-indicaciones!$H$9</f>
        <v>538987.29840003292</v>
      </c>
      <c r="L169" s="14">
        <f t="shared" si="11"/>
        <v>163155.22319986823</v>
      </c>
    </row>
    <row r="170" spans="1:12" x14ac:dyDescent="0.25">
      <c r="A170" s="3">
        <v>45827</v>
      </c>
      <c r="B170" s="4">
        <v>8.1300000000000008</v>
      </c>
      <c r="C170" s="4">
        <v>9.01</v>
      </c>
      <c r="D170" s="1">
        <f t="shared" si="8"/>
        <v>-0.99999999999997868</v>
      </c>
      <c r="E170" s="1">
        <f t="shared" si="9"/>
        <v>0.99999999999997868</v>
      </c>
      <c r="F170" s="9">
        <f>-D170*indicaciones!$G$8*indicaciones!$D$4</f>
        <v>62638.679200027451</v>
      </c>
      <c r="G170" s="9">
        <f>-E170*indicaciones!$G$9*-indicaciones!$D$5</f>
        <v>67373.412300002616</v>
      </c>
      <c r="H170" s="9">
        <f t="shared" si="10"/>
        <v>130012.09150003007</v>
      </c>
      <c r="I170" s="9"/>
      <c r="J170" s="9">
        <f>-D170*indicaciones!$H$8</f>
        <v>62638.679200027444</v>
      </c>
      <c r="K170" s="9">
        <f>-E170*-indicaciones!$H$9</f>
        <v>67373.412300002616</v>
      </c>
      <c r="L170" s="14">
        <f t="shared" si="11"/>
        <v>130012.09150003006</v>
      </c>
    </row>
    <row r="171" spans="1:12" x14ac:dyDescent="0.25">
      <c r="A171" s="3">
        <v>45826</v>
      </c>
      <c r="B171" s="4">
        <v>8.14</v>
      </c>
      <c r="C171" s="4">
        <v>9</v>
      </c>
      <c r="D171" s="1">
        <f t="shared" si="8"/>
        <v>-1.9999999999999574</v>
      </c>
      <c r="E171" s="1">
        <f t="shared" si="9"/>
        <v>0</v>
      </c>
      <c r="F171" s="9">
        <f>-D171*indicaciones!$G$8*indicaciones!$D$4</f>
        <v>125277.3584000549</v>
      </c>
      <c r="G171" s="9">
        <f>-E171*indicaciones!$G$9*-indicaciones!$D$5</f>
        <v>0</v>
      </c>
      <c r="H171" s="9">
        <f t="shared" si="10"/>
        <v>125277.3584000549</v>
      </c>
      <c r="I171" s="9"/>
      <c r="J171" s="9">
        <f>-D171*indicaciones!$H$8</f>
        <v>125277.35840005489</v>
      </c>
      <c r="K171" s="9">
        <f>-E171*-indicaciones!$H$9</f>
        <v>0</v>
      </c>
      <c r="L171" s="14">
        <f t="shared" si="11"/>
        <v>125277.35840005489</v>
      </c>
    </row>
    <row r="172" spans="1:12" x14ac:dyDescent="0.25">
      <c r="A172" s="3">
        <v>45825</v>
      </c>
      <c r="B172" s="4">
        <v>8.16</v>
      </c>
      <c r="C172" s="4">
        <v>9</v>
      </c>
      <c r="D172" s="1">
        <f t="shared" si="8"/>
        <v>1.9999999999999574</v>
      </c>
      <c r="E172" s="1">
        <f t="shared" si="9"/>
        <v>5.0000000000000711</v>
      </c>
      <c r="F172" s="9">
        <f>-D172*indicaciones!$G$8*indicaciones!$D$4</f>
        <v>-125277.3584000549</v>
      </c>
      <c r="G172" s="9">
        <f>-E172*indicaciones!$G$9*-indicaciones!$D$5</f>
        <v>336867.06150002504</v>
      </c>
      <c r="H172" s="9">
        <f t="shared" si="10"/>
        <v>211589.70309997012</v>
      </c>
      <c r="I172" s="9"/>
      <c r="J172" s="9">
        <f>-D172*indicaciones!$H$8</f>
        <v>-125277.35840005489</v>
      </c>
      <c r="K172" s="9">
        <f>-E172*-indicaciones!$H$9</f>
        <v>336867.06150002504</v>
      </c>
      <c r="L172" s="14">
        <f t="shared" si="11"/>
        <v>211589.70309997015</v>
      </c>
    </row>
    <row r="173" spans="1:12" x14ac:dyDescent="0.25">
      <c r="A173" s="3">
        <v>45824</v>
      </c>
      <c r="B173" s="4">
        <v>8.14</v>
      </c>
      <c r="C173" s="4">
        <v>8.9499999999999993</v>
      </c>
      <c r="D173" s="1">
        <f t="shared" si="8"/>
        <v>6.0000000000000497</v>
      </c>
      <c r="E173" s="1">
        <f t="shared" si="9"/>
        <v>-5.0000000000000711</v>
      </c>
      <c r="F173" s="9">
        <f>-D173*indicaciones!$G$8*indicaciones!$D$4</f>
        <v>-375832.07520017581</v>
      </c>
      <c r="G173" s="9">
        <f>-E173*indicaciones!$G$9*-indicaciones!$D$5</f>
        <v>-336867.06150002504</v>
      </c>
      <c r="H173" s="9">
        <f t="shared" si="10"/>
        <v>-712699.13670020085</v>
      </c>
      <c r="I173" s="9"/>
      <c r="J173" s="9">
        <f>-D173*indicaciones!$H$8</f>
        <v>-375832.07520017581</v>
      </c>
      <c r="K173" s="9">
        <f>-E173*-indicaciones!$H$9</f>
        <v>-336867.06150002504</v>
      </c>
      <c r="L173" s="14">
        <f t="shared" si="11"/>
        <v>-712699.13670020085</v>
      </c>
    </row>
    <row r="174" spans="1:12" x14ac:dyDescent="0.25">
      <c r="A174" s="3">
        <v>45821</v>
      </c>
      <c r="B174" s="4">
        <v>8.08</v>
      </c>
      <c r="C174" s="4">
        <v>9</v>
      </c>
      <c r="D174" s="1">
        <f t="shared" si="8"/>
        <v>0</v>
      </c>
      <c r="E174" s="1">
        <f t="shared" si="9"/>
        <v>-0.99999999999997868</v>
      </c>
      <c r="F174" s="9">
        <f>-D174*indicaciones!$G$8*indicaciones!$D$4</f>
        <v>0</v>
      </c>
      <c r="G174" s="9">
        <f>-E174*indicaciones!$G$9*-indicaciones!$D$5</f>
        <v>-67373.412300002616</v>
      </c>
      <c r="H174" s="9">
        <f t="shared" si="10"/>
        <v>-67373.412300002616</v>
      </c>
      <c r="I174" s="9"/>
      <c r="J174" s="9">
        <f>-D174*indicaciones!$H$8</f>
        <v>0</v>
      </c>
      <c r="K174" s="9">
        <f>-E174*-indicaciones!$H$9</f>
        <v>-67373.412300002616</v>
      </c>
      <c r="L174" s="14">
        <f t="shared" si="11"/>
        <v>-67373.412300002616</v>
      </c>
    </row>
    <row r="175" spans="1:12" x14ac:dyDescent="0.25">
      <c r="A175" s="3">
        <v>45820</v>
      </c>
      <c r="B175" s="4">
        <v>8.08</v>
      </c>
      <c r="C175" s="4">
        <v>9.01</v>
      </c>
      <c r="D175" s="1">
        <f t="shared" si="8"/>
        <v>-7.0000000000000284</v>
      </c>
      <c r="E175" s="1">
        <f t="shared" si="9"/>
        <v>0</v>
      </c>
      <c r="F175" s="9">
        <f>-D175*indicaciones!$G$8*indicaciones!$D$4</f>
        <v>438470.7544002033</v>
      </c>
      <c r="G175" s="9">
        <f>-E175*indicaciones!$G$9*-indicaciones!$D$5</f>
        <v>0</v>
      </c>
      <c r="H175" s="9">
        <f t="shared" si="10"/>
        <v>438470.7544002033</v>
      </c>
      <c r="I175" s="9"/>
      <c r="J175" s="9">
        <f>-D175*indicaciones!$H$8</f>
        <v>438470.75440020324</v>
      </c>
      <c r="K175" s="9">
        <f>-E175*-indicaciones!$H$9</f>
        <v>0</v>
      </c>
      <c r="L175" s="14">
        <f t="shared" si="11"/>
        <v>438470.75440020324</v>
      </c>
    </row>
    <row r="176" spans="1:12" x14ac:dyDescent="0.25">
      <c r="A176" s="3">
        <v>45819</v>
      </c>
      <c r="B176" s="4">
        <v>8.15</v>
      </c>
      <c r="C176" s="4">
        <v>9.01</v>
      </c>
      <c r="D176" s="1">
        <f t="shared" si="8"/>
        <v>0</v>
      </c>
      <c r="E176" s="1">
        <f t="shared" si="9"/>
        <v>0.99999999999997868</v>
      </c>
      <c r="F176" s="9">
        <f>-D176*indicaciones!$G$8*indicaciones!$D$4</f>
        <v>0</v>
      </c>
      <c r="G176" s="9">
        <f>-E176*indicaciones!$G$9*-indicaciones!$D$5</f>
        <v>67373.412300002616</v>
      </c>
      <c r="H176" s="9">
        <f t="shared" si="10"/>
        <v>67373.412300002616</v>
      </c>
      <c r="I176" s="9"/>
      <c r="J176" s="9">
        <f>-D176*indicaciones!$H$8</f>
        <v>0</v>
      </c>
      <c r="K176" s="9">
        <f>-E176*-indicaciones!$H$9</f>
        <v>67373.412300002616</v>
      </c>
      <c r="L176" s="14">
        <f t="shared" si="11"/>
        <v>67373.412300002616</v>
      </c>
    </row>
    <row r="177" spans="1:12" x14ac:dyDescent="0.25">
      <c r="A177" s="3">
        <v>45818</v>
      </c>
      <c r="B177" s="4">
        <v>8.15</v>
      </c>
      <c r="C177" s="4">
        <v>9</v>
      </c>
      <c r="D177" s="1">
        <f t="shared" si="8"/>
        <v>0.99999999999997868</v>
      </c>
      <c r="E177" s="1">
        <f t="shared" si="9"/>
        <v>0</v>
      </c>
      <c r="F177" s="9">
        <f>-D177*indicaciones!$G$8*indicaciones!$D$4</f>
        <v>-62638.679200027451</v>
      </c>
      <c r="G177" s="9">
        <f>-E177*indicaciones!$G$9*-indicaciones!$D$5</f>
        <v>0</v>
      </c>
      <c r="H177" s="9">
        <f t="shared" si="10"/>
        <v>-62638.679200027451</v>
      </c>
      <c r="I177" s="9"/>
      <c r="J177" s="9">
        <f>-D177*indicaciones!$H$8</f>
        <v>-62638.679200027444</v>
      </c>
      <c r="K177" s="9">
        <f>-E177*-indicaciones!$H$9</f>
        <v>0</v>
      </c>
      <c r="L177" s="14">
        <f t="shared" si="11"/>
        <v>-62638.679200027444</v>
      </c>
    </row>
    <row r="178" spans="1:12" x14ac:dyDescent="0.25">
      <c r="A178" s="3">
        <v>45817</v>
      </c>
      <c r="B178" s="4">
        <v>8.14</v>
      </c>
      <c r="C178" s="4">
        <v>9</v>
      </c>
      <c r="D178" s="1">
        <f t="shared" si="8"/>
        <v>6.0000000000000497</v>
      </c>
      <c r="E178" s="1">
        <f t="shared" si="9"/>
        <v>-0.99999999999997868</v>
      </c>
      <c r="F178" s="9">
        <f>-D178*indicaciones!$G$8*indicaciones!$D$4</f>
        <v>-375832.07520017581</v>
      </c>
      <c r="G178" s="9">
        <f>-E178*indicaciones!$G$9*-indicaciones!$D$5</f>
        <v>-67373.412300002616</v>
      </c>
      <c r="H178" s="9">
        <f t="shared" si="10"/>
        <v>-443205.48750017839</v>
      </c>
      <c r="I178" s="9"/>
      <c r="J178" s="9">
        <f>-D178*indicaciones!$H$8</f>
        <v>-375832.07520017581</v>
      </c>
      <c r="K178" s="9">
        <f>-E178*-indicaciones!$H$9</f>
        <v>-67373.412300002616</v>
      </c>
      <c r="L178" s="14">
        <f t="shared" si="11"/>
        <v>-443205.48750017839</v>
      </c>
    </row>
    <row r="179" spans="1:12" x14ac:dyDescent="0.25">
      <c r="A179" s="3">
        <v>45814</v>
      </c>
      <c r="B179" s="4">
        <v>8.08</v>
      </c>
      <c r="C179" s="4">
        <v>9.01</v>
      </c>
      <c r="D179" s="1">
        <f t="shared" si="8"/>
        <v>2.9999999999999361</v>
      </c>
      <c r="E179" s="1">
        <f t="shared" si="9"/>
        <v>-4.0000000000000924</v>
      </c>
      <c r="F179" s="9">
        <f>-D179*indicaciones!$G$8*indicaciones!$D$4</f>
        <v>-187916.03760008235</v>
      </c>
      <c r="G179" s="9">
        <f>-E179*indicaciones!$G$9*-indicaciones!$D$5</f>
        <v>-269493.6492000224</v>
      </c>
      <c r="H179" s="9">
        <f t="shared" si="10"/>
        <v>-457409.68680010474</v>
      </c>
      <c r="I179" s="9"/>
      <c r="J179" s="9">
        <f>-D179*indicaciones!$H$8</f>
        <v>-187916.03760008235</v>
      </c>
      <c r="K179" s="9">
        <f>-E179*-indicaciones!$H$9</f>
        <v>-269493.64920002245</v>
      </c>
      <c r="L179" s="14">
        <f t="shared" si="11"/>
        <v>-457409.6868001048</v>
      </c>
    </row>
    <row r="180" spans="1:12" x14ac:dyDescent="0.25">
      <c r="A180" s="3">
        <v>45813</v>
      </c>
      <c r="B180" s="4">
        <v>8.0500000000000007</v>
      </c>
      <c r="C180" s="4">
        <v>9.0500000000000007</v>
      </c>
      <c r="D180" s="1">
        <f t="shared" si="8"/>
        <v>-0.99999999999997868</v>
      </c>
      <c r="E180" s="1">
        <f t="shared" si="9"/>
        <v>-0.99999999999997868</v>
      </c>
      <c r="F180" s="9">
        <f>-D180*indicaciones!$G$8*indicaciones!$D$4</f>
        <v>62638.679200027451</v>
      </c>
      <c r="G180" s="9">
        <f>-E180*indicaciones!$G$9*-indicaciones!$D$5</f>
        <v>-67373.412300002616</v>
      </c>
      <c r="H180" s="9">
        <f t="shared" si="10"/>
        <v>-4734.7330999751648</v>
      </c>
      <c r="I180" s="9"/>
      <c r="J180" s="9">
        <f>-D180*indicaciones!$H$8</f>
        <v>62638.679200027444</v>
      </c>
      <c r="K180" s="9">
        <f>-E180*-indicaciones!$H$9</f>
        <v>-67373.412300002616</v>
      </c>
      <c r="L180" s="14">
        <f t="shared" si="11"/>
        <v>-4734.7330999751721</v>
      </c>
    </row>
    <row r="181" spans="1:12" x14ac:dyDescent="0.25">
      <c r="A181" s="3">
        <v>45812</v>
      </c>
      <c r="B181" s="4">
        <v>8.06</v>
      </c>
      <c r="C181" s="4">
        <v>9.06</v>
      </c>
      <c r="D181" s="1">
        <f t="shared" si="8"/>
        <v>-4.9999999999998934</v>
      </c>
      <c r="E181" s="1">
        <f t="shared" si="9"/>
        <v>-11.999999999999922</v>
      </c>
      <c r="F181" s="9">
        <f>-D181*indicaciones!$G$8*indicaciones!$D$4</f>
        <v>313193.3960001372</v>
      </c>
      <c r="G181" s="9">
        <f>-E181*indicaciones!$G$9*-indicaciones!$D$5</f>
        <v>-808480.94760004338</v>
      </c>
      <c r="H181" s="9">
        <f t="shared" si="10"/>
        <v>-495287.55159990618</v>
      </c>
      <c r="I181" s="9"/>
      <c r="J181" s="9">
        <f>-D181*indicaciones!$H$8</f>
        <v>313193.39600013726</v>
      </c>
      <c r="K181" s="9">
        <f>-E181*-indicaciones!$H$9</f>
        <v>-808480.94760004338</v>
      </c>
      <c r="L181" s="14">
        <f t="shared" si="11"/>
        <v>-495287.55159990612</v>
      </c>
    </row>
    <row r="182" spans="1:12" x14ac:dyDescent="0.25">
      <c r="A182" s="3">
        <v>45811</v>
      </c>
      <c r="B182" s="4">
        <v>8.11</v>
      </c>
      <c r="C182" s="4">
        <v>9.18</v>
      </c>
      <c r="D182" s="1">
        <f t="shared" si="8"/>
        <v>-4.0000000000000924</v>
      </c>
      <c r="E182" s="1">
        <f t="shared" si="9"/>
        <v>-3.0000000000001137</v>
      </c>
      <c r="F182" s="9">
        <f>-D182*indicaciones!$G$8*indicaciones!$D$4</f>
        <v>250554.71680012092</v>
      </c>
      <c r="G182" s="9">
        <f>-E182*indicaciones!$G$9*-indicaciones!$D$5</f>
        <v>-202120.23690001981</v>
      </c>
      <c r="H182" s="9">
        <f t="shared" si="10"/>
        <v>48434.479900101112</v>
      </c>
      <c r="I182" s="9"/>
      <c r="J182" s="9">
        <f>-D182*indicaciones!$H$8</f>
        <v>250554.71680012092</v>
      </c>
      <c r="K182" s="9">
        <f>-E182*-indicaciones!$H$9</f>
        <v>-202120.23690001984</v>
      </c>
      <c r="L182" s="14">
        <f t="shared" si="11"/>
        <v>48434.479900101083</v>
      </c>
    </row>
    <row r="183" spans="1:12" x14ac:dyDescent="0.25">
      <c r="A183" s="3">
        <v>45810</v>
      </c>
      <c r="B183" s="4">
        <v>8.15</v>
      </c>
      <c r="C183" s="4">
        <v>9.2100000000000009</v>
      </c>
      <c r="D183" s="1">
        <f t="shared" si="8"/>
        <v>1.9999999999999574</v>
      </c>
      <c r="E183" s="1">
        <f t="shared" si="9"/>
        <v>0</v>
      </c>
      <c r="F183" s="9">
        <f>-D183*indicaciones!$G$8*indicaciones!$D$4</f>
        <v>-125277.3584000549</v>
      </c>
      <c r="G183" s="9">
        <f>-E183*indicaciones!$G$9*-indicaciones!$D$5</f>
        <v>0</v>
      </c>
      <c r="H183" s="9">
        <f t="shared" si="10"/>
        <v>-125277.3584000549</v>
      </c>
      <c r="I183" s="9"/>
      <c r="J183" s="9">
        <f>-D183*indicaciones!$H$8</f>
        <v>-125277.35840005489</v>
      </c>
      <c r="K183" s="9">
        <f>-E183*-indicaciones!$H$9</f>
        <v>0</v>
      </c>
      <c r="L183" s="14">
        <f t="shared" si="11"/>
        <v>-125277.35840005489</v>
      </c>
    </row>
    <row r="184" spans="1:12" x14ac:dyDescent="0.25">
      <c r="A184" s="3">
        <v>45807</v>
      </c>
      <c r="B184" s="4">
        <v>8.1300000000000008</v>
      </c>
      <c r="C184" s="4">
        <v>9.2100000000000009</v>
      </c>
      <c r="D184" s="1">
        <f t="shared" si="8"/>
        <v>1.0000000000001563</v>
      </c>
      <c r="E184" s="1">
        <f t="shared" si="9"/>
        <v>1.0000000000001563</v>
      </c>
      <c r="F184" s="9">
        <f>-D184*indicaciones!$G$8*indicaciones!$D$4</f>
        <v>-62638.679200038583</v>
      </c>
      <c r="G184" s="9">
        <f>-E184*indicaciones!$G$9*-indicaciones!$D$5</f>
        <v>67373.412300014592</v>
      </c>
      <c r="H184" s="9">
        <f t="shared" si="10"/>
        <v>4734.7330999760088</v>
      </c>
      <c r="I184" s="9"/>
      <c r="J184" s="9">
        <f>-D184*indicaciones!$H$8</f>
        <v>-62638.679200038576</v>
      </c>
      <c r="K184" s="9">
        <f>-E184*-indicaciones!$H$9</f>
        <v>67373.412300014592</v>
      </c>
      <c r="L184" s="14">
        <f t="shared" si="11"/>
        <v>4734.7330999760161</v>
      </c>
    </row>
    <row r="185" spans="1:12" x14ac:dyDescent="0.25">
      <c r="A185" s="3">
        <v>45806</v>
      </c>
      <c r="B185" s="4">
        <v>8.1199999999999992</v>
      </c>
      <c r="C185" s="4">
        <v>9.1999999999999993</v>
      </c>
      <c r="D185" s="1">
        <f t="shared" si="8"/>
        <v>-7.0000000000000284</v>
      </c>
      <c r="E185" s="1">
        <f t="shared" si="9"/>
        <v>-7.0000000000000284</v>
      </c>
      <c r="F185" s="9">
        <f>-D185*indicaciones!$G$8*indicaciones!$D$4</f>
        <v>438470.7544002033</v>
      </c>
      <c r="G185" s="9">
        <f>-E185*indicaciones!$G$9*-indicaciones!$D$5</f>
        <v>-471613.88610003027</v>
      </c>
      <c r="H185" s="9">
        <f t="shared" si="10"/>
        <v>-33143.131699826976</v>
      </c>
      <c r="I185" s="9"/>
      <c r="J185" s="9">
        <f>-D185*indicaciones!$H$8</f>
        <v>438470.75440020324</v>
      </c>
      <c r="K185" s="9">
        <f>-E185*-indicaciones!$H$9</f>
        <v>-471613.88610003033</v>
      </c>
      <c r="L185" s="14">
        <f t="shared" si="11"/>
        <v>-33143.131699827092</v>
      </c>
    </row>
    <row r="186" spans="1:12" x14ac:dyDescent="0.25">
      <c r="A186" s="3">
        <v>45805</v>
      </c>
      <c r="B186" s="4">
        <v>8.19</v>
      </c>
      <c r="C186" s="4">
        <v>9.27</v>
      </c>
      <c r="D186" s="1">
        <f t="shared" si="8"/>
        <v>-3.0000000000001137</v>
      </c>
      <c r="E186" s="1">
        <f t="shared" si="9"/>
        <v>0.99999999999997868</v>
      </c>
      <c r="F186" s="9">
        <f>-D186*indicaciones!$G$8*indicaciones!$D$4</f>
        <v>187916.03760009346</v>
      </c>
      <c r="G186" s="9">
        <f>-E186*indicaciones!$G$9*-indicaciones!$D$5</f>
        <v>67373.412300002616</v>
      </c>
      <c r="H186" s="9">
        <f t="shared" si="10"/>
        <v>255289.44990009608</v>
      </c>
      <c r="I186" s="9"/>
      <c r="J186" s="9">
        <f>-D186*indicaciones!$H$8</f>
        <v>187916.03760009346</v>
      </c>
      <c r="K186" s="9">
        <f>-E186*-indicaciones!$H$9</f>
        <v>67373.412300002616</v>
      </c>
      <c r="L186" s="14">
        <f t="shared" si="11"/>
        <v>255289.44990009608</v>
      </c>
    </row>
    <row r="187" spans="1:12" x14ac:dyDescent="0.25">
      <c r="A187" s="3">
        <v>45804</v>
      </c>
      <c r="B187" s="4">
        <v>8.2200000000000006</v>
      </c>
      <c r="C187" s="4">
        <v>9.26</v>
      </c>
      <c r="D187" s="1">
        <f t="shared" si="8"/>
        <v>-1.9999999999999574</v>
      </c>
      <c r="E187" s="1">
        <f t="shared" si="9"/>
        <v>-8.9999999999999858</v>
      </c>
      <c r="F187" s="9">
        <f>-D187*indicaciones!$G$8*indicaciones!$D$4</f>
        <v>125277.3584000549</v>
      </c>
      <c r="G187" s="9">
        <f>-E187*indicaciones!$G$9*-indicaciones!$D$5</f>
        <v>-606360.71070003556</v>
      </c>
      <c r="H187" s="9">
        <f t="shared" si="10"/>
        <v>-481083.35229998064</v>
      </c>
      <c r="I187" s="9"/>
      <c r="J187" s="9">
        <f>-D187*indicaciones!$H$8</f>
        <v>125277.35840005489</v>
      </c>
      <c r="K187" s="9">
        <f>-E187*-indicaciones!$H$9</f>
        <v>-606360.71070003556</v>
      </c>
      <c r="L187" s="14">
        <f t="shared" si="11"/>
        <v>-481083.3522999807</v>
      </c>
    </row>
    <row r="188" spans="1:12" x14ac:dyDescent="0.25">
      <c r="A188" s="3">
        <v>45803</v>
      </c>
      <c r="B188" s="4">
        <v>8.24</v>
      </c>
      <c r="C188" s="4">
        <v>9.35</v>
      </c>
      <c r="D188" s="1">
        <f t="shared" si="8"/>
        <v>2.9999999999999361</v>
      </c>
      <c r="E188" s="1">
        <f t="shared" si="9"/>
        <v>0</v>
      </c>
      <c r="F188" s="9">
        <f>-D188*indicaciones!$G$8*indicaciones!$D$4</f>
        <v>-187916.03760008235</v>
      </c>
      <c r="G188" s="9">
        <f>-E188*indicaciones!$G$9*-indicaciones!$D$5</f>
        <v>0</v>
      </c>
      <c r="H188" s="9">
        <f t="shared" si="10"/>
        <v>-187916.03760008235</v>
      </c>
      <c r="I188" s="9"/>
      <c r="J188" s="9">
        <f>-D188*indicaciones!$H$8</f>
        <v>-187916.03760008235</v>
      </c>
      <c r="K188" s="9">
        <f>-E188*-indicaciones!$H$9</f>
        <v>0</v>
      </c>
      <c r="L188" s="14">
        <f t="shared" si="11"/>
        <v>-187916.03760008235</v>
      </c>
    </row>
    <row r="189" spans="1:12" x14ac:dyDescent="0.25">
      <c r="A189" s="3">
        <v>45800</v>
      </c>
      <c r="B189" s="4">
        <v>8.2100000000000009</v>
      </c>
      <c r="C189" s="4">
        <v>9.35</v>
      </c>
      <c r="D189" s="1">
        <f t="shared" si="8"/>
        <v>0</v>
      </c>
      <c r="E189" s="1">
        <f t="shared" si="9"/>
        <v>0.99999999999997868</v>
      </c>
      <c r="F189" s="9">
        <f>-D189*indicaciones!$G$8*indicaciones!$D$4</f>
        <v>0</v>
      </c>
      <c r="G189" s="9">
        <f>-E189*indicaciones!$G$9*-indicaciones!$D$5</f>
        <v>67373.412300002616</v>
      </c>
      <c r="H189" s="9">
        <f t="shared" si="10"/>
        <v>67373.412300002616</v>
      </c>
      <c r="I189" s="9"/>
      <c r="J189" s="9">
        <f>-D189*indicaciones!$H$8</f>
        <v>0</v>
      </c>
      <c r="K189" s="9">
        <f>-E189*-indicaciones!$H$9</f>
        <v>67373.412300002616</v>
      </c>
      <c r="L189" s="14">
        <f t="shared" si="11"/>
        <v>67373.412300002616</v>
      </c>
    </row>
    <row r="190" spans="1:12" x14ac:dyDescent="0.25">
      <c r="A190" s="3">
        <v>45799</v>
      </c>
      <c r="B190" s="4">
        <v>8.2100000000000009</v>
      </c>
      <c r="C190" s="4">
        <v>9.34</v>
      </c>
      <c r="D190" s="1">
        <f t="shared" si="8"/>
        <v>-3.9999999999999147</v>
      </c>
      <c r="E190" s="1">
        <f t="shared" si="9"/>
        <v>-2.9999999999999361</v>
      </c>
      <c r="F190" s="9">
        <f>-D190*indicaciones!$G$8*indicaciones!$D$4</f>
        <v>250554.7168001098</v>
      </c>
      <c r="G190" s="9">
        <f>-E190*indicaciones!$G$9*-indicaciones!$D$5</f>
        <v>-202120.23690000785</v>
      </c>
      <c r="H190" s="9">
        <f t="shared" si="10"/>
        <v>48434.479900101956</v>
      </c>
      <c r="I190" s="9"/>
      <c r="J190" s="9">
        <f>-D190*indicaciones!$H$8</f>
        <v>250554.71680010977</v>
      </c>
      <c r="K190" s="9">
        <f>-E190*-indicaciones!$H$9</f>
        <v>-202120.23690000785</v>
      </c>
      <c r="L190" s="14">
        <f t="shared" si="11"/>
        <v>48434.479900101927</v>
      </c>
    </row>
    <row r="191" spans="1:12" x14ac:dyDescent="0.25">
      <c r="A191" s="3">
        <v>45798</v>
      </c>
      <c r="B191" s="4">
        <v>8.25</v>
      </c>
      <c r="C191" s="4">
        <v>9.3699999999999992</v>
      </c>
      <c r="D191" s="1">
        <f t="shared" si="8"/>
        <v>-1.9999999999999574</v>
      </c>
      <c r="E191" s="1">
        <f t="shared" si="9"/>
        <v>3.9999999999999147</v>
      </c>
      <c r="F191" s="9">
        <f>-D191*indicaciones!$G$8*indicaciones!$D$4</f>
        <v>125277.3584000549</v>
      </c>
      <c r="G191" s="9">
        <f>-E191*indicaciones!$G$9*-indicaciones!$D$5</f>
        <v>269493.64920001046</v>
      </c>
      <c r="H191" s="9">
        <f t="shared" si="10"/>
        <v>394771.00760006538</v>
      </c>
      <c r="I191" s="9"/>
      <c r="J191" s="9">
        <f>-D191*indicaciones!$H$8</f>
        <v>125277.35840005489</v>
      </c>
      <c r="K191" s="9">
        <f>-E191*-indicaciones!$H$9</f>
        <v>269493.64920001046</v>
      </c>
      <c r="L191" s="14">
        <f t="shared" si="11"/>
        <v>394771.00760006532</v>
      </c>
    </row>
    <row r="192" spans="1:12" x14ac:dyDescent="0.25">
      <c r="A192" s="3">
        <v>45797</v>
      </c>
      <c r="B192" s="4">
        <v>8.27</v>
      </c>
      <c r="C192" s="4">
        <v>9.33</v>
      </c>
      <c r="D192" s="1">
        <f t="shared" si="8"/>
        <v>2.9999999999999361</v>
      </c>
      <c r="E192" s="1">
        <f t="shared" si="9"/>
        <v>0</v>
      </c>
      <c r="F192" s="9">
        <f>-D192*indicaciones!$G$8*indicaciones!$D$4</f>
        <v>-187916.03760008235</v>
      </c>
      <c r="G192" s="9">
        <f>-E192*indicaciones!$G$9*-indicaciones!$D$5</f>
        <v>0</v>
      </c>
      <c r="H192" s="9">
        <f t="shared" si="10"/>
        <v>-187916.03760008235</v>
      </c>
      <c r="I192" s="9"/>
      <c r="J192" s="9">
        <f>-D192*indicaciones!$H$8</f>
        <v>-187916.03760008235</v>
      </c>
      <c r="K192" s="9">
        <f>-E192*-indicaciones!$H$9</f>
        <v>0</v>
      </c>
      <c r="L192" s="14">
        <f t="shared" si="11"/>
        <v>-187916.03760008235</v>
      </c>
    </row>
    <row r="193" spans="1:12" x14ac:dyDescent="0.25">
      <c r="A193" s="3">
        <v>45796</v>
      </c>
      <c r="B193" s="4">
        <v>8.24</v>
      </c>
      <c r="C193" s="4">
        <v>9.33</v>
      </c>
      <c r="D193" s="1">
        <f t="shared" si="8"/>
        <v>-3.9999999999999147</v>
      </c>
      <c r="E193" s="1">
        <f t="shared" si="9"/>
        <v>-1.9999999999999574</v>
      </c>
      <c r="F193" s="9">
        <f>-D193*indicaciones!$G$8*indicaciones!$D$4</f>
        <v>250554.7168001098</v>
      </c>
      <c r="G193" s="9">
        <f>-E193*indicaciones!$G$9*-indicaciones!$D$5</f>
        <v>-134746.82460000523</v>
      </c>
      <c r="H193" s="9">
        <f t="shared" si="10"/>
        <v>115807.89220010457</v>
      </c>
      <c r="I193" s="9"/>
      <c r="J193" s="9">
        <f>-D193*indicaciones!$H$8</f>
        <v>250554.71680010977</v>
      </c>
      <c r="K193" s="9">
        <f>-E193*-indicaciones!$H$9</f>
        <v>-134746.82460000523</v>
      </c>
      <c r="L193" s="14">
        <f t="shared" si="11"/>
        <v>115807.89220010454</v>
      </c>
    </row>
    <row r="194" spans="1:12" x14ac:dyDescent="0.25">
      <c r="A194" s="3">
        <v>45793</v>
      </c>
      <c r="B194" s="4">
        <v>8.2799999999999994</v>
      </c>
      <c r="C194" s="4">
        <v>9.35</v>
      </c>
      <c r="D194" s="1">
        <f t="shared" si="8"/>
        <v>-2.000000000000135</v>
      </c>
      <c r="E194" s="1">
        <f t="shared" si="9"/>
        <v>-0.99999999999997868</v>
      </c>
      <c r="F194" s="9">
        <f>-D194*indicaciones!$G$8*indicaciones!$D$4</f>
        <v>125277.35840006603</v>
      </c>
      <c r="G194" s="9">
        <f>-E194*indicaciones!$G$9*-indicaciones!$D$5</f>
        <v>-67373.412300002616</v>
      </c>
      <c r="H194" s="9">
        <f t="shared" si="10"/>
        <v>57903.946100063418</v>
      </c>
      <c r="I194" s="9"/>
      <c r="J194" s="9">
        <f>-D194*indicaciones!$H$8</f>
        <v>125277.35840006602</v>
      </c>
      <c r="K194" s="9">
        <f>-E194*-indicaciones!$H$9</f>
        <v>-67373.412300002616</v>
      </c>
      <c r="L194" s="14">
        <f t="shared" si="11"/>
        <v>57903.946100063404</v>
      </c>
    </row>
    <row r="195" spans="1:12" x14ac:dyDescent="0.25">
      <c r="A195" s="3">
        <v>45792</v>
      </c>
      <c r="B195" s="4">
        <v>8.3000000000000007</v>
      </c>
      <c r="C195" s="4">
        <v>9.36</v>
      </c>
      <c r="D195" s="1">
        <f t="shared" ref="D195:D258" si="12">(B195-B196)*100</f>
        <v>-11.999999999999922</v>
      </c>
      <c r="E195" s="1">
        <f t="shared" ref="E195:E258" si="13">(C195-C196)*100</f>
        <v>-6.0000000000000497</v>
      </c>
      <c r="F195" s="9">
        <f>-D195*indicaciones!$G$8*indicaciones!$D$4</f>
        <v>751664.15040034044</v>
      </c>
      <c r="G195" s="9">
        <f>-E195*indicaciones!$G$9*-indicaciones!$D$5</f>
        <v>-404240.47380002763</v>
      </c>
      <c r="H195" s="9">
        <f t="shared" ref="H195:H258" si="14">F195+G195</f>
        <v>347423.67660031281</v>
      </c>
      <c r="I195" s="9"/>
      <c r="J195" s="9">
        <f>-D195*indicaciones!$H$8</f>
        <v>751664.15040034044</v>
      </c>
      <c r="K195" s="9">
        <f>-E195*-indicaciones!$H$9</f>
        <v>-404240.47380002768</v>
      </c>
      <c r="L195" s="14">
        <f t="shared" ref="L195:L258" si="15">SUM(J195:K195)</f>
        <v>347423.67660031276</v>
      </c>
    </row>
    <row r="196" spans="1:12" x14ac:dyDescent="0.25">
      <c r="A196" s="3">
        <v>45791</v>
      </c>
      <c r="B196" s="4">
        <v>8.42</v>
      </c>
      <c r="C196" s="4">
        <v>9.42</v>
      </c>
      <c r="D196" s="1">
        <f t="shared" si="12"/>
        <v>8.9999999999999858</v>
      </c>
      <c r="E196" s="1">
        <f t="shared" si="13"/>
        <v>9.9999999999999645</v>
      </c>
      <c r="F196" s="9">
        <f>-D196*indicaciones!$G$8*indicaciones!$D$4</f>
        <v>-563748.1128002581</v>
      </c>
      <c r="G196" s="9">
        <f>-E196*indicaciones!$G$9*-indicaciones!$D$5</f>
        <v>673734.12300003821</v>
      </c>
      <c r="H196" s="9">
        <f t="shared" si="14"/>
        <v>109986.01019978011</v>
      </c>
      <c r="I196" s="9"/>
      <c r="J196" s="9">
        <f>-D196*indicaciones!$H$8</f>
        <v>-563748.1128002581</v>
      </c>
      <c r="K196" s="9">
        <f>-E196*-indicaciones!$H$9</f>
        <v>673734.12300003821</v>
      </c>
      <c r="L196" s="14">
        <f t="shared" si="15"/>
        <v>109986.01019978011</v>
      </c>
    </row>
    <row r="197" spans="1:12" x14ac:dyDescent="0.25">
      <c r="A197" s="3">
        <v>45790</v>
      </c>
      <c r="B197" s="4">
        <v>8.33</v>
      </c>
      <c r="C197" s="4">
        <v>9.32</v>
      </c>
      <c r="D197" s="1">
        <f t="shared" si="12"/>
        <v>5.0000000000000711</v>
      </c>
      <c r="E197" s="1">
        <f t="shared" si="13"/>
        <v>1.9999999999999574</v>
      </c>
      <c r="F197" s="9">
        <f>-D197*indicaciones!$G$8*indicaciones!$D$4</f>
        <v>-313193.39600014838</v>
      </c>
      <c r="G197" s="9">
        <f>-E197*indicaciones!$G$9*-indicaciones!$D$5</f>
        <v>134746.82460000523</v>
      </c>
      <c r="H197" s="9">
        <f t="shared" si="14"/>
        <v>-178446.57140014315</v>
      </c>
      <c r="I197" s="9"/>
      <c r="J197" s="9">
        <f>-D197*indicaciones!$H$8</f>
        <v>-313193.39600014838</v>
      </c>
      <c r="K197" s="9">
        <f>-E197*-indicaciones!$H$9</f>
        <v>134746.82460000523</v>
      </c>
      <c r="L197" s="14">
        <f t="shared" si="15"/>
        <v>-178446.57140014315</v>
      </c>
    </row>
    <row r="198" spans="1:12" x14ac:dyDescent="0.25">
      <c r="A198" s="3">
        <v>45789</v>
      </c>
      <c r="B198" s="4">
        <v>8.2799999999999994</v>
      </c>
      <c r="C198" s="4">
        <v>9.3000000000000007</v>
      </c>
      <c r="D198" s="1">
        <f t="shared" si="12"/>
        <v>5.9999999999998721</v>
      </c>
      <c r="E198" s="1">
        <f t="shared" si="13"/>
        <v>0</v>
      </c>
      <c r="F198" s="9">
        <f>-D198*indicaciones!$G$8*indicaciones!$D$4</f>
        <v>-375832.07520016469</v>
      </c>
      <c r="G198" s="9">
        <f>-E198*indicaciones!$G$9*-indicaciones!$D$5</f>
        <v>0</v>
      </c>
      <c r="H198" s="9">
        <f t="shared" si="14"/>
        <v>-375832.07520016469</v>
      </c>
      <c r="I198" s="9"/>
      <c r="J198" s="9">
        <f>-D198*indicaciones!$H$8</f>
        <v>-375832.07520016469</v>
      </c>
      <c r="K198" s="9">
        <f>-E198*-indicaciones!$H$9</f>
        <v>0</v>
      </c>
      <c r="L198" s="14">
        <f t="shared" si="15"/>
        <v>-375832.07520016469</v>
      </c>
    </row>
    <row r="199" spans="1:12" x14ac:dyDescent="0.25">
      <c r="A199" s="3">
        <v>45786</v>
      </c>
      <c r="B199" s="4">
        <v>8.2200000000000006</v>
      </c>
      <c r="C199" s="4">
        <v>9.3000000000000007</v>
      </c>
      <c r="D199" s="1">
        <f t="shared" si="12"/>
        <v>-3.9999999999999147</v>
      </c>
      <c r="E199" s="1">
        <f t="shared" si="13"/>
        <v>7.0000000000000284</v>
      </c>
      <c r="F199" s="9">
        <f>-D199*indicaciones!$G$8*indicaciones!$D$4</f>
        <v>250554.7168001098</v>
      </c>
      <c r="G199" s="9">
        <f>-E199*indicaciones!$G$9*-indicaciones!$D$5</f>
        <v>471613.88610003027</v>
      </c>
      <c r="H199" s="9">
        <f t="shared" si="14"/>
        <v>722168.6029001401</v>
      </c>
      <c r="I199" s="9"/>
      <c r="J199" s="9">
        <f>-D199*indicaciones!$H$8</f>
        <v>250554.71680010977</v>
      </c>
      <c r="K199" s="9">
        <f>-E199*-indicaciones!$H$9</f>
        <v>471613.88610003033</v>
      </c>
      <c r="L199" s="14">
        <f t="shared" si="15"/>
        <v>722168.6029001401</v>
      </c>
    </row>
    <row r="200" spans="1:12" x14ac:dyDescent="0.25">
      <c r="A200" s="3">
        <v>45785</v>
      </c>
      <c r="B200" s="4">
        <v>8.26</v>
      </c>
      <c r="C200" s="4">
        <v>9.23</v>
      </c>
      <c r="D200" s="1">
        <f t="shared" si="12"/>
        <v>8.9999999999999858</v>
      </c>
      <c r="E200" s="1">
        <f t="shared" si="13"/>
        <v>3.0000000000001137</v>
      </c>
      <c r="F200" s="9">
        <f>-D200*indicaciones!$G$8*indicaciones!$D$4</f>
        <v>-563748.1128002581</v>
      </c>
      <c r="G200" s="9">
        <f>-E200*indicaciones!$G$9*-indicaciones!$D$5</f>
        <v>202120.23690001981</v>
      </c>
      <c r="H200" s="9">
        <f t="shared" si="14"/>
        <v>-361627.87590023829</v>
      </c>
      <c r="I200" s="9"/>
      <c r="J200" s="9">
        <f>-D200*indicaciones!$H$8</f>
        <v>-563748.1128002581</v>
      </c>
      <c r="K200" s="9">
        <f>-E200*-indicaciones!$H$9</f>
        <v>202120.23690001984</v>
      </c>
      <c r="L200" s="14">
        <f t="shared" si="15"/>
        <v>-361627.87590023829</v>
      </c>
    </row>
    <row r="201" spans="1:12" x14ac:dyDescent="0.25">
      <c r="A201" s="3">
        <v>45784</v>
      </c>
      <c r="B201" s="4">
        <v>8.17</v>
      </c>
      <c r="C201" s="4">
        <v>9.1999999999999993</v>
      </c>
      <c r="D201" s="1">
        <f t="shared" si="12"/>
        <v>-5.0000000000000711</v>
      </c>
      <c r="E201" s="1">
        <f t="shared" si="13"/>
        <v>0.99999999999997868</v>
      </c>
      <c r="F201" s="9">
        <f>-D201*indicaciones!$G$8*indicaciones!$D$4</f>
        <v>313193.39600014838</v>
      </c>
      <c r="G201" s="9">
        <f>-E201*indicaciones!$G$9*-indicaciones!$D$5</f>
        <v>67373.412300002616</v>
      </c>
      <c r="H201" s="9">
        <f t="shared" si="14"/>
        <v>380566.80830015102</v>
      </c>
      <c r="I201" s="9"/>
      <c r="J201" s="9">
        <f>-D201*indicaciones!$H$8</f>
        <v>313193.39600014838</v>
      </c>
      <c r="K201" s="9">
        <f>-E201*-indicaciones!$H$9</f>
        <v>67373.412300002616</v>
      </c>
      <c r="L201" s="14">
        <f t="shared" si="15"/>
        <v>380566.80830015102</v>
      </c>
    </row>
    <row r="202" spans="1:12" x14ac:dyDescent="0.25">
      <c r="A202" s="3">
        <v>45783</v>
      </c>
      <c r="B202" s="4">
        <v>8.2200000000000006</v>
      </c>
      <c r="C202" s="4">
        <v>9.19</v>
      </c>
      <c r="D202" s="1">
        <f t="shared" si="12"/>
        <v>-2.9999999999999361</v>
      </c>
      <c r="E202" s="1">
        <f t="shared" si="13"/>
        <v>-7.0000000000000284</v>
      </c>
      <c r="F202" s="9">
        <f>-D202*indicaciones!$G$8*indicaciones!$D$4</f>
        <v>187916.03760008235</v>
      </c>
      <c r="G202" s="9">
        <f>-E202*indicaciones!$G$9*-indicaciones!$D$5</f>
        <v>-471613.88610003027</v>
      </c>
      <c r="H202" s="9">
        <f t="shared" si="14"/>
        <v>-283697.84849994793</v>
      </c>
      <c r="I202" s="9"/>
      <c r="J202" s="9">
        <f>-D202*indicaciones!$H$8</f>
        <v>187916.03760008235</v>
      </c>
      <c r="K202" s="9">
        <f>-E202*-indicaciones!$H$9</f>
        <v>-471613.88610003033</v>
      </c>
      <c r="L202" s="14">
        <f t="shared" si="15"/>
        <v>-283697.84849994798</v>
      </c>
    </row>
    <row r="203" spans="1:12" x14ac:dyDescent="0.25">
      <c r="A203" s="3">
        <v>45782</v>
      </c>
      <c r="B203" s="4">
        <v>8.25</v>
      </c>
      <c r="C203" s="4">
        <v>9.26</v>
      </c>
      <c r="D203" s="1">
        <f t="shared" si="12"/>
        <v>0</v>
      </c>
      <c r="E203" s="1">
        <f t="shared" si="13"/>
        <v>1.9999999999999574</v>
      </c>
      <c r="F203" s="9">
        <f>-D203*indicaciones!$G$8*indicaciones!$D$4</f>
        <v>0</v>
      </c>
      <c r="G203" s="9">
        <f>-E203*indicaciones!$G$9*-indicaciones!$D$5</f>
        <v>134746.82460000523</v>
      </c>
      <c r="H203" s="9">
        <f t="shared" si="14"/>
        <v>134746.82460000523</v>
      </c>
      <c r="I203" s="9"/>
      <c r="J203" s="9">
        <f>-D203*indicaciones!$H$8</f>
        <v>0</v>
      </c>
      <c r="K203" s="9">
        <f>-E203*-indicaciones!$H$9</f>
        <v>134746.82460000523</v>
      </c>
      <c r="L203" s="14">
        <f t="shared" si="15"/>
        <v>134746.82460000523</v>
      </c>
    </row>
    <row r="204" spans="1:12" x14ac:dyDescent="0.25">
      <c r="A204" s="3">
        <v>45779</v>
      </c>
      <c r="B204" s="4">
        <v>8.25</v>
      </c>
      <c r="C204" s="4">
        <v>9.24</v>
      </c>
      <c r="D204" s="1">
        <f t="shared" si="12"/>
        <v>3.9999999999999147</v>
      </c>
      <c r="E204" s="1">
        <f t="shared" si="13"/>
        <v>4.0000000000000924</v>
      </c>
      <c r="F204" s="9">
        <f>-D204*indicaciones!$G$8*indicaciones!$D$4</f>
        <v>-250554.7168001098</v>
      </c>
      <c r="G204" s="9">
        <f>-E204*indicaciones!$G$9*-indicaciones!$D$5</f>
        <v>269493.6492000224</v>
      </c>
      <c r="H204" s="9">
        <f t="shared" si="14"/>
        <v>18938.932399912592</v>
      </c>
      <c r="I204" s="9"/>
      <c r="J204" s="9">
        <f>-D204*indicaciones!$H$8</f>
        <v>-250554.71680010977</v>
      </c>
      <c r="K204" s="9">
        <f>-E204*-indicaciones!$H$9</f>
        <v>269493.64920002245</v>
      </c>
      <c r="L204" s="14">
        <f t="shared" si="15"/>
        <v>18938.932399912679</v>
      </c>
    </row>
    <row r="205" spans="1:12" x14ac:dyDescent="0.25">
      <c r="A205" s="3">
        <v>45778</v>
      </c>
      <c r="B205" s="4">
        <v>8.2100000000000009</v>
      </c>
      <c r="C205" s="4">
        <v>9.1999999999999993</v>
      </c>
      <c r="D205" s="1">
        <f t="shared" si="12"/>
        <v>0</v>
      </c>
      <c r="E205" s="1">
        <f t="shared" si="13"/>
        <v>0</v>
      </c>
      <c r="F205" s="9">
        <f>-D205*indicaciones!$G$8*indicaciones!$D$4</f>
        <v>0</v>
      </c>
      <c r="G205" s="9">
        <f>-E205*indicaciones!$G$9*-indicaciones!$D$5</f>
        <v>0</v>
      </c>
      <c r="H205" s="9">
        <f t="shared" si="14"/>
        <v>0</v>
      </c>
      <c r="I205" s="9"/>
      <c r="J205" s="9">
        <f>-D205*indicaciones!$H$8</f>
        <v>0</v>
      </c>
      <c r="K205" s="9">
        <f>-E205*-indicaciones!$H$9</f>
        <v>0</v>
      </c>
      <c r="L205" s="14">
        <f t="shared" si="15"/>
        <v>0</v>
      </c>
    </row>
    <row r="206" spans="1:12" x14ac:dyDescent="0.25">
      <c r="A206" s="3">
        <v>45777</v>
      </c>
      <c r="B206" s="4">
        <v>8.2100000000000009</v>
      </c>
      <c r="C206" s="4">
        <v>9.1999999999999993</v>
      </c>
      <c r="D206" s="1">
        <f t="shared" si="12"/>
        <v>-0.99999999999997868</v>
      </c>
      <c r="E206" s="1">
        <f t="shared" si="13"/>
        <v>-5.0000000000000711</v>
      </c>
      <c r="F206" s="9">
        <f>-D206*indicaciones!$G$8*indicaciones!$D$4</f>
        <v>62638.679200027451</v>
      </c>
      <c r="G206" s="9">
        <f>-E206*indicaciones!$G$9*-indicaciones!$D$5</f>
        <v>-336867.06150002504</v>
      </c>
      <c r="H206" s="9">
        <f t="shared" si="14"/>
        <v>-274228.38229999761</v>
      </c>
      <c r="I206" s="9"/>
      <c r="J206" s="9">
        <f>-D206*indicaciones!$H$8</f>
        <v>62638.679200027444</v>
      </c>
      <c r="K206" s="9">
        <f>-E206*-indicaciones!$H$9</f>
        <v>-336867.06150002504</v>
      </c>
      <c r="L206" s="14">
        <f t="shared" si="15"/>
        <v>-274228.38229999761</v>
      </c>
    </row>
    <row r="207" spans="1:12" x14ac:dyDescent="0.25">
      <c r="A207" s="3">
        <v>45776</v>
      </c>
      <c r="B207" s="4">
        <v>8.2200000000000006</v>
      </c>
      <c r="C207" s="4">
        <v>9.25</v>
      </c>
      <c r="D207" s="1">
        <f t="shared" si="12"/>
        <v>0</v>
      </c>
      <c r="E207" s="1">
        <f t="shared" si="13"/>
        <v>0</v>
      </c>
      <c r="F207" s="9">
        <f>-D207*indicaciones!$G$8*indicaciones!$D$4</f>
        <v>0</v>
      </c>
      <c r="G207" s="9">
        <f>-E207*indicaciones!$G$9*-indicaciones!$D$5</f>
        <v>0</v>
      </c>
      <c r="H207" s="9">
        <f t="shared" si="14"/>
        <v>0</v>
      </c>
      <c r="I207" s="9"/>
      <c r="J207" s="9">
        <f>-D207*indicaciones!$H$8</f>
        <v>0</v>
      </c>
      <c r="K207" s="9">
        <f>-E207*-indicaciones!$H$9</f>
        <v>0</v>
      </c>
      <c r="L207" s="14">
        <f t="shared" si="15"/>
        <v>0</v>
      </c>
    </row>
    <row r="208" spans="1:12" x14ac:dyDescent="0.25">
      <c r="A208" s="3">
        <v>45775</v>
      </c>
      <c r="B208" s="4">
        <v>8.2200000000000006</v>
      </c>
      <c r="C208" s="4">
        <v>9.25</v>
      </c>
      <c r="D208" s="1">
        <f t="shared" si="12"/>
        <v>6.0000000000000497</v>
      </c>
      <c r="E208" s="1">
        <f t="shared" si="13"/>
        <v>5.0000000000000711</v>
      </c>
      <c r="F208" s="9">
        <f>-D208*indicaciones!$G$8*indicaciones!$D$4</f>
        <v>-375832.07520017581</v>
      </c>
      <c r="G208" s="9">
        <f>-E208*indicaciones!$G$9*-indicaciones!$D$5</f>
        <v>336867.06150002504</v>
      </c>
      <c r="H208" s="9">
        <f t="shared" si="14"/>
        <v>-38965.013700150768</v>
      </c>
      <c r="I208" s="9"/>
      <c r="J208" s="9">
        <f>-D208*indicaciones!$H$8</f>
        <v>-375832.07520017581</v>
      </c>
      <c r="K208" s="9">
        <f>-E208*-indicaciones!$H$9</f>
        <v>336867.06150002504</v>
      </c>
      <c r="L208" s="14">
        <f t="shared" si="15"/>
        <v>-38965.013700150768</v>
      </c>
    </row>
    <row r="209" spans="1:12" x14ac:dyDescent="0.25">
      <c r="A209" s="3">
        <v>45772</v>
      </c>
      <c r="B209" s="4">
        <v>8.16</v>
      </c>
      <c r="C209" s="4">
        <v>9.1999999999999993</v>
      </c>
      <c r="D209" s="1">
        <f t="shared" si="12"/>
        <v>-1.9999999999999574</v>
      </c>
      <c r="E209" s="1">
        <f t="shared" si="13"/>
        <v>-5.0000000000000711</v>
      </c>
      <c r="F209" s="9">
        <f>-D209*indicaciones!$G$8*indicaciones!$D$4</f>
        <v>125277.3584000549</v>
      </c>
      <c r="G209" s="9">
        <f>-E209*indicaciones!$G$9*-indicaciones!$D$5</f>
        <v>-336867.06150002504</v>
      </c>
      <c r="H209" s="9">
        <f t="shared" si="14"/>
        <v>-211589.70309997012</v>
      </c>
      <c r="I209" s="9"/>
      <c r="J209" s="9">
        <f>-D209*indicaciones!$H$8</f>
        <v>125277.35840005489</v>
      </c>
      <c r="K209" s="9">
        <f>-E209*-indicaciones!$H$9</f>
        <v>-336867.06150002504</v>
      </c>
      <c r="L209" s="14">
        <f t="shared" si="15"/>
        <v>-211589.70309997015</v>
      </c>
    </row>
    <row r="210" spans="1:12" x14ac:dyDescent="0.25">
      <c r="A210" s="3">
        <v>45771</v>
      </c>
      <c r="B210" s="4">
        <v>8.18</v>
      </c>
      <c r="C210" s="4">
        <v>9.25</v>
      </c>
      <c r="D210" s="1">
        <f t="shared" si="12"/>
        <v>-4.0000000000000924</v>
      </c>
      <c r="E210" s="1">
        <f t="shared" si="13"/>
        <v>-13.000000000000078</v>
      </c>
      <c r="F210" s="9">
        <f>-D210*indicaciones!$G$8*indicaciones!$D$4</f>
        <v>250554.71680012092</v>
      </c>
      <c r="G210" s="9">
        <f>-E210*indicaciones!$G$9*-indicaciones!$D$5</f>
        <v>-875854.3599000579</v>
      </c>
      <c r="H210" s="9">
        <f t="shared" si="14"/>
        <v>-625299.64309993701</v>
      </c>
      <c r="I210" s="9"/>
      <c r="J210" s="9">
        <f>-D210*indicaciones!$H$8</f>
        <v>250554.71680012092</v>
      </c>
      <c r="K210" s="9">
        <f>-E210*-indicaciones!$H$9</f>
        <v>-875854.35990005801</v>
      </c>
      <c r="L210" s="14">
        <f t="shared" si="15"/>
        <v>-625299.64309993712</v>
      </c>
    </row>
    <row r="211" spans="1:12" x14ac:dyDescent="0.25">
      <c r="A211" s="3">
        <v>45770</v>
      </c>
      <c r="B211" s="4">
        <v>8.2200000000000006</v>
      </c>
      <c r="C211" s="4">
        <v>9.3800000000000008</v>
      </c>
      <c r="D211" s="1">
        <f t="shared" si="12"/>
        <v>-0.99999999999997868</v>
      </c>
      <c r="E211" s="1">
        <f t="shared" si="13"/>
        <v>-4.9999999999998934</v>
      </c>
      <c r="F211" s="9">
        <f>-D211*indicaciones!$G$8*indicaciones!$D$4</f>
        <v>62638.679200027451</v>
      </c>
      <c r="G211" s="9">
        <f>-E211*indicaciones!$G$9*-indicaciones!$D$5</f>
        <v>-336867.06150001305</v>
      </c>
      <c r="H211" s="9">
        <f t="shared" si="14"/>
        <v>-274228.38229998562</v>
      </c>
      <c r="I211" s="9"/>
      <c r="J211" s="9">
        <f>-D211*indicaciones!$H$8</f>
        <v>62638.679200027444</v>
      </c>
      <c r="K211" s="9">
        <f>-E211*-indicaciones!$H$9</f>
        <v>-336867.06150001311</v>
      </c>
      <c r="L211" s="14">
        <f t="shared" si="15"/>
        <v>-274228.38229998568</v>
      </c>
    </row>
    <row r="212" spans="1:12" x14ac:dyDescent="0.25">
      <c r="A212" s="3">
        <v>45769</v>
      </c>
      <c r="B212" s="4">
        <v>8.23</v>
      </c>
      <c r="C212" s="4">
        <v>9.43</v>
      </c>
      <c r="D212" s="1">
        <f t="shared" si="12"/>
        <v>0</v>
      </c>
      <c r="E212" s="1">
        <f t="shared" si="13"/>
        <v>-7.0000000000000284</v>
      </c>
      <c r="F212" s="9">
        <f>-D212*indicaciones!$G$8*indicaciones!$D$4</f>
        <v>0</v>
      </c>
      <c r="G212" s="9">
        <f>-E212*indicaciones!$G$9*-indicaciones!$D$5</f>
        <v>-471613.88610003027</v>
      </c>
      <c r="H212" s="9">
        <f t="shared" si="14"/>
        <v>-471613.88610003027</v>
      </c>
      <c r="I212" s="9"/>
      <c r="J212" s="9">
        <f>-D212*indicaciones!$H$8</f>
        <v>0</v>
      </c>
      <c r="K212" s="9">
        <f>-E212*-indicaciones!$H$9</f>
        <v>-471613.88610003033</v>
      </c>
      <c r="L212" s="14">
        <f t="shared" si="15"/>
        <v>-471613.88610003033</v>
      </c>
    </row>
    <row r="213" spans="1:12" x14ac:dyDescent="0.25">
      <c r="A213" s="3">
        <v>45768</v>
      </c>
      <c r="B213" s="4">
        <v>8.23</v>
      </c>
      <c r="C213" s="4">
        <v>9.5</v>
      </c>
      <c r="D213" s="1">
        <f t="shared" si="12"/>
        <v>-1.9999999999999574</v>
      </c>
      <c r="E213" s="1">
        <f t="shared" si="13"/>
        <v>11.999999999999922</v>
      </c>
      <c r="F213" s="9">
        <f>-D213*indicaciones!$G$8*indicaciones!$D$4</f>
        <v>125277.3584000549</v>
      </c>
      <c r="G213" s="9">
        <f>-E213*indicaciones!$G$9*-indicaciones!$D$5</f>
        <v>808480.94760004338</v>
      </c>
      <c r="H213" s="9">
        <f t="shared" si="14"/>
        <v>933758.30600009824</v>
      </c>
      <c r="I213" s="9"/>
      <c r="J213" s="9">
        <f>-D213*indicaciones!$H$8</f>
        <v>125277.35840005489</v>
      </c>
      <c r="K213" s="9">
        <f>-E213*-indicaciones!$H$9</f>
        <v>808480.94760004338</v>
      </c>
      <c r="L213" s="14">
        <f t="shared" si="15"/>
        <v>933758.30600009824</v>
      </c>
    </row>
    <row r="214" spans="1:12" x14ac:dyDescent="0.25">
      <c r="A214" s="3">
        <v>45765</v>
      </c>
      <c r="B214" s="4">
        <v>8.25</v>
      </c>
      <c r="C214" s="4">
        <v>9.3800000000000008</v>
      </c>
      <c r="D214" s="1">
        <f t="shared" si="12"/>
        <v>0</v>
      </c>
      <c r="E214" s="1">
        <f t="shared" si="13"/>
        <v>0</v>
      </c>
      <c r="F214" s="9">
        <f>-D214*indicaciones!$G$8*indicaciones!$D$4</f>
        <v>0</v>
      </c>
      <c r="G214" s="9">
        <f>-E214*indicaciones!$G$9*-indicaciones!$D$5</f>
        <v>0</v>
      </c>
      <c r="H214" s="9">
        <f t="shared" si="14"/>
        <v>0</v>
      </c>
      <c r="I214" s="9"/>
      <c r="J214" s="9">
        <f>-D214*indicaciones!$H$8</f>
        <v>0</v>
      </c>
      <c r="K214" s="9">
        <f>-E214*-indicaciones!$H$9</f>
        <v>0</v>
      </c>
      <c r="L214" s="14">
        <f t="shared" si="15"/>
        <v>0</v>
      </c>
    </row>
    <row r="215" spans="1:12" x14ac:dyDescent="0.25">
      <c r="A215" s="3">
        <v>45764</v>
      </c>
      <c r="B215" s="4">
        <v>8.25</v>
      </c>
      <c r="C215" s="4">
        <v>9.3800000000000008</v>
      </c>
      <c r="D215" s="1">
        <f t="shared" si="12"/>
        <v>0</v>
      </c>
      <c r="E215" s="1">
        <f t="shared" si="13"/>
        <v>0</v>
      </c>
      <c r="F215" s="9">
        <f>-D215*indicaciones!$G$8*indicaciones!$D$4</f>
        <v>0</v>
      </c>
      <c r="G215" s="9">
        <f>-E215*indicaciones!$G$9*-indicaciones!$D$5</f>
        <v>0</v>
      </c>
      <c r="H215" s="9">
        <f t="shared" si="14"/>
        <v>0</v>
      </c>
      <c r="I215" s="9"/>
      <c r="J215" s="9">
        <f>-D215*indicaciones!$H$8</f>
        <v>0</v>
      </c>
      <c r="K215" s="9">
        <f>-E215*-indicaciones!$H$9</f>
        <v>0</v>
      </c>
      <c r="L215" s="14">
        <f t="shared" si="15"/>
        <v>0</v>
      </c>
    </row>
    <row r="216" spans="1:12" x14ac:dyDescent="0.25">
      <c r="A216" s="3">
        <v>45763</v>
      </c>
      <c r="B216" s="4">
        <v>8.25</v>
      </c>
      <c r="C216" s="4">
        <v>9.3800000000000008</v>
      </c>
      <c r="D216" s="1">
        <f t="shared" si="12"/>
        <v>-2.9999999999999361</v>
      </c>
      <c r="E216" s="1">
        <f t="shared" si="13"/>
        <v>-0.99999999999997868</v>
      </c>
      <c r="F216" s="9">
        <f>-D216*indicaciones!$G$8*indicaciones!$D$4</f>
        <v>187916.03760008235</v>
      </c>
      <c r="G216" s="9">
        <f>-E216*indicaciones!$G$9*-indicaciones!$D$5</f>
        <v>-67373.412300002616</v>
      </c>
      <c r="H216" s="9">
        <f t="shared" si="14"/>
        <v>120542.62530007973</v>
      </c>
      <c r="I216" s="9"/>
      <c r="J216" s="9">
        <f>-D216*indicaciones!$H$8</f>
        <v>187916.03760008235</v>
      </c>
      <c r="K216" s="9">
        <f>-E216*-indicaciones!$H$9</f>
        <v>-67373.412300002616</v>
      </c>
      <c r="L216" s="14">
        <f t="shared" si="15"/>
        <v>120542.62530007973</v>
      </c>
    </row>
    <row r="217" spans="1:12" x14ac:dyDescent="0.25">
      <c r="A217" s="3">
        <v>45762</v>
      </c>
      <c r="B217" s="4">
        <v>8.2799999999999994</v>
      </c>
      <c r="C217" s="4">
        <v>9.39</v>
      </c>
      <c r="D217" s="1">
        <f t="shared" si="12"/>
        <v>-8.0000000000000071</v>
      </c>
      <c r="E217" s="1">
        <f t="shared" si="13"/>
        <v>-2.9999999999999361</v>
      </c>
      <c r="F217" s="9">
        <f>-D217*indicaciones!$G$8*indicaciones!$D$4</f>
        <v>501109.43360023072</v>
      </c>
      <c r="G217" s="9">
        <f>-E217*indicaciones!$G$9*-indicaciones!$D$5</f>
        <v>-202120.23690000785</v>
      </c>
      <c r="H217" s="9">
        <f t="shared" si="14"/>
        <v>298989.19670022291</v>
      </c>
      <c r="I217" s="9"/>
      <c r="J217" s="9">
        <f>-D217*indicaciones!$H$8</f>
        <v>501109.43360023072</v>
      </c>
      <c r="K217" s="9">
        <f>-E217*-indicaciones!$H$9</f>
        <v>-202120.23690000785</v>
      </c>
      <c r="L217" s="14">
        <f t="shared" si="15"/>
        <v>298989.19670022291</v>
      </c>
    </row>
    <row r="218" spans="1:12" x14ac:dyDescent="0.25">
      <c r="A218" s="3">
        <v>45761</v>
      </c>
      <c r="B218" s="4">
        <v>8.36</v>
      </c>
      <c r="C218" s="4">
        <v>9.42</v>
      </c>
      <c r="D218" s="1">
        <f t="shared" si="12"/>
        <v>-4.0000000000000924</v>
      </c>
      <c r="E218" s="1">
        <f t="shared" si="13"/>
        <v>-25.999999999999979</v>
      </c>
      <c r="F218" s="9">
        <f>-D218*indicaciones!$G$8*indicaciones!$D$4</f>
        <v>250554.71680012092</v>
      </c>
      <c r="G218" s="9">
        <f>-E218*indicaciones!$G$9*-indicaciones!$D$5</f>
        <v>-1751708.7198001039</v>
      </c>
      <c r="H218" s="9">
        <f t="shared" si="14"/>
        <v>-1501154.002999983</v>
      </c>
      <c r="I218" s="9"/>
      <c r="J218" s="9">
        <f>-D218*indicaciones!$H$8</f>
        <v>250554.71680012092</v>
      </c>
      <c r="K218" s="9">
        <f>-E218*-indicaciones!$H$9</f>
        <v>-1751708.7198001039</v>
      </c>
      <c r="L218" s="14">
        <f t="shared" si="15"/>
        <v>-1501154.002999983</v>
      </c>
    </row>
    <row r="219" spans="1:12" x14ac:dyDescent="0.25">
      <c r="A219" s="3">
        <v>45758</v>
      </c>
      <c r="B219" s="4">
        <v>8.4</v>
      </c>
      <c r="C219" s="4">
        <v>9.68</v>
      </c>
      <c r="D219" s="1">
        <f t="shared" si="12"/>
        <v>0.99999999999997868</v>
      </c>
      <c r="E219" s="1">
        <f t="shared" si="13"/>
        <v>9.9999999999999645</v>
      </c>
      <c r="F219" s="9">
        <f>-D219*indicaciones!$G$8*indicaciones!$D$4</f>
        <v>-62638.679200027451</v>
      </c>
      <c r="G219" s="9">
        <f>-E219*indicaciones!$G$9*-indicaciones!$D$5</f>
        <v>673734.12300003821</v>
      </c>
      <c r="H219" s="9">
        <f t="shared" si="14"/>
        <v>611095.44380001072</v>
      </c>
      <c r="I219" s="9"/>
      <c r="J219" s="9">
        <f>-D219*indicaciones!$H$8</f>
        <v>-62638.679200027444</v>
      </c>
      <c r="K219" s="9">
        <f>-E219*-indicaciones!$H$9</f>
        <v>673734.12300003821</v>
      </c>
      <c r="L219" s="14">
        <f t="shared" si="15"/>
        <v>611095.44380001072</v>
      </c>
    </row>
    <row r="220" spans="1:12" x14ac:dyDescent="0.25">
      <c r="A220" s="3">
        <v>45757</v>
      </c>
      <c r="B220" s="4">
        <v>8.39</v>
      </c>
      <c r="C220" s="4">
        <v>9.58</v>
      </c>
      <c r="D220" s="1">
        <f t="shared" si="12"/>
        <v>2.000000000000135</v>
      </c>
      <c r="E220" s="1">
        <f t="shared" si="13"/>
        <v>11.999999999999922</v>
      </c>
      <c r="F220" s="9">
        <f>-D220*indicaciones!$G$8*indicaciones!$D$4</f>
        <v>-125277.35840006603</v>
      </c>
      <c r="G220" s="9">
        <f>-E220*indicaciones!$G$9*-indicaciones!$D$5</f>
        <v>808480.94760004338</v>
      </c>
      <c r="H220" s="9">
        <f t="shared" si="14"/>
        <v>683203.58919997734</v>
      </c>
      <c r="I220" s="9"/>
      <c r="J220" s="9">
        <f>-D220*indicaciones!$H$8</f>
        <v>-125277.35840006602</v>
      </c>
      <c r="K220" s="9">
        <f>-E220*-indicaciones!$H$9</f>
        <v>808480.94760004338</v>
      </c>
      <c r="L220" s="14">
        <f t="shared" si="15"/>
        <v>683203.58919997734</v>
      </c>
    </row>
    <row r="221" spans="1:12" x14ac:dyDescent="0.25">
      <c r="A221" s="3">
        <v>45756</v>
      </c>
      <c r="B221" s="4">
        <v>8.3699999999999992</v>
      </c>
      <c r="C221" s="4">
        <v>9.4600000000000009</v>
      </c>
      <c r="D221" s="1">
        <f t="shared" si="12"/>
        <v>1.9999999999999574</v>
      </c>
      <c r="E221" s="1">
        <f t="shared" si="13"/>
        <v>-3.9999999999999147</v>
      </c>
      <c r="F221" s="9">
        <f>-D221*indicaciones!$G$8*indicaciones!$D$4</f>
        <v>-125277.3584000549</v>
      </c>
      <c r="G221" s="9">
        <f>-E221*indicaciones!$G$9*-indicaciones!$D$5</f>
        <v>-269493.64920001046</v>
      </c>
      <c r="H221" s="9">
        <f t="shared" si="14"/>
        <v>-394771.00760006538</v>
      </c>
      <c r="I221" s="9"/>
      <c r="J221" s="9">
        <f>-D221*indicaciones!$H$8</f>
        <v>-125277.35840005489</v>
      </c>
      <c r="K221" s="9">
        <f>-E221*-indicaciones!$H$9</f>
        <v>-269493.64920001046</v>
      </c>
      <c r="L221" s="14">
        <f t="shared" si="15"/>
        <v>-394771.00760006532</v>
      </c>
    </row>
    <row r="222" spans="1:12" x14ac:dyDescent="0.25">
      <c r="A222" s="3">
        <v>45755</v>
      </c>
      <c r="B222" s="4">
        <v>8.35</v>
      </c>
      <c r="C222" s="4">
        <v>9.5</v>
      </c>
      <c r="D222" s="1">
        <f t="shared" si="12"/>
        <v>0</v>
      </c>
      <c r="E222" s="1">
        <f t="shared" si="13"/>
        <v>8.0000000000000071</v>
      </c>
      <c r="F222" s="9">
        <f>-D222*indicaciones!$G$8*indicaciones!$D$4</f>
        <v>0</v>
      </c>
      <c r="G222" s="9">
        <f>-E222*indicaciones!$G$9*-indicaciones!$D$5</f>
        <v>538987.29840003292</v>
      </c>
      <c r="H222" s="9">
        <f t="shared" si="14"/>
        <v>538987.29840003292</v>
      </c>
      <c r="I222" s="9"/>
      <c r="J222" s="9">
        <f>-D222*indicaciones!$H$8</f>
        <v>0</v>
      </c>
      <c r="K222" s="9">
        <f>-E222*-indicaciones!$H$9</f>
        <v>538987.29840003292</v>
      </c>
      <c r="L222" s="14">
        <f t="shared" si="15"/>
        <v>538987.29840003292</v>
      </c>
    </row>
    <row r="223" spans="1:12" x14ac:dyDescent="0.25">
      <c r="A223" s="3">
        <v>45754</v>
      </c>
      <c r="B223" s="4">
        <v>8.35</v>
      </c>
      <c r="C223" s="4">
        <v>9.42</v>
      </c>
      <c r="D223" s="1">
        <f t="shared" si="12"/>
        <v>8.0000000000000071</v>
      </c>
      <c r="E223" s="1">
        <f t="shared" si="13"/>
        <v>33.999999999999986</v>
      </c>
      <c r="F223" s="9">
        <f>-D223*indicaciones!$G$8*indicaciones!$D$4</f>
        <v>-501109.43360023072</v>
      </c>
      <c r="G223" s="9">
        <f>-E223*indicaciones!$G$9*-indicaciones!$D$5</f>
        <v>2290696.0182001367</v>
      </c>
      <c r="H223" s="9">
        <f t="shared" si="14"/>
        <v>1789586.5845999061</v>
      </c>
      <c r="I223" s="9"/>
      <c r="J223" s="9">
        <f>-D223*indicaciones!$H$8</f>
        <v>-501109.43360023072</v>
      </c>
      <c r="K223" s="9">
        <f>-E223*-indicaciones!$H$9</f>
        <v>2290696.0182001372</v>
      </c>
      <c r="L223" s="14">
        <f t="shared" si="15"/>
        <v>1789586.5845999066</v>
      </c>
    </row>
    <row r="224" spans="1:12" x14ac:dyDescent="0.25">
      <c r="A224" s="3">
        <v>45751</v>
      </c>
      <c r="B224" s="4">
        <v>8.27</v>
      </c>
      <c r="C224" s="4">
        <v>9.08</v>
      </c>
      <c r="D224" s="1">
        <f t="shared" si="12"/>
        <v>1.9999999999999574</v>
      </c>
      <c r="E224" s="1">
        <f t="shared" si="13"/>
        <v>17.999999999999972</v>
      </c>
      <c r="F224" s="9">
        <f>-D224*indicaciones!$G$8*indicaciones!$D$4</f>
        <v>-125277.3584000549</v>
      </c>
      <c r="G224" s="9">
        <f>-E224*indicaciones!$G$9*-indicaciones!$D$5</f>
        <v>1212721.4214000711</v>
      </c>
      <c r="H224" s="9">
        <f t="shared" si="14"/>
        <v>1087444.0630000161</v>
      </c>
      <c r="I224" s="9"/>
      <c r="J224" s="9">
        <f>-D224*indicaciones!$H$8</f>
        <v>-125277.35840005489</v>
      </c>
      <c r="K224" s="9">
        <f>-E224*-indicaciones!$H$9</f>
        <v>1212721.4214000711</v>
      </c>
      <c r="L224" s="14">
        <f t="shared" si="15"/>
        <v>1087444.0630000161</v>
      </c>
    </row>
    <row r="225" spans="1:12" x14ac:dyDescent="0.25">
      <c r="A225" s="3">
        <v>45750</v>
      </c>
      <c r="B225" s="4">
        <v>8.25</v>
      </c>
      <c r="C225" s="4">
        <v>8.9</v>
      </c>
      <c r="D225" s="1">
        <f t="shared" si="12"/>
        <v>-24.000000000000021</v>
      </c>
      <c r="E225" s="1">
        <f t="shared" si="13"/>
        <v>-23.000000000000043</v>
      </c>
      <c r="F225" s="9">
        <f>-D225*indicaciones!$G$8*indicaciones!$D$4</f>
        <v>1503328.3008006921</v>
      </c>
      <c r="G225" s="9">
        <f>-E225*indicaciones!$G$9*-indicaciones!$D$5</f>
        <v>-1549588.4829000961</v>
      </c>
      <c r="H225" s="9">
        <f t="shared" si="14"/>
        <v>-46260.182099404046</v>
      </c>
      <c r="I225" s="9"/>
      <c r="J225" s="9">
        <f>-D225*indicaciones!$H$8</f>
        <v>1503328.3008006921</v>
      </c>
      <c r="K225" s="9">
        <f>-E225*-indicaciones!$H$9</f>
        <v>-1549588.4829000961</v>
      </c>
      <c r="L225" s="14">
        <f t="shared" si="15"/>
        <v>-46260.182099404046</v>
      </c>
    </row>
    <row r="226" spans="1:12" x14ac:dyDescent="0.25">
      <c r="A226" s="3">
        <v>45749</v>
      </c>
      <c r="B226" s="4">
        <v>8.49</v>
      </c>
      <c r="C226" s="4">
        <v>9.1300000000000008</v>
      </c>
      <c r="D226" s="1">
        <f t="shared" si="12"/>
        <v>0</v>
      </c>
      <c r="E226" s="1">
        <f t="shared" si="13"/>
        <v>-2.9999999999999361</v>
      </c>
      <c r="F226" s="9">
        <f>-D226*indicaciones!$G$8*indicaciones!$D$4</f>
        <v>0</v>
      </c>
      <c r="G226" s="9">
        <f>-E226*indicaciones!$G$9*-indicaciones!$D$5</f>
        <v>-202120.23690000785</v>
      </c>
      <c r="H226" s="9">
        <f t="shared" si="14"/>
        <v>-202120.23690000785</v>
      </c>
      <c r="I226" s="9"/>
      <c r="J226" s="9">
        <f>-D226*indicaciones!$H$8</f>
        <v>0</v>
      </c>
      <c r="K226" s="9">
        <f>-E226*-indicaciones!$H$9</f>
        <v>-202120.23690000785</v>
      </c>
      <c r="L226" s="14">
        <f t="shared" si="15"/>
        <v>-202120.23690000785</v>
      </c>
    </row>
    <row r="227" spans="1:12" x14ac:dyDescent="0.25">
      <c r="A227" s="3">
        <v>45748</v>
      </c>
      <c r="B227" s="4">
        <v>8.49</v>
      </c>
      <c r="C227" s="4">
        <v>9.16</v>
      </c>
      <c r="D227" s="1">
        <f t="shared" si="12"/>
        <v>-8.0000000000000071</v>
      </c>
      <c r="E227" s="1">
        <f t="shared" si="13"/>
        <v>-8.9999999999999858</v>
      </c>
      <c r="F227" s="9">
        <f>-D227*indicaciones!$G$8*indicaciones!$D$4</f>
        <v>501109.43360023072</v>
      </c>
      <c r="G227" s="9">
        <f>-E227*indicaciones!$G$9*-indicaciones!$D$5</f>
        <v>-606360.71070003556</v>
      </c>
      <c r="H227" s="9">
        <f t="shared" si="14"/>
        <v>-105251.27709980484</v>
      </c>
      <c r="I227" s="9"/>
      <c r="J227" s="9">
        <f>-D227*indicaciones!$H$8</f>
        <v>501109.43360023072</v>
      </c>
      <c r="K227" s="9">
        <f>-E227*-indicaciones!$H$9</f>
        <v>-606360.71070003556</v>
      </c>
      <c r="L227" s="14">
        <f t="shared" si="15"/>
        <v>-105251.27709980484</v>
      </c>
    </row>
    <row r="228" spans="1:12" x14ac:dyDescent="0.25">
      <c r="A228" s="3">
        <v>45747</v>
      </c>
      <c r="B228" s="4">
        <v>8.57</v>
      </c>
      <c r="C228" s="4">
        <v>9.25</v>
      </c>
      <c r="D228" s="1">
        <f t="shared" si="12"/>
        <v>1.9999999999999574</v>
      </c>
      <c r="E228" s="1">
        <f t="shared" si="13"/>
        <v>0</v>
      </c>
      <c r="F228" s="9">
        <f>-D228*indicaciones!$G$8*indicaciones!$D$4</f>
        <v>-125277.3584000549</v>
      </c>
      <c r="G228" s="9">
        <f>-E228*indicaciones!$G$9*-indicaciones!$D$5</f>
        <v>0</v>
      </c>
      <c r="H228" s="9">
        <f t="shared" si="14"/>
        <v>-125277.3584000549</v>
      </c>
      <c r="I228" s="9"/>
      <c r="J228" s="9">
        <f>-D228*indicaciones!$H$8</f>
        <v>-125277.35840005489</v>
      </c>
      <c r="K228" s="9">
        <f>-E228*-indicaciones!$H$9</f>
        <v>0</v>
      </c>
      <c r="L228" s="14">
        <f t="shared" si="15"/>
        <v>-125277.35840005489</v>
      </c>
    </row>
    <row r="229" spans="1:12" x14ac:dyDescent="0.25">
      <c r="A229" s="3">
        <v>45744</v>
      </c>
      <c r="B229" s="4">
        <v>8.5500000000000007</v>
      </c>
      <c r="C229" s="4">
        <v>9.25</v>
      </c>
      <c r="D229" s="1">
        <f t="shared" si="12"/>
        <v>-8.0000000000000071</v>
      </c>
      <c r="E229" s="1">
        <f t="shared" si="13"/>
        <v>-16.000000000000014</v>
      </c>
      <c r="F229" s="9">
        <f>-D229*indicaciones!$G$8*indicaciones!$D$4</f>
        <v>501109.43360023072</v>
      </c>
      <c r="G229" s="9">
        <f>-E229*indicaciones!$G$9*-indicaciones!$D$5</f>
        <v>-1077974.5968000658</v>
      </c>
      <c r="H229" s="9">
        <f t="shared" si="14"/>
        <v>-576865.16319983511</v>
      </c>
      <c r="I229" s="9"/>
      <c r="J229" s="9">
        <f>-D229*indicaciones!$H$8</f>
        <v>501109.43360023072</v>
      </c>
      <c r="K229" s="9">
        <f>-E229*-indicaciones!$H$9</f>
        <v>-1077974.5968000658</v>
      </c>
      <c r="L229" s="14">
        <f t="shared" si="15"/>
        <v>-576865.16319983511</v>
      </c>
    </row>
    <row r="230" spans="1:12" x14ac:dyDescent="0.25">
      <c r="A230" s="3">
        <v>45743</v>
      </c>
      <c r="B230" s="4">
        <v>8.6300000000000008</v>
      </c>
      <c r="C230" s="4">
        <v>9.41</v>
      </c>
      <c r="D230" s="1">
        <f t="shared" si="12"/>
        <v>-8.9999999999999858</v>
      </c>
      <c r="E230" s="1">
        <f t="shared" si="13"/>
        <v>-3.9999999999999147</v>
      </c>
      <c r="F230" s="9">
        <f>-D230*indicaciones!$G$8*indicaciones!$D$4</f>
        <v>563748.1128002581</v>
      </c>
      <c r="G230" s="9">
        <f>-E230*indicaciones!$G$9*-indicaciones!$D$5</f>
        <v>-269493.64920001046</v>
      </c>
      <c r="H230" s="9">
        <f t="shared" si="14"/>
        <v>294254.46360024763</v>
      </c>
      <c r="I230" s="9"/>
      <c r="J230" s="9">
        <f>-D230*indicaciones!$H$8</f>
        <v>563748.1128002581</v>
      </c>
      <c r="K230" s="9">
        <f>-E230*-indicaciones!$H$9</f>
        <v>-269493.64920001046</v>
      </c>
      <c r="L230" s="14">
        <f t="shared" si="15"/>
        <v>294254.46360024763</v>
      </c>
    </row>
    <row r="231" spans="1:12" x14ac:dyDescent="0.25">
      <c r="A231" s="3">
        <v>45742</v>
      </c>
      <c r="B231" s="4">
        <v>8.7200000000000006</v>
      </c>
      <c r="C231" s="4">
        <v>9.4499999999999993</v>
      </c>
      <c r="D231" s="1">
        <f t="shared" si="12"/>
        <v>3.0000000000001137</v>
      </c>
      <c r="E231" s="1">
        <f t="shared" si="13"/>
        <v>0</v>
      </c>
      <c r="F231" s="9">
        <f>-D231*indicaciones!$G$8*indicaciones!$D$4</f>
        <v>-187916.03760009346</v>
      </c>
      <c r="G231" s="9">
        <f>-E231*indicaciones!$G$9*-indicaciones!$D$5</f>
        <v>0</v>
      </c>
      <c r="H231" s="9">
        <f t="shared" si="14"/>
        <v>-187916.03760009346</v>
      </c>
      <c r="I231" s="9"/>
      <c r="J231" s="9">
        <f>-D231*indicaciones!$H$8</f>
        <v>-187916.03760009346</v>
      </c>
      <c r="K231" s="9">
        <f>-E231*-indicaciones!$H$9</f>
        <v>0</v>
      </c>
      <c r="L231" s="14">
        <f t="shared" si="15"/>
        <v>-187916.03760009346</v>
      </c>
    </row>
    <row r="232" spans="1:12" x14ac:dyDescent="0.25">
      <c r="A232" s="3">
        <v>45741</v>
      </c>
      <c r="B232" s="4">
        <v>8.69</v>
      </c>
      <c r="C232" s="4">
        <v>9.4499999999999993</v>
      </c>
      <c r="D232" s="1">
        <f t="shared" si="12"/>
        <v>1.9999999999999574</v>
      </c>
      <c r="E232" s="1">
        <f t="shared" si="13"/>
        <v>-3.0000000000001137</v>
      </c>
      <c r="F232" s="9">
        <f>-D232*indicaciones!$G$8*indicaciones!$D$4</f>
        <v>-125277.3584000549</v>
      </c>
      <c r="G232" s="9">
        <f>-E232*indicaciones!$G$9*-indicaciones!$D$5</f>
        <v>-202120.23690001981</v>
      </c>
      <c r="H232" s="9">
        <f t="shared" si="14"/>
        <v>-327397.59530007472</v>
      </c>
      <c r="I232" s="9"/>
      <c r="J232" s="9">
        <f>-D232*indicaciones!$H$8</f>
        <v>-125277.35840005489</v>
      </c>
      <c r="K232" s="9">
        <f>-E232*-indicaciones!$H$9</f>
        <v>-202120.23690001984</v>
      </c>
      <c r="L232" s="14">
        <f t="shared" si="15"/>
        <v>-327397.59530007472</v>
      </c>
    </row>
    <row r="233" spans="1:12" x14ac:dyDescent="0.25">
      <c r="A233" s="3">
        <v>45740</v>
      </c>
      <c r="B233" s="4">
        <v>8.67</v>
      </c>
      <c r="C233" s="4">
        <v>9.48</v>
      </c>
      <c r="D233" s="1">
        <f t="shared" si="12"/>
        <v>2.9999999999999361</v>
      </c>
      <c r="E233" s="1">
        <f t="shared" si="13"/>
        <v>0.99999999999997868</v>
      </c>
      <c r="F233" s="9">
        <f>-D233*indicaciones!$G$8*indicaciones!$D$4</f>
        <v>-187916.03760008235</v>
      </c>
      <c r="G233" s="9">
        <f>-E233*indicaciones!$G$9*-indicaciones!$D$5</f>
        <v>67373.412300002616</v>
      </c>
      <c r="H233" s="9">
        <f t="shared" si="14"/>
        <v>-120542.62530007973</v>
      </c>
      <c r="I233" s="9"/>
      <c r="J233" s="9">
        <f>-D233*indicaciones!$H$8</f>
        <v>-187916.03760008235</v>
      </c>
      <c r="K233" s="9">
        <f>-E233*-indicaciones!$H$9</f>
        <v>67373.412300002616</v>
      </c>
      <c r="L233" s="14">
        <f t="shared" si="15"/>
        <v>-120542.62530007973</v>
      </c>
    </row>
    <row r="234" spans="1:12" x14ac:dyDescent="0.25">
      <c r="A234" s="3">
        <v>45737</v>
      </c>
      <c r="B234" s="4">
        <v>8.64</v>
      </c>
      <c r="C234" s="4">
        <v>9.4700000000000006</v>
      </c>
      <c r="D234" s="1">
        <f t="shared" si="12"/>
        <v>0.99999999999997868</v>
      </c>
      <c r="E234" s="1">
        <f t="shared" si="13"/>
        <v>10.000000000000142</v>
      </c>
      <c r="F234" s="9">
        <f>-D234*indicaciones!$G$8*indicaciones!$D$4</f>
        <v>-62638.679200027451</v>
      </c>
      <c r="G234" s="9">
        <f>-E234*indicaciones!$G$9*-indicaciones!$D$5</f>
        <v>673734.12300005008</v>
      </c>
      <c r="H234" s="9">
        <f t="shared" si="14"/>
        <v>611095.44380002259</v>
      </c>
      <c r="I234" s="9"/>
      <c r="J234" s="9">
        <f>-D234*indicaciones!$H$8</f>
        <v>-62638.679200027444</v>
      </c>
      <c r="K234" s="9">
        <f>-E234*-indicaciones!$H$9</f>
        <v>673734.12300005008</v>
      </c>
      <c r="L234" s="14">
        <f t="shared" si="15"/>
        <v>611095.44380002259</v>
      </c>
    </row>
    <row r="235" spans="1:12" x14ac:dyDescent="0.25">
      <c r="A235" s="3">
        <v>45736</v>
      </c>
      <c r="B235" s="4">
        <v>8.6300000000000008</v>
      </c>
      <c r="C235" s="4">
        <v>9.3699999999999992</v>
      </c>
      <c r="D235" s="1">
        <f t="shared" si="12"/>
        <v>1.0000000000001563</v>
      </c>
      <c r="E235" s="1">
        <f t="shared" si="13"/>
        <v>2.9999999999999361</v>
      </c>
      <c r="F235" s="9">
        <f>-D235*indicaciones!$G$8*indicaciones!$D$4</f>
        <v>-62638.679200038583</v>
      </c>
      <c r="G235" s="9">
        <f>-E235*indicaciones!$G$9*-indicaciones!$D$5</f>
        <v>202120.23690000785</v>
      </c>
      <c r="H235" s="9">
        <f t="shared" si="14"/>
        <v>139481.55769996927</v>
      </c>
      <c r="I235" s="9"/>
      <c r="J235" s="9">
        <f>-D235*indicaciones!$H$8</f>
        <v>-62638.679200038576</v>
      </c>
      <c r="K235" s="9">
        <f>-E235*-indicaciones!$H$9</f>
        <v>202120.23690000785</v>
      </c>
      <c r="L235" s="14">
        <f t="shared" si="15"/>
        <v>139481.55769996927</v>
      </c>
    </row>
    <row r="236" spans="1:12" x14ac:dyDescent="0.25">
      <c r="A236" s="3">
        <v>45735</v>
      </c>
      <c r="B236" s="4">
        <v>8.6199999999999992</v>
      </c>
      <c r="C236" s="4">
        <v>9.34</v>
      </c>
      <c r="D236" s="1">
        <f t="shared" si="12"/>
        <v>-7.0000000000000284</v>
      </c>
      <c r="E236" s="1">
        <f t="shared" si="13"/>
        <v>-7.0000000000000284</v>
      </c>
      <c r="F236" s="9">
        <f>-D236*indicaciones!$G$8*indicaciones!$D$4</f>
        <v>438470.7544002033</v>
      </c>
      <c r="G236" s="9">
        <f>-E236*indicaciones!$G$9*-indicaciones!$D$5</f>
        <v>-471613.88610003027</v>
      </c>
      <c r="H236" s="9">
        <f t="shared" si="14"/>
        <v>-33143.131699826976</v>
      </c>
      <c r="I236" s="9"/>
      <c r="J236" s="9">
        <f>-D236*indicaciones!$H$8</f>
        <v>438470.75440020324</v>
      </c>
      <c r="K236" s="9">
        <f>-E236*-indicaciones!$H$9</f>
        <v>-471613.88610003033</v>
      </c>
      <c r="L236" s="14">
        <f t="shared" si="15"/>
        <v>-33143.131699827092</v>
      </c>
    </row>
    <row r="237" spans="1:12" x14ac:dyDescent="0.25">
      <c r="A237" s="3">
        <v>45734</v>
      </c>
      <c r="B237" s="4">
        <v>8.69</v>
      </c>
      <c r="C237" s="4">
        <v>9.41</v>
      </c>
      <c r="D237" s="1">
        <f t="shared" si="12"/>
        <v>-3.0000000000001137</v>
      </c>
      <c r="E237" s="1">
        <f t="shared" si="13"/>
        <v>-2.9999999999999361</v>
      </c>
      <c r="F237" s="9">
        <f>-D237*indicaciones!$G$8*indicaciones!$D$4</f>
        <v>187916.03760009346</v>
      </c>
      <c r="G237" s="9">
        <f>-E237*indicaciones!$G$9*-indicaciones!$D$5</f>
        <v>-202120.23690000785</v>
      </c>
      <c r="H237" s="9">
        <f t="shared" si="14"/>
        <v>-14204.199299914384</v>
      </c>
      <c r="I237" s="9"/>
      <c r="J237" s="9">
        <f>-D237*indicaciones!$H$8</f>
        <v>187916.03760009346</v>
      </c>
      <c r="K237" s="9">
        <f>-E237*-indicaciones!$H$9</f>
        <v>-202120.23690000785</v>
      </c>
      <c r="L237" s="14">
        <f t="shared" si="15"/>
        <v>-14204.199299914384</v>
      </c>
    </row>
    <row r="238" spans="1:12" x14ac:dyDescent="0.25">
      <c r="A238" s="3">
        <v>45733</v>
      </c>
      <c r="B238" s="4">
        <v>8.7200000000000006</v>
      </c>
      <c r="C238" s="4">
        <v>9.44</v>
      </c>
      <c r="D238" s="1">
        <f t="shared" si="12"/>
        <v>0</v>
      </c>
      <c r="E238" s="1">
        <f t="shared" si="13"/>
        <v>0</v>
      </c>
      <c r="F238" s="9">
        <f>-D238*indicaciones!$G$8*indicaciones!$D$4</f>
        <v>0</v>
      </c>
      <c r="G238" s="9">
        <f>-E238*indicaciones!$G$9*-indicaciones!$D$5</f>
        <v>0</v>
      </c>
      <c r="H238" s="9">
        <f t="shared" si="14"/>
        <v>0</v>
      </c>
      <c r="I238" s="9"/>
      <c r="J238" s="9">
        <f>-D238*indicaciones!$H$8</f>
        <v>0</v>
      </c>
      <c r="K238" s="9">
        <f>-E238*-indicaciones!$H$9</f>
        <v>0</v>
      </c>
      <c r="L238" s="14">
        <f t="shared" si="15"/>
        <v>0</v>
      </c>
    </row>
    <row r="239" spans="1:12" x14ac:dyDescent="0.25">
      <c r="A239" s="3">
        <v>45730</v>
      </c>
      <c r="B239" s="4">
        <v>8.7200000000000006</v>
      </c>
      <c r="C239" s="4">
        <v>9.44</v>
      </c>
      <c r="D239" s="1">
        <f t="shared" si="12"/>
        <v>-1.9999999999999574</v>
      </c>
      <c r="E239" s="1">
        <f t="shared" si="13"/>
        <v>-2.000000000000135</v>
      </c>
      <c r="F239" s="9">
        <f>-D239*indicaciones!$G$8*indicaciones!$D$4</f>
        <v>125277.3584000549</v>
      </c>
      <c r="G239" s="9">
        <f>-E239*indicaciones!$G$9*-indicaciones!$D$5</f>
        <v>-134746.82460001719</v>
      </c>
      <c r="H239" s="9">
        <f t="shared" si="14"/>
        <v>-9469.4661999622913</v>
      </c>
      <c r="I239" s="9"/>
      <c r="J239" s="9">
        <f>-D239*indicaciones!$H$8</f>
        <v>125277.35840005489</v>
      </c>
      <c r="K239" s="9">
        <f>-E239*-indicaciones!$H$9</f>
        <v>-134746.82460001722</v>
      </c>
      <c r="L239" s="14">
        <f t="shared" si="15"/>
        <v>-9469.4661999623349</v>
      </c>
    </row>
    <row r="240" spans="1:12" x14ac:dyDescent="0.25">
      <c r="A240" s="3">
        <v>45729</v>
      </c>
      <c r="B240" s="4">
        <v>8.74</v>
      </c>
      <c r="C240" s="4">
        <v>9.4600000000000009</v>
      </c>
      <c r="D240" s="1">
        <f t="shared" si="12"/>
        <v>-3.9999999999999147</v>
      </c>
      <c r="E240" s="1">
        <f t="shared" si="13"/>
        <v>-9.9999999999999645</v>
      </c>
      <c r="F240" s="9">
        <f>-D240*indicaciones!$G$8*indicaciones!$D$4</f>
        <v>250554.7168001098</v>
      </c>
      <c r="G240" s="9">
        <f>-E240*indicaciones!$G$9*-indicaciones!$D$5</f>
        <v>-673734.12300003821</v>
      </c>
      <c r="H240" s="9">
        <f t="shared" si="14"/>
        <v>-423179.40619992837</v>
      </c>
      <c r="I240" s="9"/>
      <c r="J240" s="9">
        <f>-D240*indicaciones!$H$8</f>
        <v>250554.71680010977</v>
      </c>
      <c r="K240" s="9">
        <f>-E240*-indicaciones!$H$9</f>
        <v>-673734.12300003821</v>
      </c>
      <c r="L240" s="14">
        <f t="shared" si="15"/>
        <v>-423179.40619992843</v>
      </c>
    </row>
    <row r="241" spans="1:12" x14ac:dyDescent="0.25">
      <c r="A241" s="3">
        <v>45728</v>
      </c>
      <c r="B241" s="4">
        <v>8.7799999999999994</v>
      </c>
      <c r="C241" s="4">
        <v>9.56</v>
      </c>
      <c r="D241" s="1">
        <f t="shared" si="12"/>
        <v>-3.0000000000001137</v>
      </c>
      <c r="E241" s="1">
        <f t="shared" si="13"/>
        <v>0</v>
      </c>
      <c r="F241" s="9">
        <f>-D241*indicaciones!$G$8*indicaciones!$D$4</f>
        <v>187916.03760009346</v>
      </c>
      <c r="G241" s="9">
        <f>-E241*indicaciones!$G$9*-indicaciones!$D$5</f>
        <v>0</v>
      </c>
      <c r="H241" s="9">
        <f t="shared" si="14"/>
        <v>187916.03760009346</v>
      </c>
      <c r="I241" s="9"/>
      <c r="J241" s="9">
        <f>-D241*indicaciones!$H$8</f>
        <v>187916.03760009346</v>
      </c>
      <c r="K241" s="9">
        <f>-E241*-indicaciones!$H$9</f>
        <v>0</v>
      </c>
      <c r="L241" s="14">
        <f t="shared" si="15"/>
        <v>187916.03760009346</v>
      </c>
    </row>
    <row r="242" spans="1:12" x14ac:dyDescent="0.25">
      <c r="A242" s="3">
        <v>45727</v>
      </c>
      <c r="B242" s="4">
        <v>8.81</v>
      </c>
      <c r="C242" s="4">
        <v>9.56</v>
      </c>
      <c r="D242" s="1">
        <f t="shared" si="12"/>
        <v>-2.9999999999999361</v>
      </c>
      <c r="E242" s="1">
        <f t="shared" si="13"/>
        <v>6.0000000000000497</v>
      </c>
      <c r="F242" s="9">
        <f>-D242*indicaciones!$G$8*indicaciones!$D$4</f>
        <v>187916.03760008235</v>
      </c>
      <c r="G242" s="9">
        <f>-E242*indicaciones!$G$9*-indicaciones!$D$5</f>
        <v>404240.47380002763</v>
      </c>
      <c r="H242" s="9">
        <f t="shared" si="14"/>
        <v>592156.51140010997</v>
      </c>
      <c r="I242" s="9"/>
      <c r="J242" s="9">
        <f>-D242*indicaciones!$H$8</f>
        <v>187916.03760008235</v>
      </c>
      <c r="K242" s="9">
        <f>-E242*-indicaciones!$H$9</f>
        <v>404240.47380002768</v>
      </c>
      <c r="L242" s="14">
        <f t="shared" si="15"/>
        <v>592156.51140011009</v>
      </c>
    </row>
    <row r="243" spans="1:12" x14ac:dyDescent="0.25">
      <c r="A243" s="3">
        <v>45726</v>
      </c>
      <c r="B243" s="4">
        <v>8.84</v>
      </c>
      <c r="C243" s="4">
        <v>9.5</v>
      </c>
      <c r="D243" s="1">
        <f t="shared" si="12"/>
        <v>0</v>
      </c>
      <c r="E243" s="1">
        <f t="shared" si="13"/>
        <v>7.0000000000000284</v>
      </c>
      <c r="F243" s="9">
        <f>-D243*indicaciones!$G$8*indicaciones!$D$4</f>
        <v>0</v>
      </c>
      <c r="G243" s="9">
        <f>-E243*indicaciones!$G$9*-indicaciones!$D$5</f>
        <v>471613.88610003027</v>
      </c>
      <c r="H243" s="9">
        <f t="shared" si="14"/>
        <v>471613.88610003027</v>
      </c>
      <c r="I243" s="9"/>
      <c r="J243" s="9">
        <f>-D243*indicaciones!$H$8</f>
        <v>0</v>
      </c>
      <c r="K243" s="9">
        <f>-E243*-indicaciones!$H$9</f>
        <v>471613.88610003033</v>
      </c>
      <c r="L243" s="14">
        <f t="shared" si="15"/>
        <v>471613.88610003033</v>
      </c>
    </row>
    <row r="244" spans="1:12" x14ac:dyDescent="0.25">
      <c r="A244" s="3">
        <v>45723</v>
      </c>
      <c r="B244" s="4">
        <v>8.84</v>
      </c>
      <c r="C244" s="4">
        <v>9.43</v>
      </c>
      <c r="D244" s="1">
        <f t="shared" si="12"/>
        <v>-0.99999999999997868</v>
      </c>
      <c r="E244" s="1">
        <f t="shared" si="13"/>
        <v>0</v>
      </c>
      <c r="F244" s="9">
        <f>-D244*indicaciones!$G$8*indicaciones!$D$4</f>
        <v>62638.679200027451</v>
      </c>
      <c r="G244" s="9">
        <f>-E244*indicaciones!$G$9*-indicaciones!$D$5</f>
        <v>0</v>
      </c>
      <c r="H244" s="9">
        <f t="shared" si="14"/>
        <v>62638.679200027451</v>
      </c>
      <c r="I244" s="9"/>
      <c r="J244" s="9">
        <f>-D244*indicaciones!$H$8</f>
        <v>62638.679200027444</v>
      </c>
      <c r="K244" s="9">
        <f>-E244*-indicaciones!$H$9</f>
        <v>0</v>
      </c>
      <c r="L244" s="14">
        <f t="shared" si="15"/>
        <v>62638.679200027444</v>
      </c>
    </row>
    <row r="245" spans="1:12" x14ac:dyDescent="0.25">
      <c r="A245" s="3">
        <v>45722</v>
      </c>
      <c r="B245" s="4">
        <v>8.85</v>
      </c>
      <c r="C245" s="4">
        <v>9.43</v>
      </c>
      <c r="D245" s="1">
        <f t="shared" si="12"/>
        <v>0</v>
      </c>
      <c r="E245" s="1">
        <f t="shared" si="13"/>
        <v>-3.0000000000001137</v>
      </c>
      <c r="F245" s="9">
        <f>-D245*indicaciones!$G$8*indicaciones!$D$4</f>
        <v>0</v>
      </c>
      <c r="G245" s="9">
        <f>-E245*indicaciones!$G$9*-indicaciones!$D$5</f>
        <v>-202120.23690001981</v>
      </c>
      <c r="H245" s="9">
        <f t="shared" si="14"/>
        <v>-202120.23690001981</v>
      </c>
      <c r="I245" s="9"/>
      <c r="J245" s="9">
        <f>-D245*indicaciones!$H$8</f>
        <v>0</v>
      </c>
      <c r="K245" s="9">
        <f>-E245*-indicaciones!$H$9</f>
        <v>-202120.23690001984</v>
      </c>
      <c r="L245" s="14">
        <f t="shared" si="15"/>
        <v>-202120.23690001984</v>
      </c>
    </row>
    <row r="246" spans="1:12" x14ac:dyDescent="0.25">
      <c r="A246" s="3">
        <v>45721</v>
      </c>
      <c r="B246" s="4">
        <v>8.85</v>
      </c>
      <c r="C246" s="4">
        <v>9.4600000000000009</v>
      </c>
      <c r="D246" s="1">
        <f t="shared" si="12"/>
        <v>-8.0000000000000071</v>
      </c>
      <c r="E246" s="1">
        <f t="shared" si="13"/>
        <v>-10.999999999999943</v>
      </c>
      <c r="F246" s="9">
        <f>-D246*indicaciones!$G$8*indicaciones!$D$4</f>
        <v>501109.43360023072</v>
      </c>
      <c r="G246" s="9">
        <f>-E246*indicaciones!$G$9*-indicaciones!$D$5</f>
        <v>-741107.53530004073</v>
      </c>
      <c r="H246" s="9">
        <f t="shared" si="14"/>
        <v>-239998.10169981001</v>
      </c>
      <c r="I246" s="9"/>
      <c r="J246" s="9">
        <f>-D246*indicaciones!$H$8</f>
        <v>501109.43360023072</v>
      </c>
      <c r="K246" s="9">
        <f>-E246*-indicaciones!$H$9</f>
        <v>-741107.53530004073</v>
      </c>
      <c r="L246" s="14">
        <f t="shared" si="15"/>
        <v>-239998.10169981001</v>
      </c>
    </row>
    <row r="247" spans="1:12" x14ac:dyDescent="0.25">
      <c r="A247" s="3">
        <v>45720</v>
      </c>
      <c r="B247" s="4">
        <v>8.93</v>
      </c>
      <c r="C247" s="4">
        <v>9.57</v>
      </c>
      <c r="D247" s="1">
        <f t="shared" si="12"/>
        <v>4.9999999999998934</v>
      </c>
      <c r="E247" s="1">
        <f t="shared" si="13"/>
        <v>13.000000000000078</v>
      </c>
      <c r="F247" s="9">
        <f>-D247*indicaciones!$G$8*indicaciones!$D$4</f>
        <v>-313193.3960001372</v>
      </c>
      <c r="G247" s="9">
        <f>-E247*indicaciones!$G$9*-indicaciones!$D$5</f>
        <v>875854.3599000579</v>
      </c>
      <c r="H247" s="9">
        <f t="shared" si="14"/>
        <v>562660.96389992069</v>
      </c>
      <c r="I247" s="9"/>
      <c r="J247" s="9">
        <f>-D247*indicaciones!$H$8</f>
        <v>-313193.39600013726</v>
      </c>
      <c r="K247" s="9">
        <f>-E247*-indicaciones!$H$9</f>
        <v>875854.35990005801</v>
      </c>
      <c r="L247" s="14">
        <f t="shared" si="15"/>
        <v>562660.96389992069</v>
      </c>
    </row>
    <row r="248" spans="1:12" x14ac:dyDescent="0.25">
      <c r="A248" s="3">
        <v>45719</v>
      </c>
      <c r="B248" s="4">
        <v>8.8800000000000008</v>
      </c>
      <c r="C248" s="4">
        <v>9.44</v>
      </c>
      <c r="D248" s="1">
        <f t="shared" si="12"/>
        <v>1.0000000000001563</v>
      </c>
      <c r="E248" s="1">
        <f t="shared" si="13"/>
        <v>-2.000000000000135</v>
      </c>
      <c r="F248" s="9">
        <f>-D248*indicaciones!$G$8*indicaciones!$D$4</f>
        <v>-62638.679200038583</v>
      </c>
      <c r="G248" s="9">
        <f>-E248*indicaciones!$G$9*-indicaciones!$D$5</f>
        <v>-134746.82460001719</v>
      </c>
      <c r="H248" s="9">
        <f t="shared" si="14"/>
        <v>-197385.50380005577</v>
      </c>
      <c r="I248" s="9"/>
      <c r="J248" s="9">
        <f>-D248*indicaciones!$H$8</f>
        <v>-62638.679200038576</v>
      </c>
      <c r="K248" s="9">
        <f>-E248*-indicaciones!$H$9</f>
        <v>-134746.82460001722</v>
      </c>
      <c r="L248" s="14">
        <f t="shared" si="15"/>
        <v>-197385.5038000558</v>
      </c>
    </row>
    <row r="249" spans="1:12" x14ac:dyDescent="0.25">
      <c r="A249" s="3">
        <v>45716</v>
      </c>
      <c r="B249" s="4">
        <v>8.8699999999999992</v>
      </c>
      <c r="C249" s="4">
        <v>9.4600000000000009</v>
      </c>
      <c r="D249" s="1">
        <f t="shared" si="12"/>
        <v>-2.000000000000135</v>
      </c>
      <c r="E249" s="1">
        <f t="shared" si="13"/>
        <v>-3.9999999999999147</v>
      </c>
      <c r="F249" s="9">
        <f>-D249*indicaciones!$G$8*indicaciones!$D$4</f>
        <v>125277.35840006603</v>
      </c>
      <c r="G249" s="9">
        <f>-E249*indicaciones!$G$9*-indicaciones!$D$5</f>
        <v>-269493.64920001046</v>
      </c>
      <c r="H249" s="9">
        <f t="shared" si="14"/>
        <v>-144216.29079994443</v>
      </c>
      <c r="I249" s="9"/>
      <c r="J249" s="9">
        <f>-D249*indicaciones!$H$8</f>
        <v>125277.35840006602</v>
      </c>
      <c r="K249" s="9">
        <f>-E249*-indicaciones!$H$9</f>
        <v>-269493.64920001046</v>
      </c>
      <c r="L249" s="14">
        <f t="shared" si="15"/>
        <v>-144216.29079994443</v>
      </c>
    </row>
    <row r="250" spans="1:12" x14ac:dyDescent="0.25">
      <c r="A250" s="3">
        <v>45715</v>
      </c>
      <c r="B250" s="4">
        <v>8.89</v>
      </c>
      <c r="C250" s="4">
        <v>9.5</v>
      </c>
      <c r="D250" s="1">
        <f t="shared" si="12"/>
        <v>2.000000000000135</v>
      </c>
      <c r="E250" s="1">
        <f t="shared" si="13"/>
        <v>-1.9999999999999574</v>
      </c>
      <c r="F250" s="9">
        <f>-D250*indicaciones!$G$8*indicaciones!$D$4</f>
        <v>-125277.35840006603</v>
      </c>
      <c r="G250" s="9">
        <f>-E250*indicaciones!$G$9*-indicaciones!$D$5</f>
        <v>-134746.82460000523</v>
      </c>
      <c r="H250" s="9">
        <f t="shared" si="14"/>
        <v>-260024.18300007127</v>
      </c>
      <c r="I250" s="9"/>
      <c r="J250" s="9">
        <f>-D250*indicaciones!$H$8</f>
        <v>-125277.35840006602</v>
      </c>
      <c r="K250" s="9">
        <f>-E250*-indicaciones!$H$9</f>
        <v>-134746.82460000523</v>
      </c>
      <c r="L250" s="14">
        <f t="shared" si="15"/>
        <v>-260024.18300007127</v>
      </c>
    </row>
    <row r="251" spans="1:12" x14ac:dyDescent="0.25">
      <c r="A251" s="3">
        <v>45714</v>
      </c>
      <c r="B251" s="4">
        <v>8.8699999999999992</v>
      </c>
      <c r="C251" s="4">
        <v>9.52</v>
      </c>
      <c r="D251" s="1">
        <f t="shared" si="12"/>
        <v>-1.0000000000001563</v>
      </c>
      <c r="E251" s="1">
        <f t="shared" si="13"/>
        <v>-8.9999999999999858</v>
      </c>
      <c r="F251" s="9">
        <f>-D251*indicaciones!$G$8*indicaciones!$D$4</f>
        <v>62638.679200038583</v>
      </c>
      <c r="G251" s="9">
        <f>-E251*indicaciones!$G$9*-indicaciones!$D$5</f>
        <v>-606360.71070003556</v>
      </c>
      <c r="H251" s="9">
        <f t="shared" si="14"/>
        <v>-543722.03149999701</v>
      </c>
      <c r="I251" s="9"/>
      <c r="J251" s="9">
        <f>-D251*indicaciones!$H$8</f>
        <v>62638.679200038576</v>
      </c>
      <c r="K251" s="9">
        <f>-E251*-indicaciones!$H$9</f>
        <v>-606360.71070003556</v>
      </c>
      <c r="L251" s="14">
        <f t="shared" si="15"/>
        <v>-543722.03149999701</v>
      </c>
    </row>
    <row r="252" spans="1:12" x14ac:dyDescent="0.25">
      <c r="A252" s="3">
        <v>45713</v>
      </c>
      <c r="B252" s="4">
        <v>8.8800000000000008</v>
      </c>
      <c r="C252" s="4">
        <v>9.61</v>
      </c>
      <c r="D252" s="1">
        <f t="shared" si="12"/>
        <v>-9.9999999999999645</v>
      </c>
      <c r="E252" s="1">
        <f t="shared" si="13"/>
        <v>-10.000000000000142</v>
      </c>
      <c r="F252" s="9">
        <f>-D252*indicaciones!$G$8*indicaciones!$D$4</f>
        <v>626386.7920002857</v>
      </c>
      <c r="G252" s="9">
        <f>-E252*indicaciones!$G$9*-indicaciones!$D$5</f>
        <v>-673734.12300005008</v>
      </c>
      <c r="H252" s="9">
        <f t="shared" si="14"/>
        <v>-47347.330999764381</v>
      </c>
      <c r="I252" s="9"/>
      <c r="J252" s="9">
        <f>-D252*indicaciones!$H$8</f>
        <v>626386.79200028558</v>
      </c>
      <c r="K252" s="9">
        <f>-E252*-indicaciones!$H$9</f>
        <v>-673734.12300005008</v>
      </c>
      <c r="L252" s="14">
        <f t="shared" si="15"/>
        <v>-47347.330999764497</v>
      </c>
    </row>
    <row r="253" spans="1:12" x14ac:dyDescent="0.25">
      <c r="A253" s="3">
        <v>45712</v>
      </c>
      <c r="B253" s="4">
        <v>8.98</v>
      </c>
      <c r="C253" s="4">
        <v>9.7100000000000009</v>
      </c>
      <c r="D253" s="1">
        <f t="shared" si="12"/>
        <v>-1.9999999999999574</v>
      </c>
      <c r="E253" s="1">
        <f t="shared" si="13"/>
        <v>-5.9999999999998721</v>
      </c>
      <c r="F253" s="9">
        <f>-D253*indicaciones!$G$8*indicaciones!$D$4</f>
        <v>125277.3584000549</v>
      </c>
      <c r="G253" s="9">
        <f>-E253*indicaciones!$G$9*-indicaciones!$D$5</f>
        <v>-404240.47380001569</v>
      </c>
      <c r="H253" s="9">
        <f t="shared" si="14"/>
        <v>-278963.11539996078</v>
      </c>
      <c r="I253" s="9"/>
      <c r="J253" s="9">
        <f>-D253*indicaciones!$H$8</f>
        <v>125277.35840005489</v>
      </c>
      <c r="K253" s="9">
        <f>-E253*-indicaciones!$H$9</f>
        <v>-404240.47380001569</v>
      </c>
      <c r="L253" s="14">
        <f t="shared" si="15"/>
        <v>-278963.11539996078</v>
      </c>
    </row>
    <row r="254" spans="1:12" x14ac:dyDescent="0.25">
      <c r="A254" s="3">
        <v>45709</v>
      </c>
      <c r="B254" s="4">
        <v>9</v>
      </c>
      <c r="C254" s="4">
        <v>9.77</v>
      </c>
      <c r="D254" s="1">
        <f t="shared" si="12"/>
        <v>-2.9999999999999361</v>
      </c>
      <c r="E254" s="1">
        <f t="shared" si="13"/>
        <v>-11.000000000000121</v>
      </c>
      <c r="F254" s="9">
        <f>-D254*indicaciones!$G$8*indicaciones!$D$4</f>
        <v>187916.03760008235</v>
      </c>
      <c r="G254" s="9">
        <f>-E254*indicaciones!$G$9*-indicaciones!$D$5</f>
        <v>-741107.53530005272</v>
      </c>
      <c r="H254" s="9">
        <f t="shared" si="14"/>
        <v>-553191.49769997038</v>
      </c>
      <c r="I254" s="9"/>
      <c r="J254" s="9">
        <f>-D254*indicaciones!$H$8</f>
        <v>187916.03760008235</v>
      </c>
      <c r="K254" s="9">
        <f>-E254*-indicaciones!$H$9</f>
        <v>-741107.53530005272</v>
      </c>
      <c r="L254" s="14">
        <f t="shared" si="15"/>
        <v>-553191.49769997038</v>
      </c>
    </row>
    <row r="255" spans="1:12" x14ac:dyDescent="0.25">
      <c r="A255" s="3">
        <v>45708</v>
      </c>
      <c r="B255" s="4">
        <v>9.0299999999999994</v>
      </c>
      <c r="C255" s="4">
        <v>9.8800000000000008</v>
      </c>
      <c r="D255" s="1">
        <f t="shared" si="12"/>
        <v>-3.0000000000001137</v>
      </c>
      <c r="E255" s="1">
        <f t="shared" si="13"/>
        <v>-2.9999999999999361</v>
      </c>
      <c r="F255" s="9">
        <f>-D255*indicaciones!$G$8*indicaciones!$D$4</f>
        <v>187916.03760009346</v>
      </c>
      <c r="G255" s="9">
        <f>-E255*indicaciones!$G$9*-indicaciones!$D$5</f>
        <v>-202120.23690000785</v>
      </c>
      <c r="H255" s="9">
        <f t="shared" si="14"/>
        <v>-14204.199299914384</v>
      </c>
      <c r="I255" s="9"/>
      <c r="J255" s="9">
        <f>-D255*indicaciones!$H$8</f>
        <v>187916.03760009346</v>
      </c>
      <c r="K255" s="9">
        <f>-E255*-indicaciones!$H$9</f>
        <v>-202120.23690000785</v>
      </c>
      <c r="L255" s="14">
        <f t="shared" si="15"/>
        <v>-14204.199299914384</v>
      </c>
    </row>
    <row r="256" spans="1:12" x14ac:dyDescent="0.25">
      <c r="A256" s="3">
        <v>45707</v>
      </c>
      <c r="B256" s="4">
        <v>9.06</v>
      </c>
      <c r="C256" s="4">
        <v>9.91</v>
      </c>
      <c r="D256" s="1">
        <f t="shared" si="12"/>
        <v>-5.9999999999998721</v>
      </c>
      <c r="E256" s="1">
        <f t="shared" si="13"/>
        <v>6.0000000000000497</v>
      </c>
      <c r="F256" s="9">
        <f>-D256*indicaciones!$G$8*indicaciones!$D$4</f>
        <v>375832.07520016469</v>
      </c>
      <c r="G256" s="9">
        <f>-E256*indicaciones!$G$9*-indicaciones!$D$5</f>
        <v>404240.47380002763</v>
      </c>
      <c r="H256" s="9">
        <f t="shared" si="14"/>
        <v>780072.54900019232</v>
      </c>
      <c r="I256" s="9"/>
      <c r="J256" s="9">
        <f>-D256*indicaciones!$H$8</f>
        <v>375832.07520016469</v>
      </c>
      <c r="K256" s="9">
        <f>-E256*-indicaciones!$H$9</f>
        <v>404240.47380002768</v>
      </c>
      <c r="L256" s="14">
        <f t="shared" si="15"/>
        <v>780072.54900019243</v>
      </c>
    </row>
    <row r="257" spans="1:12" x14ac:dyDescent="0.25">
      <c r="A257" s="3">
        <v>45706</v>
      </c>
      <c r="B257" s="4">
        <v>9.1199999999999992</v>
      </c>
      <c r="C257" s="4">
        <v>9.85</v>
      </c>
      <c r="D257" s="1">
        <f t="shared" si="12"/>
        <v>-3.0000000000001137</v>
      </c>
      <c r="E257" s="1">
        <f t="shared" si="13"/>
        <v>-3.0000000000001137</v>
      </c>
      <c r="F257" s="9">
        <f>-D257*indicaciones!$G$8*indicaciones!$D$4</f>
        <v>187916.03760009346</v>
      </c>
      <c r="G257" s="9">
        <f>-E257*indicaciones!$G$9*-indicaciones!$D$5</f>
        <v>-202120.23690001981</v>
      </c>
      <c r="H257" s="9">
        <f t="shared" si="14"/>
        <v>-14204.199299926346</v>
      </c>
      <c r="I257" s="9"/>
      <c r="J257" s="9">
        <f>-D257*indicaciones!$H$8</f>
        <v>187916.03760009346</v>
      </c>
      <c r="K257" s="9">
        <f>-E257*-indicaciones!$H$9</f>
        <v>-202120.23690001984</v>
      </c>
      <c r="L257" s="14">
        <f t="shared" si="15"/>
        <v>-14204.199299926375</v>
      </c>
    </row>
    <row r="258" spans="1:12" x14ac:dyDescent="0.25">
      <c r="A258" s="3">
        <v>45705</v>
      </c>
      <c r="B258" s="4">
        <v>9.15</v>
      </c>
      <c r="C258" s="4">
        <v>9.8800000000000008</v>
      </c>
      <c r="D258" s="1">
        <f t="shared" si="12"/>
        <v>-0.99999999999997868</v>
      </c>
      <c r="E258" s="1">
        <f t="shared" si="13"/>
        <v>3.0000000000001137</v>
      </c>
      <c r="F258" s="9">
        <f>-D258*indicaciones!$G$8*indicaciones!$D$4</f>
        <v>62638.679200027451</v>
      </c>
      <c r="G258" s="9">
        <f>-E258*indicaciones!$G$9*-indicaciones!$D$5</f>
        <v>202120.23690001981</v>
      </c>
      <c r="H258" s="9">
        <f t="shared" si="14"/>
        <v>264758.91610004724</v>
      </c>
      <c r="I258" s="9"/>
      <c r="J258" s="9">
        <f>-D258*indicaciones!$H$8</f>
        <v>62638.679200027444</v>
      </c>
      <c r="K258" s="9">
        <f>-E258*-indicaciones!$H$9</f>
        <v>202120.23690001984</v>
      </c>
      <c r="L258" s="14">
        <f t="shared" si="15"/>
        <v>264758.9161000473</v>
      </c>
    </row>
    <row r="259" spans="1:12" x14ac:dyDescent="0.25">
      <c r="A259" s="3">
        <v>45702</v>
      </c>
      <c r="B259" s="4">
        <v>9.16</v>
      </c>
      <c r="C259" s="4">
        <v>9.85</v>
      </c>
      <c r="D259" s="1">
        <f t="shared" ref="D259:D261" si="16">(B259-B260)*100</f>
        <v>-5.0000000000000711</v>
      </c>
      <c r="E259" s="1">
        <f t="shared" ref="E259:E261" si="17">(C259-C260)*100</f>
        <v>-0.99999999999997868</v>
      </c>
      <c r="F259" s="9">
        <f>-D259*indicaciones!$G$8*indicaciones!$D$4</f>
        <v>313193.39600014838</v>
      </c>
      <c r="G259" s="9">
        <f>-E259*indicaciones!$G$9*-indicaciones!$D$5</f>
        <v>-67373.412300002616</v>
      </c>
      <c r="H259" s="9">
        <f t="shared" ref="H259:H262" si="18">F259+G259</f>
        <v>245819.98370014576</v>
      </c>
      <c r="I259" s="9"/>
      <c r="J259" s="9">
        <f>-D259*indicaciones!$H$8</f>
        <v>313193.39600014838</v>
      </c>
      <c r="K259" s="9">
        <f>-E259*-indicaciones!$H$9</f>
        <v>-67373.412300002616</v>
      </c>
      <c r="L259" s="14">
        <f t="shared" ref="L259:L262" si="19">SUM(J259:K259)</f>
        <v>245819.98370014576</v>
      </c>
    </row>
    <row r="260" spans="1:12" x14ac:dyDescent="0.25">
      <c r="A260" s="3">
        <v>45701</v>
      </c>
      <c r="B260" s="4">
        <v>9.2100000000000009</v>
      </c>
      <c r="C260" s="4">
        <v>9.86</v>
      </c>
      <c r="D260" s="1">
        <f t="shared" si="16"/>
        <v>-6.9999999999998508</v>
      </c>
      <c r="E260" s="1">
        <f t="shared" si="17"/>
        <v>-4.0000000000000924</v>
      </c>
      <c r="F260" s="9">
        <f>-D260*indicaciones!$G$8*indicaciones!$D$4</f>
        <v>438470.75440019212</v>
      </c>
      <c r="G260" s="9">
        <f>-E260*indicaciones!$G$9*-indicaciones!$D$5</f>
        <v>-269493.6492000224</v>
      </c>
      <c r="H260" s="9">
        <f t="shared" si="18"/>
        <v>168977.10520016972</v>
      </c>
      <c r="I260" s="9"/>
      <c r="J260" s="9">
        <f>-D260*indicaciones!$H$8</f>
        <v>438470.75440019212</v>
      </c>
      <c r="K260" s="9">
        <f>-E260*-indicaciones!$H$9</f>
        <v>-269493.64920002245</v>
      </c>
      <c r="L260" s="14">
        <f t="shared" si="19"/>
        <v>168977.10520016967</v>
      </c>
    </row>
    <row r="261" spans="1:12" x14ac:dyDescent="0.25">
      <c r="A261" s="3">
        <v>45700</v>
      </c>
      <c r="B261" s="4">
        <v>9.2799999999999994</v>
      </c>
      <c r="C261" s="4">
        <v>9.9</v>
      </c>
      <c r="D261" s="1">
        <f t="shared" si="16"/>
        <v>5.9999999999998721</v>
      </c>
      <c r="E261" s="1">
        <f t="shared" si="17"/>
        <v>6.0000000000000497</v>
      </c>
      <c r="F261" s="9">
        <f>-D261*indicaciones!$G$8*indicaciones!$D$4</f>
        <v>-375832.07520016469</v>
      </c>
      <c r="G261" s="9">
        <f>-E261*indicaciones!$G$9*-indicaciones!$D$5</f>
        <v>404240.47380002763</v>
      </c>
      <c r="H261" s="9">
        <f t="shared" si="18"/>
        <v>28408.398599862936</v>
      </c>
      <c r="I261" s="9"/>
      <c r="J261" s="9">
        <f>-D261*indicaciones!$H$8</f>
        <v>-375832.07520016469</v>
      </c>
      <c r="K261" s="9">
        <f>-E261*-indicaciones!$H$9</f>
        <v>404240.47380002768</v>
      </c>
      <c r="L261" s="14">
        <f t="shared" si="19"/>
        <v>28408.398599862994</v>
      </c>
    </row>
    <row r="262" spans="1:12" x14ac:dyDescent="0.25">
      <c r="A262" s="3">
        <v>45699</v>
      </c>
      <c r="B262" s="4">
        <v>9.2200000000000006</v>
      </c>
      <c r="C262" s="4">
        <v>9.84</v>
      </c>
      <c r="D262" s="1"/>
      <c r="E262" s="1"/>
      <c r="F262" s="9">
        <f>-D262*indicaciones!$G$8*indicaciones!$D$4</f>
        <v>0</v>
      </c>
      <c r="G262" s="9">
        <f>-E262*indicaciones!$G$9*-indicaciones!$D$5</f>
        <v>0</v>
      </c>
      <c r="H262" s="9">
        <f t="shared" si="18"/>
        <v>0</v>
      </c>
      <c r="I262" s="9"/>
      <c r="J262" s="9">
        <f>-D262*indicaciones!$H$8</f>
        <v>0</v>
      </c>
      <c r="K262" s="9">
        <f>-E262*-indicaciones!$H$9</f>
        <v>0</v>
      </c>
      <c r="L262" s="14">
        <f t="shared" si="1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0C74-2EFF-44C7-830E-2F9C29BE9767}">
  <dimension ref="A1:I262"/>
  <sheetViews>
    <sheetView topLeftCell="E1" zoomScale="150" zoomScaleNormal="150" workbookViewId="0">
      <selection activeCell="G2" sqref="G2"/>
    </sheetView>
  </sheetViews>
  <sheetFormatPr baseColWidth="10" defaultRowHeight="15" x14ac:dyDescent="0.25"/>
  <cols>
    <col min="4" max="4" width="22.7109375" bestFit="1" customWidth="1"/>
    <col min="5" max="5" width="26.140625" bestFit="1" customWidth="1"/>
    <col min="6" max="7" width="12.42578125" bestFit="1" customWidth="1"/>
    <col min="8" max="8" width="14.85546875" bestFit="1" customWidth="1"/>
    <col min="9" max="9" width="14.85546875" customWidth="1"/>
  </cols>
  <sheetData>
    <row r="1" spans="1:9" x14ac:dyDescent="0.25">
      <c r="A1" s="1" t="s">
        <v>0</v>
      </c>
      <c r="B1" s="1" t="s">
        <v>1</v>
      </c>
      <c r="C1" s="1" t="s">
        <v>7</v>
      </c>
      <c r="D1" s="1" t="s">
        <v>23</v>
      </c>
      <c r="E1" s="1" t="s">
        <v>24</v>
      </c>
      <c r="F1" s="1" t="s">
        <v>25</v>
      </c>
      <c r="G1" s="1" t="s">
        <v>27</v>
      </c>
      <c r="H1" s="1" t="s">
        <v>29</v>
      </c>
      <c r="I1" s="13" t="s">
        <v>30</v>
      </c>
    </row>
    <row r="2" spans="1:9" x14ac:dyDescent="0.25">
      <c r="A2" s="3">
        <v>46063</v>
      </c>
      <c r="B2" s="4">
        <v>7.32</v>
      </c>
      <c r="C2" s="4">
        <v>8.7100000000000009</v>
      </c>
      <c r="D2" s="1">
        <f>(B2-B3)*100</f>
        <v>-5.9999999999999609</v>
      </c>
      <c r="E2" s="1">
        <f>(C2-C3)*100</f>
        <v>-7.9999999999998295</v>
      </c>
      <c r="F2" s="9">
        <f>-D2*indicaciones!$G$8*indicaciones!$D$4</f>
        <v>375832.07520017022</v>
      </c>
      <c r="G2" s="9">
        <f>-E2*indicaciones!$G$9*indicaciones!$D$5</f>
        <v>538987.29840002093</v>
      </c>
      <c r="H2" s="9">
        <f>F2+G2</f>
        <v>914819.3736001912</v>
      </c>
      <c r="I2" s="12">
        <f>PERCENTILE(H2:H261,0.05)</f>
        <v>-935706.55668511696</v>
      </c>
    </row>
    <row r="3" spans="1:9" x14ac:dyDescent="0.25">
      <c r="A3" s="3">
        <v>46062</v>
      </c>
      <c r="B3" s="4">
        <v>7.38</v>
      </c>
      <c r="C3" s="4">
        <v>8.7899999999999991</v>
      </c>
      <c r="D3" s="1">
        <f t="shared" ref="D3:E66" si="0">(B3-B4)*100</f>
        <v>1.9999999999999574</v>
      </c>
      <c r="E3" s="1">
        <f t="shared" si="0"/>
        <v>0.99999999999997868</v>
      </c>
      <c r="F3" s="9">
        <f>-D3*indicaciones!$G$8*indicaciones!$D$4</f>
        <v>-125277.3584000549</v>
      </c>
      <c r="G3" s="9">
        <f>-E3*indicaciones!$G$9*indicaciones!$D$5</f>
        <v>-67373.412300002616</v>
      </c>
      <c r="H3" s="9">
        <f t="shared" ref="H3:H66" si="1">F3+G3</f>
        <v>-192650.7707000575</v>
      </c>
      <c r="I3" s="9"/>
    </row>
    <row r="4" spans="1:9" x14ac:dyDescent="0.25">
      <c r="A4" s="3">
        <v>46059</v>
      </c>
      <c r="B4" s="4">
        <v>7.36</v>
      </c>
      <c r="C4" s="4">
        <v>8.7799999999999994</v>
      </c>
      <c r="D4" s="1">
        <f t="shared" si="0"/>
        <v>-9.9999999999999645</v>
      </c>
      <c r="E4" s="1">
        <f t="shared" si="0"/>
        <v>-4.0000000000000924</v>
      </c>
      <c r="F4" s="9">
        <f>-D4*indicaciones!$G$8*indicaciones!$D$4</f>
        <v>626386.7920002857</v>
      </c>
      <c r="G4" s="9">
        <f>-E4*indicaciones!$G$9*indicaciones!$D$5</f>
        <v>269493.6492000224</v>
      </c>
      <c r="H4" s="9">
        <f t="shared" si="1"/>
        <v>895880.44120030804</v>
      </c>
      <c r="I4" s="9"/>
    </row>
    <row r="5" spans="1:9" x14ac:dyDescent="0.25">
      <c r="A5" s="3">
        <v>46058</v>
      </c>
      <c r="B5" s="4">
        <v>7.46</v>
      </c>
      <c r="C5" s="4">
        <v>8.82</v>
      </c>
      <c r="D5" s="1">
        <f t="shared" si="0"/>
        <v>-4.9999999999999822</v>
      </c>
      <c r="E5" s="1">
        <f t="shared" si="0"/>
        <v>-8.9999999999999858</v>
      </c>
      <c r="F5" s="9">
        <f>-D5*indicaciones!$G$8*indicaciones!$D$4</f>
        <v>313193.39600014285</v>
      </c>
      <c r="G5" s="9">
        <f>-E5*indicaciones!$G$9*indicaciones!$D$5</f>
        <v>606360.71070003556</v>
      </c>
      <c r="H5" s="9">
        <f t="shared" si="1"/>
        <v>919554.10670017847</v>
      </c>
      <c r="I5" s="9"/>
    </row>
    <row r="6" spans="1:9" x14ac:dyDescent="0.25">
      <c r="A6" s="3">
        <v>46057</v>
      </c>
      <c r="B6" s="4">
        <v>7.51</v>
      </c>
      <c r="C6" s="4">
        <v>8.91</v>
      </c>
      <c r="D6" s="1">
        <f t="shared" si="0"/>
        <v>-2.0000000000000462</v>
      </c>
      <c r="E6" s="1">
        <f t="shared" si="0"/>
        <v>4.0000000000000924</v>
      </c>
      <c r="F6" s="9">
        <f>-D6*indicaciones!$G$8*indicaciones!$D$4</f>
        <v>125277.35840006046</v>
      </c>
      <c r="G6" s="9">
        <f>-E6*indicaciones!$G$9*indicaciones!$D$5</f>
        <v>-269493.6492000224</v>
      </c>
      <c r="H6" s="9">
        <f t="shared" si="1"/>
        <v>-144216.29079996195</v>
      </c>
      <c r="I6" s="9"/>
    </row>
    <row r="7" spans="1:9" x14ac:dyDescent="0.25">
      <c r="A7" s="3">
        <v>46056</v>
      </c>
      <c r="B7" s="4">
        <v>7.53</v>
      </c>
      <c r="C7" s="4">
        <v>8.8699999999999992</v>
      </c>
      <c r="D7" s="1">
        <f t="shared" si="0"/>
        <v>1.0000000000000675</v>
      </c>
      <c r="E7" s="1">
        <f t="shared" si="0"/>
        <v>0.99999999999997868</v>
      </c>
      <c r="F7" s="9">
        <f>-D7*indicaciones!$G$8*indicaciones!$D$4</f>
        <v>-62638.679200033017</v>
      </c>
      <c r="G7" s="9">
        <f>-E7*indicaciones!$G$9*indicaciones!$D$5</f>
        <v>-67373.412300002616</v>
      </c>
      <c r="H7" s="9">
        <f t="shared" si="1"/>
        <v>-130012.09150003563</v>
      </c>
      <c r="I7" s="9"/>
    </row>
    <row r="8" spans="1:9" x14ac:dyDescent="0.25">
      <c r="A8" s="3">
        <v>46055</v>
      </c>
      <c r="B8" s="4">
        <v>7.52</v>
      </c>
      <c r="C8" s="4">
        <v>8.86</v>
      </c>
      <c r="D8" s="1">
        <f t="shared" si="0"/>
        <v>0</v>
      </c>
      <c r="E8" s="1">
        <f t="shared" si="0"/>
        <v>0</v>
      </c>
      <c r="F8" s="9">
        <f>-D8*indicaciones!$G$8*indicaciones!$D$4</f>
        <v>0</v>
      </c>
      <c r="G8" s="9">
        <f>-E8*indicaciones!$G$9*indicaciones!$D$5</f>
        <v>0</v>
      </c>
      <c r="H8" s="9">
        <f t="shared" si="1"/>
        <v>0</v>
      </c>
      <c r="I8" s="9"/>
    </row>
    <row r="9" spans="1:9" x14ac:dyDescent="0.25">
      <c r="A9" s="3">
        <v>46052</v>
      </c>
      <c r="B9" s="4">
        <v>7.52</v>
      </c>
      <c r="C9" s="4">
        <v>8.86</v>
      </c>
      <c r="D9" s="1">
        <f t="shared" si="0"/>
        <v>-1.0000000000000675</v>
      </c>
      <c r="E9" s="1">
        <f t="shared" si="0"/>
        <v>3.9999999999999147</v>
      </c>
      <c r="F9" s="9">
        <f>-D9*indicaciones!$G$8*indicaciones!$D$4</f>
        <v>62638.679200033017</v>
      </c>
      <c r="G9" s="9">
        <f>-E9*indicaciones!$G$9*indicaciones!$D$5</f>
        <v>-269493.64920001046</v>
      </c>
      <c r="H9" s="9">
        <f t="shared" si="1"/>
        <v>-206854.96999997745</v>
      </c>
      <c r="I9" s="9"/>
    </row>
    <row r="10" spans="1:9" x14ac:dyDescent="0.25">
      <c r="A10" s="3">
        <v>46051</v>
      </c>
      <c r="B10" s="4">
        <v>7.53</v>
      </c>
      <c r="C10" s="4">
        <v>8.82</v>
      </c>
      <c r="D10" s="1">
        <f t="shared" si="0"/>
        <v>0</v>
      </c>
      <c r="E10" s="1">
        <f t="shared" si="0"/>
        <v>-8.0000000000000071</v>
      </c>
      <c r="F10" s="9">
        <f>-D10*indicaciones!$G$8*indicaciones!$D$4</f>
        <v>0</v>
      </c>
      <c r="G10" s="9">
        <f>-E10*indicaciones!$G$9*indicaciones!$D$5</f>
        <v>538987.29840003292</v>
      </c>
      <c r="H10" s="9">
        <f t="shared" si="1"/>
        <v>538987.29840003292</v>
      </c>
      <c r="I10" s="9"/>
    </row>
    <row r="11" spans="1:9" x14ac:dyDescent="0.25">
      <c r="A11" s="3">
        <v>46050</v>
      </c>
      <c r="B11" s="4">
        <v>7.53</v>
      </c>
      <c r="C11" s="4">
        <v>8.9</v>
      </c>
      <c r="D11" s="1">
        <f t="shared" si="0"/>
        <v>-4.9999999999999822</v>
      </c>
      <c r="E11" s="1">
        <f t="shared" si="0"/>
        <v>-1.9999999999999574</v>
      </c>
      <c r="F11" s="9">
        <f>-D11*indicaciones!$G$8*indicaciones!$D$4</f>
        <v>313193.39600014285</v>
      </c>
      <c r="G11" s="9">
        <f>-E11*indicaciones!$G$9*indicaciones!$D$5</f>
        <v>134746.82460000523</v>
      </c>
      <c r="H11" s="9">
        <f t="shared" si="1"/>
        <v>447940.22060014808</v>
      </c>
      <c r="I11" s="9"/>
    </row>
    <row r="12" spans="1:9" x14ac:dyDescent="0.25">
      <c r="A12" s="3">
        <v>46049</v>
      </c>
      <c r="B12" s="4">
        <v>7.58</v>
      </c>
      <c r="C12" s="4">
        <v>8.92</v>
      </c>
      <c r="D12" s="1">
        <f t="shared" si="0"/>
        <v>-4.9999999999999822</v>
      </c>
      <c r="E12" s="1">
        <f t="shared" si="0"/>
        <v>-5.0000000000000711</v>
      </c>
      <c r="F12" s="9">
        <f>-D12*indicaciones!$G$8*indicaciones!$D$4</f>
        <v>313193.39600014285</v>
      </c>
      <c r="G12" s="9">
        <f>-E12*indicaciones!$G$9*indicaciones!$D$5</f>
        <v>336867.06150002504</v>
      </c>
      <c r="H12" s="9">
        <f t="shared" si="1"/>
        <v>650060.45750016789</v>
      </c>
      <c r="I12" s="9"/>
    </row>
    <row r="13" spans="1:9" x14ac:dyDescent="0.25">
      <c r="A13" s="3">
        <v>46048</v>
      </c>
      <c r="B13" s="4">
        <v>7.63</v>
      </c>
      <c r="C13" s="4">
        <v>8.9700000000000006</v>
      </c>
      <c r="D13" s="1">
        <f t="shared" si="0"/>
        <v>0.99999999999997868</v>
      </c>
      <c r="E13" s="1">
        <f t="shared" si="0"/>
        <v>3.0000000000001137</v>
      </c>
      <c r="F13" s="9">
        <f>-D13*indicaciones!$G$8*indicaciones!$D$4</f>
        <v>-62638.679200027451</v>
      </c>
      <c r="G13" s="9">
        <f>-E13*indicaciones!$G$9*indicaciones!$D$5</f>
        <v>-202120.23690001981</v>
      </c>
      <c r="H13" s="9">
        <f t="shared" si="1"/>
        <v>-264758.91610004724</v>
      </c>
      <c r="I13" s="9"/>
    </row>
    <row r="14" spans="1:9" x14ac:dyDescent="0.25">
      <c r="A14" s="3">
        <v>46045</v>
      </c>
      <c r="B14" s="4">
        <v>7.62</v>
      </c>
      <c r="C14" s="4">
        <v>8.94</v>
      </c>
      <c r="D14" s="1">
        <f t="shared" si="0"/>
        <v>-5.9999999999999609</v>
      </c>
      <c r="E14" s="1">
        <f t="shared" si="0"/>
        <v>-3.0000000000001137</v>
      </c>
      <c r="F14" s="9">
        <f>-D14*indicaciones!$G$8*indicaciones!$D$4</f>
        <v>375832.07520017022</v>
      </c>
      <c r="G14" s="9">
        <f>-E14*indicaciones!$G$9*indicaciones!$D$5</f>
        <v>202120.23690001981</v>
      </c>
      <c r="H14" s="9">
        <f t="shared" si="1"/>
        <v>577952.31210018997</v>
      </c>
      <c r="I14" s="9"/>
    </row>
    <row r="15" spans="1:9" x14ac:dyDescent="0.25">
      <c r="A15" s="3">
        <v>46044</v>
      </c>
      <c r="B15" s="4">
        <v>7.68</v>
      </c>
      <c r="C15" s="4">
        <v>8.9700000000000006</v>
      </c>
      <c r="D15" s="1">
        <f t="shared" si="0"/>
        <v>-7.0000000000000284</v>
      </c>
      <c r="E15" s="1">
        <f t="shared" si="0"/>
        <v>-10.999999999999943</v>
      </c>
      <c r="F15" s="9">
        <f>-D15*indicaciones!$G$8*indicaciones!$D$4</f>
        <v>438470.7544002033</v>
      </c>
      <c r="G15" s="9">
        <f>-E15*indicaciones!$G$9*indicaciones!$D$5</f>
        <v>741107.53530004073</v>
      </c>
      <c r="H15" s="9">
        <f t="shared" si="1"/>
        <v>1179578.2897002441</v>
      </c>
      <c r="I15" s="9"/>
    </row>
    <row r="16" spans="1:9" x14ac:dyDescent="0.25">
      <c r="A16" s="3">
        <v>46043</v>
      </c>
      <c r="B16" s="4">
        <v>7.75</v>
      </c>
      <c r="C16" s="4">
        <v>9.08</v>
      </c>
      <c r="D16" s="1">
        <f t="shared" si="0"/>
        <v>-8.0000000000000071</v>
      </c>
      <c r="E16" s="1">
        <f t="shared" si="0"/>
        <v>-13.000000000000078</v>
      </c>
      <c r="F16" s="9">
        <f>-D16*indicaciones!$G$8*indicaciones!$D$4</f>
        <v>501109.43360023072</v>
      </c>
      <c r="G16" s="9">
        <f>-E16*indicaciones!$G$9*indicaciones!$D$5</f>
        <v>875854.3599000579</v>
      </c>
      <c r="H16" s="9">
        <f t="shared" si="1"/>
        <v>1376963.7935002886</v>
      </c>
      <c r="I16" s="9"/>
    </row>
    <row r="17" spans="1:9" x14ac:dyDescent="0.25">
      <c r="A17" s="3">
        <v>46042</v>
      </c>
      <c r="B17" s="4">
        <v>7.83</v>
      </c>
      <c r="C17" s="4">
        <v>9.2100000000000009</v>
      </c>
      <c r="D17" s="1">
        <f t="shared" si="0"/>
        <v>8.0000000000000071</v>
      </c>
      <c r="E17" s="1">
        <f t="shared" si="0"/>
        <v>12.000000000000099</v>
      </c>
      <c r="F17" s="9">
        <f>-D17*indicaciones!$G$8*indicaciones!$D$4</f>
        <v>-501109.43360023072</v>
      </c>
      <c r="G17" s="9">
        <f>-E17*indicaciones!$G$9*indicaciones!$D$5</f>
        <v>-808480.94760005525</v>
      </c>
      <c r="H17" s="9">
        <f t="shared" si="1"/>
        <v>-1309590.3812002861</v>
      </c>
      <c r="I17" s="9"/>
    </row>
    <row r="18" spans="1:9" x14ac:dyDescent="0.25">
      <c r="A18" s="3">
        <v>46041</v>
      </c>
      <c r="B18" s="4">
        <v>7.75</v>
      </c>
      <c r="C18" s="4">
        <v>9.09</v>
      </c>
      <c r="D18" s="1">
        <f t="shared" si="0"/>
        <v>0</v>
      </c>
      <c r="E18" s="1">
        <f t="shared" si="0"/>
        <v>-0.99999999999997868</v>
      </c>
      <c r="F18" s="9">
        <f>-D18*indicaciones!$G$8*indicaciones!$D$4</f>
        <v>0</v>
      </c>
      <c r="G18" s="9">
        <f>-E18*indicaciones!$G$9*indicaciones!$D$5</f>
        <v>67373.412300002616</v>
      </c>
      <c r="H18" s="9">
        <f t="shared" si="1"/>
        <v>67373.412300002616</v>
      </c>
      <c r="I18" s="9"/>
    </row>
    <row r="19" spans="1:9" x14ac:dyDescent="0.25">
      <c r="A19" s="3">
        <v>46038</v>
      </c>
      <c r="B19" s="4">
        <v>7.75</v>
      </c>
      <c r="C19" s="4">
        <v>9.1</v>
      </c>
      <c r="D19" s="1">
        <f t="shared" si="0"/>
        <v>8.0000000000000071</v>
      </c>
      <c r="E19" s="1">
        <f t="shared" si="0"/>
        <v>8.9999999999999858</v>
      </c>
      <c r="F19" s="9">
        <f>-D19*indicaciones!$G$8*indicaciones!$D$4</f>
        <v>-501109.43360023072</v>
      </c>
      <c r="G19" s="9">
        <f>-E19*indicaciones!$G$9*indicaciones!$D$5</f>
        <v>-606360.71070003556</v>
      </c>
      <c r="H19" s="9">
        <f t="shared" si="1"/>
        <v>-1107470.1443002662</v>
      </c>
      <c r="I19" s="9"/>
    </row>
    <row r="20" spans="1:9" x14ac:dyDescent="0.25">
      <c r="A20" s="3">
        <v>46037</v>
      </c>
      <c r="B20" s="4">
        <v>7.67</v>
      </c>
      <c r="C20" s="4">
        <v>9.01</v>
      </c>
      <c r="D20" s="1">
        <f t="shared" si="0"/>
        <v>0.99999999999997868</v>
      </c>
      <c r="E20" s="1">
        <f t="shared" si="0"/>
        <v>3.9999999999999147</v>
      </c>
      <c r="F20" s="9">
        <f>-D20*indicaciones!$G$8*indicaciones!$D$4</f>
        <v>-62638.679200027451</v>
      </c>
      <c r="G20" s="9">
        <f>-E20*indicaciones!$G$9*indicaciones!$D$5</f>
        <v>-269493.64920001046</v>
      </c>
      <c r="H20" s="9">
        <f t="shared" si="1"/>
        <v>-332132.32840003789</v>
      </c>
      <c r="I20" s="9"/>
    </row>
    <row r="21" spans="1:9" x14ac:dyDescent="0.25">
      <c r="A21" s="3">
        <v>46036</v>
      </c>
      <c r="B21" s="4">
        <v>7.66</v>
      </c>
      <c r="C21" s="4">
        <v>8.9700000000000006</v>
      </c>
      <c r="D21" s="1">
        <f t="shared" si="0"/>
        <v>-3.0000000000000249</v>
      </c>
      <c r="E21" s="1">
        <f t="shared" si="0"/>
        <v>-0.99999999999997868</v>
      </c>
      <c r="F21" s="9">
        <f>-D21*indicaciones!$G$8*indicaciones!$D$4</f>
        <v>187916.0376000879</v>
      </c>
      <c r="G21" s="9">
        <f>-E21*indicaciones!$G$9*indicaciones!$D$5</f>
        <v>67373.412300002616</v>
      </c>
      <c r="H21" s="9">
        <f t="shared" si="1"/>
        <v>255289.44990009052</v>
      </c>
      <c r="I21" s="9"/>
    </row>
    <row r="22" spans="1:9" x14ac:dyDescent="0.25">
      <c r="A22" s="3">
        <v>46035</v>
      </c>
      <c r="B22" s="4">
        <v>7.69</v>
      </c>
      <c r="C22" s="4">
        <v>8.98</v>
      </c>
      <c r="D22" s="1">
        <f t="shared" si="0"/>
        <v>-1.9999999999999574</v>
      </c>
      <c r="E22" s="1">
        <f t="shared" si="0"/>
        <v>0.99999999999997868</v>
      </c>
      <c r="F22" s="9">
        <f>-D22*indicaciones!$G$8*indicaciones!$D$4</f>
        <v>125277.3584000549</v>
      </c>
      <c r="G22" s="9">
        <f>-E22*indicaciones!$G$9*indicaciones!$D$5</f>
        <v>-67373.412300002616</v>
      </c>
      <c r="H22" s="9">
        <f t="shared" si="1"/>
        <v>57903.946100052286</v>
      </c>
      <c r="I22" s="9"/>
    </row>
    <row r="23" spans="1:9" x14ac:dyDescent="0.25">
      <c r="A23" s="3">
        <v>46034</v>
      </c>
      <c r="B23" s="4">
        <v>7.71</v>
      </c>
      <c r="C23" s="4">
        <v>8.9700000000000006</v>
      </c>
      <c r="D23" s="1">
        <f t="shared" si="0"/>
        <v>-2.0000000000000462</v>
      </c>
      <c r="E23" s="1">
        <f t="shared" si="0"/>
        <v>0</v>
      </c>
      <c r="F23" s="9">
        <f>-D23*indicaciones!$G$8*indicaciones!$D$4</f>
        <v>125277.35840006046</v>
      </c>
      <c r="G23" s="9">
        <f>-E23*indicaciones!$G$9*indicaciones!$D$5</f>
        <v>0</v>
      </c>
      <c r="H23" s="9">
        <f t="shared" si="1"/>
        <v>125277.35840006046</v>
      </c>
      <c r="I23" s="9"/>
    </row>
    <row r="24" spans="1:9" x14ac:dyDescent="0.25">
      <c r="A24" s="3">
        <v>46031</v>
      </c>
      <c r="B24" s="4">
        <v>7.73</v>
      </c>
      <c r="C24" s="4">
        <v>8.9700000000000006</v>
      </c>
      <c r="D24" s="1">
        <f t="shared" si="0"/>
        <v>0</v>
      </c>
      <c r="E24" s="1">
        <f t="shared" si="0"/>
        <v>6.0000000000000497</v>
      </c>
      <c r="F24" s="9">
        <f>-D24*indicaciones!$G$8*indicaciones!$D$4</f>
        <v>0</v>
      </c>
      <c r="G24" s="9">
        <f>-E24*indicaciones!$G$9*indicaciones!$D$5</f>
        <v>-404240.47380002763</v>
      </c>
      <c r="H24" s="9">
        <f t="shared" si="1"/>
        <v>-404240.47380002763</v>
      </c>
      <c r="I24" s="9"/>
    </row>
    <row r="25" spans="1:9" x14ac:dyDescent="0.25">
      <c r="A25" s="3">
        <v>46030</v>
      </c>
      <c r="B25" s="4">
        <v>7.73</v>
      </c>
      <c r="C25" s="4">
        <v>8.91</v>
      </c>
      <c r="D25" s="1">
        <f t="shared" si="0"/>
        <v>3.0000000000000249</v>
      </c>
      <c r="E25" s="1">
        <f t="shared" si="0"/>
        <v>4.0000000000000924</v>
      </c>
      <c r="F25" s="9">
        <f>-D25*indicaciones!$G$8*indicaciones!$D$4</f>
        <v>-187916.0376000879</v>
      </c>
      <c r="G25" s="9">
        <f>-E25*indicaciones!$G$9*indicaciones!$D$5</f>
        <v>-269493.6492000224</v>
      </c>
      <c r="H25" s="9">
        <f t="shared" si="1"/>
        <v>-457409.68680011027</v>
      </c>
      <c r="I25" s="9"/>
    </row>
    <row r="26" spans="1:9" x14ac:dyDescent="0.25">
      <c r="A26" s="3">
        <v>46029</v>
      </c>
      <c r="B26" s="4">
        <v>7.7</v>
      </c>
      <c r="C26" s="4">
        <v>8.8699999999999992</v>
      </c>
      <c r="D26" s="1">
        <f t="shared" si="0"/>
        <v>2.0000000000000462</v>
      </c>
      <c r="E26" s="1">
        <f t="shared" si="0"/>
        <v>-5.0000000000000711</v>
      </c>
      <c r="F26" s="9">
        <f>-D26*indicaciones!$G$8*indicaciones!$D$4</f>
        <v>-125277.35840006046</v>
      </c>
      <c r="G26" s="9">
        <f>-E26*indicaciones!$G$9*indicaciones!$D$5</f>
        <v>336867.06150002504</v>
      </c>
      <c r="H26" s="9">
        <f t="shared" si="1"/>
        <v>211589.70309996459</v>
      </c>
      <c r="I26" s="9"/>
    </row>
    <row r="27" spans="1:9" x14ac:dyDescent="0.25">
      <c r="A27" s="3">
        <v>46028</v>
      </c>
      <c r="B27" s="4">
        <v>7.68</v>
      </c>
      <c r="C27" s="4">
        <v>8.92</v>
      </c>
      <c r="D27" s="1">
        <f t="shared" si="0"/>
        <v>-8.0000000000000071</v>
      </c>
      <c r="E27" s="1">
        <f t="shared" si="0"/>
        <v>-8.0000000000000071</v>
      </c>
      <c r="F27" s="9">
        <f>-D27*indicaciones!$G$8*indicaciones!$D$4</f>
        <v>501109.43360023072</v>
      </c>
      <c r="G27" s="9">
        <f>-E27*indicaciones!$G$9*indicaciones!$D$5</f>
        <v>538987.29840003292</v>
      </c>
      <c r="H27" s="9">
        <f t="shared" si="1"/>
        <v>1040096.7320002636</v>
      </c>
      <c r="I27" s="9"/>
    </row>
    <row r="28" spans="1:9" x14ac:dyDescent="0.25">
      <c r="A28" s="3">
        <v>46027</v>
      </c>
      <c r="B28" s="4">
        <v>7.76</v>
      </c>
      <c r="C28" s="4">
        <v>9</v>
      </c>
      <c r="D28" s="1">
        <f t="shared" si="0"/>
        <v>-7.0000000000000284</v>
      </c>
      <c r="E28" s="1">
        <f t="shared" si="0"/>
        <v>-7.0000000000000284</v>
      </c>
      <c r="F28" s="9">
        <f>-D28*indicaciones!$G$8*indicaciones!$D$4</f>
        <v>438470.7544002033</v>
      </c>
      <c r="G28" s="9">
        <f>-E28*indicaciones!$G$9*indicaciones!$D$5</f>
        <v>471613.88610003027</v>
      </c>
      <c r="H28" s="9">
        <f t="shared" si="1"/>
        <v>910084.64050023351</v>
      </c>
      <c r="I28" s="9"/>
    </row>
    <row r="29" spans="1:9" x14ac:dyDescent="0.25">
      <c r="A29" s="3">
        <v>46024</v>
      </c>
      <c r="B29" s="4">
        <v>7.83</v>
      </c>
      <c r="C29" s="4">
        <v>9.07</v>
      </c>
      <c r="D29" s="1">
        <f t="shared" si="0"/>
        <v>-4.0000000000000036</v>
      </c>
      <c r="E29" s="1">
        <f t="shared" si="0"/>
        <v>-1.9999999999999574</v>
      </c>
      <c r="F29" s="9">
        <f>-D29*indicaciones!$G$8*indicaciones!$D$4</f>
        <v>250554.71680011536</v>
      </c>
      <c r="G29" s="9">
        <f>-E29*indicaciones!$G$9*indicaciones!$D$5</f>
        <v>134746.82460000523</v>
      </c>
      <c r="H29" s="9">
        <f t="shared" si="1"/>
        <v>385301.54140012059</v>
      </c>
      <c r="I29" s="9"/>
    </row>
    <row r="30" spans="1:9" x14ac:dyDescent="0.25">
      <c r="A30" s="3">
        <v>46023</v>
      </c>
      <c r="B30" s="4">
        <v>7.87</v>
      </c>
      <c r="C30" s="4">
        <v>9.09</v>
      </c>
      <c r="D30" s="1">
        <f t="shared" si="0"/>
        <v>-1.9999999999999574</v>
      </c>
      <c r="E30" s="1">
        <f t="shared" si="0"/>
        <v>-6.0000000000000497</v>
      </c>
      <c r="F30" s="9">
        <f>-D30*indicaciones!$G$8*indicaciones!$D$4</f>
        <v>125277.3584000549</v>
      </c>
      <c r="G30" s="9">
        <f>-E30*indicaciones!$G$9*indicaciones!$D$5</f>
        <v>404240.47380002763</v>
      </c>
      <c r="H30" s="9">
        <f t="shared" si="1"/>
        <v>529517.83220008248</v>
      </c>
      <c r="I30" s="9"/>
    </row>
    <row r="31" spans="1:9" x14ac:dyDescent="0.25">
      <c r="A31" s="3">
        <v>46022</v>
      </c>
      <c r="B31" s="4">
        <v>7.89</v>
      </c>
      <c r="C31" s="4">
        <v>9.15</v>
      </c>
      <c r="D31" s="1">
        <f t="shared" si="0"/>
        <v>0</v>
      </c>
      <c r="E31" s="1">
        <f t="shared" si="0"/>
        <v>0</v>
      </c>
      <c r="F31" s="9">
        <f>-D31*indicaciones!$G$8*indicaciones!$D$4</f>
        <v>0</v>
      </c>
      <c r="G31" s="9">
        <f>-E31*indicaciones!$G$9*indicaciones!$D$5</f>
        <v>0</v>
      </c>
      <c r="H31" s="9">
        <f t="shared" si="1"/>
        <v>0</v>
      </c>
      <c r="I31" s="9"/>
    </row>
    <row r="32" spans="1:9" x14ac:dyDescent="0.25">
      <c r="A32" s="3">
        <v>46021</v>
      </c>
      <c r="B32" s="4">
        <v>7.89</v>
      </c>
      <c r="C32" s="4">
        <v>9.15</v>
      </c>
      <c r="D32" s="1">
        <f t="shared" si="0"/>
        <v>-2.0000000000000462</v>
      </c>
      <c r="E32" s="1">
        <f t="shared" si="0"/>
        <v>-3.9999999999999147</v>
      </c>
      <c r="F32" s="9">
        <f>-D32*indicaciones!$G$8*indicaciones!$D$4</f>
        <v>125277.35840006046</v>
      </c>
      <c r="G32" s="9">
        <f>-E32*indicaciones!$G$9*indicaciones!$D$5</f>
        <v>269493.64920001046</v>
      </c>
      <c r="H32" s="9">
        <f t="shared" si="1"/>
        <v>394771.00760007091</v>
      </c>
      <c r="I32" s="9"/>
    </row>
    <row r="33" spans="1:9" x14ac:dyDescent="0.25">
      <c r="A33" s="3">
        <v>46020</v>
      </c>
      <c r="B33" s="4">
        <v>7.91</v>
      </c>
      <c r="C33" s="4">
        <v>9.19</v>
      </c>
      <c r="D33" s="1">
        <f t="shared" si="0"/>
        <v>-0.99999999999997868</v>
      </c>
      <c r="E33" s="1">
        <f t="shared" si="0"/>
        <v>0</v>
      </c>
      <c r="F33" s="9">
        <f>-D33*indicaciones!$G$8*indicaciones!$D$4</f>
        <v>62638.679200027451</v>
      </c>
      <c r="G33" s="9">
        <f>-E33*indicaciones!$G$9*indicaciones!$D$5</f>
        <v>0</v>
      </c>
      <c r="H33" s="9">
        <f t="shared" si="1"/>
        <v>62638.679200027451</v>
      </c>
      <c r="I33" s="9"/>
    </row>
    <row r="34" spans="1:9" x14ac:dyDescent="0.25">
      <c r="A34" s="3">
        <v>46017</v>
      </c>
      <c r="B34" s="4">
        <v>7.92</v>
      </c>
      <c r="C34" s="4">
        <v>9.19</v>
      </c>
      <c r="D34" s="1">
        <f t="shared" si="0"/>
        <v>0.99999999999997868</v>
      </c>
      <c r="E34" s="1">
        <f t="shared" si="0"/>
        <v>2.9999999999999361</v>
      </c>
      <c r="F34" s="9">
        <f>-D34*indicaciones!$G$8*indicaciones!$D$4</f>
        <v>-62638.679200027451</v>
      </c>
      <c r="G34" s="9">
        <f>-E34*indicaciones!$G$9*indicaciones!$D$5</f>
        <v>-202120.23690000785</v>
      </c>
      <c r="H34" s="9">
        <f t="shared" si="1"/>
        <v>-264758.91610003531</v>
      </c>
      <c r="I34" s="9"/>
    </row>
    <row r="35" spans="1:9" x14ac:dyDescent="0.25">
      <c r="A35" s="3">
        <v>46016</v>
      </c>
      <c r="B35" s="4">
        <v>7.91</v>
      </c>
      <c r="C35" s="4">
        <v>9.16</v>
      </c>
      <c r="D35" s="1">
        <f t="shared" si="0"/>
        <v>0</v>
      </c>
      <c r="E35" s="1">
        <f t="shared" si="0"/>
        <v>0</v>
      </c>
      <c r="F35" s="9">
        <f>-D35*indicaciones!$G$8*indicaciones!$D$4</f>
        <v>0</v>
      </c>
      <c r="G35" s="9">
        <f>-E35*indicaciones!$G$9*indicaciones!$D$5</f>
        <v>0</v>
      </c>
      <c r="H35" s="9">
        <f t="shared" si="1"/>
        <v>0</v>
      </c>
      <c r="I35" s="9"/>
    </row>
    <row r="36" spans="1:9" x14ac:dyDescent="0.25">
      <c r="A36" s="3">
        <v>46015</v>
      </c>
      <c r="B36" s="4">
        <v>7.91</v>
      </c>
      <c r="C36" s="4">
        <v>9.16</v>
      </c>
      <c r="D36" s="1">
        <f t="shared" si="0"/>
        <v>4.9999999999999822</v>
      </c>
      <c r="E36" s="1">
        <f t="shared" si="0"/>
        <v>1.9999999999999574</v>
      </c>
      <c r="F36" s="9">
        <f>-D36*indicaciones!$G$8*indicaciones!$D$4</f>
        <v>-313193.39600014285</v>
      </c>
      <c r="G36" s="9">
        <f>-E36*indicaciones!$G$9*indicaciones!$D$5</f>
        <v>-134746.82460000523</v>
      </c>
      <c r="H36" s="9">
        <f t="shared" si="1"/>
        <v>-447940.22060014808</v>
      </c>
      <c r="I36" s="9"/>
    </row>
    <row r="37" spans="1:9" x14ac:dyDescent="0.25">
      <c r="A37" s="3">
        <v>46014</v>
      </c>
      <c r="B37" s="4">
        <v>7.86</v>
      </c>
      <c r="C37" s="4">
        <v>9.14</v>
      </c>
      <c r="D37" s="1">
        <f t="shared" si="0"/>
        <v>1.0000000000000675</v>
      </c>
      <c r="E37" s="1">
        <f t="shared" si="0"/>
        <v>-2.9999999999999361</v>
      </c>
      <c r="F37" s="9">
        <f>-D37*indicaciones!$G$8*indicaciones!$D$4</f>
        <v>-62638.679200033017</v>
      </c>
      <c r="G37" s="9">
        <f>-E37*indicaciones!$G$9*indicaciones!$D$5</f>
        <v>202120.23690000785</v>
      </c>
      <c r="H37" s="9">
        <f t="shared" si="1"/>
        <v>139481.55769997483</v>
      </c>
      <c r="I37" s="9"/>
    </row>
    <row r="38" spans="1:9" x14ac:dyDescent="0.25">
      <c r="A38" s="3">
        <v>46013</v>
      </c>
      <c r="B38" s="4">
        <v>7.85</v>
      </c>
      <c r="C38" s="4">
        <v>9.17</v>
      </c>
      <c r="D38" s="1">
        <f t="shared" si="0"/>
        <v>4.9999999999999822</v>
      </c>
      <c r="E38" s="1">
        <f t="shared" si="0"/>
        <v>10.999999999999943</v>
      </c>
      <c r="F38" s="9">
        <f>-D38*indicaciones!$G$8*indicaciones!$D$4</f>
        <v>-313193.39600014285</v>
      </c>
      <c r="G38" s="9">
        <f>-E38*indicaciones!$G$9*indicaciones!$D$5</f>
        <v>-741107.53530004073</v>
      </c>
      <c r="H38" s="9">
        <f t="shared" si="1"/>
        <v>-1054300.9313001835</v>
      </c>
      <c r="I38" s="9"/>
    </row>
    <row r="39" spans="1:9" x14ac:dyDescent="0.25">
      <c r="A39" s="3">
        <v>46010</v>
      </c>
      <c r="B39" s="4">
        <v>7.8</v>
      </c>
      <c r="C39" s="4">
        <v>9.06</v>
      </c>
      <c r="D39" s="1">
        <f t="shared" si="0"/>
        <v>0</v>
      </c>
      <c r="E39" s="1">
        <f t="shared" si="0"/>
        <v>0</v>
      </c>
      <c r="F39" s="9">
        <f>-D39*indicaciones!$G$8*indicaciones!$D$4</f>
        <v>0</v>
      </c>
      <c r="G39" s="9">
        <f>-E39*indicaciones!$G$9*indicaciones!$D$5</f>
        <v>0</v>
      </c>
      <c r="H39" s="9">
        <f t="shared" si="1"/>
        <v>0</v>
      </c>
      <c r="I39" s="9"/>
    </row>
    <row r="40" spans="1:9" x14ac:dyDescent="0.25">
      <c r="A40" s="3">
        <v>46009</v>
      </c>
      <c r="B40" s="4">
        <v>7.8</v>
      </c>
      <c r="C40" s="4">
        <v>9.06</v>
      </c>
      <c r="D40" s="1">
        <f t="shared" si="0"/>
        <v>-4.9999999999999822</v>
      </c>
      <c r="E40" s="1">
        <f t="shared" si="0"/>
        <v>-1.9999999999999574</v>
      </c>
      <c r="F40" s="9">
        <f>-D40*indicaciones!$G$8*indicaciones!$D$4</f>
        <v>313193.39600014285</v>
      </c>
      <c r="G40" s="9">
        <f>-E40*indicaciones!$G$9*indicaciones!$D$5</f>
        <v>134746.82460000523</v>
      </c>
      <c r="H40" s="9">
        <f t="shared" si="1"/>
        <v>447940.22060014808</v>
      </c>
      <c r="I40" s="9"/>
    </row>
    <row r="41" spans="1:9" x14ac:dyDescent="0.25">
      <c r="A41" s="3">
        <v>46008</v>
      </c>
      <c r="B41" s="4">
        <v>7.85</v>
      </c>
      <c r="C41" s="4">
        <v>9.08</v>
      </c>
      <c r="D41" s="1">
        <f t="shared" si="0"/>
        <v>-8.0000000000000071</v>
      </c>
      <c r="E41" s="1">
        <f t="shared" si="0"/>
        <v>-3.9999999999999147</v>
      </c>
      <c r="F41" s="9">
        <f>-D41*indicaciones!$G$8*indicaciones!$D$4</f>
        <v>501109.43360023072</v>
      </c>
      <c r="G41" s="9">
        <f>-E41*indicaciones!$G$9*indicaciones!$D$5</f>
        <v>269493.64920001046</v>
      </c>
      <c r="H41" s="9">
        <f t="shared" si="1"/>
        <v>770603.08280024119</v>
      </c>
      <c r="I41" s="9"/>
    </row>
    <row r="42" spans="1:9" x14ac:dyDescent="0.25">
      <c r="A42" s="3">
        <v>46007</v>
      </c>
      <c r="B42" s="4">
        <v>7.93</v>
      </c>
      <c r="C42" s="4">
        <v>9.1199999999999992</v>
      </c>
      <c r="D42" s="1">
        <f t="shared" si="0"/>
        <v>-8.9999999999999858</v>
      </c>
      <c r="E42" s="1">
        <f t="shared" si="0"/>
        <v>-3.0000000000001137</v>
      </c>
      <c r="F42" s="9">
        <f>-D42*indicaciones!$G$8*indicaciones!$D$4</f>
        <v>563748.1128002581</v>
      </c>
      <c r="G42" s="9">
        <f>-E42*indicaciones!$G$9*indicaciones!$D$5</f>
        <v>202120.23690001981</v>
      </c>
      <c r="H42" s="9">
        <f t="shared" si="1"/>
        <v>765868.3497002779</v>
      </c>
      <c r="I42" s="9"/>
    </row>
    <row r="43" spans="1:9" x14ac:dyDescent="0.25">
      <c r="A43" s="3">
        <v>46006</v>
      </c>
      <c r="B43" s="4">
        <v>8.02</v>
      </c>
      <c r="C43" s="4">
        <v>9.15</v>
      </c>
      <c r="D43" s="1">
        <f t="shared" si="0"/>
        <v>0</v>
      </c>
      <c r="E43" s="1">
        <f t="shared" si="0"/>
        <v>5.0000000000000711</v>
      </c>
      <c r="F43" s="9">
        <f>-D43*indicaciones!$G$8*indicaciones!$D$4</f>
        <v>0</v>
      </c>
      <c r="G43" s="9">
        <f>-E43*indicaciones!$G$9*indicaciones!$D$5</f>
        <v>-336867.06150002504</v>
      </c>
      <c r="H43" s="9">
        <f t="shared" si="1"/>
        <v>-336867.06150002504</v>
      </c>
      <c r="I43" s="9"/>
    </row>
    <row r="44" spans="1:9" x14ac:dyDescent="0.25">
      <c r="A44" s="3">
        <v>46003</v>
      </c>
      <c r="B44" s="4">
        <v>8.02</v>
      </c>
      <c r="C44" s="4">
        <v>9.1</v>
      </c>
      <c r="D44" s="1">
        <f t="shared" si="0"/>
        <v>0</v>
      </c>
      <c r="E44" s="1">
        <f t="shared" si="0"/>
        <v>0</v>
      </c>
      <c r="F44" s="9">
        <f>-D44*indicaciones!$G$8*indicaciones!$D$4</f>
        <v>0</v>
      </c>
      <c r="G44" s="9">
        <f>-E44*indicaciones!$G$9*indicaciones!$D$5</f>
        <v>0</v>
      </c>
      <c r="H44" s="9">
        <f t="shared" si="1"/>
        <v>0</v>
      </c>
      <c r="I44" s="9"/>
    </row>
    <row r="45" spans="1:9" x14ac:dyDescent="0.25">
      <c r="A45" s="3">
        <v>46002</v>
      </c>
      <c r="B45" s="4">
        <v>8.02</v>
      </c>
      <c r="C45" s="4">
        <v>9.1</v>
      </c>
      <c r="D45" s="1">
        <f t="shared" si="0"/>
        <v>2.9999999999999361</v>
      </c>
      <c r="E45" s="1">
        <f t="shared" si="0"/>
        <v>-0.99999999999997868</v>
      </c>
      <c r="F45" s="9">
        <f>-D45*indicaciones!$G$8*indicaciones!$D$4</f>
        <v>-187916.03760008235</v>
      </c>
      <c r="G45" s="9">
        <f>-E45*indicaciones!$G$9*indicaciones!$D$5</f>
        <v>67373.412300002616</v>
      </c>
      <c r="H45" s="9">
        <f t="shared" si="1"/>
        <v>-120542.62530007973</v>
      </c>
      <c r="I45" s="9"/>
    </row>
    <row r="46" spans="1:9" x14ac:dyDescent="0.25">
      <c r="A46" s="3">
        <v>46001</v>
      </c>
      <c r="B46" s="4">
        <v>7.99</v>
      </c>
      <c r="C46" s="4">
        <v>9.11</v>
      </c>
      <c r="D46" s="1">
        <f t="shared" si="0"/>
        <v>2.0000000000000462</v>
      </c>
      <c r="E46" s="1">
        <f t="shared" si="0"/>
        <v>-0.99999999999997868</v>
      </c>
      <c r="F46" s="9">
        <f>-D46*indicaciones!$G$8*indicaciones!$D$4</f>
        <v>-125277.35840006046</v>
      </c>
      <c r="G46" s="9">
        <f>-E46*indicaciones!$G$9*indicaciones!$D$5</f>
        <v>67373.412300002616</v>
      </c>
      <c r="H46" s="9">
        <f t="shared" si="1"/>
        <v>-57903.946100057845</v>
      </c>
      <c r="I46" s="9"/>
    </row>
    <row r="47" spans="1:9" x14ac:dyDescent="0.25">
      <c r="A47" s="3">
        <v>46000</v>
      </c>
      <c r="B47" s="4">
        <v>7.97</v>
      </c>
      <c r="C47" s="4">
        <v>9.1199999999999992</v>
      </c>
      <c r="D47" s="1">
        <f t="shared" si="0"/>
        <v>16.999999999999993</v>
      </c>
      <c r="E47" s="1">
        <f t="shared" si="0"/>
        <v>15.999999999999837</v>
      </c>
      <c r="F47" s="9">
        <f>-D47*indicaciones!$G$8*indicaciones!$D$4</f>
        <v>-1064857.5464004891</v>
      </c>
      <c r="G47" s="9">
        <f>-E47*indicaciones!$G$9*indicaciones!$D$5</f>
        <v>-1077974.5968000537</v>
      </c>
      <c r="H47" s="9">
        <f t="shared" si="1"/>
        <v>-2142832.1432005428</v>
      </c>
      <c r="I47" s="9"/>
    </row>
    <row r="48" spans="1:9" x14ac:dyDescent="0.25">
      <c r="A48" s="3">
        <v>45999</v>
      </c>
      <c r="B48" s="4">
        <v>7.8</v>
      </c>
      <c r="C48" s="4">
        <v>8.9600000000000009</v>
      </c>
      <c r="D48" s="1">
        <f t="shared" si="0"/>
        <v>8.0000000000000071</v>
      </c>
      <c r="E48" s="1">
        <f t="shared" si="0"/>
        <v>7.0000000000000284</v>
      </c>
      <c r="F48" s="9">
        <f>-D48*indicaciones!$G$8*indicaciones!$D$4</f>
        <v>-501109.43360023072</v>
      </c>
      <c r="G48" s="9">
        <f>-E48*indicaciones!$G$9*indicaciones!$D$5</f>
        <v>-471613.88610003027</v>
      </c>
      <c r="H48" s="9">
        <f t="shared" si="1"/>
        <v>-972723.319700261</v>
      </c>
      <c r="I48" s="9"/>
    </row>
    <row r="49" spans="1:9" x14ac:dyDescent="0.25">
      <c r="A49" s="3">
        <v>45996</v>
      </c>
      <c r="B49" s="4">
        <v>7.72</v>
      </c>
      <c r="C49" s="4">
        <v>8.89</v>
      </c>
      <c r="D49" s="1">
        <f t="shared" si="0"/>
        <v>2.9999999999999361</v>
      </c>
      <c r="E49" s="1">
        <f t="shared" si="0"/>
        <v>3.0000000000001137</v>
      </c>
      <c r="F49" s="9">
        <f>-D49*indicaciones!$G$8*indicaciones!$D$4</f>
        <v>-187916.03760008235</v>
      </c>
      <c r="G49" s="9">
        <f>-E49*indicaciones!$G$9*indicaciones!$D$5</f>
        <v>-202120.23690001981</v>
      </c>
      <c r="H49" s="9">
        <f t="shared" si="1"/>
        <v>-390036.27450010215</v>
      </c>
      <c r="I49" s="9"/>
    </row>
    <row r="50" spans="1:9" x14ac:dyDescent="0.25">
      <c r="A50" s="3">
        <v>45995</v>
      </c>
      <c r="B50" s="4">
        <v>7.69</v>
      </c>
      <c r="C50" s="4">
        <v>8.86</v>
      </c>
      <c r="D50" s="1">
        <f t="shared" si="0"/>
        <v>2.0000000000000462</v>
      </c>
      <c r="E50" s="1">
        <f t="shared" si="0"/>
        <v>0.99999999999997868</v>
      </c>
      <c r="F50" s="9">
        <f>-D50*indicaciones!$G$8*indicaciones!$D$4</f>
        <v>-125277.35840006046</v>
      </c>
      <c r="G50" s="9">
        <f>-E50*indicaciones!$G$9*indicaciones!$D$5</f>
        <v>-67373.412300002616</v>
      </c>
      <c r="H50" s="9">
        <f t="shared" si="1"/>
        <v>-192650.77070006309</v>
      </c>
      <c r="I50" s="9"/>
    </row>
    <row r="51" spans="1:9" x14ac:dyDescent="0.25">
      <c r="A51" s="3">
        <v>45994</v>
      </c>
      <c r="B51" s="4">
        <v>7.67</v>
      </c>
      <c r="C51" s="4">
        <v>8.85</v>
      </c>
      <c r="D51" s="1">
        <f t="shared" si="0"/>
        <v>29.999999999999982</v>
      </c>
      <c r="E51" s="1">
        <f t="shared" si="0"/>
        <v>-4.0000000000000924</v>
      </c>
      <c r="F51" s="9">
        <f>-D51*indicaciones!$G$8*indicaciones!$D$4</f>
        <v>-1879160.3760008623</v>
      </c>
      <c r="G51" s="9">
        <f>-E51*indicaciones!$G$9*indicaciones!$D$5</f>
        <v>269493.6492000224</v>
      </c>
      <c r="H51" s="9">
        <f t="shared" si="1"/>
        <v>-1609666.7268008399</v>
      </c>
      <c r="I51" s="9"/>
    </row>
    <row r="52" spans="1:9" x14ac:dyDescent="0.25">
      <c r="A52" s="3">
        <v>45993</v>
      </c>
      <c r="B52" s="4">
        <v>7.37</v>
      </c>
      <c r="C52" s="4">
        <v>8.89</v>
      </c>
      <c r="D52" s="1">
        <f t="shared" si="0"/>
        <v>-4.0000000000000036</v>
      </c>
      <c r="E52" s="1">
        <f t="shared" si="0"/>
        <v>-4.9999999999998934</v>
      </c>
      <c r="F52" s="9">
        <f>-D52*indicaciones!$G$8*indicaciones!$D$4</f>
        <v>250554.71680011536</v>
      </c>
      <c r="G52" s="9">
        <f>-E52*indicaciones!$G$9*indicaciones!$D$5</f>
        <v>336867.06150001305</v>
      </c>
      <c r="H52" s="9">
        <f t="shared" si="1"/>
        <v>587421.77830012841</v>
      </c>
      <c r="I52" s="9"/>
    </row>
    <row r="53" spans="1:9" x14ac:dyDescent="0.25">
      <c r="A53" s="3">
        <v>45992</v>
      </c>
      <c r="B53" s="4">
        <v>7.41</v>
      </c>
      <c r="C53" s="4">
        <v>8.94</v>
      </c>
      <c r="D53" s="1">
        <f t="shared" si="0"/>
        <v>2.0000000000000462</v>
      </c>
      <c r="E53" s="1">
        <f t="shared" si="0"/>
        <v>3.9999999999999147</v>
      </c>
      <c r="F53" s="9">
        <f>-D53*indicaciones!$G$8*indicaciones!$D$4</f>
        <v>-125277.35840006046</v>
      </c>
      <c r="G53" s="9">
        <f>-E53*indicaciones!$G$9*indicaciones!$D$5</f>
        <v>-269493.64920001046</v>
      </c>
      <c r="H53" s="9">
        <f t="shared" si="1"/>
        <v>-394771.00760007091</v>
      </c>
      <c r="I53" s="9"/>
    </row>
    <row r="54" spans="1:9" x14ac:dyDescent="0.25">
      <c r="A54" s="3">
        <v>45989</v>
      </c>
      <c r="B54" s="4">
        <v>7.39</v>
      </c>
      <c r="C54" s="4">
        <v>8.9</v>
      </c>
      <c r="D54" s="1">
        <f t="shared" si="0"/>
        <v>0</v>
      </c>
      <c r="E54" s="1">
        <f t="shared" si="0"/>
        <v>3.0000000000001137</v>
      </c>
      <c r="F54" s="9">
        <f>-D54*indicaciones!$G$8*indicaciones!$D$4</f>
        <v>0</v>
      </c>
      <c r="G54" s="9">
        <f>-E54*indicaciones!$G$9*indicaciones!$D$5</f>
        <v>-202120.23690001981</v>
      </c>
      <c r="H54" s="9">
        <f t="shared" si="1"/>
        <v>-202120.23690001981</v>
      </c>
      <c r="I54" s="9"/>
    </row>
    <row r="55" spans="1:9" x14ac:dyDescent="0.25">
      <c r="A55" s="3">
        <v>45988</v>
      </c>
      <c r="B55" s="4">
        <v>7.39</v>
      </c>
      <c r="C55" s="4">
        <v>8.8699999999999992</v>
      </c>
      <c r="D55" s="1">
        <f t="shared" si="0"/>
        <v>-2.0000000000000462</v>
      </c>
      <c r="E55" s="1">
        <f t="shared" si="0"/>
        <v>-3.0000000000001137</v>
      </c>
      <c r="F55" s="9">
        <f>-D55*indicaciones!$G$8*indicaciones!$D$4</f>
        <v>125277.35840006046</v>
      </c>
      <c r="G55" s="9">
        <f>-E55*indicaciones!$G$9*indicaciones!$D$5</f>
        <v>202120.23690001981</v>
      </c>
      <c r="H55" s="9">
        <f t="shared" si="1"/>
        <v>327397.59530008025</v>
      </c>
      <c r="I55" s="9"/>
    </row>
    <row r="56" spans="1:9" x14ac:dyDescent="0.25">
      <c r="A56" s="3">
        <v>45987</v>
      </c>
      <c r="B56" s="4">
        <v>7.41</v>
      </c>
      <c r="C56" s="4">
        <v>8.9</v>
      </c>
      <c r="D56" s="1">
        <f t="shared" si="0"/>
        <v>-7.0000000000000284</v>
      </c>
      <c r="E56" s="1">
        <f t="shared" si="0"/>
        <v>-8.0000000000000071</v>
      </c>
      <c r="F56" s="9">
        <f>-D56*indicaciones!$G$8*indicaciones!$D$4</f>
        <v>438470.7544002033</v>
      </c>
      <c r="G56" s="9">
        <f>-E56*indicaciones!$G$9*indicaciones!$D$5</f>
        <v>538987.29840003292</v>
      </c>
      <c r="H56" s="9">
        <f t="shared" si="1"/>
        <v>977458.05280023627</v>
      </c>
      <c r="I56" s="9"/>
    </row>
    <row r="57" spans="1:9" x14ac:dyDescent="0.25">
      <c r="A57" s="3">
        <v>45986</v>
      </c>
      <c r="B57" s="4">
        <v>7.48</v>
      </c>
      <c r="C57" s="4">
        <v>8.98</v>
      </c>
      <c r="D57" s="1">
        <f t="shared" si="0"/>
        <v>-1.9999999999999574</v>
      </c>
      <c r="E57" s="1">
        <f t="shared" si="0"/>
        <v>-0.99999999999997868</v>
      </c>
      <c r="F57" s="9">
        <f>-D57*indicaciones!$G$8*indicaciones!$D$4</f>
        <v>125277.3584000549</v>
      </c>
      <c r="G57" s="9">
        <f>-E57*indicaciones!$G$9*indicaciones!$D$5</f>
        <v>67373.412300002616</v>
      </c>
      <c r="H57" s="9">
        <f t="shared" si="1"/>
        <v>192650.7707000575</v>
      </c>
      <c r="I57" s="9"/>
    </row>
    <row r="58" spans="1:9" x14ac:dyDescent="0.25">
      <c r="A58" s="3">
        <v>45985</v>
      </c>
      <c r="B58" s="4">
        <v>7.5</v>
      </c>
      <c r="C58" s="4">
        <v>8.99</v>
      </c>
      <c r="D58" s="1">
        <f t="shared" si="0"/>
        <v>0</v>
      </c>
      <c r="E58" s="1">
        <f t="shared" si="0"/>
        <v>0</v>
      </c>
      <c r="F58" s="9">
        <f>-D58*indicaciones!$G$8*indicaciones!$D$4</f>
        <v>0</v>
      </c>
      <c r="G58" s="9">
        <f>-E58*indicaciones!$G$9*indicaciones!$D$5</f>
        <v>0</v>
      </c>
      <c r="H58" s="9">
        <f t="shared" si="1"/>
        <v>0</v>
      </c>
      <c r="I58" s="9"/>
    </row>
    <row r="59" spans="1:9" x14ac:dyDescent="0.25">
      <c r="A59" s="3">
        <v>45982</v>
      </c>
      <c r="B59" s="4">
        <v>7.5</v>
      </c>
      <c r="C59" s="4">
        <v>8.99</v>
      </c>
      <c r="D59" s="1">
        <f t="shared" si="0"/>
        <v>3.0000000000000249</v>
      </c>
      <c r="E59" s="1">
        <f t="shared" si="0"/>
        <v>5.0000000000000711</v>
      </c>
      <c r="F59" s="9">
        <f>-D59*indicaciones!$G$8*indicaciones!$D$4</f>
        <v>-187916.0376000879</v>
      </c>
      <c r="G59" s="9">
        <f>-E59*indicaciones!$G$9*indicaciones!$D$5</f>
        <v>-336867.06150002504</v>
      </c>
      <c r="H59" s="9">
        <f t="shared" si="1"/>
        <v>-524783.09910011292</v>
      </c>
      <c r="I59" s="9"/>
    </row>
    <row r="60" spans="1:9" x14ac:dyDescent="0.25">
      <c r="A60" s="3">
        <v>45981</v>
      </c>
      <c r="B60" s="4">
        <v>7.47</v>
      </c>
      <c r="C60" s="4">
        <v>8.94</v>
      </c>
      <c r="D60" s="1">
        <f t="shared" si="0"/>
        <v>0</v>
      </c>
      <c r="E60" s="1">
        <f t="shared" si="0"/>
        <v>1.9999999999999574</v>
      </c>
      <c r="F60" s="9">
        <f>-D60*indicaciones!$G$8*indicaciones!$D$4</f>
        <v>0</v>
      </c>
      <c r="G60" s="9">
        <f>-E60*indicaciones!$G$9*indicaciones!$D$5</f>
        <v>-134746.82460000523</v>
      </c>
      <c r="H60" s="9">
        <f t="shared" si="1"/>
        <v>-134746.82460000523</v>
      </c>
      <c r="I60" s="9"/>
    </row>
    <row r="61" spans="1:9" x14ac:dyDescent="0.25">
      <c r="A61" s="3">
        <v>45980</v>
      </c>
      <c r="B61" s="4">
        <v>7.47</v>
      </c>
      <c r="C61" s="4">
        <v>8.92</v>
      </c>
      <c r="D61" s="1">
        <f t="shared" si="0"/>
        <v>0</v>
      </c>
      <c r="E61" s="1">
        <f t="shared" si="0"/>
        <v>1.9999999999999574</v>
      </c>
      <c r="F61" s="9">
        <f>-D61*indicaciones!$G$8*indicaciones!$D$4</f>
        <v>0</v>
      </c>
      <c r="G61" s="9">
        <f>-E61*indicaciones!$G$9*indicaciones!$D$5</f>
        <v>-134746.82460000523</v>
      </c>
      <c r="H61" s="9">
        <f t="shared" si="1"/>
        <v>-134746.82460000523</v>
      </c>
      <c r="I61" s="9"/>
    </row>
    <row r="62" spans="1:9" x14ac:dyDescent="0.25">
      <c r="A62" s="3">
        <v>45979</v>
      </c>
      <c r="B62" s="4">
        <v>7.47</v>
      </c>
      <c r="C62" s="4">
        <v>8.9</v>
      </c>
      <c r="D62" s="1">
        <f t="shared" si="0"/>
        <v>0</v>
      </c>
      <c r="E62" s="1">
        <f t="shared" si="0"/>
        <v>-1.9999999999999574</v>
      </c>
      <c r="F62" s="9">
        <f>-D62*indicaciones!$G$8*indicaciones!$D$4</f>
        <v>0</v>
      </c>
      <c r="G62" s="9">
        <f>-E62*indicaciones!$G$9*indicaciones!$D$5</f>
        <v>134746.82460000523</v>
      </c>
      <c r="H62" s="9">
        <f t="shared" si="1"/>
        <v>134746.82460000523</v>
      </c>
      <c r="I62" s="9"/>
    </row>
    <row r="63" spans="1:9" x14ac:dyDescent="0.25">
      <c r="A63" s="3">
        <v>45978</v>
      </c>
      <c r="B63" s="4">
        <v>7.47</v>
      </c>
      <c r="C63" s="4">
        <v>8.92</v>
      </c>
      <c r="D63" s="1">
        <f t="shared" si="0"/>
        <v>0</v>
      </c>
      <c r="E63" s="1">
        <f t="shared" si="0"/>
        <v>0</v>
      </c>
      <c r="F63" s="9">
        <f>-D63*indicaciones!$G$8*indicaciones!$D$4</f>
        <v>0</v>
      </c>
      <c r="G63" s="9">
        <f>-E63*indicaciones!$G$9*indicaciones!$D$5</f>
        <v>0</v>
      </c>
      <c r="H63" s="9">
        <f t="shared" si="1"/>
        <v>0</v>
      </c>
      <c r="I63" s="9"/>
    </row>
    <row r="64" spans="1:9" x14ac:dyDescent="0.25">
      <c r="A64" s="3">
        <v>45975</v>
      </c>
      <c r="B64" s="4">
        <v>7.47</v>
      </c>
      <c r="C64" s="4">
        <v>8.92</v>
      </c>
      <c r="D64" s="1">
        <f t="shared" si="0"/>
        <v>0</v>
      </c>
      <c r="E64" s="1">
        <f t="shared" si="0"/>
        <v>0.99999999999997868</v>
      </c>
      <c r="F64" s="9">
        <f>-D64*indicaciones!$G$8*indicaciones!$D$4</f>
        <v>0</v>
      </c>
      <c r="G64" s="9">
        <f>-E64*indicaciones!$G$9*indicaciones!$D$5</f>
        <v>-67373.412300002616</v>
      </c>
      <c r="H64" s="9">
        <f t="shared" si="1"/>
        <v>-67373.412300002616</v>
      </c>
      <c r="I64" s="9"/>
    </row>
    <row r="65" spans="1:9" x14ac:dyDescent="0.25">
      <c r="A65" s="3">
        <v>45974</v>
      </c>
      <c r="B65" s="4">
        <v>7.47</v>
      </c>
      <c r="C65" s="4">
        <v>8.91</v>
      </c>
      <c r="D65" s="1">
        <f t="shared" si="0"/>
        <v>0</v>
      </c>
      <c r="E65" s="1">
        <f t="shared" si="0"/>
        <v>-0.99999999999997868</v>
      </c>
      <c r="F65" s="9">
        <f>-D65*indicaciones!$G$8*indicaciones!$D$4</f>
        <v>0</v>
      </c>
      <c r="G65" s="9">
        <f>-E65*indicaciones!$G$9*indicaciones!$D$5</f>
        <v>67373.412300002616</v>
      </c>
      <c r="H65" s="9">
        <f t="shared" si="1"/>
        <v>67373.412300002616</v>
      </c>
      <c r="I65" s="9"/>
    </row>
    <row r="66" spans="1:9" x14ac:dyDescent="0.25">
      <c r="A66" s="3">
        <v>45973</v>
      </c>
      <c r="B66" s="4">
        <v>7.47</v>
      </c>
      <c r="C66" s="4">
        <v>8.92</v>
      </c>
      <c r="D66" s="1">
        <f t="shared" si="0"/>
        <v>-2.0000000000000462</v>
      </c>
      <c r="E66" s="1">
        <f t="shared" si="0"/>
        <v>-5.0000000000000711</v>
      </c>
      <c r="F66" s="9">
        <f>-D66*indicaciones!$G$8*indicaciones!$D$4</f>
        <v>125277.35840006046</v>
      </c>
      <c r="G66" s="9">
        <f>-E66*indicaciones!$G$9*indicaciones!$D$5</f>
        <v>336867.06150002504</v>
      </c>
      <c r="H66" s="9">
        <f t="shared" si="1"/>
        <v>462144.41990008549</v>
      </c>
      <c r="I66" s="9"/>
    </row>
    <row r="67" spans="1:9" x14ac:dyDescent="0.25">
      <c r="A67" s="3">
        <v>45972</v>
      </c>
      <c r="B67" s="4">
        <v>7.49</v>
      </c>
      <c r="C67" s="4">
        <v>8.9700000000000006</v>
      </c>
      <c r="D67" s="1">
        <f t="shared" ref="D67:E130" si="2">(B67-B68)*100</f>
        <v>2.0000000000000462</v>
      </c>
      <c r="E67" s="1">
        <f t="shared" si="2"/>
        <v>2.000000000000135</v>
      </c>
      <c r="F67" s="9">
        <f>-D67*indicaciones!$G$8*indicaciones!$D$4</f>
        <v>-125277.35840006046</v>
      </c>
      <c r="G67" s="9">
        <f>-E67*indicaciones!$G$9*indicaciones!$D$5</f>
        <v>-134746.82460001719</v>
      </c>
      <c r="H67" s="9">
        <f t="shared" ref="H67:H130" si="3">F67+G67</f>
        <v>-260024.18300007767</v>
      </c>
      <c r="I67" s="9"/>
    </row>
    <row r="68" spans="1:9" x14ac:dyDescent="0.25">
      <c r="A68" s="3">
        <v>45971</v>
      </c>
      <c r="B68" s="4">
        <v>7.47</v>
      </c>
      <c r="C68" s="4">
        <v>8.9499999999999993</v>
      </c>
      <c r="D68" s="1">
        <f t="shared" si="2"/>
        <v>1.9999999999999574</v>
      </c>
      <c r="E68" s="1">
        <f t="shared" si="2"/>
        <v>1.9999999999999574</v>
      </c>
      <c r="F68" s="9">
        <f>-D68*indicaciones!$G$8*indicaciones!$D$4</f>
        <v>-125277.3584000549</v>
      </c>
      <c r="G68" s="9">
        <f>-E68*indicaciones!$G$9*indicaciones!$D$5</f>
        <v>-134746.82460000523</v>
      </c>
      <c r="H68" s="9">
        <f t="shared" si="3"/>
        <v>-260024.18300006015</v>
      </c>
      <c r="I68" s="9"/>
    </row>
    <row r="69" spans="1:9" x14ac:dyDescent="0.25">
      <c r="A69" s="3">
        <v>45968</v>
      </c>
      <c r="B69" s="4">
        <v>7.45</v>
      </c>
      <c r="C69" s="4">
        <v>8.93</v>
      </c>
      <c r="D69" s="1">
        <f t="shared" si="2"/>
        <v>6.0000000000000497</v>
      </c>
      <c r="E69" s="1">
        <f t="shared" si="2"/>
        <v>4.9999999999998934</v>
      </c>
      <c r="F69" s="9">
        <f>-D69*indicaciones!$G$8*indicaciones!$D$4</f>
        <v>-375832.07520017581</v>
      </c>
      <c r="G69" s="9">
        <f>-E69*indicaciones!$G$9*indicaciones!$D$5</f>
        <v>-336867.06150001305</v>
      </c>
      <c r="H69" s="9">
        <f t="shared" si="3"/>
        <v>-712699.13670018886</v>
      </c>
      <c r="I69" s="9"/>
    </row>
    <row r="70" spans="1:9" x14ac:dyDescent="0.25">
      <c r="A70" s="3">
        <v>45967</v>
      </c>
      <c r="B70" s="4">
        <v>7.39</v>
      </c>
      <c r="C70" s="4">
        <v>8.8800000000000008</v>
      </c>
      <c r="D70" s="1">
        <f t="shared" si="2"/>
        <v>4.0000000000000036</v>
      </c>
      <c r="E70" s="1">
        <f t="shared" si="2"/>
        <v>0</v>
      </c>
      <c r="F70" s="9">
        <f>-D70*indicaciones!$G$8*indicaciones!$D$4</f>
        <v>-250554.71680011536</v>
      </c>
      <c r="G70" s="9">
        <f>-E70*indicaciones!$G$9*indicaciones!$D$5</f>
        <v>0</v>
      </c>
      <c r="H70" s="9">
        <f t="shared" si="3"/>
        <v>-250554.71680011536</v>
      </c>
      <c r="I70" s="9"/>
    </row>
    <row r="71" spans="1:9" x14ac:dyDescent="0.25">
      <c r="A71" s="3">
        <v>45966</v>
      </c>
      <c r="B71" s="4">
        <v>7.35</v>
      </c>
      <c r="C71" s="4">
        <v>8.8800000000000008</v>
      </c>
      <c r="D71" s="1">
        <f t="shared" si="2"/>
        <v>1.9999999999999574</v>
      </c>
      <c r="E71" s="1">
        <f t="shared" si="2"/>
        <v>2.000000000000135</v>
      </c>
      <c r="F71" s="9">
        <f>-D71*indicaciones!$G$8*indicaciones!$D$4</f>
        <v>-125277.3584000549</v>
      </c>
      <c r="G71" s="9">
        <f>-E71*indicaciones!$G$9*indicaciones!$D$5</f>
        <v>-134746.82460001719</v>
      </c>
      <c r="H71" s="9">
        <f t="shared" si="3"/>
        <v>-260024.18300007208</v>
      </c>
      <c r="I71" s="9"/>
    </row>
    <row r="72" spans="1:9" x14ac:dyDescent="0.25">
      <c r="A72" s="3">
        <v>45965</v>
      </c>
      <c r="B72" s="4">
        <v>7.33</v>
      </c>
      <c r="C72" s="4">
        <v>8.86</v>
      </c>
      <c r="D72" s="1">
        <f t="shared" si="2"/>
        <v>3.0000000000000249</v>
      </c>
      <c r="E72" s="1">
        <f t="shared" si="2"/>
        <v>0.99999999999997868</v>
      </c>
      <c r="F72" s="9">
        <f>-D72*indicaciones!$G$8*indicaciones!$D$4</f>
        <v>-187916.0376000879</v>
      </c>
      <c r="G72" s="9">
        <f>-E72*indicaciones!$G$9*indicaciones!$D$5</f>
        <v>-67373.412300002616</v>
      </c>
      <c r="H72" s="9">
        <f t="shared" si="3"/>
        <v>-255289.44990009052</v>
      </c>
      <c r="I72" s="9"/>
    </row>
    <row r="73" spans="1:9" x14ac:dyDescent="0.25">
      <c r="A73" s="3">
        <v>45964</v>
      </c>
      <c r="B73" s="4">
        <v>7.3</v>
      </c>
      <c r="C73" s="4">
        <v>8.85</v>
      </c>
      <c r="D73" s="1">
        <f t="shared" si="2"/>
        <v>1.9999999999999574</v>
      </c>
      <c r="E73" s="1">
        <f t="shared" si="2"/>
        <v>0.99999999999997868</v>
      </c>
      <c r="F73" s="9">
        <f>-D73*indicaciones!$G$8*indicaciones!$D$4</f>
        <v>-125277.3584000549</v>
      </c>
      <c r="G73" s="9">
        <f>-E73*indicaciones!$G$9*indicaciones!$D$5</f>
        <v>-67373.412300002616</v>
      </c>
      <c r="H73" s="9">
        <f t="shared" si="3"/>
        <v>-192650.7707000575</v>
      </c>
      <c r="I73" s="9"/>
    </row>
    <row r="74" spans="1:9" x14ac:dyDescent="0.25">
      <c r="A74" s="3">
        <v>45961</v>
      </c>
      <c r="B74" s="4">
        <v>7.28</v>
      </c>
      <c r="C74" s="4">
        <v>8.84</v>
      </c>
      <c r="D74" s="1">
        <f t="shared" si="2"/>
        <v>0</v>
      </c>
      <c r="E74" s="1">
        <f t="shared" si="2"/>
        <v>-1.9999999999999574</v>
      </c>
      <c r="F74" s="9">
        <f>-D74*indicaciones!$G$8*indicaciones!$D$4</f>
        <v>0</v>
      </c>
      <c r="G74" s="9">
        <f>-E74*indicaciones!$G$9*indicaciones!$D$5</f>
        <v>134746.82460000523</v>
      </c>
      <c r="H74" s="9">
        <f t="shared" si="3"/>
        <v>134746.82460000523</v>
      </c>
      <c r="I74" s="9"/>
    </row>
    <row r="75" spans="1:9" x14ac:dyDescent="0.25">
      <c r="A75" s="3">
        <v>45960</v>
      </c>
      <c r="B75" s="4">
        <v>7.28</v>
      </c>
      <c r="C75" s="4">
        <v>8.86</v>
      </c>
      <c r="D75" s="1">
        <f t="shared" si="2"/>
        <v>-4.9999999999999822</v>
      </c>
      <c r="E75" s="1">
        <f t="shared" si="2"/>
        <v>2.9999999999999361</v>
      </c>
      <c r="F75" s="9">
        <f>-D75*indicaciones!$G$8*indicaciones!$D$4</f>
        <v>313193.39600014285</v>
      </c>
      <c r="G75" s="9">
        <f>-E75*indicaciones!$G$9*indicaciones!$D$5</f>
        <v>-202120.23690000785</v>
      </c>
      <c r="H75" s="9">
        <f t="shared" si="3"/>
        <v>111073.159100135</v>
      </c>
      <c r="I75" s="9"/>
    </row>
    <row r="76" spans="1:9" x14ac:dyDescent="0.25">
      <c r="A76" s="3">
        <v>45959</v>
      </c>
      <c r="B76" s="4">
        <v>7.33</v>
      </c>
      <c r="C76" s="4">
        <v>8.83</v>
      </c>
      <c r="D76" s="1">
        <f t="shared" si="2"/>
        <v>7.0000000000000284</v>
      </c>
      <c r="E76" s="1">
        <f t="shared" si="2"/>
        <v>9.9999999999999645</v>
      </c>
      <c r="F76" s="9">
        <f>-D76*indicaciones!$G$8*indicaciones!$D$4</f>
        <v>-438470.7544002033</v>
      </c>
      <c r="G76" s="9">
        <f>-E76*indicaciones!$G$9*indicaciones!$D$5</f>
        <v>-673734.12300003821</v>
      </c>
      <c r="H76" s="9">
        <f t="shared" si="3"/>
        <v>-1112204.8774002416</v>
      </c>
      <c r="I76" s="9"/>
    </row>
    <row r="77" spans="1:9" x14ac:dyDescent="0.25">
      <c r="A77" s="3">
        <v>45958</v>
      </c>
      <c r="B77" s="4">
        <v>7.26</v>
      </c>
      <c r="C77" s="4">
        <v>8.73</v>
      </c>
      <c r="D77" s="1">
        <f t="shared" si="2"/>
        <v>1.9999999999999574</v>
      </c>
      <c r="E77" s="1">
        <f t="shared" si="2"/>
        <v>-5.9999999999998721</v>
      </c>
      <c r="F77" s="9">
        <f>-D77*indicaciones!$G$8*indicaciones!$D$4</f>
        <v>-125277.3584000549</v>
      </c>
      <c r="G77" s="9">
        <f>-E77*indicaciones!$G$9*indicaciones!$D$5</f>
        <v>404240.47380001569</v>
      </c>
      <c r="H77" s="9">
        <f t="shared" si="3"/>
        <v>278963.11539996078</v>
      </c>
      <c r="I77" s="9"/>
    </row>
    <row r="78" spans="1:9" x14ac:dyDescent="0.25">
      <c r="A78" s="3">
        <v>45957</v>
      </c>
      <c r="B78" s="4">
        <v>7.24</v>
      </c>
      <c r="C78" s="4">
        <v>8.7899999999999991</v>
      </c>
      <c r="D78" s="1">
        <f t="shared" si="2"/>
        <v>-1.9999999999999574</v>
      </c>
      <c r="E78" s="1">
        <f t="shared" si="2"/>
        <v>0</v>
      </c>
      <c r="F78" s="9">
        <f>-D78*indicaciones!$G$8*indicaciones!$D$4</f>
        <v>125277.3584000549</v>
      </c>
      <c r="G78" s="9">
        <f>-E78*indicaciones!$G$9*indicaciones!$D$5</f>
        <v>0</v>
      </c>
      <c r="H78" s="9">
        <f t="shared" si="3"/>
        <v>125277.3584000549</v>
      </c>
      <c r="I78" s="9"/>
    </row>
    <row r="79" spans="1:9" x14ac:dyDescent="0.25">
      <c r="A79" s="3">
        <v>45954</v>
      </c>
      <c r="B79" s="4">
        <v>7.26</v>
      </c>
      <c r="C79" s="4">
        <v>8.7899999999999991</v>
      </c>
      <c r="D79" s="1">
        <f t="shared" si="2"/>
        <v>0.99999999999997868</v>
      </c>
      <c r="E79" s="1">
        <f t="shared" si="2"/>
        <v>3.9999999999999147</v>
      </c>
      <c r="F79" s="9">
        <f>-D79*indicaciones!$G$8*indicaciones!$D$4</f>
        <v>-62638.679200027451</v>
      </c>
      <c r="G79" s="9">
        <f>-E79*indicaciones!$G$9*indicaciones!$D$5</f>
        <v>-269493.64920001046</v>
      </c>
      <c r="H79" s="9">
        <f t="shared" si="3"/>
        <v>-332132.32840003789</v>
      </c>
      <c r="I79" s="9"/>
    </row>
    <row r="80" spans="1:9" x14ac:dyDescent="0.25">
      <c r="A80" s="3">
        <v>45953</v>
      </c>
      <c r="B80" s="4">
        <v>7.25</v>
      </c>
      <c r="C80" s="4">
        <v>8.75</v>
      </c>
      <c r="D80" s="1">
        <f t="shared" si="2"/>
        <v>0.99999999999997868</v>
      </c>
      <c r="E80" s="1">
        <f t="shared" si="2"/>
        <v>5.0000000000000711</v>
      </c>
      <c r="F80" s="9">
        <f>-D80*indicaciones!$G$8*indicaciones!$D$4</f>
        <v>-62638.679200027451</v>
      </c>
      <c r="G80" s="9">
        <f>-E80*indicaciones!$G$9*indicaciones!$D$5</f>
        <v>-336867.06150002504</v>
      </c>
      <c r="H80" s="9">
        <f t="shared" si="3"/>
        <v>-399505.74070005247</v>
      </c>
      <c r="I80" s="9"/>
    </row>
    <row r="81" spans="1:9" x14ac:dyDescent="0.25">
      <c r="A81" s="3">
        <v>45952</v>
      </c>
      <c r="B81" s="4">
        <v>7.24</v>
      </c>
      <c r="C81" s="4">
        <v>8.6999999999999993</v>
      </c>
      <c r="D81" s="1">
        <f t="shared" si="2"/>
        <v>-4.9999999999999822</v>
      </c>
      <c r="E81" s="1">
        <f t="shared" si="2"/>
        <v>-1.0000000000001563</v>
      </c>
      <c r="F81" s="9">
        <f>-D81*indicaciones!$G$8*indicaciones!$D$4</f>
        <v>313193.39600014285</v>
      </c>
      <c r="G81" s="9">
        <f>-E81*indicaciones!$G$9*indicaciones!$D$5</f>
        <v>67373.412300014592</v>
      </c>
      <c r="H81" s="9">
        <f t="shared" si="3"/>
        <v>380566.80830015743</v>
      </c>
      <c r="I81" s="9"/>
    </row>
    <row r="82" spans="1:9" x14ac:dyDescent="0.25">
      <c r="A82" s="3">
        <v>45951</v>
      </c>
      <c r="B82" s="4">
        <v>7.29</v>
      </c>
      <c r="C82" s="4">
        <v>8.7100000000000009</v>
      </c>
      <c r="D82" s="1">
        <f t="shared" si="2"/>
        <v>4.9999999999999822</v>
      </c>
      <c r="E82" s="1">
        <f t="shared" si="2"/>
        <v>-5.9999999999998721</v>
      </c>
      <c r="F82" s="9">
        <f>-D82*indicaciones!$G$8*indicaciones!$D$4</f>
        <v>-313193.39600014285</v>
      </c>
      <c r="G82" s="9">
        <f>-E82*indicaciones!$G$9*indicaciones!$D$5</f>
        <v>404240.47380001569</v>
      </c>
      <c r="H82" s="9">
        <f t="shared" si="3"/>
        <v>91047.077799872844</v>
      </c>
      <c r="I82" s="9"/>
    </row>
    <row r="83" spans="1:9" x14ac:dyDescent="0.25">
      <c r="A83" s="3">
        <v>45950</v>
      </c>
      <c r="B83" s="4">
        <v>7.24</v>
      </c>
      <c r="C83" s="4">
        <v>8.77</v>
      </c>
      <c r="D83" s="1">
        <f t="shared" si="2"/>
        <v>-4.9999999999999822</v>
      </c>
      <c r="E83" s="1">
        <f t="shared" si="2"/>
        <v>2.9999999999999361</v>
      </c>
      <c r="F83" s="9">
        <f>-D83*indicaciones!$G$8*indicaciones!$D$4</f>
        <v>313193.39600014285</v>
      </c>
      <c r="G83" s="9">
        <f>-E83*indicaciones!$G$9*indicaciones!$D$5</f>
        <v>-202120.23690000785</v>
      </c>
      <c r="H83" s="9">
        <f t="shared" si="3"/>
        <v>111073.159100135</v>
      </c>
      <c r="I83" s="9"/>
    </row>
    <row r="84" spans="1:9" x14ac:dyDescent="0.25">
      <c r="A84" s="3">
        <v>45947</v>
      </c>
      <c r="B84" s="4">
        <v>7.29</v>
      </c>
      <c r="C84" s="4">
        <v>8.74</v>
      </c>
      <c r="D84" s="1">
        <f t="shared" si="2"/>
        <v>0</v>
      </c>
      <c r="E84" s="1">
        <f t="shared" si="2"/>
        <v>6.0000000000000497</v>
      </c>
      <c r="F84" s="9">
        <f>-D84*indicaciones!$G$8*indicaciones!$D$4</f>
        <v>0</v>
      </c>
      <c r="G84" s="9">
        <f>-E84*indicaciones!$G$9*indicaciones!$D$5</f>
        <v>-404240.47380002763</v>
      </c>
      <c r="H84" s="9">
        <f t="shared" si="3"/>
        <v>-404240.47380002763</v>
      </c>
      <c r="I84" s="9"/>
    </row>
    <row r="85" spans="1:9" x14ac:dyDescent="0.25">
      <c r="A85" s="3">
        <v>45946</v>
      </c>
      <c r="B85" s="4">
        <v>7.29</v>
      </c>
      <c r="C85" s="4">
        <v>8.68</v>
      </c>
      <c r="D85" s="1">
        <f t="shared" si="2"/>
        <v>-4.0000000000000036</v>
      </c>
      <c r="E85" s="1">
        <f t="shared" si="2"/>
        <v>-1.9999999999999574</v>
      </c>
      <c r="F85" s="9">
        <f>-D85*indicaciones!$G$8*indicaciones!$D$4</f>
        <v>250554.71680011536</v>
      </c>
      <c r="G85" s="9">
        <f>-E85*indicaciones!$G$9*indicaciones!$D$5</f>
        <v>134746.82460000523</v>
      </c>
      <c r="H85" s="9">
        <f t="shared" si="3"/>
        <v>385301.54140012059</v>
      </c>
      <c r="I85" s="9"/>
    </row>
    <row r="86" spans="1:9" x14ac:dyDescent="0.25">
      <c r="A86" s="3">
        <v>45945</v>
      </c>
      <c r="B86" s="4">
        <v>7.33</v>
      </c>
      <c r="C86" s="4">
        <v>8.6999999999999993</v>
      </c>
      <c r="D86" s="1">
        <f t="shared" si="2"/>
        <v>-1.9999999999999574</v>
      </c>
      <c r="E86" s="1">
        <f t="shared" si="2"/>
        <v>-5.0000000000000711</v>
      </c>
      <c r="F86" s="9">
        <f>-D86*indicaciones!$G$8*indicaciones!$D$4</f>
        <v>125277.3584000549</v>
      </c>
      <c r="G86" s="9">
        <f>-E86*indicaciones!$G$9*indicaciones!$D$5</f>
        <v>336867.06150002504</v>
      </c>
      <c r="H86" s="9">
        <f t="shared" si="3"/>
        <v>462144.41990007996</v>
      </c>
      <c r="I86" s="9"/>
    </row>
    <row r="87" spans="1:9" x14ac:dyDescent="0.25">
      <c r="A87" s="3">
        <v>45944</v>
      </c>
      <c r="B87" s="4">
        <v>7.35</v>
      </c>
      <c r="C87" s="4">
        <v>8.75</v>
      </c>
      <c r="D87" s="1">
        <f t="shared" si="2"/>
        <v>4.0000000000000036</v>
      </c>
      <c r="E87" s="1">
        <f t="shared" si="2"/>
        <v>0</v>
      </c>
      <c r="F87" s="9">
        <f>-D87*indicaciones!$G$8*indicaciones!$D$4</f>
        <v>-250554.71680011536</v>
      </c>
      <c r="G87" s="9">
        <f>-E87*indicaciones!$G$9*indicaciones!$D$5</f>
        <v>0</v>
      </c>
      <c r="H87" s="9">
        <f t="shared" si="3"/>
        <v>-250554.71680011536</v>
      </c>
      <c r="I87" s="9"/>
    </row>
    <row r="88" spans="1:9" x14ac:dyDescent="0.25">
      <c r="A88" s="3">
        <v>45943</v>
      </c>
      <c r="B88" s="4">
        <v>7.31</v>
      </c>
      <c r="C88" s="4">
        <v>8.75</v>
      </c>
      <c r="D88" s="1">
        <f t="shared" si="2"/>
        <v>-2.0000000000000462</v>
      </c>
      <c r="E88" s="1">
        <f t="shared" si="2"/>
        <v>0</v>
      </c>
      <c r="F88" s="9">
        <f>-D88*indicaciones!$G$8*indicaciones!$D$4</f>
        <v>125277.35840006046</v>
      </c>
      <c r="G88" s="9">
        <f>-E88*indicaciones!$G$9*indicaciones!$D$5</f>
        <v>0</v>
      </c>
      <c r="H88" s="9">
        <f t="shared" si="3"/>
        <v>125277.35840006046</v>
      </c>
      <c r="I88" s="9"/>
    </row>
    <row r="89" spans="1:9" x14ac:dyDescent="0.25">
      <c r="A89" s="3">
        <v>45940</v>
      </c>
      <c r="B89" s="4">
        <v>7.33</v>
      </c>
      <c r="C89" s="4">
        <v>8.75</v>
      </c>
      <c r="D89" s="1">
        <f t="shared" si="2"/>
        <v>-8.0000000000000071</v>
      </c>
      <c r="E89" s="1">
        <f t="shared" si="2"/>
        <v>-1.9999999999999574</v>
      </c>
      <c r="F89" s="9">
        <f>-D89*indicaciones!$G$8*indicaciones!$D$4</f>
        <v>501109.43360023072</v>
      </c>
      <c r="G89" s="9">
        <f>-E89*indicaciones!$G$9*indicaciones!$D$5</f>
        <v>134746.82460000523</v>
      </c>
      <c r="H89" s="9">
        <f t="shared" si="3"/>
        <v>635856.2582002359</v>
      </c>
      <c r="I89" s="9"/>
    </row>
    <row r="90" spans="1:9" x14ac:dyDescent="0.25">
      <c r="A90" s="3">
        <v>45939</v>
      </c>
      <c r="B90" s="4">
        <v>7.41</v>
      </c>
      <c r="C90" s="4">
        <v>8.77</v>
      </c>
      <c r="D90" s="1">
        <f t="shared" si="2"/>
        <v>0</v>
      </c>
      <c r="E90" s="1">
        <f t="shared" si="2"/>
        <v>-8.0000000000000071</v>
      </c>
      <c r="F90" s="9">
        <f>-D90*indicaciones!$G$8*indicaciones!$D$4</f>
        <v>0</v>
      </c>
      <c r="G90" s="9">
        <f>-E90*indicaciones!$G$9*indicaciones!$D$5</f>
        <v>538987.29840003292</v>
      </c>
      <c r="H90" s="9">
        <f t="shared" si="3"/>
        <v>538987.29840003292</v>
      </c>
      <c r="I90" s="9"/>
    </row>
    <row r="91" spans="1:9" x14ac:dyDescent="0.25">
      <c r="A91" s="3">
        <v>45938</v>
      </c>
      <c r="B91" s="4">
        <v>7.41</v>
      </c>
      <c r="C91" s="4">
        <v>8.85</v>
      </c>
      <c r="D91" s="1">
        <f t="shared" si="2"/>
        <v>-4.0000000000000036</v>
      </c>
      <c r="E91" s="1">
        <f t="shared" si="2"/>
        <v>6.0000000000000497</v>
      </c>
      <c r="F91" s="9">
        <f>-D91*indicaciones!$G$8*indicaciones!$D$4</f>
        <v>250554.71680011536</v>
      </c>
      <c r="G91" s="9">
        <f>-E91*indicaciones!$G$9*indicaciones!$D$5</f>
        <v>-404240.47380002763</v>
      </c>
      <c r="H91" s="9">
        <f t="shared" si="3"/>
        <v>-153685.75699991226</v>
      </c>
      <c r="I91" s="9"/>
    </row>
    <row r="92" spans="1:9" x14ac:dyDescent="0.25">
      <c r="A92" s="3">
        <v>45937</v>
      </c>
      <c r="B92" s="4">
        <v>7.45</v>
      </c>
      <c r="C92" s="4">
        <v>8.7899999999999991</v>
      </c>
      <c r="D92" s="1">
        <f t="shared" si="2"/>
        <v>0</v>
      </c>
      <c r="E92" s="1">
        <f t="shared" si="2"/>
        <v>2.9999999999999361</v>
      </c>
      <c r="F92" s="9">
        <f>-D92*indicaciones!$G$8*indicaciones!$D$4</f>
        <v>0</v>
      </c>
      <c r="G92" s="9">
        <f>-E92*indicaciones!$G$9*indicaciones!$D$5</f>
        <v>-202120.23690000785</v>
      </c>
      <c r="H92" s="9">
        <f t="shared" si="3"/>
        <v>-202120.23690000785</v>
      </c>
      <c r="I92" s="9"/>
    </row>
    <row r="93" spans="1:9" x14ac:dyDescent="0.25">
      <c r="A93" s="3">
        <v>45936</v>
      </c>
      <c r="B93" s="4">
        <v>7.45</v>
      </c>
      <c r="C93" s="4">
        <v>8.76</v>
      </c>
      <c r="D93" s="1">
        <f t="shared" si="2"/>
        <v>2.0000000000000462</v>
      </c>
      <c r="E93" s="1">
        <f t="shared" si="2"/>
        <v>-0.99999999999997868</v>
      </c>
      <c r="F93" s="9">
        <f>-D93*indicaciones!$G$8*indicaciones!$D$4</f>
        <v>-125277.35840006046</v>
      </c>
      <c r="G93" s="9">
        <f>-E93*indicaciones!$G$9*indicaciones!$D$5</f>
        <v>67373.412300002616</v>
      </c>
      <c r="H93" s="9">
        <f t="shared" si="3"/>
        <v>-57903.946100057845</v>
      </c>
      <c r="I93" s="9"/>
    </row>
    <row r="94" spans="1:9" x14ac:dyDescent="0.25">
      <c r="A94" s="3">
        <v>45933</v>
      </c>
      <c r="B94" s="4">
        <v>7.43</v>
      </c>
      <c r="C94" s="4">
        <v>8.77</v>
      </c>
      <c r="D94" s="1">
        <f t="shared" si="2"/>
        <v>0</v>
      </c>
      <c r="E94" s="1">
        <f t="shared" si="2"/>
        <v>2.9999999999999361</v>
      </c>
      <c r="F94" s="9">
        <f>-D94*indicaciones!$G$8*indicaciones!$D$4</f>
        <v>0</v>
      </c>
      <c r="G94" s="9">
        <f>-E94*indicaciones!$G$9*indicaciones!$D$5</f>
        <v>-202120.23690000785</v>
      </c>
      <c r="H94" s="9">
        <f t="shared" si="3"/>
        <v>-202120.23690000785</v>
      </c>
      <c r="I94" s="9"/>
    </row>
    <row r="95" spans="1:9" x14ac:dyDescent="0.25">
      <c r="A95" s="3">
        <v>45932</v>
      </c>
      <c r="B95" s="4">
        <v>7.43</v>
      </c>
      <c r="C95" s="4">
        <v>8.74</v>
      </c>
      <c r="D95" s="1">
        <f t="shared" si="2"/>
        <v>1.9999999999999574</v>
      </c>
      <c r="E95" s="1">
        <f t="shared" si="2"/>
        <v>0</v>
      </c>
      <c r="F95" s="9">
        <f>-D95*indicaciones!$G$8*indicaciones!$D$4</f>
        <v>-125277.3584000549</v>
      </c>
      <c r="G95" s="9">
        <f>-E95*indicaciones!$G$9*indicaciones!$D$5</f>
        <v>0</v>
      </c>
      <c r="H95" s="9">
        <f t="shared" si="3"/>
        <v>-125277.3584000549</v>
      </c>
      <c r="I95" s="9"/>
    </row>
    <row r="96" spans="1:9" x14ac:dyDescent="0.25">
      <c r="A96" s="3">
        <v>45931</v>
      </c>
      <c r="B96" s="4">
        <v>7.41</v>
      </c>
      <c r="C96" s="4">
        <v>8.74</v>
      </c>
      <c r="D96" s="1">
        <f t="shared" si="2"/>
        <v>-8.0000000000000071</v>
      </c>
      <c r="E96" s="1">
        <f t="shared" si="2"/>
        <v>1.9999999999999574</v>
      </c>
      <c r="F96" s="9">
        <f>-D96*indicaciones!$G$8*indicaciones!$D$4</f>
        <v>501109.43360023072</v>
      </c>
      <c r="G96" s="9">
        <f>-E96*indicaciones!$G$9*indicaciones!$D$5</f>
        <v>-134746.82460000523</v>
      </c>
      <c r="H96" s="9">
        <f t="shared" si="3"/>
        <v>366362.60900022549</v>
      </c>
      <c r="I96" s="9"/>
    </row>
    <row r="97" spans="1:9" x14ac:dyDescent="0.25">
      <c r="A97" s="3">
        <v>45930</v>
      </c>
      <c r="B97" s="4">
        <v>7.49</v>
      </c>
      <c r="C97" s="4">
        <v>8.7200000000000006</v>
      </c>
      <c r="D97" s="1">
        <f t="shared" si="2"/>
        <v>-1.9999999999999574</v>
      </c>
      <c r="E97" s="1">
        <f t="shared" si="2"/>
        <v>-3.9999999999999147</v>
      </c>
      <c r="F97" s="9">
        <f>-D97*indicaciones!$G$8*indicaciones!$D$4</f>
        <v>125277.3584000549</v>
      </c>
      <c r="G97" s="9">
        <f>-E97*indicaciones!$G$9*indicaciones!$D$5</f>
        <v>269493.64920001046</v>
      </c>
      <c r="H97" s="9">
        <f t="shared" si="3"/>
        <v>394771.00760006538</v>
      </c>
      <c r="I97" s="9"/>
    </row>
    <row r="98" spans="1:9" x14ac:dyDescent="0.25">
      <c r="A98" s="3">
        <v>45929</v>
      </c>
      <c r="B98" s="4">
        <v>7.51</v>
      </c>
      <c r="C98" s="4">
        <v>8.76</v>
      </c>
      <c r="D98" s="1">
        <f t="shared" si="2"/>
        <v>1.9999999999999574</v>
      </c>
      <c r="E98" s="1">
        <f t="shared" si="2"/>
        <v>1.9999999999999574</v>
      </c>
      <c r="F98" s="9">
        <f>-D98*indicaciones!$G$8*indicaciones!$D$4</f>
        <v>-125277.3584000549</v>
      </c>
      <c r="G98" s="9">
        <f>-E98*indicaciones!$G$9*indicaciones!$D$5</f>
        <v>-134746.82460000523</v>
      </c>
      <c r="H98" s="9">
        <f t="shared" si="3"/>
        <v>-260024.18300006015</v>
      </c>
      <c r="I98" s="9"/>
    </row>
    <row r="99" spans="1:9" x14ac:dyDescent="0.25">
      <c r="A99" s="3">
        <v>45926</v>
      </c>
      <c r="B99" s="4">
        <v>7.49</v>
      </c>
      <c r="C99" s="4">
        <v>8.74</v>
      </c>
      <c r="D99" s="1">
        <f t="shared" si="2"/>
        <v>3.0000000000000249</v>
      </c>
      <c r="E99" s="1">
        <f t="shared" si="2"/>
        <v>1.9999999999999574</v>
      </c>
      <c r="F99" s="9">
        <f>-D99*indicaciones!$G$8*indicaciones!$D$4</f>
        <v>-187916.0376000879</v>
      </c>
      <c r="G99" s="9">
        <f>-E99*indicaciones!$G$9*indicaciones!$D$5</f>
        <v>-134746.82460000523</v>
      </c>
      <c r="H99" s="9">
        <f t="shared" si="3"/>
        <v>-322662.86220009311</v>
      </c>
      <c r="I99" s="9"/>
    </row>
    <row r="100" spans="1:9" x14ac:dyDescent="0.25">
      <c r="A100" s="3">
        <v>45925</v>
      </c>
      <c r="B100" s="4">
        <v>7.46</v>
      </c>
      <c r="C100" s="4">
        <v>8.7200000000000006</v>
      </c>
      <c r="D100" s="1">
        <f t="shared" si="2"/>
        <v>0.99999999999997868</v>
      </c>
      <c r="E100" s="1">
        <f t="shared" si="2"/>
        <v>2.000000000000135</v>
      </c>
      <c r="F100" s="9">
        <f>-D100*indicaciones!$G$8*indicaciones!$D$4</f>
        <v>-62638.679200027451</v>
      </c>
      <c r="G100" s="9">
        <f>-E100*indicaciones!$G$9*indicaciones!$D$5</f>
        <v>-134746.82460001719</v>
      </c>
      <c r="H100" s="9">
        <f t="shared" si="3"/>
        <v>-197385.50380004465</v>
      </c>
      <c r="I100" s="9"/>
    </row>
    <row r="101" spans="1:9" x14ac:dyDescent="0.25">
      <c r="A101" s="3">
        <v>45924</v>
      </c>
      <c r="B101" s="4">
        <v>7.45</v>
      </c>
      <c r="C101" s="4">
        <v>8.6999999999999993</v>
      </c>
      <c r="D101" s="1">
        <f t="shared" si="2"/>
        <v>-0.99999999999997868</v>
      </c>
      <c r="E101" s="1">
        <f t="shared" si="2"/>
        <v>2.9999999999999361</v>
      </c>
      <c r="F101" s="9">
        <f>-D101*indicaciones!$G$8*indicaciones!$D$4</f>
        <v>62638.679200027451</v>
      </c>
      <c r="G101" s="9">
        <f>-E101*indicaciones!$G$9*indicaciones!$D$5</f>
        <v>-202120.23690000785</v>
      </c>
      <c r="H101" s="9">
        <f t="shared" si="3"/>
        <v>-139481.55769998039</v>
      </c>
      <c r="I101" s="9"/>
    </row>
    <row r="102" spans="1:9" x14ac:dyDescent="0.25">
      <c r="A102" s="3">
        <v>45923</v>
      </c>
      <c r="B102" s="4">
        <v>7.46</v>
      </c>
      <c r="C102" s="4">
        <v>8.67</v>
      </c>
      <c r="D102" s="1">
        <f t="shared" si="2"/>
        <v>0.99999999999997868</v>
      </c>
      <c r="E102" s="1">
        <f t="shared" si="2"/>
        <v>-2.9999999999999361</v>
      </c>
      <c r="F102" s="9">
        <f>-D102*indicaciones!$G$8*indicaciones!$D$4</f>
        <v>-62638.679200027451</v>
      </c>
      <c r="G102" s="9">
        <f>-E102*indicaciones!$G$9*indicaciones!$D$5</f>
        <v>202120.23690000785</v>
      </c>
      <c r="H102" s="9">
        <f t="shared" si="3"/>
        <v>139481.55769998039</v>
      </c>
      <c r="I102" s="9"/>
    </row>
    <row r="103" spans="1:9" x14ac:dyDescent="0.25">
      <c r="A103" s="3">
        <v>45922</v>
      </c>
      <c r="B103" s="4">
        <v>7.45</v>
      </c>
      <c r="C103" s="4">
        <v>8.6999999999999993</v>
      </c>
      <c r="D103" s="1">
        <f t="shared" si="2"/>
        <v>-1.9999999999999574</v>
      </c>
      <c r="E103" s="1">
        <f t="shared" si="2"/>
        <v>0.99999999999997868</v>
      </c>
      <c r="F103" s="9">
        <f>-D103*indicaciones!$G$8*indicaciones!$D$4</f>
        <v>125277.3584000549</v>
      </c>
      <c r="G103" s="9">
        <f>-E103*indicaciones!$G$9*indicaciones!$D$5</f>
        <v>-67373.412300002616</v>
      </c>
      <c r="H103" s="9">
        <f t="shared" si="3"/>
        <v>57903.946100052286</v>
      </c>
      <c r="I103" s="9"/>
    </row>
    <row r="104" spans="1:9" x14ac:dyDescent="0.25">
      <c r="A104" s="3">
        <v>45919</v>
      </c>
      <c r="B104" s="4">
        <v>7.47</v>
      </c>
      <c r="C104" s="4">
        <v>8.69</v>
      </c>
      <c r="D104" s="1">
        <f t="shared" si="2"/>
        <v>0.99999999999997868</v>
      </c>
      <c r="E104" s="1">
        <f t="shared" si="2"/>
        <v>4.9999999999998934</v>
      </c>
      <c r="F104" s="9">
        <f>-D104*indicaciones!$G$8*indicaciones!$D$4</f>
        <v>-62638.679200027451</v>
      </c>
      <c r="G104" s="9">
        <f>-E104*indicaciones!$G$9*indicaciones!$D$5</f>
        <v>-336867.06150001305</v>
      </c>
      <c r="H104" s="9">
        <f t="shared" si="3"/>
        <v>-399505.74070004048</v>
      </c>
      <c r="I104" s="9"/>
    </row>
    <row r="105" spans="1:9" x14ac:dyDescent="0.25">
      <c r="A105" s="3">
        <v>45918</v>
      </c>
      <c r="B105" s="4">
        <v>7.46</v>
      </c>
      <c r="C105" s="4">
        <v>8.64</v>
      </c>
      <c r="D105" s="1">
        <f t="shared" si="2"/>
        <v>-5.9999999999999609</v>
      </c>
      <c r="E105" s="1">
        <f t="shared" si="2"/>
        <v>-5.9999999999998721</v>
      </c>
      <c r="F105" s="9">
        <f>-D105*indicaciones!$G$8*indicaciones!$D$4</f>
        <v>375832.07520017022</v>
      </c>
      <c r="G105" s="9">
        <f>-E105*indicaciones!$G$9*indicaciones!$D$5</f>
        <v>404240.47380001569</v>
      </c>
      <c r="H105" s="9">
        <f t="shared" si="3"/>
        <v>780072.54900018591</v>
      </c>
      <c r="I105" s="9"/>
    </row>
    <row r="106" spans="1:9" x14ac:dyDescent="0.25">
      <c r="A106" s="3">
        <v>45917</v>
      </c>
      <c r="B106" s="4">
        <v>7.52</v>
      </c>
      <c r="C106" s="4">
        <v>8.6999999999999993</v>
      </c>
      <c r="D106" s="1">
        <f t="shared" si="2"/>
        <v>0.99999999999997868</v>
      </c>
      <c r="E106" s="1">
        <f t="shared" si="2"/>
        <v>-3.0000000000001137</v>
      </c>
      <c r="F106" s="9">
        <f>-D106*indicaciones!$G$8*indicaciones!$D$4</f>
        <v>-62638.679200027451</v>
      </c>
      <c r="G106" s="9">
        <f>-E106*indicaciones!$G$9*indicaciones!$D$5</f>
        <v>202120.23690001981</v>
      </c>
      <c r="H106" s="9">
        <f t="shared" si="3"/>
        <v>139481.55769999235</v>
      </c>
      <c r="I106" s="9"/>
    </row>
    <row r="107" spans="1:9" x14ac:dyDescent="0.25">
      <c r="A107" s="3">
        <v>45916</v>
      </c>
      <c r="B107" s="4">
        <v>7.51</v>
      </c>
      <c r="C107" s="4">
        <v>8.73</v>
      </c>
      <c r="D107" s="1">
        <f t="shared" si="2"/>
        <v>0</v>
      </c>
      <c r="E107" s="1">
        <f t="shared" si="2"/>
        <v>0</v>
      </c>
      <c r="F107" s="9">
        <f>-D107*indicaciones!$G$8*indicaciones!$D$4</f>
        <v>0</v>
      </c>
      <c r="G107" s="9">
        <f>-E107*indicaciones!$G$9*indicaciones!$D$5</f>
        <v>0</v>
      </c>
      <c r="H107" s="9">
        <f t="shared" si="3"/>
        <v>0</v>
      </c>
      <c r="I107" s="9"/>
    </row>
    <row r="108" spans="1:9" x14ac:dyDescent="0.25">
      <c r="A108" s="3">
        <v>45915</v>
      </c>
      <c r="B108" s="4">
        <v>7.51</v>
      </c>
      <c r="C108" s="4">
        <v>8.73</v>
      </c>
      <c r="D108" s="1">
        <f t="shared" si="2"/>
        <v>-4.0000000000000036</v>
      </c>
      <c r="E108" s="1">
        <f t="shared" si="2"/>
        <v>4.0000000000000924</v>
      </c>
      <c r="F108" s="9">
        <f>-D108*indicaciones!$G$8*indicaciones!$D$4</f>
        <v>250554.71680011536</v>
      </c>
      <c r="G108" s="9">
        <f>-E108*indicaciones!$G$9*indicaciones!$D$5</f>
        <v>-269493.6492000224</v>
      </c>
      <c r="H108" s="9">
        <f t="shared" si="3"/>
        <v>-18938.932399907033</v>
      </c>
      <c r="I108" s="9"/>
    </row>
    <row r="109" spans="1:9" x14ac:dyDescent="0.25">
      <c r="A109" s="3">
        <v>45912</v>
      </c>
      <c r="B109" s="4">
        <v>7.55</v>
      </c>
      <c r="C109" s="4">
        <v>8.69</v>
      </c>
      <c r="D109" s="1">
        <f t="shared" si="2"/>
        <v>-0.99999999999997868</v>
      </c>
      <c r="E109" s="1">
        <f t="shared" si="2"/>
        <v>3.9999999999999147</v>
      </c>
      <c r="F109" s="9">
        <f>-D109*indicaciones!$G$8*indicaciones!$D$4</f>
        <v>62638.679200027451</v>
      </c>
      <c r="G109" s="9">
        <f>-E109*indicaciones!$G$9*indicaciones!$D$5</f>
        <v>-269493.64920001046</v>
      </c>
      <c r="H109" s="9">
        <f t="shared" si="3"/>
        <v>-206854.969999983</v>
      </c>
      <c r="I109" s="9"/>
    </row>
    <row r="110" spans="1:9" x14ac:dyDescent="0.25">
      <c r="A110" s="3">
        <v>45911</v>
      </c>
      <c r="B110" s="4">
        <v>7.56</v>
      </c>
      <c r="C110" s="4">
        <v>8.65</v>
      </c>
      <c r="D110" s="1">
        <f t="shared" si="2"/>
        <v>-3.0000000000000249</v>
      </c>
      <c r="E110" s="1">
        <f t="shared" si="2"/>
        <v>-8.9999999999999858</v>
      </c>
      <c r="F110" s="9">
        <f>-D110*indicaciones!$G$8*indicaciones!$D$4</f>
        <v>187916.0376000879</v>
      </c>
      <c r="G110" s="9">
        <f>-E110*indicaciones!$G$9*indicaciones!$D$5</f>
        <v>606360.71070003556</v>
      </c>
      <c r="H110" s="9">
        <f t="shared" si="3"/>
        <v>794276.74830012349</v>
      </c>
      <c r="I110" s="9"/>
    </row>
    <row r="111" spans="1:9" x14ac:dyDescent="0.25">
      <c r="A111" s="3">
        <v>45910</v>
      </c>
      <c r="B111" s="4">
        <v>7.59</v>
      </c>
      <c r="C111" s="4">
        <v>8.74</v>
      </c>
      <c r="D111" s="1">
        <f t="shared" si="2"/>
        <v>-3.0000000000000249</v>
      </c>
      <c r="E111" s="1">
        <f t="shared" si="2"/>
        <v>-6.0000000000000497</v>
      </c>
      <c r="F111" s="9">
        <f>-D111*indicaciones!$G$8*indicaciones!$D$4</f>
        <v>187916.0376000879</v>
      </c>
      <c r="G111" s="9">
        <f>-E111*indicaciones!$G$9*indicaciones!$D$5</f>
        <v>404240.47380002763</v>
      </c>
      <c r="H111" s="9">
        <f t="shared" si="3"/>
        <v>592156.51140011556</v>
      </c>
      <c r="I111" s="9"/>
    </row>
    <row r="112" spans="1:9" x14ac:dyDescent="0.25">
      <c r="A112" s="3">
        <v>45909</v>
      </c>
      <c r="B112" s="4">
        <v>7.62</v>
      </c>
      <c r="C112" s="4">
        <v>8.8000000000000007</v>
      </c>
      <c r="D112" s="1">
        <f t="shared" si="2"/>
        <v>0</v>
      </c>
      <c r="E112" s="1">
        <f t="shared" si="2"/>
        <v>2.000000000000135</v>
      </c>
      <c r="F112" s="9">
        <f>-D112*indicaciones!$G$8*indicaciones!$D$4</f>
        <v>0</v>
      </c>
      <c r="G112" s="9">
        <f>-E112*indicaciones!$G$9*indicaciones!$D$5</f>
        <v>-134746.82460001719</v>
      </c>
      <c r="H112" s="9">
        <f t="shared" si="3"/>
        <v>-134746.82460001719</v>
      </c>
      <c r="I112" s="9"/>
    </row>
    <row r="113" spans="1:9" x14ac:dyDescent="0.25">
      <c r="A113" s="3">
        <v>45908</v>
      </c>
      <c r="B113" s="4">
        <v>7.62</v>
      </c>
      <c r="C113" s="4">
        <v>8.7799999999999994</v>
      </c>
      <c r="D113" s="1">
        <f t="shared" si="2"/>
        <v>-4.0000000000000036</v>
      </c>
      <c r="E113" s="1">
        <f t="shared" si="2"/>
        <v>-4.0000000000000924</v>
      </c>
      <c r="F113" s="9">
        <f>-D113*indicaciones!$G$8*indicaciones!$D$4</f>
        <v>250554.71680011536</v>
      </c>
      <c r="G113" s="9">
        <f>-E113*indicaciones!$G$9*indicaciones!$D$5</f>
        <v>269493.6492000224</v>
      </c>
      <c r="H113" s="9">
        <f t="shared" si="3"/>
        <v>520048.36600013776</v>
      </c>
      <c r="I113" s="9"/>
    </row>
    <row r="114" spans="1:9" x14ac:dyDescent="0.25">
      <c r="A114" s="3">
        <v>45905</v>
      </c>
      <c r="B114" s="4">
        <v>7.66</v>
      </c>
      <c r="C114" s="4">
        <v>8.82</v>
      </c>
      <c r="D114" s="1">
        <f t="shared" si="2"/>
        <v>-8.0000000000000071</v>
      </c>
      <c r="E114" s="1">
        <f t="shared" si="2"/>
        <v>-6.0000000000000497</v>
      </c>
      <c r="F114" s="9">
        <f>-D114*indicaciones!$G$8*indicaciones!$D$4</f>
        <v>501109.43360023072</v>
      </c>
      <c r="G114" s="9">
        <f>-E114*indicaciones!$G$9*indicaciones!$D$5</f>
        <v>404240.47380002763</v>
      </c>
      <c r="H114" s="9">
        <f t="shared" si="3"/>
        <v>905349.90740025835</v>
      </c>
      <c r="I114" s="9"/>
    </row>
    <row r="115" spans="1:9" x14ac:dyDescent="0.25">
      <c r="A115" s="3">
        <v>45904</v>
      </c>
      <c r="B115" s="4">
        <v>7.74</v>
      </c>
      <c r="C115" s="4">
        <v>8.8800000000000008</v>
      </c>
      <c r="D115" s="1">
        <f t="shared" si="2"/>
        <v>-2.9999999999999361</v>
      </c>
      <c r="E115" s="1">
        <f t="shared" si="2"/>
        <v>-4.9999999999998934</v>
      </c>
      <c r="F115" s="9">
        <f>-D115*indicaciones!$G$8*indicaciones!$D$4</f>
        <v>187916.03760008235</v>
      </c>
      <c r="G115" s="9">
        <f>-E115*indicaciones!$G$9*indicaciones!$D$5</f>
        <v>336867.06150001305</v>
      </c>
      <c r="H115" s="9">
        <f t="shared" si="3"/>
        <v>524783.09910009545</v>
      </c>
      <c r="I115" s="9"/>
    </row>
    <row r="116" spans="1:9" x14ac:dyDescent="0.25">
      <c r="A116" s="3">
        <v>45903</v>
      </c>
      <c r="B116" s="4">
        <v>7.77</v>
      </c>
      <c r="C116" s="4">
        <v>8.93</v>
      </c>
      <c r="D116" s="1">
        <f t="shared" si="2"/>
        <v>4.9999999999999822</v>
      </c>
      <c r="E116" s="1">
        <f t="shared" si="2"/>
        <v>0.99999999999997868</v>
      </c>
      <c r="F116" s="9">
        <f>-D116*indicaciones!$G$8*indicaciones!$D$4</f>
        <v>-313193.39600014285</v>
      </c>
      <c r="G116" s="9">
        <f>-E116*indicaciones!$G$9*indicaciones!$D$5</f>
        <v>-67373.412300002616</v>
      </c>
      <c r="H116" s="9">
        <f t="shared" si="3"/>
        <v>-380566.80830014544</v>
      </c>
      <c r="I116" s="9"/>
    </row>
    <row r="117" spans="1:9" x14ac:dyDescent="0.25">
      <c r="A117" s="3">
        <v>45902</v>
      </c>
      <c r="B117" s="4">
        <v>7.72</v>
      </c>
      <c r="C117" s="4">
        <v>8.92</v>
      </c>
      <c r="D117" s="1">
        <f t="shared" si="2"/>
        <v>-4.9999999999999822</v>
      </c>
      <c r="E117" s="1">
        <f t="shared" si="2"/>
        <v>0</v>
      </c>
      <c r="F117" s="9">
        <f>-D117*indicaciones!$G$8*indicaciones!$D$4</f>
        <v>313193.39600014285</v>
      </c>
      <c r="G117" s="9">
        <f>-E117*indicaciones!$G$9*indicaciones!$D$5</f>
        <v>0</v>
      </c>
      <c r="H117" s="9">
        <f t="shared" si="3"/>
        <v>313193.39600014285</v>
      </c>
      <c r="I117" s="9"/>
    </row>
    <row r="118" spans="1:9" x14ac:dyDescent="0.25">
      <c r="A118" s="3">
        <v>45901</v>
      </c>
      <c r="B118" s="4">
        <v>7.77</v>
      </c>
      <c r="C118" s="4">
        <v>8.92</v>
      </c>
      <c r="D118" s="1">
        <f t="shared" si="2"/>
        <v>0</v>
      </c>
      <c r="E118" s="1">
        <f t="shared" si="2"/>
        <v>0</v>
      </c>
      <c r="F118" s="9">
        <f>-D118*indicaciones!$G$8*indicaciones!$D$4</f>
        <v>0</v>
      </c>
      <c r="G118" s="9">
        <f>-E118*indicaciones!$G$9*indicaciones!$D$5</f>
        <v>0</v>
      </c>
      <c r="H118" s="9">
        <f t="shared" si="3"/>
        <v>0</v>
      </c>
      <c r="I118" s="9"/>
    </row>
    <row r="119" spans="1:9" x14ac:dyDescent="0.25">
      <c r="A119" s="3">
        <v>45898</v>
      </c>
      <c r="B119" s="4">
        <v>7.77</v>
      </c>
      <c r="C119" s="4">
        <v>8.92</v>
      </c>
      <c r="D119" s="1">
        <f t="shared" si="2"/>
        <v>0</v>
      </c>
      <c r="E119" s="1">
        <f t="shared" si="2"/>
        <v>1.9999999999999574</v>
      </c>
      <c r="F119" s="9">
        <f>-D119*indicaciones!$G$8*indicaciones!$D$4</f>
        <v>0</v>
      </c>
      <c r="G119" s="9">
        <f>-E119*indicaciones!$G$9*indicaciones!$D$5</f>
        <v>-134746.82460000523</v>
      </c>
      <c r="H119" s="9">
        <f t="shared" si="3"/>
        <v>-134746.82460000523</v>
      </c>
      <c r="I119" s="9"/>
    </row>
    <row r="120" spans="1:9" x14ac:dyDescent="0.25">
      <c r="A120" s="3">
        <v>45897</v>
      </c>
      <c r="B120" s="4">
        <v>7.77</v>
      </c>
      <c r="C120" s="4">
        <v>8.9</v>
      </c>
      <c r="D120" s="1">
        <f t="shared" si="2"/>
        <v>-2.0000000000000462</v>
      </c>
      <c r="E120" s="1">
        <f t="shared" si="2"/>
        <v>-1.9999999999999574</v>
      </c>
      <c r="F120" s="9">
        <f>-D120*indicaciones!$G$8*indicaciones!$D$4</f>
        <v>125277.35840006046</v>
      </c>
      <c r="G120" s="9">
        <f>-E120*indicaciones!$G$9*indicaciones!$D$5</f>
        <v>134746.82460000523</v>
      </c>
      <c r="H120" s="9">
        <f t="shared" si="3"/>
        <v>260024.18300006568</v>
      </c>
      <c r="I120" s="9"/>
    </row>
    <row r="121" spans="1:9" x14ac:dyDescent="0.25">
      <c r="A121" s="3">
        <v>45896</v>
      </c>
      <c r="B121" s="4">
        <v>7.79</v>
      </c>
      <c r="C121" s="4">
        <v>8.92</v>
      </c>
      <c r="D121" s="1">
        <f t="shared" si="2"/>
        <v>2.0000000000000462</v>
      </c>
      <c r="E121" s="1">
        <f t="shared" si="2"/>
        <v>-1.9999999999999574</v>
      </c>
      <c r="F121" s="9">
        <f>-D121*indicaciones!$G$8*indicaciones!$D$4</f>
        <v>-125277.35840006046</v>
      </c>
      <c r="G121" s="9">
        <f>-E121*indicaciones!$G$9*indicaciones!$D$5</f>
        <v>134746.82460000523</v>
      </c>
      <c r="H121" s="9">
        <f t="shared" si="3"/>
        <v>9469.4661999447708</v>
      </c>
      <c r="I121" s="9"/>
    </row>
    <row r="122" spans="1:9" x14ac:dyDescent="0.25">
      <c r="A122" s="3">
        <v>45895</v>
      </c>
      <c r="B122" s="4">
        <v>7.77</v>
      </c>
      <c r="C122" s="4">
        <v>8.94</v>
      </c>
      <c r="D122" s="1">
        <f t="shared" si="2"/>
        <v>0</v>
      </c>
      <c r="E122" s="1">
        <f t="shared" si="2"/>
        <v>-0.99999999999997868</v>
      </c>
      <c r="F122" s="9">
        <f>-D122*indicaciones!$G$8*indicaciones!$D$4</f>
        <v>0</v>
      </c>
      <c r="G122" s="9">
        <f>-E122*indicaciones!$G$9*indicaciones!$D$5</f>
        <v>67373.412300002616</v>
      </c>
      <c r="H122" s="9">
        <f t="shared" si="3"/>
        <v>67373.412300002616</v>
      </c>
      <c r="I122" s="9"/>
    </row>
    <row r="123" spans="1:9" x14ac:dyDescent="0.25">
      <c r="A123" s="3">
        <v>45894</v>
      </c>
      <c r="B123" s="4">
        <v>7.77</v>
      </c>
      <c r="C123" s="4">
        <v>8.9499999999999993</v>
      </c>
      <c r="D123" s="1">
        <f t="shared" si="2"/>
        <v>-2.0000000000000462</v>
      </c>
      <c r="E123" s="1">
        <f t="shared" si="2"/>
        <v>1.9999999999999574</v>
      </c>
      <c r="F123" s="9">
        <f>-D123*indicaciones!$G$8*indicaciones!$D$4</f>
        <v>125277.35840006046</v>
      </c>
      <c r="G123" s="9">
        <f>-E123*indicaciones!$G$9*indicaciones!$D$5</f>
        <v>-134746.82460000523</v>
      </c>
      <c r="H123" s="9">
        <f t="shared" si="3"/>
        <v>-9469.4661999447708</v>
      </c>
      <c r="I123" s="9"/>
    </row>
    <row r="124" spans="1:9" x14ac:dyDescent="0.25">
      <c r="A124" s="3">
        <v>45891</v>
      </c>
      <c r="B124" s="4">
        <v>7.79</v>
      </c>
      <c r="C124" s="4">
        <v>8.93</v>
      </c>
      <c r="D124" s="1">
        <f t="shared" si="2"/>
        <v>-9.9999999999999645</v>
      </c>
      <c r="E124" s="1">
        <f t="shared" si="2"/>
        <v>-16.000000000000014</v>
      </c>
      <c r="F124" s="9">
        <f>-D124*indicaciones!$G$8*indicaciones!$D$4</f>
        <v>626386.7920002857</v>
      </c>
      <c r="G124" s="9">
        <f>-E124*indicaciones!$G$9*indicaciones!$D$5</f>
        <v>1077974.5968000658</v>
      </c>
      <c r="H124" s="9">
        <f t="shared" si="3"/>
        <v>1704361.3888003514</v>
      </c>
      <c r="I124" s="9"/>
    </row>
    <row r="125" spans="1:9" x14ac:dyDescent="0.25">
      <c r="A125" s="3">
        <v>45890</v>
      </c>
      <c r="B125" s="4">
        <v>7.89</v>
      </c>
      <c r="C125" s="4">
        <v>9.09</v>
      </c>
      <c r="D125" s="1">
        <f t="shared" si="2"/>
        <v>6.9999999999999396</v>
      </c>
      <c r="E125" s="1">
        <f t="shared" si="2"/>
        <v>2.9999999999999361</v>
      </c>
      <c r="F125" s="9">
        <f>-D125*indicaciones!$G$8*indicaciones!$D$4</f>
        <v>-438470.75440019765</v>
      </c>
      <c r="G125" s="9">
        <f>-E125*indicaciones!$G$9*indicaciones!$D$5</f>
        <v>-202120.23690000785</v>
      </c>
      <c r="H125" s="9">
        <f t="shared" si="3"/>
        <v>-640590.99130020547</v>
      </c>
      <c r="I125" s="9"/>
    </row>
    <row r="126" spans="1:9" x14ac:dyDescent="0.25">
      <c r="A126" s="3">
        <v>45889</v>
      </c>
      <c r="B126" s="4">
        <v>7.82</v>
      </c>
      <c r="C126" s="4">
        <v>9.06</v>
      </c>
      <c r="D126" s="1">
        <f t="shared" si="2"/>
        <v>-4.0000000000000036</v>
      </c>
      <c r="E126" s="1">
        <f t="shared" si="2"/>
        <v>0.99999999999997868</v>
      </c>
      <c r="F126" s="9">
        <f>-D126*indicaciones!$G$8*indicaciones!$D$4</f>
        <v>250554.71680011536</v>
      </c>
      <c r="G126" s="9">
        <f>-E126*indicaciones!$G$9*indicaciones!$D$5</f>
        <v>-67373.412300002616</v>
      </c>
      <c r="H126" s="9">
        <f t="shared" si="3"/>
        <v>183181.30450011275</v>
      </c>
      <c r="I126" s="9"/>
    </row>
    <row r="127" spans="1:9" x14ac:dyDescent="0.25">
      <c r="A127" s="3">
        <v>45888</v>
      </c>
      <c r="B127" s="4">
        <v>7.86</v>
      </c>
      <c r="C127" s="4">
        <v>9.0500000000000007</v>
      </c>
      <c r="D127" s="1">
        <f t="shared" si="2"/>
        <v>-0.99999999999997868</v>
      </c>
      <c r="E127" s="1">
        <f t="shared" si="2"/>
        <v>-3.9999999999999147</v>
      </c>
      <c r="F127" s="9">
        <f>-D127*indicaciones!$G$8*indicaciones!$D$4</f>
        <v>62638.679200027451</v>
      </c>
      <c r="G127" s="9">
        <f>-E127*indicaciones!$G$9*indicaciones!$D$5</f>
        <v>269493.64920001046</v>
      </c>
      <c r="H127" s="9">
        <f t="shared" si="3"/>
        <v>332132.32840003789</v>
      </c>
      <c r="I127" s="9"/>
    </row>
    <row r="128" spans="1:9" x14ac:dyDescent="0.25">
      <c r="A128" s="3">
        <v>45887</v>
      </c>
      <c r="B128" s="4">
        <v>7.87</v>
      </c>
      <c r="C128" s="4">
        <v>9.09</v>
      </c>
      <c r="D128" s="1">
        <f t="shared" si="2"/>
        <v>0</v>
      </c>
      <c r="E128" s="1">
        <f t="shared" si="2"/>
        <v>2.9999999999999361</v>
      </c>
      <c r="F128" s="9">
        <f>-D128*indicaciones!$G$8*indicaciones!$D$4</f>
        <v>0</v>
      </c>
      <c r="G128" s="9">
        <f>-E128*indicaciones!$G$9*indicaciones!$D$5</f>
        <v>-202120.23690000785</v>
      </c>
      <c r="H128" s="9">
        <f t="shared" si="3"/>
        <v>-202120.23690000785</v>
      </c>
      <c r="I128" s="9"/>
    </row>
    <row r="129" spans="1:9" x14ac:dyDescent="0.25">
      <c r="A129" s="3">
        <v>45884</v>
      </c>
      <c r="B129" s="4">
        <v>7.87</v>
      </c>
      <c r="C129" s="4">
        <v>9.06</v>
      </c>
      <c r="D129" s="1">
        <f t="shared" si="2"/>
        <v>3.0000000000000249</v>
      </c>
      <c r="E129" s="1">
        <f t="shared" si="2"/>
        <v>3.0000000000001137</v>
      </c>
      <c r="F129" s="9">
        <f>-D129*indicaciones!$G$8*indicaciones!$D$4</f>
        <v>-187916.0376000879</v>
      </c>
      <c r="G129" s="9">
        <f>-E129*indicaciones!$G$9*indicaciones!$D$5</f>
        <v>-202120.23690001981</v>
      </c>
      <c r="H129" s="9">
        <f t="shared" si="3"/>
        <v>-390036.27450010774</v>
      </c>
      <c r="I129" s="9"/>
    </row>
    <row r="130" spans="1:9" x14ac:dyDescent="0.25">
      <c r="A130" s="3">
        <v>45883</v>
      </c>
      <c r="B130" s="4">
        <v>7.84</v>
      </c>
      <c r="C130" s="4">
        <v>9.0299999999999994</v>
      </c>
      <c r="D130" s="1">
        <f t="shared" si="2"/>
        <v>0.99999999999997868</v>
      </c>
      <c r="E130" s="1">
        <f t="shared" si="2"/>
        <v>3.9999999999999147</v>
      </c>
      <c r="F130" s="9">
        <f>-D130*indicaciones!$G$8*indicaciones!$D$4</f>
        <v>-62638.679200027451</v>
      </c>
      <c r="G130" s="9">
        <f>-E130*indicaciones!$G$9*indicaciones!$D$5</f>
        <v>-269493.64920001046</v>
      </c>
      <c r="H130" s="9">
        <f t="shared" si="3"/>
        <v>-332132.32840003789</v>
      </c>
      <c r="I130" s="9"/>
    </row>
    <row r="131" spans="1:9" x14ac:dyDescent="0.25">
      <c r="A131" s="3">
        <v>45882</v>
      </c>
      <c r="B131" s="4">
        <v>7.83</v>
      </c>
      <c r="C131" s="4">
        <v>8.99</v>
      </c>
      <c r="D131" s="1">
        <f t="shared" ref="D131:E194" si="4">(B131-B132)*100</f>
        <v>0</v>
      </c>
      <c r="E131" s="1">
        <f t="shared" si="4"/>
        <v>-6.0000000000000497</v>
      </c>
      <c r="F131" s="9">
        <f>-D131*indicaciones!$G$8*indicaciones!$D$4</f>
        <v>0</v>
      </c>
      <c r="G131" s="9">
        <f>-E131*indicaciones!$G$9*indicaciones!$D$5</f>
        <v>404240.47380002763</v>
      </c>
      <c r="H131" s="9">
        <f t="shared" ref="H131:H194" si="5">F131+G131</f>
        <v>404240.47380002763</v>
      </c>
      <c r="I131" s="9"/>
    </row>
    <row r="132" spans="1:9" x14ac:dyDescent="0.25">
      <c r="A132" s="3">
        <v>45881</v>
      </c>
      <c r="B132" s="4">
        <v>7.83</v>
      </c>
      <c r="C132" s="4">
        <v>9.0500000000000007</v>
      </c>
      <c r="D132" s="1">
        <f t="shared" si="4"/>
        <v>-3.0000000000000249</v>
      </c>
      <c r="E132" s="1">
        <f t="shared" si="4"/>
        <v>-2.9999999999999361</v>
      </c>
      <c r="F132" s="9">
        <f>-D132*indicaciones!$G$8*indicaciones!$D$4</f>
        <v>187916.0376000879</v>
      </c>
      <c r="G132" s="9">
        <f>-E132*indicaciones!$G$9*indicaciones!$D$5</f>
        <v>202120.23690000785</v>
      </c>
      <c r="H132" s="9">
        <f t="shared" si="5"/>
        <v>390036.27450009575</v>
      </c>
      <c r="I132" s="9"/>
    </row>
    <row r="133" spans="1:9" x14ac:dyDescent="0.25">
      <c r="A133" s="3">
        <v>45880</v>
      </c>
      <c r="B133" s="4">
        <v>7.86</v>
      </c>
      <c r="C133" s="4">
        <v>9.08</v>
      </c>
      <c r="D133" s="1">
        <f t="shared" si="4"/>
        <v>-4.0000000000000036</v>
      </c>
      <c r="E133" s="1">
        <f t="shared" si="4"/>
        <v>-1.9999999999999574</v>
      </c>
      <c r="F133" s="9">
        <f>-D133*indicaciones!$G$8*indicaciones!$D$4</f>
        <v>250554.71680011536</v>
      </c>
      <c r="G133" s="9">
        <f>-E133*indicaciones!$G$9*indicaciones!$D$5</f>
        <v>134746.82460000523</v>
      </c>
      <c r="H133" s="9">
        <f t="shared" si="5"/>
        <v>385301.54140012059</v>
      </c>
      <c r="I133" s="9"/>
    </row>
    <row r="134" spans="1:9" x14ac:dyDescent="0.25">
      <c r="A134" s="3">
        <v>45877</v>
      </c>
      <c r="B134" s="4">
        <v>7.9</v>
      </c>
      <c r="C134" s="4">
        <v>9.1</v>
      </c>
      <c r="D134" s="1">
        <f t="shared" si="4"/>
        <v>4.0000000000000036</v>
      </c>
      <c r="E134" s="1">
        <f t="shared" si="4"/>
        <v>4.9999999999998934</v>
      </c>
      <c r="F134" s="9">
        <f>-D134*indicaciones!$G$8*indicaciones!$D$4</f>
        <v>-250554.71680011536</v>
      </c>
      <c r="G134" s="9">
        <f>-E134*indicaciones!$G$9*indicaciones!$D$5</f>
        <v>-336867.06150001305</v>
      </c>
      <c r="H134" s="9">
        <f t="shared" si="5"/>
        <v>-587421.77830012841</v>
      </c>
      <c r="I134" s="9"/>
    </row>
    <row r="135" spans="1:9" x14ac:dyDescent="0.25">
      <c r="A135" s="3">
        <v>45876</v>
      </c>
      <c r="B135" s="4">
        <v>7.86</v>
      </c>
      <c r="C135" s="4">
        <v>9.0500000000000007</v>
      </c>
      <c r="D135" s="1">
        <f t="shared" si="4"/>
        <v>-6.9999999999999396</v>
      </c>
      <c r="E135" s="1">
        <f t="shared" si="4"/>
        <v>-4.9999999999998934</v>
      </c>
      <c r="F135" s="9">
        <f>-D135*indicaciones!$G$8*indicaciones!$D$4</f>
        <v>438470.75440019765</v>
      </c>
      <c r="G135" s="9">
        <f>-E135*indicaciones!$G$9*indicaciones!$D$5</f>
        <v>336867.06150001305</v>
      </c>
      <c r="H135" s="9">
        <f t="shared" si="5"/>
        <v>775337.81590021076</v>
      </c>
      <c r="I135" s="9"/>
    </row>
    <row r="136" spans="1:9" x14ac:dyDescent="0.25">
      <c r="A136" s="3">
        <v>45875</v>
      </c>
      <c r="B136" s="4">
        <v>7.93</v>
      </c>
      <c r="C136" s="4">
        <v>9.1</v>
      </c>
      <c r="D136" s="1">
        <f t="shared" si="4"/>
        <v>-6.0000000000000497</v>
      </c>
      <c r="E136" s="1">
        <f t="shared" si="4"/>
        <v>-5.0000000000000711</v>
      </c>
      <c r="F136" s="9">
        <f>-D136*indicaciones!$G$8*indicaciones!$D$4</f>
        <v>375832.07520017581</v>
      </c>
      <c r="G136" s="9">
        <f>-E136*indicaciones!$G$9*indicaciones!$D$5</f>
        <v>336867.06150002504</v>
      </c>
      <c r="H136" s="9">
        <f t="shared" si="5"/>
        <v>712699.13670020085</v>
      </c>
      <c r="I136" s="9"/>
    </row>
    <row r="137" spans="1:9" x14ac:dyDescent="0.25">
      <c r="A137" s="3">
        <v>45874</v>
      </c>
      <c r="B137" s="4">
        <v>7.99</v>
      </c>
      <c r="C137" s="4">
        <v>9.15</v>
      </c>
      <c r="D137" s="1">
        <f t="shared" si="4"/>
        <v>-2.9999999999999361</v>
      </c>
      <c r="E137" s="1">
        <f t="shared" si="4"/>
        <v>5.0000000000000711</v>
      </c>
      <c r="F137" s="9">
        <f>-D137*indicaciones!$G$8*indicaciones!$D$4</f>
        <v>187916.03760008235</v>
      </c>
      <c r="G137" s="9">
        <f>-E137*indicaciones!$G$9*indicaciones!$D$5</f>
        <v>-336867.06150002504</v>
      </c>
      <c r="H137" s="9">
        <f t="shared" si="5"/>
        <v>-148951.02389994269</v>
      </c>
      <c r="I137" s="9"/>
    </row>
    <row r="138" spans="1:9" x14ac:dyDescent="0.25">
      <c r="A138" s="3">
        <v>45873</v>
      </c>
      <c r="B138" s="4">
        <v>8.02</v>
      </c>
      <c r="C138" s="4">
        <v>9.1</v>
      </c>
      <c r="D138" s="1">
        <f t="shared" si="4"/>
        <v>0.99999999999997868</v>
      </c>
      <c r="E138" s="1">
        <f t="shared" si="4"/>
        <v>-3.0000000000001137</v>
      </c>
      <c r="F138" s="9">
        <f>-D138*indicaciones!$G$8*indicaciones!$D$4</f>
        <v>-62638.679200027451</v>
      </c>
      <c r="G138" s="9">
        <f>-E138*indicaciones!$G$9*indicaciones!$D$5</f>
        <v>202120.23690001981</v>
      </c>
      <c r="H138" s="9">
        <f t="shared" si="5"/>
        <v>139481.55769999235</v>
      </c>
      <c r="I138" s="9"/>
    </row>
    <row r="139" spans="1:9" x14ac:dyDescent="0.25">
      <c r="A139" s="3">
        <v>45870</v>
      </c>
      <c r="B139" s="4">
        <v>8.01</v>
      </c>
      <c r="C139" s="4">
        <v>9.1300000000000008</v>
      </c>
      <c r="D139" s="1">
        <f t="shared" si="4"/>
        <v>-7.0000000000000284</v>
      </c>
      <c r="E139" s="1">
        <f t="shared" si="4"/>
        <v>-16.999999999999993</v>
      </c>
      <c r="F139" s="9">
        <f>-D139*indicaciones!$G$8*indicaciones!$D$4</f>
        <v>438470.7544002033</v>
      </c>
      <c r="G139" s="9">
        <f>-E139*indicaciones!$G$9*indicaciones!$D$5</f>
        <v>1145348.0091000684</v>
      </c>
      <c r="H139" s="9">
        <f t="shared" si="5"/>
        <v>1583818.7635002716</v>
      </c>
      <c r="I139" s="9"/>
    </row>
    <row r="140" spans="1:9" x14ac:dyDescent="0.25">
      <c r="A140" s="3">
        <v>45869</v>
      </c>
      <c r="B140" s="4">
        <v>8.08</v>
      </c>
      <c r="C140" s="4">
        <v>9.3000000000000007</v>
      </c>
      <c r="D140" s="1">
        <f t="shared" si="4"/>
        <v>-0.99999999999997868</v>
      </c>
      <c r="E140" s="1">
        <f t="shared" si="4"/>
        <v>-0.99999999999997868</v>
      </c>
      <c r="F140" s="9">
        <f>-D140*indicaciones!$G$8*indicaciones!$D$4</f>
        <v>62638.679200027451</v>
      </c>
      <c r="G140" s="9">
        <f>-E140*indicaciones!$G$9*indicaciones!$D$5</f>
        <v>67373.412300002616</v>
      </c>
      <c r="H140" s="9">
        <f t="shared" si="5"/>
        <v>130012.09150003007</v>
      </c>
      <c r="I140" s="9"/>
    </row>
    <row r="141" spans="1:9" x14ac:dyDescent="0.25">
      <c r="A141" s="3">
        <v>45868</v>
      </c>
      <c r="B141" s="4">
        <v>8.09</v>
      </c>
      <c r="C141" s="4">
        <v>9.31</v>
      </c>
      <c r="D141" s="1">
        <f t="shared" si="4"/>
        <v>-0.99999999999997868</v>
      </c>
      <c r="E141" s="1">
        <f t="shared" si="4"/>
        <v>-0.99999999999997868</v>
      </c>
      <c r="F141" s="9">
        <f>-D141*indicaciones!$G$8*indicaciones!$D$4</f>
        <v>62638.679200027451</v>
      </c>
      <c r="G141" s="9">
        <f>-E141*indicaciones!$G$9*indicaciones!$D$5</f>
        <v>67373.412300002616</v>
      </c>
      <c r="H141" s="9">
        <f t="shared" si="5"/>
        <v>130012.09150003007</v>
      </c>
      <c r="I141" s="9"/>
    </row>
    <row r="142" spans="1:9" x14ac:dyDescent="0.25">
      <c r="A142" s="3">
        <v>45867</v>
      </c>
      <c r="B142" s="4">
        <v>8.1</v>
      </c>
      <c r="C142" s="4">
        <v>9.32</v>
      </c>
      <c r="D142" s="1">
        <f t="shared" si="4"/>
        <v>-3.0000000000001137</v>
      </c>
      <c r="E142" s="1">
        <f t="shared" si="4"/>
        <v>-8.0000000000000071</v>
      </c>
      <c r="F142" s="9">
        <f>-D142*indicaciones!$G$8*indicaciones!$D$4</f>
        <v>187916.03760009346</v>
      </c>
      <c r="G142" s="9">
        <f>-E142*indicaciones!$G$9*indicaciones!$D$5</f>
        <v>538987.29840003292</v>
      </c>
      <c r="H142" s="9">
        <f t="shared" si="5"/>
        <v>726903.33600012632</v>
      </c>
      <c r="I142" s="9"/>
    </row>
    <row r="143" spans="1:9" x14ac:dyDescent="0.25">
      <c r="A143" s="3">
        <v>45866</v>
      </c>
      <c r="B143" s="4">
        <v>8.1300000000000008</v>
      </c>
      <c r="C143" s="4">
        <v>9.4</v>
      </c>
      <c r="D143" s="1">
        <f t="shared" si="4"/>
        <v>7.0000000000000284</v>
      </c>
      <c r="E143" s="1">
        <f t="shared" si="4"/>
        <v>9.9999999999999645</v>
      </c>
      <c r="F143" s="9">
        <f>-D143*indicaciones!$G$8*indicaciones!$D$4</f>
        <v>-438470.7544002033</v>
      </c>
      <c r="G143" s="9">
        <f>-E143*indicaciones!$G$9*indicaciones!$D$5</f>
        <v>-673734.12300003821</v>
      </c>
      <c r="H143" s="9">
        <f t="shared" si="5"/>
        <v>-1112204.8774002416</v>
      </c>
      <c r="I143" s="9"/>
    </row>
    <row r="144" spans="1:9" x14ac:dyDescent="0.25">
      <c r="A144" s="3">
        <v>45863</v>
      </c>
      <c r="B144" s="4">
        <v>8.06</v>
      </c>
      <c r="C144" s="4">
        <v>9.3000000000000007</v>
      </c>
      <c r="D144" s="1">
        <f t="shared" si="4"/>
        <v>-2.9999999999999361</v>
      </c>
      <c r="E144" s="1">
        <f t="shared" si="4"/>
        <v>1.0000000000001563</v>
      </c>
      <c r="F144" s="9">
        <f>-D144*indicaciones!$G$8*indicaciones!$D$4</f>
        <v>187916.03760008235</v>
      </c>
      <c r="G144" s="9">
        <f>-E144*indicaciones!$G$9*indicaciones!$D$5</f>
        <v>-67373.412300014592</v>
      </c>
      <c r="H144" s="9">
        <f t="shared" si="5"/>
        <v>120542.62530006775</v>
      </c>
      <c r="I144" s="9"/>
    </row>
    <row r="145" spans="1:9" x14ac:dyDescent="0.25">
      <c r="A145" s="3">
        <v>45862</v>
      </c>
      <c r="B145" s="4">
        <v>8.09</v>
      </c>
      <c r="C145" s="4">
        <v>9.2899999999999991</v>
      </c>
      <c r="D145" s="1">
        <f t="shared" si="4"/>
        <v>-4.0000000000000924</v>
      </c>
      <c r="E145" s="1">
        <f t="shared" si="4"/>
        <v>2.9999999999999361</v>
      </c>
      <c r="F145" s="9">
        <f>-D145*indicaciones!$G$8*indicaciones!$D$4</f>
        <v>250554.71680012092</v>
      </c>
      <c r="G145" s="9">
        <f>-E145*indicaciones!$G$9*indicaciones!$D$5</f>
        <v>-202120.23690000785</v>
      </c>
      <c r="H145" s="9">
        <f t="shared" si="5"/>
        <v>48434.479900113074</v>
      </c>
      <c r="I145" s="9"/>
    </row>
    <row r="146" spans="1:9" x14ac:dyDescent="0.25">
      <c r="A146" s="3">
        <v>45861</v>
      </c>
      <c r="B146" s="4">
        <v>8.1300000000000008</v>
      </c>
      <c r="C146" s="4">
        <v>9.26</v>
      </c>
      <c r="D146" s="1">
        <f t="shared" si="4"/>
        <v>-1.9999999999999574</v>
      </c>
      <c r="E146" s="1">
        <f t="shared" si="4"/>
        <v>-1.9999999999999574</v>
      </c>
      <c r="F146" s="9">
        <f>-D146*indicaciones!$G$8*indicaciones!$D$4</f>
        <v>125277.3584000549</v>
      </c>
      <c r="G146" s="9">
        <f>-E146*indicaciones!$G$9*indicaciones!$D$5</f>
        <v>134746.82460000523</v>
      </c>
      <c r="H146" s="9">
        <f t="shared" si="5"/>
        <v>260024.18300006015</v>
      </c>
      <c r="I146" s="9"/>
    </row>
    <row r="147" spans="1:9" x14ac:dyDescent="0.25">
      <c r="A147" s="3">
        <v>45860</v>
      </c>
      <c r="B147" s="4">
        <v>8.15</v>
      </c>
      <c r="C147" s="4">
        <v>9.2799999999999994</v>
      </c>
      <c r="D147" s="1">
        <f t="shared" si="4"/>
        <v>-0.99999999999997868</v>
      </c>
      <c r="E147" s="1">
        <f t="shared" si="4"/>
        <v>20.999999999999908</v>
      </c>
      <c r="F147" s="9">
        <f>-D147*indicaciones!$G$8*indicaciones!$D$4</f>
        <v>62638.679200027451</v>
      </c>
      <c r="G147" s="9">
        <f>-E147*indicaciones!$G$9*indicaciones!$D$5</f>
        <v>-1414841.6583000787</v>
      </c>
      <c r="H147" s="9">
        <f t="shared" si="5"/>
        <v>-1352202.9791000513</v>
      </c>
      <c r="I147" s="9"/>
    </row>
    <row r="148" spans="1:9" x14ac:dyDescent="0.25">
      <c r="A148" s="3">
        <v>45859</v>
      </c>
      <c r="B148" s="4">
        <v>8.16</v>
      </c>
      <c r="C148" s="4">
        <v>9.07</v>
      </c>
      <c r="D148" s="1">
        <f t="shared" si="4"/>
        <v>1.9999999999999574</v>
      </c>
      <c r="E148" s="1">
        <f t="shared" si="4"/>
        <v>-1.9999999999999574</v>
      </c>
      <c r="F148" s="9">
        <f>-D148*indicaciones!$G$8*indicaciones!$D$4</f>
        <v>-125277.3584000549</v>
      </c>
      <c r="G148" s="9">
        <f>-E148*indicaciones!$G$9*indicaciones!$D$5</f>
        <v>134746.82460000523</v>
      </c>
      <c r="H148" s="9">
        <f t="shared" si="5"/>
        <v>9469.4661999503296</v>
      </c>
      <c r="I148" s="9"/>
    </row>
    <row r="149" spans="1:9" x14ac:dyDescent="0.25">
      <c r="A149" s="3">
        <v>45856</v>
      </c>
      <c r="B149" s="4">
        <v>8.14</v>
      </c>
      <c r="C149" s="4">
        <v>9.09</v>
      </c>
      <c r="D149" s="1">
        <f t="shared" si="4"/>
        <v>2.000000000000135</v>
      </c>
      <c r="E149" s="1">
        <f t="shared" si="4"/>
        <v>8.0000000000000071</v>
      </c>
      <c r="F149" s="9">
        <f>-D149*indicaciones!$G$8*indicaciones!$D$4</f>
        <v>-125277.35840006603</v>
      </c>
      <c r="G149" s="9">
        <f>-E149*indicaciones!$G$9*indicaciones!$D$5</f>
        <v>-538987.29840003292</v>
      </c>
      <c r="H149" s="9">
        <f t="shared" si="5"/>
        <v>-664264.65680009895</v>
      </c>
      <c r="I149" s="9"/>
    </row>
    <row r="150" spans="1:9" x14ac:dyDescent="0.25">
      <c r="A150" s="3">
        <v>45855</v>
      </c>
      <c r="B150" s="4">
        <v>8.1199999999999992</v>
      </c>
      <c r="C150" s="4">
        <v>9.01</v>
      </c>
      <c r="D150" s="1">
        <f t="shared" si="4"/>
        <v>-1.0000000000001563</v>
      </c>
      <c r="E150" s="1">
        <f t="shared" si="4"/>
        <v>2.9999999999999361</v>
      </c>
      <c r="F150" s="9">
        <f>-D150*indicaciones!$G$8*indicaciones!$D$4</f>
        <v>62638.679200038583</v>
      </c>
      <c r="G150" s="9">
        <f>-E150*indicaciones!$G$9*indicaciones!$D$5</f>
        <v>-202120.23690000785</v>
      </c>
      <c r="H150" s="9">
        <f t="shared" si="5"/>
        <v>-139481.55769996927</v>
      </c>
      <c r="I150" s="9"/>
    </row>
    <row r="151" spans="1:9" x14ac:dyDescent="0.25">
      <c r="A151" s="3">
        <v>45854</v>
      </c>
      <c r="B151" s="4">
        <v>8.1300000000000008</v>
      </c>
      <c r="C151" s="4">
        <v>8.98</v>
      </c>
      <c r="D151" s="1">
        <f t="shared" si="4"/>
        <v>-0.99999999999997868</v>
      </c>
      <c r="E151" s="1">
        <f t="shared" si="4"/>
        <v>-0.99999999999997868</v>
      </c>
      <c r="F151" s="9">
        <f>-D151*indicaciones!$G$8*indicaciones!$D$4</f>
        <v>62638.679200027451</v>
      </c>
      <c r="G151" s="9">
        <f>-E151*indicaciones!$G$9*indicaciones!$D$5</f>
        <v>67373.412300002616</v>
      </c>
      <c r="H151" s="9">
        <f t="shared" si="5"/>
        <v>130012.09150003007</v>
      </c>
      <c r="I151" s="9"/>
    </row>
    <row r="152" spans="1:9" x14ac:dyDescent="0.25">
      <c r="A152" s="3">
        <v>45853</v>
      </c>
      <c r="B152" s="4">
        <v>8.14</v>
      </c>
      <c r="C152" s="4">
        <v>8.99</v>
      </c>
      <c r="D152" s="1">
        <f t="shared" si="4"/>
        <v>0</v>
      </c>
      <c r="E152" s="1">
        <f t="shared" si="4"/>
        <v>2.9999999999999361</v>
      </c>
      <c r="F152" s="9">
        <f>-D152*indicaciones!$G$8*indicaciones!$D$4</f>
        <v>0</v>
      </c>
      <c r="G152" s="9">
        <f>-E152*indicaciones!$G$9*indicaciones!$D$5</f>
        <v>-202120.23690000785</v>
      </c>
      <c r="H152" s="9">
        <f t="shared" si="5"/>
        <v>-202120.23690000785</v>
      </c>
      <c r="I152" s="9"/>
    </row>
    <row r="153" spans="1:9" x14ac:dyDescent="0.25">
      <c r="A153" s="3">
        <v>45852</v>
      </c>
      <c r="B153" s="4">
        <v>8.14</v>
      </c>
      <c r="C153" s="4">
        <v>8.9600000000000009</v>
      </c>
      <c r="D153" s="1">
        <f t="shared" si="4"/>
        <v>4.0000000000000924</v>
      </c>
      <c r="E153" s="1">
        <f t="shared" si="4"/>
        <v>-0.99999999999997868</v>
      </c>
      <c r="F153" s="9">
        <f>-D153*indicaciones!$G$8*indicaciones!$D$4</f>
        <v>-250554.71680012092</v>
      </c>
      <c r="G153" s="9">
        <f>-E153*indicaciones!$G$9*indicaciones!$D$5</f>
        <v>67373.412300002616</v>
      </c>
      <c r="H153" s="9">
        <f t="shared" si="5"/>
        <v>-183181.30450011831</v>
      </c>
      <c r="I153" s="9"/>
    </row>
    <row r="154" spans="1:9" x14ac:dyDescent="0.25">
      <c r="A154" s="3">
        <v>45849</v>
      </c>
      <c r="B154" s="4">
        <v>8.1</v>
      </c>
      <c r="C154" s="4">
        <v>8.9700000000000006</v>
      </c>
      <c r="D154" s="1">
        <f t="shared" si="4"/>
        <v>1.9999999999999574</v>
      </c>
      <c r="E154" s="1">
        <f t="shared" si="4"/>
        <v>4.0000000000000924</v>
      </c>
      <c r="F154" s="9">
        <f>-D154*indicaciones!$G$8*indicaciones!$D$4</f>
        <v>-125277.3584000549</v>
      </c>
      <c r="G154" s="9">
        <f>-E154*indicaciones!$G$9*indicaciones!$D$5</f>
        <v>-269493.6492000224</v>
      </c>
      <c r="H154" s="9">
        <f t="shared" si="5"/>
        <v>-394771.00760007731</v>
      </c>
      <c r="I154" s="9"/>
    </row>
    <row r="155" spans="1:9" x14ac:dyDescent="0.25">
      <c r="A155" s="3">
        <v>45848</v>
      </c>
      <c r="B155" s="4">
        <v>8.08</v>
      </c>
      <c r="C155" s="4">
        <v>8.93</v>
      </c>
      <c r="D155" s="1">
        <f t="shared" si="4"/>
        <v>-6.0000000000000497</v>
      </c>
      <c r="E155" s="1">
        <f t="shared" si="4"/>
        <v>2.9999999999999361</v>
      </c>
      <c r="F155" s="9">
        <f>-D155*indicaciones!$G$8*indicaciones!$D$4</f>
        <v>375832.07520017581</v>
      </c>
      <c r="G155" s="9">
        <f>-E155*indicaciones!$G$9*indicaciones!$D$5</f>
        <v>-202120.23690000785</v>
      </c>
      <c r="H155" s="9">
        <f t="shared" si="5"/>
        <v>173711.83830016796</v>
      </c>
      <c r="I155" s="9"/>
    </row>
    <row r="156" spans="1:9" x14ac:dyDescent="0.25">
      <c r="A156" s="3">
        <v>45847</v>
      </c>
      <c r="B156" s="4">
        <v>8.14</v>
      </c>
      <c r="C156" s="4">
        <v>8.9</v>
      </c>
      <c r="D156" s="1">
        <f t="shared" si="4"/>
        <v>0</v>
      </c>
      <c r="E156" s="1">
        <f t="shared" si="4"/>
        <v>-4.9999999999998934</v>
      </c>
      <c r="F156" s="9">
        <f>-D156*indicaciones!$G$8*indicaciones!$D$4</f>
        <v>0</v>
      </c>
      <c r="G156" s="9">
        <f>-E156*indicaciones!$G$9*indicaciones!$D$5</f>
        <v>336867.06150001305</v>
      </c>
      <c r="H156" s="9">
        <f t="shared" si="5"/>
        <v>336867.06150001305</v>
      </c>
      <c r="I156" s="9"/>
    </row>
    <row r="157" spans="1:9" x14ac:dyDescent="0.25">
      <c r="A157" s="3">
        <v>45846</v>
      </c>
      <c r="B157" s="4">
        <v>8.14</v>
      </c>
      <c r="C157" s="4">
        <v>8.9499999999999993</v>
      </c>
      <c r="D157" s="1">
        <f t="shared" si="4"/>
        <v>-0.99999999999997868</v>
      </c>
      <c r="E157" s="1">
        <f t="shared" si="4"/>
        <v>3.9999999999999147</v>
      </c>
      <c r="F157" s="9">
        <f>-D157*indicaciones!$G$8*indicaciones!$D$4</f>
        <v>62638.679200027451</v>
      </c>
      <c r="G157" s="9">
        <f>-E157*indicaciones!$G$9*indicaciones!$D$5</f>
        <v>-269493.64920001046</v>
      </c>
      <c r="H157" s="9">
        <f t="shared" si="5"/>
        <v>-206854.969999983</v>
      </c>
      <c r="I157" s="9"/>
    </row>
    <row r="158" spans="1:9" x14ac:dyDescent="0.25">
      <c r="A158" s="3">
        <v>45845</v>
      </c>
      <c r="B158" s="4">
        <v>8.15</v>
      </c>
      <c r="C158" s="4">
        <v>8.91</v>
      </c>
      <c r="D158" s="1">
        <f t="shared" si="4"/>
        <v>-1.9999999999999574</v>
      </c>
      <c r="E158" s="1">
        <f t="shared" si="4"/>
        <v>4.0000000000000924</v>
      </c>
      <c r="F158" s="9">
        <f>-D158*indicaciones!$G$8*indicaciones!$D$4</f>
        <v>125277.3584000549</v>
      </c>
      <c r="G158" s="9">
        <f>-E158*indicaciones!$G$9*indicaciones!$D$5</f>
        <v>-269493.6492000224</v>
      </c>
      <c r="H158" s="9">
        <f t="shared" si="5"/>
        <v>-144216.29079996748</v>
      </c>
      <c r="I158" s="9"/>
    </row>
    <row r="159" spans="1:9" x14ac:dyDescent="0.25">
      <c r="A159" s="3">
        <v>45842</v>
      </c>
      <c r="B159" s="4">
        <v>8.17</v>
      </c>
      <c r="C159" s="4">
        <v>8.8699999999999992</v>
      </c>
      <c r="D159" s="1">
        <f t="shared" si="4"/>
        <v>3.9999999999999147</v>
      </c>
      <c r="E159" s="1">
        <f t="shared" si="4"/>
        <v>5.9999999999998721</v>
      </c>
      <c r="F159" s="9">
        <f>-D159*indicaciones!$G$8*indicaciones!$D$4</f>
        <v>-250554.7168001098</v>
      </c>
      <c r="G159" s="9">
        <f>-E159*indicaciones!$G$9*indicaciones!$D$5</f>
        <v>-404240.47380001569</v>
      </c>
      <c r="H159" s="9">
        <f t="shared" si="5"/>
        <v>-654795.19060012547</v>
      </c>
      <c r="I159" s="9"/>
    </row>
    <row r="160" spans="1:9" x14ac:dyDescent="0.25">
      <c r="A160" s="3">
        <v>45841</v>
      </c>
      <c r="B160" s="4">
        <v>8.1300000000000008</v>
      </c>
      <c r="C160" s="4">
        <v>8.81</v>
      </c>
      <c r="D160" s="1">
        <f t="shared" si="4"/>
        <v>2.000000000000135</v>
      </c>
      <c r="E160" s="1">
        <f t="shared" si="4"/>
        <v>6.0000000000000497</v>
      </c>
      <c r="F160" s="9">
        <f>-D160*indicaciones!$G$8*indicaciones!$D$4</f>
        <v>-125277.35840006603</v>
      </c>
      <c r="G160" s="9">
        <f>-E160*indicaciones!$G$9*indicaciones!$D$5</f>
        <v>-404240.47380002763</v>
      </c>
      <c r="H160" s="9">
        <f t="shared" si="5"/>
        <v>-529517.83220009366</v>
      </c>
      <c r="I160" s="9"/>
    </row>
    <row r="161" spans="1:9" x14ac:dyDescent="0.25">
      <c r="A161" s="3">
        <v>45840</v>
      </c>
      <c r="B161" s="4">
        <v>8.11</v>
      </c>
      <c r="C161" s="4">
        <v>8.75</v>
      </c>
      <c r="D161" s="1">
        <f t="shared" si="4"/>
        <v>-4.0000000000000924</v>
      </c>
      <c r="E161" s="1">
        <f t="shared" si="4"/>
        <v>-2.9999999999999361</v>
      </c>
      <c r="F161" s="9">
        <f>-D161*indicaciones!$G$8*indicaciones!$D$4</f>
        <v>250554.71680012092</v>
      </c>
      <c r="G161" s="9">
        <f>-E161*indicaciones!$G$9*indicaciones!$D$5</f>
        <v>202120.23690000785</v>
      </c>
      <c r="H161" s="9">
        <f t="shared" si="5"/>
        <v>452674.95370012877</v>
      </c>
      <c r="I161" s="9"/>
    </row>
    <row r="162" spans="1:9" x14ac:dyDescent="0.25">
      <c r="A162" s="3">
        <v>45839</v>
      </c>
      <c r="B162" s="4">
        <v>8.15</v>
      </c>
      <c r="C162" s="4">
        <v>8.7799999999999994</v>
      </c>
      <c r="D162" s="1">
        <f t="shared" si="4"/>
        <v>1.9999999999999574</v>
      </c>
      <c r="E162" s="1">
        <f t="shared" si="4"/>
        <v>0</v>
      </c>
      <c r="F162" s="9">
        <f>-D162*indicaciones!$G$8*indicaciones!$D$4</f>
        <v>-125277.3584000549</v>
      </c>
      <c r="G162" s="9">
        <f>-E162*indicaciones!$G$9*indicaciones!$D$5</f>
        <v>0</v>
      </c>
      <c r="H162" s="9">
        <f t="shared" si="5"/>
        <v>-125277.3584000549</v>
      </c>
      <c r="I162" s="9"/>
    </row>
    <row r="163" spans="1:9" x14ac:dyDescent="0.25">
      <c r="A163" s="3">
        <v>45838</v>
      </c>
      <c r="B163" s="4">
        <v>8.1300000000000008</v>
      </c>
      <c r="C163" s="4">
        <v>8.7799999999999994</v>
      </c>
      <c r="D163" s="1">
        <f t="shared" si="4"/>
        <v>-1.9999999999999574</v>
      </c>
      <c r="E163" s="1">
        <f t="shared" si="4"/>
        <v>-10.000000000000142</v>
      </c>
      <c r="F163" s="9">
        <f>-D163*indicaciones!$G$8*indicaciones!$D$4</f>
        <v>125277.3584000549</v>
      </c>
      <c r="G163" s="9">
        <f>-E163*indicaciones!$G$9*indicaciones!$D$5</f>
        <v>673734.12300005008</v>
      </c>
      <c r="H163" s="9">
        <f t="shared" si="5"/>
        <v>799011.48140010494</v>
      </c>
      <c r="I163" s="9"/>
    </row>
    <row r="164" spans="1:9" x14ac:dyDescent="0.25">
      <c r="A164" s="3">
        <v>45835</v>
      </c>
      <c r="B164" s="4">
        <v>8.15</v>
      </c>
      <c r="C164" s="4">
        <v>8.8800000000000008</v>
      </c>
      <c r="D164" s="1">
        <f t="shared" si="4"/>
        <v>6.0000000000000497</v>
      </c>
      <c r="E164" s="1">
        <f t="shared" si="4"/>
        <v>6.0000000000000497</v>
      </c>
      <c r="F164" s="9">
        <f>-D164*indicaciones!$G$8*indicaciones!$D$4</f>
        <v>-375832.07520017581</v>
      </c>
      <c r="G164" s="9">
        <f>-E164*indicaciones!$G$9*indicaciones!$D$5</f>
        <v>-404240.47380002763</v>
      </c>
      <c r="H164" s="9">
        <f t="shared" si="5"/>
        <v>-780072.54900020338</v>
      </c>
      <c r="I164" s="9"/>
    </row>
    <row r="165" spans="1:9" x14ac:dyDescent="0.25">
      <c r="A165" s="3">
        <v>45834</v>
      </c>
      <c r="B165" s="4">
        <v>8.09</v>
      </c>
      <c r="C165" s="4">
        <v>8.82</v>
      </c>
      <c r="D165" s="1">
        <f t="shared" si="4"/>
        <v>-1.9999999999999574</v>
      </c>
      <c r="E165" s="1">
        <f t="shared" si="4"/>
        <v>0</v>
      </c>
      <c r="F165" s="9">
        <f>-D165*indicaciones!$G$8*indicaciones!$D$4</f>
        <v>125277.3584000549</v>
      </c>
      <c r="G165" s="9">
        <f>-E165*indicaciones!$G$9*indicaciones!$D$5</f>
        <v>0</v>
      </c>
      <c r="H165" s="9">
        <f t="shared" si="5"/>
        <v>125277.3584000549</v>
      </c>
      <c r="I165" s="9"/>
    </row>
    <row r="166" spans="1:9" x14ac:dyDescent="0.25">
      <c r="A166" s="3">
        <v>45833</v>
      </c>
      <c r="B166" s="4">
        <v>8.11</v>
      </c>
      <c r="C166" s="4">
        <v>8.82</v>
      </c>
      <c r="D166" s="1">
        <f t="shared" si="4"/>
        <v>-3.0000000000001137</v>
      </c>
      <c r="E166" s="1">
        <f t="shared" si="4"/>
        <v>-2.9999999999999361</v>
      </c>
      <c r="F166" s="9">
        <f>-D166*indicaciones!$G$8*indicaciones!$D$4</f>
        <v>187916.03760009346</v>
      </c>
      <c r="G166" s="9">
        <f>-E166*indicaciones!$G$9*indicaciones!$D$5</f>
        <v>202120.23690000785</v>
      </c>
      <c r="H166" s="9">
        <f t="shared" si="5"/>
        <v>390036.27450010134</v>
      </c>
      <c r="I166" s="9"/>
    </row>
    <row r="167" spans="1:9" x14ac:dyDescent="0.25">
      <c r="A167" s="3">
        <v>45832</v>
      </c>
      <c r="B167" s="4">
        <v>8.14</v>
      </c>
      <c r="C167" s="4">
        <v>8.85</v>
      </c>
      <c r="D167" s="1">
        <f t="shared" si="4"/>
        <v>-3.9999999999999147</v>
      </c>
      <c r="E167" s="1">
        <f t="shared" si="4"/>
        <v>-15.000000000000036</v>
      </c>
      <c r="F167" s="9">
        <f>-D167*indicaciones!$G$8*indicaciones!$D$4</f>
        <v>250554.7168001098</v>
      </c>
      <c r="G167" s="9">
        <f>-E167*indicaciones!$G$9*indicaciones!$D$5</f>
        <v>1010601.1845000631</v>
      </c>
      <c r="H167" s="9">
        <f t="shared" si="5"/>
        <v>1261155.9013001728</v>
      </c>
      <c r="I167" s="9"/>
    </row>
    <row r="168" spans="1:9" x14ac:dyDescent="0.25">
      <c r="A168" s="3">
        <v>45831</v>
      </c>
      <c r="B168" s="4">
        <v>8.18</v>
      </c>
      <c r="C168" s="4">
        <v>9</v>
      </c>
      <c r="D168" s="1">
        <f t="shared" si="4"/>
        <v>-0.99999999999997868</v>
      </c>
      <c r="E168" s="1">
        <f t="shared" si="4"/>
        <v>-8.9999999999999858</v>
      </c>
      <c r="F168" s="9">
        <f>-D168*indicaciones!$G$8*indicaciones!$D$4</f>
        <v>62638.679200027451</v>
      </c>
      <c r="G168" s="9">
        <f>-E168*indicaciones!$G$9*indicaciones!$D$5</f>
        <v>606360.71070003556</v>
      </c>
      <c r="H168" s="9">
        <f t="shared" si="5"/>
        <v>668999.38990006305</v>
      </c>
      <c r="I168" s="9"/>
    </row>
    <row r="169" spans="1:9" x14ac:dyDescent="0.25">
      <c r="A169" s="3">
        <v>45828</v>
      </c>
      <c r="B169" s="4">
        <v>8.19</v>
      </c>
      <c r="C169" s="4">
        <v>9.09</v>
      </c>
      <c r="D169" s="1">
        <f t="shared" si="4"/>
        <v>5.9999999999998721</v>
      </c>
      <c r="E169" s="1">
        <f t="shared" si="4"/>
        <v>8.0000000000000071</v>
      </c>
      <c r="F169" s="9">
        <f>-D169*indicaciones!$G$8*indicaciones!$D$4</f>
        <v>-375832.07520016469</v>
      </c>
      <c r="G169" s="9">
        <f>-E169*indicaciones!$G$9*indicaciones!$D$5</f>
        <v>-538987.29840003292</v>
      </c>
      <c r="H169" s="9">
        <f t="shared" si="5"/>
        <v>-914819.37360019761</v>
      </c>
      <c r="I169" s="9"/>
    </row>
    <row r="170" spans="1:9" x14ac:dyDescent="0.25">
      <c r="A170" s="3">
        <v>45827</v>
      </c>
      <c r="B170" s="4">
        <v>8.1300000000000008</v>
      </c>
      <c r="C170" s="4">
        <v>9.01</v>
      </c>
      <c r="D170" s="1">
        <f t="shared" si="4"/>
        <v>-0.99999999999997868</v>
      </c>
      <c r="E170" s="1">
        <f t="shared" si="4"/>
        <v>0.99999999999997868</v>
      </c>
      <c r="F170" s="9">
        <f>-D170*indicaciones!$G$8*indicaciones!$D$4</f>
        <v>62638.679200027451</v>
      </c>
      <c r="G170" s="9">
        <f>-E170*indicaciones!$G$9*indicaciones!$D$5</f>
        <v>-67373.412300002616</v>
      </c>
      <c r="H170" s="9">
        <f t="shared" si="5"/>
        <v>-4734.7330999751648</v>
      </c>
      <c r="I170" s="9"/>
    </row>
    <row r="171" spans="1:9" x14ac:dyDescent="0.25">
      <c r="A171" s="3">
        <v>45826</v>
      </c>
      <c r="B171" s="4">
        <v>8.14</v>
      </c>
      <c r="C171" s="4">
        <v>9</v>
      </c>
      <c r="D171" s="1">
        <f t="shared" si="4"/>
        <v>-1.9999999999999574</v>
      </c>
      <c r="E171" s="1">
        <f t="shared" si="4"/>
        <v>0</v>
      </c>
      <c r="F171" s="9">
        <f>-D171*indicaciones!$G$8*indicaciones!$D$4</f>
        <v>125277.3584000549</v>
      </c>
      <c r="G171" s="9">
        <f>-E171*indicaciones!$G$9*indicaciones!$D$5</f>
        <v>0</v>
      </c>
      <c r="H171" s="9">
        <f t="shared" si="5"/>
        <v>125277.3584000549</v>
      </c>
      <c r="I171" s="9"/>
    </row>
    <row r="172" spans="1:9" x14ac:dyDescent="0.25">
      <c r="A172" s="3">
        <v>45825</v>
      </c>
      <c r="B172" s="4">
        <v>8.16</v>
      </c>
      <c r="C172" s="4">
        <v>9</v>
      </c>
      <c r="D172" s="1">
        <f t="shared" si="4"/>
        <v>1.9999999999999574</v>
      </c>
      <c r="E172" s="1">
        <f t="shared" si="4"/>
        <v>5.0000000000000711</v>
      </c>
      <c r="F172" s="9">
        <f>-D172*indicaciones!$G$8*indicaciones!$D$4</f>
        <v>-125277.3584000549</v>
      </c>
      <c r="G172" s="9">
        <f>-E172*indicaciones!$G$9*indicaciones!$D$5</f>
        <v>-336867.06150002504</v>
      </c>
      <c r="H172" s="9">
        <f t="shared" si="5"/>
        <v>-462144.41990007996</v>
      </c>
      <c r="I172" s="9"/>
    </row>
    <row r="173" spans="1:9" x14ac:dyDescent="0.25">
      <c r="A173" s="3">
        <v>45824</v>
      </c>
      <c r="B173" s="4">
        <v>8.14</v>
      </c>
      <c r="C173" s="4">
        <v>8.9499999999999993</v>
      </c>
      <c r="D173" s="1">
        <f t="shared" si="4"/>
        <v>6.0000000000000497</v>
      </c>
      <c r="E173" s="1">
        <f t="shared" si="4"/>
        <v>-5.0000000000000711</v>
      </c>
      <c r="F173" s="9">
        <f>-D173*indicaciones!$G$8*indicaciones!$D$4</f>
        <v>-375832.07520017581</v>
      </c>
      <c r="G173" s="9">
        <f>-E173*indicaciones!$G$9*indicaciones!$D$5</f>
        <v>336867.06150002504</v>
      </c>
      <c r="H173" s="9">
        <f t="shared" si="5"/>
        <v>-38965.013700150768</v>
      </c>
      <c r="I173" s="9"/>
    </row>
    <row r="174" spans="1:9" x14ac:dyDescent="0.25">
      <c r="A174" s="3">
        <v>45821</v>
      </c>
      <c r="B174" s="4">
        <v>8.08</v>
      </c>
      <c r="C174" s="4">
        <v>9</v>
      </c>
      <c r="D174" s="1">
        <f t="shared" si="4"/>
        <v>0</v>
      </c>
      <c r="E174" s="1">
        <f t="shared" si="4"/>
        <v>-0.99999999999997868</v>
      </c>
      <c r="F174" s="9">
        <f>-D174*indicaciones!$G$8*indicaciones!$D$4</f>
        <v>0</v>
      </c>
      <c r="G174" s="9">
        <f>-E174*indicaciones!$G$9*indicaciones!$D$5</f>
        <v>67373.412300002616</v>
      </c>
      <c r="H174" s="9">
        <f t="shared" si="5"/>
        <v>67373.412300002616</v>
      </c>
      <c r="I174" s="9"/>
    </row>
    <row r="175" spans="1:9" x14ac:dyDescent="0.25">
      <c r="A175" s="3">
        <v>45820</v>
      </c>
      <c r="B175" s="4">
        <v>8.08</v>
      </c>
      <c r="C175" s="4">
        <v>9.01</v>
      </c>
      <c r="D175" s="1">
        <f t="shared" si="4"/>
        <v>-7.0000000000000284</v>
      </c>
      <c r="E175" s="1">
        <f t="shared" si="4"/>
        <v>0</v>
      </c>
      <c r="F175" s="9">
        <f>-D175*indicaciones!$G$8*indicaciones!$D$4</f>
        <v>438470.7544002033</v>
      </c>
      <c r="G175" s="9">
        <f>-E175*indicaciones!$G$9*indicaciones!$D$5</f>
        <v>0</v>
      </c>
      <c r="H175" s="9">
        <f t="shared" si="5"/>
        <v>438470.7544002033</v>
      </c>
      <c r="I175" s="9"/>
    </row>
    <row r="176" spans="1:9" x14ac:dyDescent="0.25">
      <c r="A176" s="3">
        <v>45819</v>
      </c>
      <c r="B176" s="4">
        <v>8.15</v>
      </c>
      <c r="C176" s="4">
        <v>9.01</v>
      </c>
      <c r="D176" s="1">
        <f t="shared" si="4"/>
        <v>0</v>
      </c>
      <c r="E176" s="1">
        <f t="shared" si="4"/>
        <v>0.99999999999997868</v>
      </c>
      <c r="F176" s="9">
        <f>-D176*indicaciones!$G$8*indicaciones!$D$4</f>
        <v>0</v>
      </c>
      <c r="G176" s="9">
        <f>-E176*indicaciones!$G$9*indicaciones!$D$5</f>
        <v>-67373.412300002616</v>
      </c>
      <c r="H176" s="9">
        <f t="shared" si="5"/>
        <v>-67373.412300002616</v>
      </c>
      <c r="I176" s="9"/>
    </row>
    <row r="177" spans="1:9" x14ac:dyDescent="0.25">
      <c r="A177" s="3">
        <v>45818</v>
      </c>
      <c r="B177" s="4">
        <v>8.15</v>
      </c>
      <c r="C177" s="4">
        <v>9</v>
      </c>
      <c r="D177" s="1">
        <f t="shared" si="4"/>
        <v>0.99999999999997868</v>
      </c>
      <c r="E177" s="1">
        <f t="shared" si="4"/>
        <v>0</v>
      </c>
      <c r="F177" s="9">
        <f>-D177*indicaciones!$G$8*indicaciones!$D$4</f>
        <v>-62638.679200027451</v>
      </c>
      <c r="G177" s="9">
        <f>-E177*indicaciones!$G$9*indicaciones!$D$5</f>
        <v>0</v>
      </c>
      <c r="H177" s="9">
        <f t="shared" si="5"/>
        <v>-62638.679200027451</v>
      </c>
      <c r="I177" s="9"/>
    </row>
    <row r="178" spans="1:9" x14ac:dyDescent="0.25">
      <c r="A178" s="3">
        <v>45817</v>
      </c>
      <c r="B178" s="4">
        <v>8.14</v>
      </c>
      <c r="C178" s="4">
        <v>9</v>
      </c>
      <c r="D178" s="1">
        <f t="shared" si="4"/>
        <v>6.0000000000000497</v>
      </c>
      <c r="E178" s="1">
        <f t="shared" si="4"/>
        <v>-0.99999999999997868</v>
      </c>
      <c r="F178" s="9">
        <f>-D178*indicaciones!$G$8*indicaciones!$D$4</f>
        <v>-375832.07520017581</v>
      </c>
      <c r="G178" s="9">
        <f>-E178*indicaciones!$G$9*indicaciones!$D$5</f>
        <v>67373.412300002616</v>
      </c>
      <c r="H178" s="9">
        <f t="shared" si="5"/>
        <v>-308458.66290017322</v>
      </c>
      <c r="I178" s="9"/>
    </row>
    <row r="179" spans="1:9" x14ac:dyDescent="0.25">
      <c r="A179" s="3">
        <v>45814</v>
      </c>
      <c r="B179" s="4">
        <v>8.08</v>
      </c>
      <c r="C179" s="4">
        <v>9.01</v>
      </c>
      <c r="D179" s="1">
        <f t="shared" si="4"/>
        <v>2.9999999999999361</v>
      </c>
      <c r="E179" s="1">
        <f t="shared" si="4"/>
        <v>-4.0000000000000924</v>
      </c>
      <c r="F179" s="9">
        <f>-D179*indicaciones!$G$8*indicaciones!$D$4</f>
        <v>-187916.03760008235</v>
      </c>
      <c r="G179" s="9">
        <f>-E179*indicaciones!$G$9*indicaciones!$D$5</f>
        <v>269493.6492000224</v>
      </c>
      <c r="H179" s="9">
        <f t="shared" si="5"/>
        <v>81577.61159994005</v>
      </c>
      <c r="I179" s="9"/>
    </row>
    <row r="180" spans="1:9" x14ac:dyDescent="0.25">
      <c r="A180" s="3">
        <v>45813</v>
      </c>
      <c r="B180" s="4">
        <v>8.0500000000000007</v>
      </c>
      <c r="C180" s="4">
        <v>9.0500000000000007</v>
      </c>
      <c r="D180" s="1">
        <f t="shared" si="4"/>
        <v>-0.99999999999997868</v>
      </c>
      <c r="E180" s="1">
        <f t="shared" si="4"/>
        <v>-0.99999999999997868</v>
      </c>
      <c r="F180" s="9">
        <f>-D180*indicaciones!$G$8*indicaciones!$D$4</f>
        <v>62638.679200027451</v>
      </c>
      <c r="G180" s="9">
        <f>-E180*indicaciones!$G$9*indicaciones!$D$5</f>
        <v>67373.412300002616</v>
      </c>
      <c r="H180" s="9">
        <f t="shared" si="5"/>
        <v>130012.09150003007</v>
      </c>
      <c r="I180" s="9"/>
    </row>
    <row r="181" spans="1:9" x14ac:dyDescent="0.25">
      <c r="A181" s="3">
        <v>45812</v>
      </c>
      <c r="B181" s="4">
        <v>8.06</v>
      </c>
      <c r="C181" s="4">
        <v>9.06</v>
      </c>
      <c r="D181" s="1">
        <f t="shared" si="4"/>
        <v>-4.9999999999998934</v>
      </c>
      <c r="E181" s="1">
        <f t="shared" si="4"/>
        <v>-11.999999999999922</v>
      </c>
      <c r="F181" s="9">
        <f>-D181*indicaciones!$G$8*indicaciones!$D$4</f>
        <v>313193.3960001372</v>
      </c>
      <c r="G181" s="9">
        <f>-E181*indicaciones!$G$9*indicaciones!$D$5</f>
        <v>808480.94760004338</v>
      </c>
      <c r="H181" s="9">
        <f t="shared" si="5"/>
        <v>1121674.3436001805</v>
      </c>
      <c r="I181" s="9"/>
    </row>
    <row r="182" spans="1:9" x14ac:dyDescent="0.25">
      <c r="A182" s="3">
        <v>45811</v>
      </c>
      <c r="B182" s="4">
        <v>8.11</v>
      </c>
      <c r="C182" s="4">
        <v>9.18</v>
      </c>
      <c r="D182" s="1">
        <f t="shared" si="4"/>
        <v>-4.0000000000000924</v>
      </c>
      <c r="E182" s="1">
        <f t="shared" si="4"/>
        <v>-3.0000000000001137</v>
      </c>
      <c r="F182" s="9">
        <f>-D182*indicaciones!$G$8*indicaciones!$D$4</f>
        <v>250554.71680012092</v>
      </c>
      <c r="G182" s="9">
        <f>-E182*indicaciones!$G$9*indicaciones!$D$5</f>
        <v>202120.23690001981</v>
      </c>
      <c r="H182" s="9">
        <f t="shared" si="5"/>
        <v>452674.9537001407</v>
      </c>
      <c r="I182" s="9"/>
    </row>
    <row r="183" spans="1:9" x14ac:dyDescent="0.25">
      <c r="A183" s="3">
        <v>45810</v>
      </c>
      <c r="B183" s="4">
        <v>8.15</v>
      </c>
      <c r="C183" s="4">
        <v>9.2100000000000009</v>
      </c>
      <c r="D183" s="1">
        <f t="shared" si="4"/>
        <v>1.9999999999999574</v>
      </c>
      <c r="E183" s="1">
        <f t="shared" si="4"/>
        <v>0</v>
      </c>
      <c r="F183" s="9">
        <f>-D183*indicaciones!$G$8*indicaciones!$D$4</f>
        <v>-125277.3584000549</v>
      </c>
      <c r="G183" s="9">
        <f>-E183*indicaciones!$G$9*indicaciones!$D$5</f>
        <v>0</v>
      </c>
      <c r="H183" s="9">
        <f t="shared" si="5"/>
        <v>-125277.3584000549</v>
      </c>
      <c r="I183" s="9"/>
    </row>
    <row r="184" spans="1:9" x14ac:dyDescent="0.25">
      <c r="A184" s="3">
        <v>45807</v>
      </c>
      <c r="B184" s="4">
        <v>8.1300000000000008</v>
      </c>
      <c r="C184" s="4">
        <v>9.2100000000000009</v>
      </c>
      <c r="D184" s="1">
        <f t="shared" si="4"/>
        <v>1.0000000000001563</v>
      </c>
      <c r="E184" s="1">
        <f t="shared" si="4"/>
        <v>1.0000000000001563</v>
      </c>
      <c r="F184" s="9">
        <f>-D184*indicaciones!$G$8*indicaciones!$D$4</f>
        <v>-62638.679200038583</v>
      </c>
      <c r="G184" s="9">
        <f>-E184*indicaciones!$G$9*indicaciones!$D$5</f>
        <v>-67373.412300014592</v>
      </c>
      <c r="H184" s="9">
        <f t="shared" si="5"/>
        <v>-130012.09150005318</v>
      </c>
      <c r="I184" s="9"/>
    </row>
    <row r="185" spans="1:9" x14ac:dyDescent="0.25">
      <c r="A185" s="3">
        <v>45806</v>
      </c>
      <c r="B185" s="4">
        <v>8.1199999999999992</v>
      </c>
      <c r="C185" s="4">
        <v>9.1999999999999993</v>
      </c>
      <c r="D185" s="1">
        <f t="shared" si="4"/>
        <v>-7.0000000000000284</v>
      </c>
      <c r="E185" s="1">
        <f t="shared" si="4"/>
        <v>-7.0000000000000284</v>
      </c>
      <c r="F185" s="9">
        <f>-D185*indicaciones!$G$8*indicaciones!$D$4</f>
        <v>438470.7544002033</v>
      </c>
      <c r="G185" s="9">
        <f>-E185*indicaciones!$G$9*indicaciones!$D$5</f>
        <v>471613.88610003027</v>
      </c>
      <c r="H185" s="9">
        <f t="shared" si="5"/>
        <v>910084.64050023351</v>
      </c>
      <c r="I185" s="9"/>
    </row>
    <row r="186" spans="1:9" x14ac:dyDescent="0.25">
      <c r="A186" s="3">
        <v>45805</v>
      </c>
      <c r="B186" s="4">
        <v>8.19</v>
      </c>
      <c r="C186" s="4">
        <v>9.27</v>
      </c>
      <c r="D186" s="1">
        <f t="shared" si="4"/>
        <v>-3.0000000000001137</v>
      </c>
      <c r="E186" s="1">
        <f t="shared" si="4"/>
        <v>0.99999999999997868</v>
      </c>
      <c r="F186" s="9">
        <f>-D186*indicaciones!$G$8*indicaciones!$D$4</f>
        <v>187916.03760009346</v>
      </c>
      <c r="G186" s="9">
        <f>-E186*indicaciones!$G$9*indicaciones!$D$5</f>
        <v>-67373.412300002616</v>
      </c>
      <c r="H186" s="9">
        <f t="shared" si="5"/>
        <v>120542.62530009085</v>
      </c>
      <c r="I186" s="9"/>
    </row>
    <row r="187" spans="1:9" x14ac:dyDescent="0.25">
      <c r="A187" s="3">
        <v>45804</v>
      </c>
      <c r="B187" s="4">
        <v>8.2200000000000006</v>
      </c>
      <c r="C187" s="4">
        <v>9.26</v>
      </c>
      <c r="D187" s="1">
        <f t="shared" si="4"/>
        <v>-1.9999999999999574</v>
      </c>
      <c r="E187" s="1">
        <f t="shared" si="4"/>
        <v>-8.9999999999999858</v>
      </c>
      <c r="F187" s="9">
        <f>-D187*indicaciones!$G$8*indicaciones!$D$4</f>
        <v>125277.3584000549</v>
      </c>
      <c r="G187" s="9">
        <f>-E187*indicaciones!$G$9*indicaciones!$D$5</f>
        <v>606360.71070003556</v>
      </c>
      <c r="H187" s="9">
        <f t="shared" si="5"/>
        <v>731638.06910009042</v>
      </c>
      <c r="I187" s="9"/>
    </row>
    <row r="188" spans="1:9" x14ac:dyDescent="0.25">
      <c r="A188" s="3">
        <v>45803</v>
      </c>
      <c r="B188" s="4">
        <v>8.24</v>
      </c>
      <c r="C188" s="4">
        <v>9.35</v>
      </c>
      <c r="D188" s="1">
        <f t="shared" si="4"/>
        <v>2.9999999999999361</v>
      </c>
      <c r="E188" s="1">
        <f t="shared" si="4"/>
        <v>0</v>
      </c>
      <c r="F188" s="9">
        <f>-D188*indicaciones!$G$8*indicaciones!$D$4</f>
        <v>-187916.03760008235</v>
      </c>
      <c r="G188" s="9">
        <f>-E188*indicaciones!$G$9*indicaciones!$D$5</f>
        <v>0</v>
      </c>
      <c r="H188" s="9">
        <f t="shared" si="5"/>
        <v>-187916.03760008235</v>
      </c>
      <c r="I188" s="9"/>
    </row>
    <row r="189" spans="1:9" x14ac:dyDescent="0.25">
      <c r="A189" s="3">
        <v>45800</v>
      </c>
      <c r="B189" s="4">
        <v>8.2100000000000009</v>
      </c>
      <c r="C189" s="4">
        <v>9.35</v>
      </c>
      <c r="D189" s="1">
        <f t="shared" si="4"/>
        <v>0</v>
      </c>
      <c r="E189" s="1">
        <f t="shared" si="4"/>
        <v>0.99999999999997868</v>
      </c>
      <c r="F189" s="9">
        <f>-D189*indicaciones!$G$8*indicaciones!$D$4</f>
        <v>0</v>
      </c>
      <c r="G189" s="9">
        <f>-E189*indicaciones!$G$9*indicaciones!$D$5</f>
        <v>-67373.412300002616</v>
      </c>
      <c r="H189" s="9">
        <f t="shared" si="5"/>
        <v>-67373.412300002616</v>
      </c>
      <c r="I189" s="9"/>
    </row>
    <row r="190" spans="1:9" x14ac:dyDescent="0.25">
      <c r="A190" s="3">
        <v>45799</v>
      </c>
      <c r="B190" s="4">
        <v>8.2100000000000009</v>
      </c>
      <c r="C190" s="4">
        <v>9.34</v>
      </c>
      <c r="D190" s="1">
        <f t="shared" si="4"/>
        <v>-3.9999999999999147</v>
      </c>
      <c r="E190" s="1">
        <f t="shared" si="4"/>
        <v>-2.9999999999999361</v>
      </c>
      <c r="F190" s="9">
        <f>-D190*indicaciones!$G$8*indicaciones!$D$4</f>
        <v>250554.7168001098</v>
      </c>
      <c r="G190" s="9">
        <f>-E190*indicaciones!$G$9*indicaciones!$D$5</f>
        <v>202120.23690000785</v>
      </c>
      <c r="H190" s="9">
        <f t="shared" si="5"/>
        <v>452674.95370011765</v>
      </c>
      <c r="I190" s="9"/>
    </row>
    <row r="191" spans="1:9" x14ac:dyDescent="0.25">
      <c r="A191" s="3">
        <v>45798</v>
      </c>
      <c r="B191" s="4">
        <v>8.25</v>
      </c>
      <c r="C191" s="4">
        <v>9.3699999999999992</v>
      </c>
      <c r="D191" s="1">
        <f t="shared" si="4"/>
        <v>-1.9999999999999574</v>
      </c>
      <c r="E191" s="1">
        <f t="shared" si="4"/>
        <v>3.9999999999999147</v>
      </c>
      <c r="F191" s="9">
        <f>-D191*indicaciones!$G$8*indicaciones!$D$4</f>
        <v>125277.3584000549</v>
      </c>
      <c r="G191" s="9">
        <f>-E191*indicaciones!$G$9*indicaciones!$D$5</f>
        <v>-269493.64920001046</v>
      </c>
      <c r="H191" s="9">
        <f t="shared" si="5"/>
        <v>-144216.29079995555</v>
      </c>
      <c r="I191" s="9"/>
    </row>
    <row r="192" spans="1:9" x14ac:dyDescent="0.25">
      <c r="A192" s="3">
        <v>45797</v>
      </c>
      <c r="B192" s="4">
        <v>8.27</v>
      </c>
      <c r="C192" s="4">
        <v>9.33</v>
      </c>
      <c r="D192" s="1">
        <f t="shared" si="4"/>
        <v>2.9999999999999361</v>
      </c>
      <c r="E192" s="1">
        <f t="shared" si="4"/>
        <v>0</v>
      </c>
      <c r="F192" s="9">
        <f>-D192*indicaciones!$G$8*indicaciones!$D$4</f>
        <v>-187916.03760008235</v>
      </c>
      <c r="G192" s="9">
        <f>-E192*indicaciones!$G$9*indicaciones!$D$5</f>
        <v>0</v>
      </c>
      <c r="H192" s="9">
        <f t="shared" si="5"/>
        <v>-187916.03760008235</v>
      </c>
      <c r="I192" s="9"/>
    </row>
    <row r="193" spans="1:9" x14ac:dyDescent="0.25">
      <c r="A193" s="3">
        <v>45796</v>
      </c>
      <c r="B193" s="4">
        <v>8.24</v>
      </c>
      <c r="C193" s="4">
        <v>9.33</v>
      </c>
      <c r="D193" s="1">
        <f t="shared" si="4"/>
        <v>-3.9999999999999147</v>
      </c>
      <c r="E193" s="1">
        <f t="shared" si="4"/>
        <v>-1.9999999999999574</v>
      </c>
      <c r="F193" s="9">
        <f>-D193*indicaciones!$G$8*indicaciones!$D$4</f>
        <v>250554.7168001098</v>
      </c>
      <c r="G193" s="9">
        <f>-E193*indicaciones!$G$9*indicaciones!$D$5</f>
        <v>134746.82460000523</v>
      </c>
      <c r="H193" s="9">
        <f t="shared" si="5"/>
        <v>385301.54140011501</v>
      </c>
      <c r="I193" s="9"/>
    </row>
    <row r="194" spans="1:9" x14ac:dyDescent="0.25">
      <c r="A194" s="3">
        <v>45793</v>
      </c>
      <c r="B194" s="4">
        <v>8.2799999999999994</v>
      </c>
      <c r="C194" s="4">
        <v>9.35</v>
      </c>
      <c r="D194" s="1">
        <f t="shared" si="4"/>
        <v>-2.000000000000135</v>
      </c>
      <c r="E194" s="1">
        <f t="shared" si="4"/>
        <v>-0.99999999999997868</v>
      </c>
      <c r="F194" s="9">
        <f>-D194*indicaciones!$G$8*indicaciones!$D$4</f>
        <v>125277.35840006603</v>
      </c>
      <c r="G194" s="9">
        <f>-E194*indicaciones!$G$9*indicaciones!$D$5</f>
        <v>67373.412300002616</v>
      </c>
      <c r="H194" s="9">
        <f t="shared" si="5"/>
        <v>192650.77070006865</v>
      </c>
      <c r="I194" s="9"/>
    </row>
    <row r="195" spans="1:9" x14ac:dyDescent="0.25">
      <c r="A195" s="3">
        <v>45792</v>
      </c>
      <c r="B195" s="4">
        <v>8.3000000000000007</v>
      </c>
      <c r="C195" s="4">
        <v>9.36</v>
      </c>
      <c r="D195" s="1">
        <f t="shared" ref="D195:E258" si="6">(B195-B196)*100</f>
        <v>-11.999999999999922</v>
      </c>
      <c r="E195" s="1">
        <f t="shared" si="6"/>
        <v>-6.0000000000000497</v>
      </c>
      <c r="F195" s="9">
        <f>-D195*indicaciones!$G$8*indicaciones!$D$4</f>
        <v>751664.15040034044</v>
      </c>
      <c r="G195" s="9">
        <f>-E195*indicaciones!$G$9*indicaciones!$D$5</f>
        <v>404240.47380002763</v>
      </c>
      <c r="H195" s="9">
        <f t="shared" ref="H195:H258" si="7">F195+G195</f>
        <v>1155904.6242003681</v>
      </c>
      <c r="I195" s="9"/>
    </row>
    <row r="196" spans="1:9" x14ac:dyDescent="0.25">
      <c r="A196" s="3">
        <v>45791</v>
      </c>
      <c r="B196" s="4">
        <v>8.42</v>
      </c>
      <c r="C196" s="4">
        <v>9.42</v>
      </c>
      <c r="D196" s="1">
        <f t="shared" si="6"/>
        <v>8.9999999999999858</v>
      </c>
      <c r="E196" s="1">
        <f t="shared" si="6"/>
        <v>9.9999999999999645</v>
      </c>
      <c r="F196" s="9">
        <f>-D196*indicaciones!$G$8*indicaciones!$D$4</f>
        <v>-563748.1128002581</v>
      </c>
      <c r="G196" s="9">
        <f>-E196*indicaciones!$G$9*indicaciones!$D$5</f>
        <v>-673734.12300003821</v>
      </c>
      <c r="H196" s="9">
        <f t="shared" si="7"/>
        <v>-1237482.2358002963</v>
      </c>
      <c r="I196" s="9"/>
    </row>
    <row r="197" spans="1:9" x14ac:dyDescent="0.25">
      <c r="A197" s="3">
        <v>45790</v>
      </c>
      <c r="B197" s="4">
        <v>8.33</v>
      </c>
      <c r="C197" s="4">
        <v>9.32</v>
      </c>
      <c r="D197" s="1">
        <f t="shared" si="6"/>
        <v>5.0000000000000711</v>
      </c>
      <c r="E197" s="1">
        <f t="shared" si="6"/>
        <v>1.9999999999999574</v>
      </c>
      <c r="F197" s="9">
        <f>-D197*indicaciones!$G$8*indicaciones!$D$4</f>
        <v>-313193.39600014838</v>
      </c>
      <c r="G197" s="9">
        <f>-E197*indicaciones!$G$9*indicaciones!$D$5</f>
        <v>-134746.82460000523</v>
      </c>
      <c r="H197" s="9">
        <f t="shared" si="7"/>
        <v>-447940.22060015361</v>
      </c>
      <c r="I197" s="9"/>
    </row>
    <row r="198" spans="1:9" x14ac:dyDescent="0.25">
      <c r="A198" s="3">
        <v>45789</v>
      </c>
      <c r="B198" s="4">
        <v>8.2799999999999994</v>
      </c>
      <c r="C198" s="4">
        <v>9.3000000000000007</v>
      </c>
      <c r="D198" s="1">
        <f t="shared" si="6"/>
        <v>5.9999999999998721</v>
      </c>
      <c r="E198" s="1">
        <f t="shared" si="6"/>
        <v>0</v>
      </c>
      <c r="F198" s="9">
        <f>-D198*indicaciones!$G$8*indicaciones!$D$4</f>
        <v>-375832.07520016469</v>
      </c>
      <c r="G198" s="9">
        <f>-E198*indicaciones!$G$9*indicaciones!$D$5</f>
        <v>0</v>
      </c>
      <c r="H198" s="9">
        <f t="shared" si="7"/>
        <v>-375832.07520016469</v>
      </c>
      <c r="I198" s="9"/>
    </row>
    <row r="199" spans="1:9" x14ac:dyDescent="0.25">
      <c r="A199" s="3">
        <v>45786</v>
      </c>
      <c r="B199" s="4">
        <v>8.2200000000000006</v>
      </c>
      <c r="C199" s="4">
        <v>9.3000000000000007</v>
      </c>
      <c r="D199" s="1">
        <f t="shared" si="6"/>
        <v>-3.9999999999999147</v>
      </c>
      <c r="E199" s="1">
        <f t="shared" si="6"/>
        <v>7.0000000000000284</v>
      </c>
      <c r="F199" s="9">
        <f>-D199*indicaciones!$G$8*indicaciones!$D$4</f>
        <v>250554.7168001098</v>
      </c>
      <c r="G199" s="9">
        <f>-E199*indicaciones!$G$9*indicaciones!$D$5</f>
        <v>-471613.88610003027</v>
      </c>
      <c r="H199" s="9">
        <f t="shared" si="7"/>
        <v>-221059.16929992047</v>
      </c>
      <c r="I199" s="9"/>
    </row>
    <row r="200" spans="1:9" x14ac:dyDescent="0.25">
      <c r="A200" s="3">
        <v>45785</v>
      </c>
      <c r="B200" s="4">
        <v>8.26</v>
      </c>
      <c r="C200" s="4">
        <v>9.23</v>
      </c>
      <c r="D200" s="1">
        <f t="shared" si="6"/>
        <v>8.9999999999999858</v>
      </c>
      <c r="E200" s="1">
        <f t="shared" si="6"/>
        <v>3.0000000000001137</v>
      </c>
      <c r="F200" s="9">
        <f>-D200*indicaciones!$G$8*indicaciones!$D$4</f>
        <v>-563748.1128002581</v>
      </c>
      <c r="G200" s="9">
        <f>-E200*indicaciones!$G$9*indicaciones!$D$5</f>
        <v>-202120.23690001981</v>
      </c>
      <c r="H200" s="9">
        <f t="shared" si="7"/>
        <v>-765868.3497002779</v>
      </c>
      <c r="I200" s="9"/>
    </row>
    <row r="201" spans="1:9" x14ac:dyDescent="0.25">
      <c r="A201" s="3">
        <v>45784</v>
      </c>
      <c r="B201" s="4">
        <v>8.17</v>
      </c>
      <c r="C201" s="4">
        <v>9.1999999999999993</v>
      </c>
      <c r="D201" s="1">
        <f t="shared" si="6"/>
        <v>-5.0000000000000711</v>
      </c>
      <c r="E201" s="1">
        <f t="shared" si="6"/>
        <v>0.99999999999997868</v>
      </c>
      <c r="F201" s="9">
        <f>-D201*indicaciones!$G$8*indicaciones!$D$4</f>
        <v>313193.39600014838</v>
      </c>
      <c r="G201" s="9">
        <f>-E201*indicaciones!$G$9*indicaciones!$D$5</f>
        <v>-67373.412300002616</v>
      </c>
      <c r="H201" s="9">
        <f t="shared" si="7"/>
        <v>245819.98370014576</v>
      </c>
      <c r="I201" s="9"/>
    </row>
    <row r="202" spans="1:9" x14ac:dyDescent="0.25">
      <c r="A202" s="3">
        <v>45783</v>
      </c>
      <c r="B202" s="4">
        <v>8.2200000000000006</v>
      </c>
      <c r="C202" s="4">
        <v>9.19</v>
      </c>
      <c r="D202" s="1">
        <f t="shared" si="6"/>
        <v>-2.9999999999999361</v>
      </c>
      <c r="E202" s="1">
        <f t="shared" si="6"/>
        <v>-7.0000000000000284</v>
      </c>
      <c r="F202" s="9">
        <f>-D202*indicaciones!$G$8*indicaciones!$D$4</f>
        <v>187916.03760008235</v>
      </c>
      <c r="G202" s="9">
        <f>-E202*indicaciones!$G$9*indicaciones!$D$5</f>
        <v>471613.88610003027</v>
      </c>
      <c r="H202" s="9">
        <f t="shared" si="7"/>
        <v>659529.92370011262</v>
      </c>
      <c r="I202" s="9"/>
    </row>
    <row r="203" spans="1:9" x14ac:dyDescent="0.25">
      <c r="A203" s="3">
        <v>45782</v>
      </c>
      <c r="B203" s="4">
        <v>8.25</v>
      </c>
      <c r="C203" s="4">
        <v>9.26</v>
      </c>
      <c r="D203" s="1">
        <f t="shared" si="6"/>
        <v>0</v>
      </c>
      <c r="E203" s="1">
        <f t="shared" si="6"/>
        <v>1.9999999999999574</v>
      </c>
      <c r="F203" s="9">
        <f>-D203*indicaciones!$G$8*indicaciones!$D$4</f>
        <v>0</v>
      </c>
      <c r="G203" s="9">
        <f>-E203*indicaciones!$G$9*indicaciones!$D$5</f>
        <v>-134746.82460000523</v>
      </c>
      <c r="H203" s="9">
        <f t="shared" si="7"/>
        <v>-134746.82460000523</v>
      </c>
      <c r="I203" s="9"/>
    </row>
    <row r="204" spans="1:9" x14ac:dyDescent="0.25">
      <c r="A204" s="3">
        <v>45779</v>
      </c>
      <c r="B204" s="4">
        <v>8.25</v>
      </c>
      <c r="C204" s="4">
        <v>9.24</v>
      </c>
      <c r="D204" s="1">
        <f t="shared" si="6"/>
        <v>3.9999999999999147</v>
      </c>
      <c r="E204" s="1">
        <f t="shared" si="6"/>
        <v>4.0000000000000924</v>
      </c>
      <c r="F204" s="9">
        <f>-D204*indicaciones!$G$8*indicaciones!$D$4</f>
        <v>-250554.7168001098</v>
      </c>
      <c r="G204" s="9">
        <f>-E204*indicaciones!$G$9*indicaciones!$D$5</f>
        <v>-269493.6492000224</v>
      </c>
      <c r="H204" s="9">
        <f t="shared" si="7"/>
        <v>-520048.36600013217</v>
      </c>
      <c r="I204" s="9"/>
    </row>
    <row r="205" spans="1:9" x14ac:dyDescent="0.25">
      <c r="A205" s="3">
        <v>45778</v>
      </c>
      <c r="B205" s="4">
        <v>8.2100000000000009</v>
      </c>
      <c r="C205" s="4">
        <v>9.1999999999999993</v>
      </c>
      <c r="D205" s="1">
        <f t="shared" si="6"/>
        <v>0</v>
      </c>
      <c r="E205" s="1">
        <f t="shared" si="6"/>
        <v>0</v>
      </c>
      <c r="F205" s="9">
        <f>-D205*indicaciones!$G$8*indicaciones!$D$4</f>
        <v>0</v>
      </c>
      <c r="G205" s="9">
        <f>-E205*indicaciones!$G$9*indicaciones!$D$5</f>
        <v>0</v>
      </c>
      <c r="H205" s="9">
        <f t="shared" si="7"/>
        <v>0</v>
      </c>
      <c r="I205" s="9"/>
    </row>
    <row r="206" spans="1:9" x14ac:dyDescent="0.25">
      <c r="A206" s="3">
        <v>45777</v>
      </c>
      <c r="B206" s="4">
        <v>8.2100000000000009</v>
      </c>
      <c r="C206" s="4">
        <v>9.1999999999999993</v>
      </c>
      <c r="D206" s="1">
        <f t="shared" si="6"/>
        <v>-0.99999999999997868</v>
      </c>
      <c r="E206" s="1">
        <f t="shared" si="6"/>
        <v>-5.0000000000000711</v>
      </c>
      <c r="F206" s="9">
        <f>-D206*indicaciones!$G$8*indicaciones!$D$4</f>
        <v>62638.679200027451</v>
      </c>
      <c r="G206" s="9">
        <f>-E206*indicaciones!$G$9*indicaciones!$D$5</f>
        <v>336867.06150002504</v>
      </c>
      <c r="H206" s="9">
        <f t="shared" si="7"/>
        <v>399505.74070005247</v>
      </c>
      <c r="I206" s="9"/>
    </row>
    <row r="207" spans="1:9" x14ac:dyDescent="0.25">
      <c r="A207" s="3">
        <v>45776</v>
      </c>
      <c r="B207" s="4">
        <v>8.2200000000000006</v>
      </c>
      <c r="C207" s="4">
        <v>9.25</v>
      </c>
      <c r="D207" s="1">
        <f t="shared" si="6"/>
        <v>0</v>
      </c>
      <c r="E207" s="1">
        <f t="shared" si="6"/>
        <v>0</v>
      </c>
      <c r="F207" s="9">
        <f>-D207*indicaciones!$G$8*indicaciones!$D$4</f>
        <v>0</v>
      </c>
      <c r="G207" s="9">
        <f>-E207*indicaciones!$G$9*indicaciones!$D$5</f>
        <v>0</v>
      </c>
      <c r="H207" s="9">
        <f t="shared" si="7"/>
        <v>0</v>
      </c>
      <c r="I207" s="9"/>
    </row>
    <row r="208" spans="1:9" x14ac:dyDescent="0.25">
      <c r="A208" s="3">
        <v>45775</v>
      </c>
      <c r="B208" s="4">
        <v>8.2200000000000006</v>
      </c>
      <c r="C208" s="4">
        <v>9.25</v>
      </c>
      <c r="D208" s="1">
        <f t="shared" si="6"/>
        <v>6.0000000000000497</v>
      </c>
      <c r="E208" s="1">
        <f t="shared" si="6"/>
        <v>5.0000000000000711</v>
      </c>
      <c r="F208" s="9">
        <f>-D208*indicaciones!$G$8*indicaciones!$D$4</f>
        <v>-375832.07520017581</v>
      </c>
      <c r="G208" s="9">
        <f>-E208*indicaciones!$G$9*indicaciones!$D$5</f>
        <v>-336867.06150002504</v>
      </c>
      <c r="H208" s="9">
        <f t="shared" si="7"/>
        <v>-712699.13670020085</v>
      </c>
      <c r="I208" s="9"/>
    </row>
    <row r="209" spans="1:9" x14ac:dyDescent="0.25">
      <c r="A209" s="3">
        <v>45772</v>
      </c>
      <c r="B209" s="4">
        <v>8.16</v>
      </c>
      <c r="C209" s="4">
        <v>9.1999999999999993</v>
      </c>
      <c r="D209" s="1">
        <f t="shared" si="6"/>
        <v>-1.9999999999999574</v>
      </c>
      <c r="E209" s="1">
        <f t="shared" si="6"/>
        <v>-5.0000000000000711</v>
      </c>
      <c r="F209" s="9">
        <f>-D209*indicaciones!$G$8*indicaciones!$D$4</f>
        <v>125277.3584000549</v>
      </c>
      <c r="G209" s="9">
        <f>-E209*indicaciones!$G$9*indicaciones!$D$5</f>
        <v>336867.06150002504</v>
      </c>
      <c r="H209" s="9">
        <f t="shared" si="7"/>
        <v>462144.41990007996</v>
      </c>
      <c r="I209" s="9"/>
    </row>
    <row r="210" spans="1:9" x14ac:dyDescent="0.25">
      <c r="A210" s="3">
        <v>45771</v>
      </c>
      <c r="B210" s="4">
        <v>8.18</v>
      </c>
      <c r="C210" s="4">
        <v>9.25</v>
      </c>
      <c r="D210" s="1">
        <f t="shared" si="6"/>
        <v>-4.0000000000000924</v>
      </c>
      <c r="E210" s="1">
        <f t="shared" si="6"/>
        <v>-13.000000000000078</v>
      </c>
      <c r="F210" s="9">
        <f>-D210*indicaciones!$G$8*indicaciones!$D$4</f>
        <v>250554.71680012092</v>
      </c>
      <c r="G210" s="9">
        <f>-E210*indicaciones!$G$9*indicaciones!$D$5</f>
        <v>875854.3599000579</v>
      </c>
      <c r="H210" s="9">
        <f t="shared" si="7"/>
        <v>1126409.0767001789</v>
      </c>
      <c r="I210" s="9"/>
    </row>
    <row r="211" spans="1:9" x14ac:dyDescent="0.25">
      <c r="A211" s="3">
        <v>45770</v>
      </c>
      <c r="B211" s="4">
        <v>8.2200000000000006</v>
      </c>
      <c r="C211" s="4">
        <v>9.3800000000000008</v>
      </c>
      <c r="D211" s="1">
        <f t="shared" si="6"/>
        <v>-0.99999999999997868</v>
      </c>
      <c r="E211" s="1">
        <f t="shared" si="6"/>
        <v>-4.9999999999998934</v>
      </c>
      <c r="F211" s="9">
        <f>-D211*indicaciones!$G$8*indicaciones!$D$4</f>
        <v>62638.679200027451</v>
      </c>
      <c r="G211" s="9">
        <f>-E211*indicaciones!$G$9*indicaciones!$D$5</f>
        <v>336867.06150001305</v>
      </c>
      <c r="H211" s="9">
        <f t="shared" si="7"/>
        <v>399505.74070004048</v>
      </c>
      <c r="I211" s="9"/>
    </row>
    <row r="212" spans="1:9" x14ac:dyDescent="0.25">
      <c r="A212" s="3">
        <v>45769</v>
      </c>
      <c r="B212" s="4">
        <v>8.23</v>
      </c>
      <c r="C212" s="4">
        <v>9.43</v>
      </c>
      <c r="D212" s="1">
        <f t="shared" si="6"/>
        <v>0</v>
      </c>
      <c r="E212" s="1">
        <f t="shared" si="6"/>
        <v>-7.0000000000000284</v>
      </c>
      <c r="F212" s="9">
        <f>-D212*indicaciones!$G$8*indicaciones!$D$4</f>
        <v>0</v>
      </c>
      <c r="G212" s="9">
        <f>-E212*indicaciones!$G$9*indicaciones!$D$5</f>
        <v>471613.88610003027</v>
      </c>
      <c r="H212" s="9">
        <f t="shared" si="7"/>
        <v>471613.88610003027</v>
      </c>
      <c r="I212" s="9"/>
    </row>
    <row r="213" spans="1:9" x14ac:dyDescent="0.25">
      <c r="A213" s="3">
        <v>45768</v>
      </c>
      <c r="B213" s="4">
        <v>8.23</v>
      </c>
      <c r="C213" s="4">
        <v>9.5</v>
      </c>
      <c r="D213" s="1">
        <f t="shared" si="6"/>
        <v>-1.9999999999999574</v>
      </c>
      <c r="E213" s="1">
        <f t="shared" si="6"/>
        <v>11.999999999999922</v>
      </c>
      <c r="F213" s="9">
        <f>-D213*indicaciones!$G$8*indicaciones!$D$4</f>
        <v>125277.3584000549</v>
      </c>
      <c r="G213" s="9">
        <f>-E213*indicaciones!$G$9*indicaciones!$D$5</f>
        <v>-808480.94760004338</v>
      </c>
      <c r="H213" s="9">
        <f t="shared" si="7"/>
        <v>-683203.58919998852</v>
      </c>
      <c r="I213" s="9"/>
    </row>
    <row r="214" spans="1:9" x14ac:dyDescent="0.25">
      <c r="A214" s="3">
        <v>45765</v>
      </c>
      <c r="B214" s="4">
        <v>8.25</v>
      </c>
      <c r="C214" s="4">
        <v>9.3800000000000008</v>
      </c>
      <c r="D214" s="1">
        <f t="shared" si="6"/>
        <v>0</v>
      </c>
      <c r="E214" s="1">
        <f t="shared" si="6"/>
        <v>0</v>
      </c>
      <c r="F214" s="9">
        <f>-D214*indicaciones!$G$8*indicaciones!$D$4</f>
        <v>0</v>
      </c>
      <c r="G214" s="9">
        <f>-E214*indicaciones!$G$9*indicaciones!$D$5</f>
        <v>0</v>
      </c>
      <c r="H214" s="9">
        <f t="shared" si="7"/>
        <v>0</v>
      </c>
      <c r="I214" s="9"/>
    </row>
    <row r="215" spans="1:9" x14ac:dyDescent="0.25">
      <c r="A215" s="3">
        <v>45764</v>
      </c>
      <c r="B215" s="4">
        <v>8.25</v>
      </c>
      <c r="C215" s="4">
        <v>9.3800000000000008</v>
      </c>
      <c r="D215" s="1">
        <f t="shared" si="6"/>
        <v>0</v>
      </c>
      <c r="E215" s="1">
        <f t="shared" si="6"/>
        <v>0</v>
      </c>
      <c r="F215" s="9">
        <f>-D215*indicaciones!$G$8*indicaciones!$D$4</f>
        <v>0</v>
      </c>
      <c r="G215" s="9">
        <f>-E215*indicaciones!$G$9*indicaciones!$D$5</f>
        <v>0</v>
      </c>
      <c r="H215" s="9">
        <f t="shared" si="7"/>
        <v>0</v>
      </c>
      <c r="I215" s="9"/>
    </row>
    <row r="216" spans="1:9" x14ac:dyDescent="0.25">
      <c r="A216" s="3">
        <v>45763</v>
      </c>
      <c r="B216" s="4">
        <v>8.25</v>
      </c>
      <c r="C216" s="4">
        <v>9.3800000000000008</v>
      </c>
      <c r="D216" s="1">
        <f t="shared" si="6"/>
        <v>-2.9999999999999361</v>
      </c>
      <c r="E216" s="1">
        <f t="shared" si="6"/>
        <v>-0.99999999999997868</v>
      </c>
      <c r="F216" s="9">
        <f>-D216*indicaciones!$G$8*indicaciones!$D$4</f>
        <v>187916.03760008235</v>
      </c>
      <c r="G216" s="9">
        <f>-E216*indicaciones!$G$9*indicaciones!$D$5</f>
        <v>67373.412300002616</v>
      </c>
      <c r="H216" s="9">
        <f t="shared" si="7"/>
        <v>255289.44990008496</v>
      </c>
      <c r="I216" s="9"/>
    </row>
    <row r="217" spans="1:9" x14ac:dyDescent="0.25">
      <c r="A217" s="3">
        <v>45762</v>
      </c>
      <c r="B217" s="4">
        <v>8.2799999999999994</v>
      </c>
      <c r="C217" s="4">
        <v>9.39</v>
      </c>
      <c r="D217" s="1">
        <f t="shared" si="6"/>
        <v>-8.0000000000000071</v>
      </c>
      <c r="E217" s="1">
        <f t="shared" si="6"/>
        <v>-2.9999999999999361</v>
      </c>
      <c r="F217" s="9">
        <f>-D217*indicaciones!$G$8*indicaciones!$D$4</f>
        <v>501109.43360023072</v>
      </c>
      <c r="G217" s="9">
        <f>-E217*indicaciones!$G$9*indicaciones!$D$5</f>
        <v>202120.23690000785</v>
      </c>
      <c r="H217" s="9">
        <f t="shared" si="7"/>
        <v>703229.67050023854</v>
      </c>
      <c r="I217" s="9"/>
    </row>
    <row r="218" spans="1:9" x14ac:dyDescent="0.25">
      <c r="A218" s="3">
        <v>45761</v>
      </c>
      <c r="B218" s="4">
        <v>8.36</v>
      </c>
      <c r="C218" s="4">
        <v>9.42</v>
      </c>
      <c r="D218" s="1">
        <f t="shared" si="6"/>
        <v>-4.0000000000000924</v>
      </c>
      <c r="E218" s="1">
        <f t="shared" si="6"/>
        <v>-25.999999999999979</v>
      </c>
      <c r="F218" s="9">
        <f>-D218*indicaciones!$G$8*indicaciones!$D$4</f>
        <v>250554.71680012092</v>
      </c>
      <c r="G218" s="9">
        <f>-E218*indicaciones!$G$9*indicaciones!$D$5</f>
        <v>1751708.7198001039</v>
      </c>
      <c r="H218" s="9">
        <f t="shared" si="7"/>
        <v>2002263.4366002248</v>
      </c>
      <c r="I218" s="9"/>
    </row>
    <row r="219" spans="1:9" x14ac:dyDescent="0.25">
      <c r="A219" s="3">
        <v>45758</v>
      </c>
      <c r="B219" s="4">
        <v>8.4</v>
      </c>
      <c r="C219" s="4">
        <v>9.68</v>
      </c>
      <c r="D219" s="1">
        <f t="shared" si="6"/>
        <v>0.99999999999997868</v>
      </c>
      <c r="E219" s="1">
        <f t="shared" si="6"/>
        <v>9.9999999999999645</v>
      </c>
      <c r="F219" s="9">
        <f>-D219*indicaciones!$G$8*indicaciones!$D$4</f>
        <v>-62638.679200027451</v>
      </c>
      <c r="G219" s="9">
        <f>-E219*indicaciones!$G$9*indicaciones!$D$5</f>
        <v>-673734.12300003821</v>
      </c>
      <c r="H219" s="9">
        <f t="shared" si="7"/>
        <v>-736372.80220006569</v>
      </c>
      <c r="I219" s="9"/>
    </row>
    <row r="220" spans="1:9" x14ac:dyDescent="0.25">
      <c r="A220" s="3">
        <v>45757</v>
      </c>
      <c r="B220" s="4">
        <v>8.39</v>
      </c>
      <c r="C220" s="4">
        <v>9.58</v>
      </c>
      <c r="D220" s="1">
        <f t="shared" si="6"/>
        <v>2.000000000000135</v>
      </c>
      <c r="E220" s="1">
        <f t="shared" si="6"/>
        <v>11.999999999999922</v>
      </c>
      <c r="F220" s="9">
        <f>-D220*indicaciones!$G$8*indicaciones!$D$4</f>
        <v>-125277.35840006603</v>
      </c>
      <c r="G220" s="9">
        <f>-E220*indicaciones!$G$9*indicaciones!$D$5</f>
        <v>-808480.94760004338</v>
      </c>
      <c r="H220" s="9">
        <f t="shared" si="7"/>
        <v>-933758.30600010941</v>
      </c>
      <c r="I220" s="9"/>
    </row>
    <row r="221" spans="1:9" x14ac:dyDescent="0.25">
      <c r="A221" s="3">
        <v>45756</v>
      </c>
      <c r="B221" s="4">
        <v>8.3699999999999992</v>
      </c>
      <c r="C221" s="4">
        <v>9.4600000000000009</v>
      </c>
      <c r="D221" s="1">
        <f t="shared" si="6"/>
        <v>1.9999999999999574</v>
      </c>
      <c r="E221" s="1">
        <f t="shared" si="6"/>
        <v>-3.9999999999999147</v>
      </c>
      <c r="F221" s="9">
        <f>-D221*indicaciones!$G$8*indicaciones!$D$4</f>
        <v>-125277.3584000549</v>
      </c>
      <c r="G221" s="9">
        <f>-E221*indicaciones!$G$9*indicaciones!$D$5</f>
        <v>269493.64920001046</v>
      </c>
      <c r="H221" s="9">
        <f t="shared" si="7"/>
        <v>144216.29079995555</v>
      </c>
      <c r="I221" s="9"/>
    </row>
    <row r="222" spans="1:9" x14ac:dyDescent="0.25">
      <c r="A222" s="3">
        <v>45755</v>
      </c>
      <c r="B222" s="4">
        <v>8.35</v>
      </c>
      <c r="C222" s="4">
        <v>9.5</v>
      </c>
      <c r="D222" s="1">
        <f t="shared" si="6"/>
        <v>0</v>
      </c>
      <c r="E222" s="1">
        <f t="shared" si="6"/>
        <v>8.0000000000000071</v>
      </c>
      <c r="F222" s="9">
        <f>-D222*indicaciones!$G$8*indicaciones!$D$4</f>
        <v>0</v>
      </c>
      <c r="G222" s="9">
        <f>-E222*indicaciones!$G$9*indicaciones!$D$5</f>
        <v>-538987.29840003292</v>
      </c>
      <c r="H222" s="9">
        <f t="shared" si="7"/>
        <v>-538987.29840003292</v>
      </c>
      <c r="I222" s="9"/>
    </row>
    <row r="223" spans="1:9" x14ac:dyDescent="0.25">
      <c r="A223" s="3">
        <v>45754</v>
      </c>
      <c r="B223" s="4">
        <v>8.35</v>
      </c>
      <c r="C223" s="4">
        <v>9.42</v>
      </c>
      <c r="D223" s="1">
        <f t="shared" si="6"/>
        <v>8.0000000000000071</v>
      </c>
      <c r="E223" s="1">
        <f t="shared" si="6"/>
        <v>33.999999999999986</v>
      </c>
      <c r="F223" s="9">
        <f>-D223*indicaciones!$G$8*indicaciones!$D$4</f>
        <v>-501109.43360023072</v>
      </c>
      <c r="G223" s="9">
        <f>-E223*indicaciones!$G$9*indicaciones!$D$5</f>
        <v>-2290696.0182001367</v>
      </c>
      <c r="H223" s="9">
        <f t="shared" si="7"/>
        <v>-2791805.4518003673</v>
      </c>
      <c r="I223" s="9"/>
    </row>
    <row r="224" spans="1:9" x14ac:dyDescent="0.25">
      <c r="A224" s="3">
        <v>45751</v>
      </c>
      <c r="B224" s="4">
        <v>8.27</v>
      </c>
      <c r="C224" s="4">
        <v>9.08</v>
      </c>
      <c r="D224" s="1">
        <f t="shared" si="6"/>
        <v>1.9999999999999574</v>
      </c>
      <c r="E224" s="1">
        <f t="shared" si="6"/>
        <v>17.999999999999972</v>
      </c>
      <c r="F224" s="9">
        <f>-D224*indicaciones!$G$8*indicaciones!$D$4</f>
        <v>-125277.3584000549</v>
      </c>
      <c r="G224" s="9">
        <f>-E224*indicaciones!$G$9*indicaciones!$D$5</f>
        <v>-1212721.4214000711</v>
      </c>
      <c r="H224" s="9">
        <f t="shared" si="7"/>
        <v>-1337998.7798001261</v>
      </c>
      <c r="I224" s="9"/>
    </row>
    <row r="225" spans="1:9" x14ac:dyDescent="0.25">
      <c r="A225" s="3">
        <v>45750</v>
      </c>
      <c r="B225" s="4">
        <v>8.25</v>
      </c>
      <c r="C225" s="4">
        <v>8.9</v>
      </c>
      <c r="D225" s="1">
        <f t="shared" si="6"/>
        <v>-24.000000000000021</v>
      </c>
      <c r="E225" s="1">
        <f t="shared" si="6"/>
        <v>-23.000000000000043</v>
      </c>
      <c r="F225" s="9">
        <f>-D225*indicaciones!$G$8*indicaciones!$D$4</f>
        <v>1503328.3008006921</v>
      </c>
      <c r="G225" s="9">
        <f>-E225*indicaciones!$G$9*indicaciones!$D$5</f>
        <v>1549588.4829000961</v>
      </c>
      <c r="H225" s="9">
        <f t="shared" si="7"/>
        <v>3052916.7837007884</v>
      </c>
      <c r="I225" s="9"/>
    </row>
    <row r="226" spans="1:9" x14ac:dyDescent="0.25">
      <c r="A226" s="3">
        <v>45749</v>
      </c>
      <c r="B226" s="4">
        <v>8.49</v>
      </c>
      <c r="C226" s="4">
        <v>9.1300000000000008</v>
      </c>
      <c r="D226" s="1">
        <f t="shared" si="6"/>
        <v>0</v>
      </c>
      <c r="E226" s="1">
        <f t="shared" si="6"/>
        <v>-2.9999999999999361</v>
      </c>
      <c r="F226" s="9">
        <f>-D226*indicaciones!$G$8*indicaciones!$D$4</f>
        <v>0</v>
      </c>
      <c r="G226" s="9">
        <f>-E226*indicaciones!$G$9*indicaciones!$D$5</f>
        <v>202120.23690000785</v>
      </c>
      <c r="H226" s="9">
        <f t="shared" si="7"/>
        <v>202120.23690000785</v>
      </c>
      <c r="I226" s="9"/>
    </row>
    <row r="227" spans="1:9" x14ac:dyDescent="0.25">
      <c r="A227" s="3">
        <v>45748</v>
      </c>
      <c r="B227" s="4">
        <v>8.49</v>
      </c>
      <c r="C227" s="4">
        <v>9.16</v>
      </c>
      <c r="D227" s="1">
        <f t="shared" si="6"/>
        <v>-8.0000000000000071</v>
      </c>
      <c r="E227" s="1">
        <f t="shared" si="6"/>
        <v>-8.9999999999999858</v>
      </c>
      <c r="F227" s="9">
        <f>-D227*indicaciones!$G$8*indicaciones!$D$4</f>
        <v>501109.43360023072</v>
      </c>
      <c r="G227" s="9">
        <f>-E227*indicaciones!$G$9*indicaciones!$D$5</f>
        <v>606360.71070003556</v>
      </c>
      <c r="H227" s="9">
        <f t="shared" si="7"/>
        <v>1107470.1443002662</v>
      </c>
      <c r="I227" s="9"/>
    </row>
    <row r="228" spans="1:9" x14ac:dyDescent="0.25">
      <c r="A228" s="3">
        <v>45747</v>
      </c>
      <c r="B228" s="4">
        <v>8.57</v>
      </c>
      <c r="C228" s="4">
        <v>9.25</v>
      </c>
      <c r="D228" s="1">
        <f t="shared" si="6"/>
        <v>1.9999999999999574</v>
      </c>
      <c r="E228" s="1">
        <f t="shared" si="6"/>
        <v>0</v>
      </c>
      <c r="F228" s="9">
        <f>-D228*indicaciones!$G$8*indicaciones!$D$4</f>
        <v>-125277.3584000549</v>
      </c>
      <c r="G228" s="9">
        <f>-E228*indicaciones!$G$9*indicaciones!$D$5</f>
        <v>0</v>
      </c>
      <c r="H228" s="9">
        <f t="shared" si="7"/>
        <v>-125277.3584000549</v>
      </c>
      <c r="I228" s="9"/>
    </row>
    <row r="229" spans="1:9" x14ac:dyDescent="0.25">
      <c r="A229" s="3">
        <v>45744</v>
      </c>
      <c r="B229" s="4">
        <v>8.5500000000000007</v>
      </c>
      <c r="C229" s="4">
        <v>9.25</v>
      </c>
      <c r="D229" s="1">
        <f t="shared" si="6"/>
        <v>-8.0000000000000071</v>
      </c>
      <c r="E229" s="1">
        <f t="shared" si="6"/>
        <v>-16.000000000000014</v>
      </c>
      <c r="F229" s="9">
        <f>-D229*indicaciones!$G$8*indicaciones!$D$4</f>
        <v>501109.43360023072</v>
      </c>
      <c r="G229" s="9">
        <f>-E229*indicaciones!$G$9*indicaciones!$D$5</f>
        <v>1077974.5968000658</v>
      </c>
      <c r="H229" s="9">
        <f t="shared" si="7"/>
        <v>1579084.0304002967</v>
      </c>
      <c r="I229" s="9"/>
    </row>
    <row r="230" spans="1:9" x14ac:dyDescent="0.25">
      <c r="A230" s="3">
        <v>45743</v>
      </c>
      <c r="B230" s="4">
        <v>8.6300000000000008</v>
      </c>
      <c r="C230" s="4">
        <v>9.41</v>
      </c>
      <c r="D230" s="1">
        <f t="shared" si="6"/>
        <v>-8.9999999999999858</v>
      </c>
      <c r="E230" s="1">
        <f t="shared" si="6"/>
        <v>-3.9999999999999147</v>
      </c>
      <c r="F230" s="9">
        <f>-D230*indicaciones!$G$8*indicaciones!$D$4</f>
        <v>563748.1128002581</v>
      </c>
      <c r="G230" s="9">
        <f>-E230*indicaciones!$G$9*indicaciones!$D$5</f>
        <v>269493.64920001046</v>
      </c>
      <c r="H230" s="9">
        <f t="shared" si="7"/>
        <v>833241.76200026856</v>
      </c>
      <c r="I230" s="9"/>
    </row>
    <row r="231" spans="1:9" x14ac:dyDescent="0.25">
      <c r="A231" s="3">
        <v>45742</v>
      </c>
      <c r="B231" s="4">
        <v>8.7200000000000006</v>
      </c>
      <c r="C231" s="4">
        <v>9.4499999999999993</v>
      </c>
      <c r="D231" s="1">
        <f t="shared" si="6"/>
        <v>3.0000000000001137</v>
      </c>
      <c r="E231" s="1">
        <f t="shared" si="6"/>
        <v>0</v>
      </c>
      <c r="F231" s="9">
        <f>-D231*indicaciones!$G$8*indicaciones!$D$4</f>
        <v>-187916.03760009346</v>
      </c>
      <c r="G231" s="9">
        <f>-E231*indicaciones!$G$9*indicaciones!$D$5</f>
        <v>0</v>
      </c>
      <c r="H231" s="9">
        <f t="shared" si="7"/>
        <v>-187916.03760009346</v>
      </c>
      <c r="I231" s="9"/>
    </row>
    <row r="232" spans="1:9" x14ac:dyDescent="0.25">
      <c r="A232" s="3">
        <v>45741</v>
      </c>
      <c r="B232" s="4">
        <v>8.69</v>
      </c>
      <c r="C232" s="4">
        <v>9.4499999999999993</v>
      </c>
      <c r="D232" s="1">
        <f t="shared" si="6"/>
        <v>1.9999999999999574</v>
      </c>
      <c r="E232" s="1">
        <f t="shared" si="6"/>
        <v>-3.0000000000001137</v>
      </c>
      <c r="F232" s="9">
        <f>-D232*indicaciones!$G$8*indicaciones!$D$4</f>
        <v>-125277.3584000549</v>
      </c>
      <c r="G232" s="9">
        <f>-E232*indicaciones!$G$9*indicaciones!$D$5</f>
        <v>202120.23690001981</v>
      </c>
      <c r="H232" s="9">
        <f t="shared" si="7"/>
        <v>76842.878499964907</v>
      </c>
      <c r="I232" s="9"/>
    </row>
    <row r="233" spans="1:9" x14ac:dyDescent="0.25">
      <c r="A233" s="3">
        <v>45740</v>
      </c>
      <c r="B233" s="4">
        <v>8.67</v>
      </c>
      <c r="C233" s="4">
        <v>9.48</v>
      </c>
      <c r="D233" s="1">
        <f t="shared" si="6"/>
        <v>2.9999999999999361</v>
      </c>
      <c r="E233" s="1">
        <f t="shared" si="6"/>
        <v>0.99999999999997868</v>
      </c>
      <c r="F233" s="9">
        <f>-D233*indicaciones!$G$8*indicaciones!$D$4</f>
        <v>-187916.03760008235</v>
      </c>
      <c r="G233" s="9">
        <f>-E233*indicaciones!$G$9*indicaciones!$D$5</f>
        <v>-67373.412300002616</v>
      </c>
      <c r="H233" s="9">
        <f t="shared" si="7"/>
        <v>-255289.44990008496</v>
      </c>
      <c r="I233" s="9"/>
    </row>
    <row r="234" spans="1:9" x14ac:dyDescent="0.25">
      <c r="A234" s="3">
        <v>45737</v>
      </c>
      <c r="B234" s="4">
        <v>8.64</v>
      </c>
      <c r="C234" s="4">
        <v>9.4700000000000006</v>
      </c>
      <c r="D234" s="1">
        <f t="shared" si="6"/>
        <v>0.99999999999997868</v>
      </c>
      <c r="E234" s="1">
        <f t="shared" si="6"/>
        <v>10.000000000000142</v>
      </c>
      <c r="F234" s="9">
        <f>-D234*indicaciones!$G$8*indicaciones!$D$4</f>
        <v>-62638.679200027451</v>
      </c>
      <c r="G234" s="9">
        <f>-E234*indicaciones!$G$9*indicaciones!$D$5</f>
        <v>-673734.12300005008</v>
      </c>
      <c r="H234" s="9">
        <f t="shared" si="7"/>
        <v>-736372.80220007757</v>
      </c>
      <c r="I234" s="9"/>
    </row>
    <row r="235" spans="1:9" x14ac:dyDescent="0.25">
      <c r="A235" s="3">
        <v>45736</v>
      </c>
      <c r="B235" s="4">
        <v>8.6300000000000008</v>
      </c>
      <c r="C235" s="4">
        <v>9.3699999999999992</v>
      </c>
      <c r="D235" s="1">
        <f t="shared" si="6"/>
        <v>1.0000000000001563</v>
      </c>
      <c r="E235" s="1">
        <f t="shared" si="6"/>
        <v>2.9999999999999361</v>
      </c>
      <c r="F235" s="9">
        <f>-D235*indicaciones!$G$8*indicaciones!$D$4</f>
        <v>-62638.679200038583</v>
      </c>
      <c r="G235" s="9">
        <f>-E235*indicaciones!$G$9*indicaciones!$D$5</f>
        <v>-202120.23690000785</v>
      </c>
      <c r="H235" s="9">
        <f t="shared" si="7"/>
        <v>-264758.91610004642</v>
      </c>
      <c r="I235" s="9"/>
    </row>
    <row r="236" spans="1:9" x14ac:dyDescent="0.25">
      <c r="A236" s="3">
        <v>45735</v>
      </c>
      <c r="B236" s="4">
        <v>8.6199999999999992</v>
      </c>
      <c r="C236" s="4">
        <v>9.34</v>
      </c>
      <c r="D236" s="1">
        <f t="shared" si="6"/>
        <v>-7.0000000000000284</v>
      </c>
      <c r="E236" s="1">
        <f t="shared" si="6"/>
        <v>-7.0000000000000284</v>
      </c>
      <c r="F236" s="9">
        <f>-D236*indicaciones!$G$8*indicaciones!$D$4</f>
        <v>438470.7544002033</v>
      </c>
      <c r="G236" s="9">
        <f>-E236*indicaciones!$G$9*indicaciones!$D$5</f>
        <v>471613.88610003027</v>
      </c>
      <c r="H236" s="9">
        <f t="shared" si="7"/>
        <v>910084.64050023351</v>
      </c>
      <c r="I236" s="9"/>
    </row>
    <row r="237" spans="1:9" x14ac:dyDescent="0.25">
      <c r="A237" s="3">
        <v>45734</v>
      </c>
      <c r="B237" s="4">
        <v>8.69</v>
      </c>
      <c r="C237" s="4">
        <v>9.41</v>
      </c>
      <c r="D237" s="1">
        <f t="shared" si="6"/>
        <v>-3.0000000000001137</v>
      </c>
      <c r="E237" s="1">
        <f t="shared" si="6"/>
        <v>-2.9999999999999361</v>
      </c>
      <c r="F237" s="9">
        <f>-D237*indicaciones!$G$8*indicaciones!$D$4</f>
        <v>187916.03760009346</v>
      </c>
      <c r="G237" s="9">
        <f>-E237*indicaciones!$G$9*indicaciones!$D$5</f>
        <v>202120.23690000785</v>
      </c>
      <c r="H237" s="9">
        <f t="shared" si="7"/>
        <v>390036.27450010134</v>
      </c>
      <c r="I237" s="9"/>
    </row>
    <row r="238" spans="1:9" x14ac:dyDescent="0.25">
      <c r="A238" s="3">
        <v>45733</v>
      </c>
      <c r="B238" s="4">
        <v>8.7200000000000006</v>
      </c>
      <c r="C238" s="4">
        <v>9.44</v>
      </c>
      <c r="D238" s="1">
        <f t="shared" si="6"/>
        <v>0</v>
      </c>
      <c r="E238" s="1">
        <f t="shared" si="6"/>
        <v>0</v>
      </c>
      <c r="F238" s="9">
        <f>-D238*indicaciones!$G$8*indicaciones!$D$4</f>
        <v>0</v>
      </c>
      <c r="G238" s="9">
        <f>-E238*indicaciones!$G$9*indicaciones!$D$5</f>
        <v>0</v>
      </c>
      <c r="H238" s="9">
        <f t="shared" si="7"/>
        <v>0</v>
      </c>
      <c r="I238" s="9"/>
    </row>
    <row r="239" spans="1:9" x14ac:dyDescent="0.25">
      <c r="A239" s="3">
        <v>45730</v>
      </c>
      <c r="B239" s="4">
        <v>8.7200000000000006</v>
      </c>
      <c r="C239" s="4">
        <v>9.44</v>
      </c>
      <c r="D239" s="1">
        <f t="shared" si="6"/>
        <v>-1.9999999999999574</v>
      </c>
      <c r="E239" s="1">
        <f t="shared" si="6"/>
        <v>-2.000000000000135</v>
      </c>
      <c r="F239" s="9">
        <f>-D239*indicaciones!$G$8*indicaciones!$D$4</f>
        <v>125277.3584000549</v>
      </c>
      <c r="G239" s="9">
        <f>-E239*indicaciones!$G$9*indicaciones!$D$5</f>
        <v>134746.82460001719</v>
      </c>
      <c r="H239" s="9">
        <f t="shared" si="7"/>
        <v>260024.18300007208</v>
      </c>
      <c r="I239" s="9"/>
    </row>
    <row r="240" spans="1:9" x14ac:dyDescent="0.25">
      <c r="A240" s="3">
        <v>45729</v>
      </c>
      <c r="B240" s="4">
        <v>8.74</v>
      </c>
      <c r="C240" s="4">
        <v>9.4600000000000009</v>
      </c>
      <c r="D240" s="1">
        <f t="shared" si="6"/>
        <v>-3.9999999999999147</v>
      </c>
      <c r="E240" s="1">
        <f t="shared" si="6"/>
        <v>-9.9999999999999645</v>
      </c>
      <c r="F240" s="9">
        <f>-D240*indicaciones!$G$8*indicaciones!$D$4</f>
        <v>250554.7168001098</v>
      </c>
      <c r="G240" s="9">
        <f>-E240*indicaciones!$G$9*indicaciones!$D$5</f>
        <v>673734.12300003821</v>
      </c>
      <c r="H240" s="9">
        <f t="shared" si="7"/>
        <v>924288.83980014804</v>
      </c>
      <c r="I240" s="9"/>
    </row>
    <row r="241" spans="1:9" x14ac:dyDescent="0.25">
      <c r="A241" s="3">
        <v>45728</v>
      </c>
      <c r="B241" s="4">
        <v>8.7799999999999994</v>
      </c>
      <c r="C241" s="4">
        <v>9.56</v>
      </c>
      <c r="D241" s="1">
        <f t="shared" si="6"/>
        <v>-3.0000000000001137</v>
      </c>
      <c r="E241" s="1">
        <f t="shared" si="6"/>
        <v>0</v>
      </c>
      <c r="F241" s="9">
        <f>-D241*indicaciones!$G$8*indicaciones!$D$4</f>
        <v>187916.03760009346</v>
      </c>
      <c r="G241" s="9">
        <f>-E241*indicaciones!$G$9*indicaciones!$D$5</f>
        <v>0</v>
      </c>
      <c r="H241" s="9">
        <f t="shared" si="7"/>
        <v>187916.03760009346</v>
      </c>
      <c r="I241" s="9"/>
    </row>
    <row r="242" spans="1:9" x14ac:dyDescent="0.25">
      <c r="A242" s="3">
        <v>45727</v>
      </c>
      <c r="B242" s="4">
        <v>8.81</v>
      </c>
      <c r="C242" s="4">
        <v>9.56</v>
      </c>
      <c r="D242" s="1">
        <f t="shared" si="6"/>
        <v>-2.9999999999999361</v>
      </c>
      <c r="E242" s="1">
        <f t="shared" si="6"/>
        <v>6.0000000000000497</v>
      </c>
      <c r="F242" s="9">
        <f>-D242*indicaciones!$G$8*indicaciones!$D$4</f>
        <v>187916.03760008235</v>
      </c>
      <c r="G242" s="9">
        <f>-E242*indicaciones!$G$9*indicaciones!$D$5</f>
        <v>-404240.47380002763</v>
      </c>
      <c r="H242" s="9">
        <f t="shared" si="7"/>
        <v>-216324.43619994528</v>
      </c>
      <c r="I242" s="9"/>
    </row>
    <row r="243" spans="1:9" x14ac:dyDescent="0.25">
      <c r="A243" s="3">
        <v>45726</v>
      </c>
      <c r="B243" s="4">
        <v>8.84</v>
      </c>
      <c r="C243" s="4">
        <v>9.5</v>
      </c>
      <c r="D243" s="1">
        <f t="shared" si="6"/>
        <v>0</v>
      </c>
      <c r="E243" s="1">
        <f t="shared" si="6"/>
        <v>7.0000000000000284</v>
      </c>
      <c r="F243" s="9">
        <f>-D243*indicaciones!$G$8*indicaciones!$D$4</f>
        <v>0</v>
      </c>
      <c r="G243" s="9">
        <f>-E243*indicaciones!$G$9*indicaciones!$D$5</f>
        <v>-471613.88610003027</v>
      </c>
      <c r="H243" s="9">
        <f t="shared" si="7"/>
        <v>-471613.88610003027</v>
      </c>
      <c r="I243" s="9"/>
    </row>
    <row r="244" spans="1:9" x14ac:dyDescent="0.25">
      <c r="A244" s="3">
        <v>45723</v>
      </c>
      <c r="B244" s="4">
        <v>8.84</v>
      </c>
      <c r="C244" s="4">
        <v>9.43</v>
      </c>
      <c r="D244" s="1">
        <f t="shared" si="6"/>
        <v>-0.99999999999997868</v>
      </c>
      <c r="E244" s="1">
        <f t="shared" si="6"/>
        <v>0</v>
      </c>
      <c r="F244" s="9">
        <f>-D244*indicaciones!$G$8*indicaciones!$D$4</f>
        <v>62638.679200027451</v>
      </c>
      <c r="G244" s="9">
        <f>-E244*indicaciones!$G$9*indicaciones!$D$5</f>
        <v>0</v>
      </c>
      <c r="H244" s="9">
        <f t="shared" si="7"/>
        <v>62638.679200027451</v>
      </c>
      <c r="I244" s="9"/>
    </row>
    <row r="245" spans="1:9" x14ac:dyDescent="0.25">
      <c r="A245" s="3">
        <v>45722</v>
      </c>
      <c r="B245" s="4">
        <v>8.85</v>
      </c>
      <c r="C245" s="4">
        <v>9.43</v>
      </c>
      <c r="D245" s="1">
        <f t="shared" si="6"/>
        <v>0</v>
      </c>
      <c r="E245" s="1">
        <f t="shared" si="6"/>
        <v>-3.0000000000001137</v>
      </c>
      <c r="F245" s="9">
        <f>-D245*indicaciones!$G$8*indicaciones!$D$4</f>
        <v>0</v>
      </c>
      <c r="G245" s="9">
        <f>-E245*indicaciones!$G$9*indicaciones!$D$5</f>
        <v>202120.23690001981</v>
      </c>
      <c r="H245" s="9">
        <f t="shared" si="7"/>
        <v>202120.23690001981</v>
      </c>
      <c r="I245" s="9"/>
    </row>
    <row r="246" spans="1:9" x14ac:dyDescent="0.25">
      <c r="A246" s="3">
        <v>45721</v>
      </c>
      <c r="B246" s="4">
        <v>8.85</v>
      </c>
      <c r="C246" s="4">
        <v>9.4600000000000009</v>
      </c>
      <c r="D246" s="1">
        <f t="shared" si="6"/>
        <v>-8.0000000000000071</v>
      </c>
      <c r="E246" s="1">
        <f t="shared" si="6"/>
        <v>-10.999999999999943</v>
      </c>
      <c r="F246" s="9">
        <f>-D246*indicaciones!$G$8*indicaciones!$D$4</f>
        <v>501109.43360023072</v>
      </c>
      <c r="G246" s="9">
        <f>-E246*indicaciones!$G$9*indicaciones!$D$5</f>
        <v>741107.53530004073</v>
      </c>
      <c r="H246" s="9">
        <f t="shared" si="7"/>
        <v>1242216.9689002715</v>
      </c>
      <c r="I246" s="9"/>
    </row>
    <row r="247" spans="1:9" x14ac:dyDescent="0.25">
      <c r="A247" s="3">
        <v>45720</v>
      </c>
      <c r="B247" s="4">
        <v>8.93</v>
      </c>
      <c r="C247" s="4">
        <v>9.57</v>
      </c>
      <c r="D247" s="1">
        <f t="shared" si="6"/>
        <v>4.9999999999998934</v>
      </c>
      <c r="E247" s="1">
        <f t="shared" si="6"/>
        <v>13.000000000000078</v>
      </c>
      <c r="F247" s="9">
        <f>-D247*indicaciones!$G$8*indicaciones!$D$4</f>
        <v>-313193.3960001372</v>
      </c>
      <c r="G247" s="9">
        <f>-E247*indicaciones!$G$9*indicaciones!$D$5</f>
        <v>-875854.3599000579</v>
      </c>
      <c r="H247" s="9">
        <f t="shared" si="7"/>
        <v>-1189047.7559001951</v>
      </c>
      <c r="I247" s="9"/>
    </row>
    <row r="248" spans="1:9" x14ac:dyDescent="0.25">
      <c r="A248" s="3">
        <v>45719</v>
      </c>
      <c r="B248" s="4">
        <v>8.8800000000000008</v>
      </c>
      <c r="C248" s="4">
        <v>9.44</v>
      </c>
      <c r="D248" s="1">
        <f t="shared" si="6"/>
        <v>1.0000000000001563</v>
      </c>
      <c r="E248" s="1">
        <f t="shared" si="6"/>
        <v>-2.000000000000135</v>
      </c>
      <c r="F248" s="9">
        <f>-D248*indicaciones!$G$8*indicaciones!$D$4</f>
        <v>-62638.679200038583</v>
      </c>
      <c r="G248" s="9">
        <f>-E248*indicaciones!$G$9*indicaciones!$D$5</f>
        <v>134746.82460001719</v>
      </c>
      <c r="H248" s="9">
        <f t="shared" si="7"/>
        <v>72108.145399978617</v>
      </c>
      <c r="I248" s="9"/>
    </row>
    <row r="249" spans="1:9" x14ac:dyDescent="0.25">
      <c r="A249" s="3">
        <v>45716</v>
      </c>
      <c r="B249" s="4">
        <v>8.8699999999999992</v>
      </c>
      <c r="C249" s="4">
        <v>9.4600000000000009</v>
      </c>
      <c r="D249" s="1">
        <f t="shared" si="6"/>
        <v>-2.000000000000135</v>
      </c>
      <c r="E249" s="1">
        <f t="shared" si="6"/>
        <v>-3.9999999999999147</v>
      </c>
      <c r="F249" s="9">
        <f>-D249*indicaciones!$G$8*indicaciones!$D$4</f>
        <v>125277.35840006603</v>
      </c>
      <c r="G249" s="9">
        <f>-E249*indicaciones!$G$9*indicaciones!$D$5</f>
        <v>269493.64920001046</v>
      </c>
      <c r="H249" s="9">
        <f t="shared" si="7"/>
        <v>394771.0076000765</v>
      </c>
      <c r="I249" s="9"/>
    </row>
    <row r="250" spans="1:9" x14ac:dyDescent="0.25">
      <c r="A250" s="3">
        <v>45715</v>
      </c>
      <c r="B250" s="4">
        <v>8.89</v>
      </c>
      <c r="C250" s="4">
        <v>9.5</v>
      </c>
      <c r="D250" s="1">
        <f t="shared" si="6"/>
        <v>2.000000000000135</v>
      </c>
      <c r="E250" s="1">
        <f t="shared" si="6"/>
        <v>-1.9999999999999574</v>
      </c>
      <c r="F250" s="9">
        <f>-D250*indicaciones!$G$8*indicaciones!$D$4</f>
        <v>-125277.35840006603</v>
      </c>
      <c r="G250" s="9">
        <f>-E250*indicaciones!$G$9*indicaciones!$D$5</f>
        <v>134746.82460000523</v>
      </c>
      <c r="H250" s="9">
        <f t="shared" si="7"/>
        <v>9469.4661999391974</v>
      </c>
      <c r="I250" s="9"/>
    </row>
    <row r="251" spans="1:9" x14ac:dyDescent="0.25">
      <c r="A251" s="3">
        <v>45714</v>
      </c>
      <c r="B251" s="4">
        <v>8.8699999999999992</v>
      </c>
      <c r="C251" s="4">
        <v>9.52</v>
      </c>
      <c r="D251" s="1">
        <f t="shared" si="6"/>
        <v>-1.0000000000001563</v>
      </c>
      <c r="E251" s="1">
        <f t="shared" si="6"/>
        <v>-8.9999999999999858</v>
      </c>
      <c r="F251" s="9">
        <f>-D251*indicaciones!$G$8*indicaciones!$D$4</f>
        <v>62638.679200038583</v>
      </c>
      <c r="G251" s="9">
        <f>-E251*indicaciones!$G$9*indicaciones!$D$5</f>
        <v>606360.71070003556</v>
      </c>
      <c r="H251" s="9">
        <f t="shared" si="7"/>
        <v>668999.38990007411</v>
      </c>
      <c r="I251" s="9"/>
    </row>
    <row r="252" spans="1:9" x14ac:dyDescent="0.25">
      <c r="A252" s="3">
        <v>45713</v>
      </c>
      <c r="B252" s="4">
        <v>8.8800000000000008</v>
      </c>
      <c r="C252" s="4">
        <v>9.61</v>
      </c>
      <c r="D252" s="1">
        <f t="shared" si="6"/>
        <v>-9.9999999999999645</v>
      </c>
      <c r="E252" s="1">
        <f t="shared" si="6"/>
        <v>-10.000000000000142</v>
      </c>
      <c r="F252" s="9">
        <f>-D252*indicaciones!$G$8*indicaciones!$D$4</f>
        <v>626386.7920002857</v>
      </c>
      <c r="G252" s="9">
        <f>-E252*indicaciones!$G$9*indicaciones!$D$5</f>
        <v>673734.12300005008</v>
      </c>
      <c r="H252" s="9">
        <f t="shared" si="7"/>
        <v>1300120.9150003358</v>
      </c>
      <c r="I252" s="9"/>
    </row>
    <row r="253" spans="1:9" x14ac:dyDescent="0.25">
      <c r="A253" s="3">
        <v>45712</v>
      </c>
      <c r="B253" s="4">
        <v>8.98</v>
      </c>
      <c r="C253" s="4">
        <v>9.7100000000000009</v>
      </c>
      <c r="D253" s="1">
        <f t="shared" si="6"/>
        <v>-1.9999999999999574</v>
      </c>
      <c r="E253" s="1">
        <f t="shared" si="6"/>
        <v>-5.9999999999998721</v>
      </c>
      <c r="F253" s="9">
        <f>-D253*indicaciones!$G$8*indicaciones!$D$4</f>
        <v>125277.3584000549</v>
      </c>
      <c r="G253" s="9">
        <f>-E253*indicaciones!$G$9*indicaciones!$D$5</f>
        <v>404240.47380001569</v>
      </c>
      <c r="H253" s="9">
        <f t="shared" si="7"/>
        <v>529517.83220007061</v>
      </c>
      <c r="I253" s="9"/>
    </row>
    <row r="254" spans="1:9" x14ac:dyDescent="0.25">
      <c r="A254" s="3">
        <v>45709</v>
      </c>
      <c r="B254" s="4">
        <v>9</v>
      </c>
      <c r="C254" s="4">
        <v>9.77</v>
      </c>
      <c r="D254" s="1">
        <f t="shared" si="6"/>
        <v>-2.9999999999999361</v>
      </c>
      <c r="E254" s="1">
        <f t="shared" si="6"/>
        <v>-11.000000000000121</v>
      </c>
      <c r="F254" s="9">
        <f>-D254*indicaciones!$G$8*indicaciones!$D$4</f>
        <v>187916.03760008235</v>
      </c>
      <c r="G254" s="9">
        <f>-E254*indicaciones!$G$9*indicaciones!$D$5</f>
        <v>741107.53530005272</v>
      </c>
      <c r="H254" s="9">
        <f t="shared" si="7"/>
        <v>929023.57290013507</v>
      </c>
      <c r="I254" s="9"/>
    </row>
    <row r="255" spans="1:9" x14ac:dyDescent="0.25">
      <c r="A255" s="3">
        <v>45708</v>
      </c>
      <c r="B255" s="4">
        <v>9.0299999999999994</v>
      </c>
      <c r="C255" s="4">
        <v>9.8800000000000008</v>
      </c>
      <c r="D255" s="1">
        <f t="shared" si="6"/>
        <v>-3.0000000000001137</v>
      </c>
      <c r="E255" s="1">
        <f t="shared" si="6"/>
        <v>-2.9999999999999361</v>
      </c>
      <c r="F255" s="9">
        <f>-D255*indicaciones!$G$8*indicaciones!$D$4</f>
        <v>187916.03760009346</v>
      </c>
      <c r="G255" s="9">
        <f>-E255*indicaciones!$G$9*indicaciones!$D$5</f>
        <v>202120.23690000785</v>
      </c>
      <c r="H255" s="9">
        <f t="shared" si="7"/>
        <v>390036.27450010134</v>
      </c>
      <c r="I255" s="9"/>
    </row>
    <row r="256" spans="1:9" x14ac:dyDescent="0.25">
      <c r="A256" s="3">
        <v>45707</v>
      </c>
      <c r="B256" s="4">
        <v>9.06</v>
      </c>
      <c r="C256" s="4">
        <v>9.91</v>
      </c>
      <c r="D256" s="1">
        <f t="shared" si="6"/>
        <v>-5.9999999999998721</v>
      </c>
      <c r="E256" s="1">
        <f t="shared" si="6"/>
        <v>6.0000000000000497</v>
      </c>
      <c r="F256" s="9">
        <f>-D256*indicaciones!$G$8*indicaciones!$D$4</f>
        <v>375832.07520016469</v>
      </c>
      <c r="G256" s="9">
        <f>-E256*indicaciones!$G$9*indicaciones!$D$5</f>
        <v>-404240.47380002763</v>
      </c>
      <c r="H256" s="9">
        <f t="shared" si="7"/>
        <v>-28408.398599862936</v>
      </c>
      <c r="I256" s="9"/>
    </row>
    <row r="257" spans="1:9" x14ac:dyDescent="0.25">
      <c r="A257" s="3">
        <v>45706</v>
      </c>
      <c r="B257" s="4">
        <v>9.1199999999999992</v>
      </c>
      <c r="C257" s="4">
        <v>9.85</v>
      </c>
      <c r="D257" s="1">
        <f t="shared" si="6"/>
        <v>-3.0000000000001137</v>
      </c>
      <c r="E257" s="1">
        <f t="shared" si="6"/>
        <v>-3.0000000000001137</v>
      </c>
      <c r="F257" s="9">
        <f>-D257*indicaciones!$G$8*indicaciones!$D$4</f>
        <v>187916.03760009346</v>
      </c>
      <c r="G257" s="9">
        <f>-E257*indicaciones!$G$9*indicaciones!$D$5</f>
        <v>202120.23690001981</v>
      </c>
      <c r="H257" s="9">
        <f t="shared" si="7"/>
        <v>390036.27450011327</v>
      </c>
      <c r="I257" s="9"/>
    </row>
    <row r="258" spans="1:9" x14ac:dyDescent="0.25">
      <c r="A258" s="3">
        <v>45705</v>
      </c>
      <c r="B258" s="4">
        <v>9.15</v>
      </c>
      <c r="C258" s="4">
        <v>9.8800000000000008</v>
      </c>
      <c r="D258" s="1">
        <f t="shared" si="6"/>
        <v>-0.99999999999997868</v>
      </c>
      <c r="E258" s="1">
        <f t="shared" si="6"/>
        <v>3.0000000000001137</v>
      </c>
      <c r="F258" s="9">
        <f>-D258*indicaciones!$G$8*indicaciones!$D$4</f>
        <v>62638.679200027451</v>
      </c>
      <c r="G258" s="9">
        <f>-E258*indicaciones!$G$9*indicaciones!$D$5</f>
        <v>-202120.23690001981</v>
      </c>
      <c r="H258" s="9">
        <f t="shared" si="7"/>
        <v>-139481.55769999235</v>
      </c>
      <c r="I258" s="9"/>
    </row>
    <row r="259" spans="1:9" x14ac:dyDescent="0.25">
      <c r="A259" s="3">
        <v>45702</v>
      </c>
      <c r="B259" s="4">
        <v>9.16</v>
      </c>
      <c r="C259" s="4">
        <v>9.85</v>
      </c>
      <c r="D259" s="1">
        <f t="shared" ref="D259:E261" si="8">(B259-B260)*100</f>
        <v>-5.0000000000000711</v>
      </c>
      <c r="E259" s="1">
        <f t="shared" si="8"/>
        <v>-0.99999999999997868</v>
      </c>
      <c r="F259" s="9">
        <f>-D259*indicaciones!$G$8*indicaciones!$D$4</f>
        <v>313193.39600014838</v>
      </c>
      <c r="G259" s="9">
        <f>-E259*indicaciones!$G$9*indicaciones!$D$5</f>
        <v>67373.412300002616</v>
      </c>
      <c r="H259" s="9">
        <f t="shared" ref="H259:H262" si="9">F259+G259</f>
        <v>380566.80830015102</v>
      </c>
      <c r="I259" s="9"/>
    </row>
    <row r="260" spans="1:9" x14ac:dyDescent="0.25">
      <c r="A260" s="3">
        <v>45701</v>
      </c>
      <c r="B260" s="4">
        <v>9.2100000000000009</v>
      </c>
      <c r="C260" s="4">
        <v>9.86</v>
      </c>
      <c r="D260" s="1">
        <f t="shared" si="8"/>
        <v>-6.9999999999998508</v>
      </c>
      <c r="E260" s="1">
        <f t="shared" si="8"/>
        <v>-4.0000000000000924</v>
      </c>
      <c r="F260" s="9">
        <f>-D260*indicaciones!$G$8*indicaciones!$D$4</f>
        <v>438470.75440019212</v>
      </c>
      <c r="G260" s="9">
        <f>-E260*indicaciones!$G$9*indicaciones!$D$5</f>
        <v>269493.6492000224</v>
      </c>
      <c r="H260" s="9">
        <f t="shared" si="9"/>
        <v>707964.40360021451</v>
      </c>
      <c r="I260" s="9"/>
    </row>
    <row r="261" spans="1:9" x14ac:dyDescent="0.25">
      <c r="A261" s="3">
        <v>45700</v>
      </c>
      <c r="B261" s="4">
        <v>9.2799999999999994</v>
      </c>
      <c r="C261" s="4">
        <v>9.9</v>
      </c>
      <c r="D261" s="1">
        <f t="shared" si="8"/>
        <v>5.9999999999998721</v>
      </c>
      <c r="E261" s="1">
        <f t="shared" si="8"/>
        <v>6.0000000000000497</v>
      </c>
      <c r="F261" s="9">
        <f>-D261*indicaciones!$G$8*indicaciones!$D$4</f>
        <v>-375832.07520016469</v>
      </c>
      <c r="G261" s="9">
        <f>-E261*indicaciones!$G$9*indicaciones!$D$5</f>
        <v>-404240.47380002763</v>
      </c>
      <c r="H261" s="9">
        <f t="shared" si="9"/>
        <v>-780072.54900019232</v>
      </c>
      <c r="I261" s="9"/>
    </row>
    <row r="262" spans="1:9" x14ac:dyDescent="0.25">
      <c r="A262" s="3">
        <v>45699</v>
      </c>
      <c r="B262" s="4">
        <v>9.2200000000000006</v>
      </c>
      <c r="C262" s="4">
        <v>9.84</v>
      </c>
      <c r="D262" s="1"/>
      <c r="E262" s="1"/>
      <c r="F262" s="9">
        <f>-D262*indicaciones!$G$8*indicaciones!$D$4</f>
        <v>0</v>
      </c>
      <c r="G262" s="9">
        <f>-E262*indicaciones!$G$9*indicaciones!$D$5</f>
        <v>0</v>
      </c>
      <c r="H262" s="9">
        <f t="shared" si="9"/>
        <v>0</v>
      </c>
      <c r="I26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indicaciones</vt:lpstr>
      <vt:lpstr>historical yields nodos 2 y 10</vt:lpstr>
      <vt:lpstr>si todo en 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2026-02-11T15:51:01Z</dcterms:created>
  <dcterms:modified xsi:type="dcterms:W3CDTF">2026-02-14T20:00:55Z</dcterms:modified>
</cp:coreProperties>
</file>